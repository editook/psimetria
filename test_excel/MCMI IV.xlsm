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2.xml" ContentType="application/vnd.openxmlformats-officedocument.drawing+xml"/>
  <Override PartName="/xl/ctrlProps/ctrlProp33.xml" ContentType="application/vnd.ms-excel.controlproperties+xml"/>
  <Override PartName="/xl/drawings/drawing3.xml" ContentType="application/vnd.openxmlformats-officedocument.drawing+xml"/>
  <Override PartName="/xl/ctrlProps/ctrlProp34.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a1db4ffa447fa215/Desktop/Test actualizados/"/>
    </mc:Choice>
  </mc:AlternateContent>
  <xr:revisionPtr revIDLastSave="1325" documentId="13_ncr:1_{9D6046AC-153A-441A-BB57-54C6AF41A740}" xr6:coauthVersionLast="47" xr6:coauthVersionMax="47" xr10:uidLastSave="{9675E2E1-ED0B-4A7C-AA15-6220BB90E296}"/>
  <bookViews>
    <workbookView xWindow="-120" yWindow="-120" windowWidth="29040" windowHeight="15720" firstSheet="2" activeTab="3" xr2:uid="{BCB73CC3-7149-4E64-9E73-1E4963B9B937}"/>
  </bookViews>
  <sheets>
    <sheet name="Datos del Sujeto" sheetId="8" r:id="rId1"/>
    <sheet name="Portada" sheetId="4" r:id="rId2"/>
    <sheet name="Protocolo" sheetId="1" r:id="rId3"/>
    <sheet name="Perfil" sheetId="2" r:id="rId4"/>
    <sheet name="Cambios" sheetId="9" r:id="rId5"/>
    <sheet name="Ajustes" sheetId="3" state="hidden" r:id="rId6"/>
    <sheet name="Baremos Españoles" sheetId="5" r:id="rId7"/>
    <sheet name="Baremos EEUU" sheetId="6" state="hidden" r:id="rId8"/>
  </sheets>
  <definedNames>
    <definedName name="_xlnm._FilterDatabase" localSheetId="1" hidden="1">Portada!$B$3:$B$3</definedName>
    <definedName name="_xleta.AND" hidden="1" xlm="1">#NAME?</definedName>
    <definedName name="_xleta.BASE" hidden="1" xlm="1">#NAME?</definedName>
    <definedName name="_xleta.IFERROR" hidden="1" xlm="1">#NAME?</definedName>
    <definedName name="_xleta.N" hidden="1" xlm="1">#NAME?</definedName>
    <definedName name="_xleta.NOT" hidden="1" xlm="1">#NAME?</definedName>
    <definedName name="_xleta.OR" hidden="1" xlm="1">#NAME?</definedName>
    <definedName name="_xleta.TREND" hidden="1" xlm="1">#NAME?</definedName>
    <definedName name="_xlpm._a" hidden="1" xlm="1">#NAME?</definedName>
    <definedName name="_xlpm._b" hidden="1" xlm="1">#NAME?</definedName>
    <definedName name="_xlpm._c" hidden="1" xlm="1">#NAME?</definedName>
    <definedName name="_xlpm._m" hidden="1" xlm="1">#NAME?</definedName>
    <definedName name="_xlpm.cat" hidden="1" xlm="1">#NAME?</definedName>
    <definedName name="_xlpm.cfg" hidden="1" xlm="1">#NAME?</definedName>
    <definedName name="_xlpm.cx" hidden="1" xlm="1">#NAME?</definedName>
    <definedName name="_xlpm.cy" hidden="1" xlm="1">#NAME?</definedName>
    <definedName name="_xlpm.cz" hidden="1" xlm="1">#NAME?</definedName>
    <definedName name="_xlpm.hb" hidden="1" xlm="1">#NAME?</definedName>
    <definedName name="_xlpm.hi" hidden="1" xlm="1">#NAME?</definedName>
    <definedName name="_xlpm.inval" hidden="1" xlm="1">#NAME?</definedName>
    <definedName name="_xlpm.lb" hidden="1" xlm="1">#NAME?</definedName>
    <definedName name="_xlpm.nl" hidden="1" xlm="1">#NAME?</definedName>
    <definedName name="_xlpm.tb" hidden="1" xlm="1">#NAME?</definedName>
    <definedName name="_xlpm.tbx" hidden="1" xlm="1">#NAME?</definedName>
    <definedName name="_xlpm.tby" hidden="1" xlm="1">#NAME?</definedName>
    <definedName name="_xlpm.tbz" hidden="1" xlm="1">#NAME?</definedName>
    <definedName name="_xlpm.txX" hidden="1" xlm="1">#NAME?</definedName>
    <definedName name="_xlpm.txY" hidden="1" xlm="1">#NAME?</definedName>
    <definedName name="_xlpm.txZ" hidden="1" xlm="1">#NAME?</definedName>
    <definedName name="_xlpm.x" hidden="1" xlm="1">#NAME?</definedName>
    <definedName name="_xlpm.y" hidden="1" xlm="1">#NAME?</definedName>
    <definedName name="_xlpm.z" hidden="1" xlm="1">#NAME?</definedName>
    <definedName name="AA_B">'Baremos Españoles'!$B$6:$B$35</definedName>
    <definedName name="AA_C">'Baremos EEUU'!$B$6:$B$35</definedName>
    <definedName name="AAA_B">'Baremos Españoles'!$AA$6:$AA$25</definedName>
    <definedName name="AAA_C">'Baremos EEUU'!$AA$6:$AA$25</definedName>
    <definedName name="AAAA_B">'Baremos Españoles'!$AH$6:$AH$126</definedName>
    <definedName name="AAAA_C">'Baremos EEUU'!$AH$6:$AH$121</definedName>
    <definedName name="AAAAA_B">'Baremos Españoles'!$BG$6:$BG$126</definedName>
    <definedName name="AAAAA_C">'Baremos EEUU'!$BG$6:$BG$121</definedName>
    <definedName name="AAAAAA_B">'Baremos Españoles'!$BI$7:$BI$19</definedName>
    <definedName name="AAAAAA_C">'Baremos EEUU'!$BI$6:$BI$18</definedName>
    <definedName name="AAAAAAAA_B">'Baremos Españoles'!$EB$7:$EB$16</definedName>
    <definedName name="AAAAAAAA_C">'Baremos EEUU'!$EB$6:$EB$15</definedName>
    <definedName name="AAEA_B">'Baremos Españoles'!$AC$6:$AC$120</definedName>
    <definedName name="AAEA_C">'Baremos EEUU'!$AC$6:$AC$121</definedName>
    <definedName name="BA_B">'Baremos Españoles'!$C$6:$C$29</definedName>
    <definedName name="BA_C">'Baremos EEUU'!$C$6:$C$29</definedName>
    <definedName name="BBA_B">'Baremos Españoles'!$BJ$7:$BJ$16</definedName>
    <definedName name="BBA_C">'Baremos EEUU'!$BJ$6:$BJ$15</definedName>
    <definedName name="BBBA_B">'Baremos Españoles'!$AI$6:$AI$126</definedName>
    <definedName name="BBBA_C">'Baremos EEUU'!$AI$6:$AI$121</definedName>
    <definedName name="BBBBA_B">'Baremos Españoles'!$CI$7:$CI$14</definedName>
    <definedName name="BBBBA_c">'Baremos EEUU'!$CI$6:$CI$13</definedName>
    <definedName name="BBBBBA_B">'Baremos Españoles'!$DH$7:$DH$14</definedName>
    <definedName name="BBBBBA_C">'Baremos EEUU'!$DH$6:$DH$13</definedName>
    <definedName name="BBBBBBA_B">'Baremos Españoles'!$EC$7:$EC$16</definedName>
    <definedName name="BBBBBBA_C">'Baremos EEUU'!$EC$6:$EC$15</definedName>
    <definedName name="BBCA_B">'Baremos Españoles'!$AD$6:$AD$120</definedName>
    <definedName name="BBCA_C">'Baremos EEUU'!$AD$6:$AD$121</definedName>
    <definedName name="CA_B">'Baremos Españoles'!$D$6:$D$30</definedName>
    <definedName name="CA_C">'Baremos EEUU'!$D$6:$D$30</definedName>
    <definedName name="CCA_B">'Baremos Españoles'!$BK$7:$BK$16</definedName>
    <definedName name="CCA_C">'Baremos EEUU'!$BK$6:$BK$15</definedName>
    <definedName name="CCCA_B">'Baremos Españoles'!$AJ$6:$AJ$126</definedName>
    <definedName name="CCCA_C">'Baremos EEUU'!$AJ$6:$AJ$121</definedName>
    <definedName name="CCCCA_B">'Baremos Españoles'!$CJ$7:$CJ$17</definedName>
    <definedName name="CCCCA_c">'Baremos EEUU'!$CJ$6:$CJ$16</definedName>
    <definedName name="CCCCCA_B">'Baremos Españoles'!$DI$7:$DI$14</definedName>
    <definedName name="CCCCCA_c">'Baremos EEUU'!$DI$6:$DI$13</definedName>
    <definedName name="CCCCCCA_B">'Baremos Españoles'!$ED$7:$ED$16</definedName>
    <definedName name="CCCCCCA_C">'Baremos EEUU'!$ED$6:$ED$15</definedName>
    <definedName name="CCDA_B">'Baremos Españoles'!$AE$6:$AE$30</definedName>
    <definedName name="CCDA_C">'Baremos EEUU'!$AE$6:$AE$30</definedName>
    <definedName name="DA_B">'Baremos Españoles'!$E$6:$E$34</definedName>
    <definedName name="DA_C">'Baremos EEUU'!$E$6:$E$34</definedName>
    <definedName name="DDA_B">'Baremos Españoles'!$BL$7:$BL$16</definedName>
    <definedName name="DDA_C">'Baremos EEUU'!$BL$6:$BL$15</definedName>
    <definedName name="DDDA_B">'Baremos Españoles'!$AK$6:$AK$126</definedName>
    <definedName name="DDDA_C">'Baremos EEUU'!$AK$6:$AK$121</definedName>
    <definedName name="DDDDA_B">'Baremos Españoles'!$CK$7:$CK$17</definedName>
    <definedName name="DDDDA_c">'Baremos EEUU'!$CK$6:$CK$16</definedName>
    <definedName name="DDDDDA_B">'Baremos Españoles'!$DJ$7:$DJ$14</definedName>
    <definedName name="DDDDDA_c">'Baremos EEUU'!$DJ$6:$DJ$13</definedName>
    <definedName name="DDDDDDA_B">'Baremos Españoles'!$EE$7:$EE$16</definedName>
    <definedName name="DDDDDDA_C">'Baremos EEUU'!$EE$6:$EE$15</definedName>
    <definedName name="DDEA_B">'Baremos Españoles'!$AF$6:$AF$36</definedName>
    <definedName name="DDEA_C">'Baremos EEUU'!$AF$6:$AF$36</definedName>
    <definedName name="EA_B">'Baremos Españoles'!$F$6:$F$29</definedName>
    <definedName name="EA_C">'Baremos EEUU'!$F$6:$F$29</definedName>
    <definedName name="EEA_B">'Baremos Españoles'!$BM$7:$BM$16</definedName>
    <definedName name="EEA_C">'Baremos EEUU'!$BM$6:$BM$15</definedName>
    <definedName name="EEEA_B">'Baremos Españoles'!$AL$6:$AL$126</definedName>
    <definedName name="EEEA_C">'Baremos EEUU'!$AL$6:$AL$121</definedName>
    <definedName name="EEEEA_B">'Baremos Españoles'!$CL$7:$CL$19</definedName>
    <definedName name="EEEEA_c">'Baremos EEUU'!$CL$6:$CL$17</definedName>
    <definedName name="EEEEEEA_B">'Baremos Españoles'!$EF$7:$EF$18</definedName>
    <definedName name="EEEEEEA_C">'Baremos EEUU'!$EF$6:$EF$17</definedName>
    <definedName name="FA_B">'Baremos Españoles'!$G$6:$G$30</definedName>
    <definedName name="FA_C">'Baremos EEUU'!$G$6:$G$30</definedName>
    <definedName name="FFA_B">'Baremos Españoles'!$BN$7:$BN$16</definedName>
    <definedName name="FFA_C">'Baremos EEUU'!$BN$6:$BN$16</definedName>
    <definedName name="FFFA_B">'Baremos Españoles'!$AM$6:$AM$126</definedName>
    <definedName name="FFFA_C">'Baremos EEUU'!$AM$6:$AM$106</definedName>
    <definedName name="FFFFA_B">'Baremos Españoles'!$CM$7:$CM$19</definedName>
    <definedName name="FFFFA_c">'Baremos EEUU'!$CM$6:$CM$17</definedName>
    <definedName name="FFFFFA_B">'Baremos Españoles'!$DK$7:$DK$14</definedName>
    <definedName name="FFFFFA_c">'Baremos EEUU'!$DK$6:$DK$13</definedName>
    <definedName name="FFFFFFA_B">'Baremos Españoles'!$EG$7:$EG$18</definedName>
    <definedName name="FFFFFFA_c">'Baremos EEUU'!$EG$6:$EG$17</definedName>
    <definedName name="GA_B">'Baremos Españoles'!$H$6:$H$31</definedName>
    <definedName name="GA_C">'Baremos EEUU'!$H$6:$H$31</definedName>
    <definedName name="GGA_B">'Baremos Españoles'!$BO$7:$BO$16</definedName>
    <definedName name="GGA_C">'Baremos EEUU'!$BO$6:$BO$16</definedName>
    <definedName name="GGGA_B">'Baremos Españoles'!$AN$6:$AN$126</definedName>
    <definedName name="GGGA_C">'Baremos EEUU'!$AN$6:$AN$106</definedName>
    <definedName name="GGGGA_B">'Baremos Españoles'!$CN$7:$CN$15</definedName>
    <definedName name="GGGGA_C">'Baremos EEUU'!$CN$6:$CN$14</definedName>
    <definedName name="GGGGGA_B">'Baremos Españoles'!$DL$7:$DL$15</definedName>
    <definedName name="GGGGGA_c">'Baremos EEUU'!$DL$6:$DL$14</definedName>
    <definedName name="GGGGGGA_B">'Baremos Españoles'!$EH$7:$EH$18</definedName>
    <definedName name="GGGGGGA_c">'Baremos EEUU'!$EH$6:$EH$17</definedName>
    <definedName name="GGGGGGGA_B">'Baremos Españoles'!$EA$7:$EA$16</definedName>
    <definedName name="GGGGGGGA_C">'Baremos EEUU'!$EA$6:$EA$15</definedName>
    <definedName name="HA_B">'Baremos Españoles'!$I$6:$I$32</definedName>
    <definedName name="HA_C">'Baremos EEUU'!$I$6:$I$32</definedName>
    <definedName name="HHA_B">'Baremos Españoles'!$BP$7:$BP$15</definedName>
    <definedName name="HHA_c">'Baremos EEUU'!$BP$6:$BP$14</definedName>
    <definedName name="HHHA_B">'Baremos Españoles'!$AO$6:$AO$126</definedName>
    <definedName name="HHHA_C">'Baremos EEUU'!$AO$6:$AO$121</definedName>
    <definedName name="HHHHA_B">'Baremos Españoles'!$CO$7:$CO$15</definedName>
    <definedName name="HHHHA_C">'Baremos EEUU'!$CO$6:$CO$14</definedName>
    <definedName name="HHHHHA_B">'Baremos Españoles'!$DM$7:$DM$15</definedName>
    <definedName name="HHHHHA_c">'Baremos EEUU'!$DM$6:$DM$14</definedName>
    <definedName name="HHHHHHA_B">'Baremos Españoles'!$EI$7:$EI$18</definedName>
    <definedName name="HHHHHHA_c">'Baremos EEUU'!$EI$6:$EI$17</definedName>
    <definedName name="IA_B">'Baremos Españoles'!$J$6:$J$27</definedName>
    <definedName name="IA_C">'Baremos EEUU'!$J$6:$J$27</definedName>
    <definedName name="IIA_B">'Baremos Españoles'!$BQ$7:$BQ$15</definedName>
    <definedName name="IIA_C">'Baremos EEUU'!$BQ$6:$BQ$14</definedName>
    <definedName name="IIIA_B">'Baremos Españoles'!$AP$6:$AP$126</definedName>
    <definedName name="IIIA_C">'Baremos EEUU'!$AP$6:$AP$121</definedName>
    <definedName name="IIIIA_B">'Baremos Españoles'!$CP$7:$CP$16</definedName>
    <definedName name="IIIIA_c">'Baremos EEUU'!$CP$6:$CP$14</definedName>
    <definedName name="IIIIIA_B">'Baremos Españoles'!$DX$7:$DX$19</definedName>
    <definedName name="IIIIIA_C">'Baremos EEUU'!$DX$6:$DX$18</definedName>
    <definedName name="JA_B">'Baremos Españoles'!$K$6:$K$28</definedName>
    <definedName name="JA_C">'Baremos EEUU'!$K$6:$K$28</definedName>
    <definedName name="JJA_B">'Baremos Españoles'!$BR$7:$BR$16</definedName>
    <definedName name="JJA_C">'Baremos EEUU'!$BR$6:$BR$15</definedName>
    <definedName name="JJJA_B">'Baremos Españoles'!$AQ$6:$AQ$126</definedName>
    <definedName name="JJJA_c">'Baremos EEUU'!$AQ$6:$AQ$121</definedName>
    <definedName name="JJJJA_B">'Baremos Españoles'!$CQ$7:$CQ$16</definedName>
    <definedName name="JJJJA_C">'Baremos EEUU'!$CQ$6:$CQ$14</definedName>
    <definedName name="JJJJJA_B">'Baremos Españoles'!$DN$7:$DN$19</definedName>
    <definedName name="JJJJJA_C">'Baremos EEUU'!$DN$6:$DN$18</definedName>
    <definedName name="JJJJJJA_B">'Baremos Españoles'!$EJ$7:$EJ$15</definedName>
    <definedName name="JJJJJJA_c">'Baremos EEUU'!$EJ$6:$EJ$14</definedName>
    <definedName name="KA_B">'Baremos Españoles'!$L$6:$L$29</definedName>
    <definedName name="KA_C">'Baremos EEUU'!$L$6:$L$29</definedName>
    <definedName name="KKA_B">'Baremos Españoles'!$BS$7:$BS$16</definedName>
    <definedName name="KKA_c">'Baremos EEUU'!$BS$6:$BS$15</definedName>
    <definedName name="KKKA_B">'Baremos Españoles'!$AR$6:$AR$126</definedName>
    <definedName name="KKKA_c">'Baremos EEUU'!$AR$6:$AR$106</definedName>
    <definedName name="KKKKA_B">'Baremos Españoles'!$CR$7:$CR$15</definedName>
    <definedName name="KKKKA_c">'Baremos EEUU'!$CR$6:$CR$15</definedName>
    <definedName name="KKKKKA_B">'Baremos Españoles'!$DO$7:$DO$19</definedName>
    <definedName name="KKKKKA_c">'Baremos EEUU'!$DO$6:$DO$18</definedName>
    <definedName name="KKKKKKA_B">'Baremos Españoles'!$EK$7:$EK$15</definedName>
    <definedName name="KKKKKKA_C">'Baremos EEUU'!$EK$6:$EK$14</definedName>
    <definedName name="LA_B">'Baremos Españoles'!$M$6:$M$32</definedName>
    <definedName name="LA_C">'Baremos EEUU'!$M$6:$M$32</definedName>
    <definedName name="LLA_B">'Baremos Españoles'!$BT$7:$BT$16</definedName>
    <definedName name="LLA_C">'Baremos EEUU'!$BT$6:$BT$15</definedName>
    <definedName name="LLLA_B">'Baremos Españoles'!$BF$6:$BF$126</definedName>
    <definedName name="LLLA_C">'Baremos EEUU'!$BF$6:$BF$121</definedName>
    <definedName name="LLLLA_B">'Baremos Españoles'!$CS$7:$CS$15</definedName>
    <definedName name="LLLLA_c">'Baremos EEUU'!$CS$6:$CS$15</definedName>
    <definedName name="LLLLLA_B">'Baremos Españoles'!$DP$7:$DP$16</definedName>
    <definedName name="LLLLLA_C">'Baremos EEUU'!$DP$6:$DP$15</definedName>
    <definedName name="LLLLLLA_B">'Baremos Españoles'!$EL$7:$EL$18</definedName>
    <definedName name="LLLLLLA_C">'Baremos EEUU'!$EL$6:$EL$17</definedName>
    <definedName name="MA_B">'Baremos Españoles'!$N$6:$N$31</definedName>
    <definedName name="MA_C">'Baremos EEUU'!$N$6:$N$31</definedName>
    <definedName name="MMA_B">'Baremos Españoles'!$BU$7:$BU$16</definedName>
    <definedName name="MMA_c">'Baremos EEUU'!$BU$6:$BU$15</definedName>
    <definedName name="MMMA_B">'Baremos Españoles'!$AS$6:$AS$126</definedName>
    <definedName name="MMMA_C">'Baremos EEUU'!$AS$6:$AS$121</definedName>
    <definedName name="MMMMA_B">'Baremos Españoles'!$CT$7:$CT$16</definedName>
    <definedName name="MMMMA_C">'Baremos EEUU'!$CT$6:$CT$14</definedName>
    <definedName name="MMMMMMA_B">'Baremos Españoles'!$EM$7:$EM$18</definedName>
    <definedName name="MMMMMMA_c">'Baremos EEUU'!$EM$6:$EM$17</definedName>
    <definedName name="NA_B">'Baremos Españoles'!$O$6:$O$35</definedName>
    <definedName name="NA_C">'Baremos EEUU'!$O$6:$O$35</definedName>
    <definedName name="NNA_B">'Baremos Españoles'!$BV$7:$BV$16</definedName>
    <definedName name="NNA_C">'Baremos EEUU'!$BV$6:$BV$15</definedName>
    <definedName name="NNNA_B">'Baremos Españoles'!$AT$6:$AT$126</definedName>
    <definedName name="NNNA_C">'Baremos EEUU'!$AT$6:$AT$121</definedName>
    <definedName name="NNNNA_B">'Baremos Españoles'!$CU$7:$CU$16</definedName>
    <definedName name="NNNNA_C">'Baremos EEUU'!$CU$6:$CU$14</definedName>
    <definedName name="NNNNNNA_B">'Baremos Españoles'!$EN$7:$EN$17</definedName>
    <definedName name="NNNNNNA_c">'Baremos EEUU'!$EN$6:$EN$16</definedName>
    <definedName name="OOA_B">'Baremos Españoles'!$BW$7:$BW$16</definedName>
    <definedName name="OOA_C">'Baremos EEUU'!$BW$6:$BW$15</definedName>
    <definedName name="OOOA_B">'Baremos Españoles'!$AU$6:$AU$126</definedName>
    <definedName name="OOOA_C">'Baremos EEUU'!$AU$6:$AU$121</definedName>
    <definedName name="OOOOA_B">'Baremos Españoles'!$CV$7:$CV$17</definedName>
    <definedName name="OOOOA_C">'Baremos EEUU'!$CV$6:$CV$15</definedName>
    <definedName name="OOOOOA_B">'Baremos Españoles'!$DY$7:$DY$19</definedName>
    <definedName name="OOOOOA_C">'Baremos EEUU'!$DY$6:$DY$18</definedName>
    <definedName name="PA_B">'Baremos Españoles'!$P$6:$P$33</definedName>
    <definedName name="PA_C">'Baremos EEUU'!$P$6:$P$35</definedName>
    <definedName name="PPA_B">'Baremos Españoles'!$BX$7:$BX$16</definedName>
    <definedName name="PPA_C">'Baremos EEUU'!$BX$6:$BX$15</definedName>
    <definedName name="PPPA_B">'Baremos Españoles'!$AV$6:$AV$126</definedName>
    <definedName name="PPPA_C">'Baremos EEUU'!$AV$6:$AV$121</definedName>
    <definedName name="PPPPA_B">'Baremos Españoles'!$CW$7:$CW$17</definedName>
    <definedName name="PPPPA_c">'Baremos EEUU'!$CW$6:$CW$15</definedName>
    <definedName name="PPPPPA_B">'Baremos Españoles'!$DZ$7:$DZ$16</definedName>
    <definedName name="PPPPPA_c">'Baremos EEUU'!$DZ$6:$DZ$15</definedName>
    <definedName name="QA_B">'Baremos Españoles'!$Q$6:$Q$30</definedName>
    <definedName name="QA_C">'Baremos EEUU'!$Q$6:$Q$33</definedName>
    <definedName name="QQA_B">'Baremos Españoles'!$BY$7:$BY$16</definedName>
    <definedName name="QQA_c">'Baremos EEUU'!$BY$6:$BY$15</definedName>
    <definedName name="QQQA_B">'Baremos Españoles'!$AW$6:$AW$126</definedName>
    <definedName name="QQQA_C">'Baremos EEUU'!$AW$6:$AW$121</definedName>
    <definedName name="QQQQA_B">'Baremos Españoles'!$CX$7:$CX$15</definedName>
    <definedName name="QQQQA_c">'Baremos EEUU'!$CX$6:$CX$14</definedName>
    <definedName name="QQQQQA_B">'Baremos Españoles'!$DS$7:$DS$16</definedName>
    <definedName name="QQQQQA_c">'Baremos EEUU'!$DS$6:$DS$15</definedName>
    <definedName name="QQQQQQA_B">'Baremos Españoles'!$ES$7:$ES$14</definedName>
    <definedName name="QQQQQQA_C">'Baremos EEUU'!$ES$6:$ES$13</definedName>
    <definedName name="RA_B">'Baremos Españoles'!$R$6:$R$25</definedName>
    <definedName name="RA_C">'Baremos EEUU'!$R$6:$R$30</definedName>
    <definedName name="RRA_B">'Baremos Españoles'!$BZ$7:$BZ$16</definedName>
    <definedName name="RRA_c">'Baremos EEUU'!$BZ$6:$BZ$15</definedName>
    <definedName name="RRRA_B">'Baremos Españoles'!$AX$6:$AX$126</definedName>
    <definedName name="RRRA_C">'Baremos EEUU'!$AX$6:$AX$121</definedName>
    <definedName name="RRRRA_B">'Baremos Españoles'!$CY$7:$CY$15</definedName>
    <definedName name="RRRRA_c">'Baremos EEUU'!$CY$6:$CY$14</definedName>
    <definedName name="RRRRRA_B">'Baremos Españoles'!$DU$7:$DU$18</definedName>
    <definedName name="RRRRRA_c">'Baremos EEUU'!$DU$6:$DU$17</definedName>
    <definedName name="SA_B">'Baremos Españoles'!$S$6:$S$21</definedName>
    <definedName name="SA_C">'Baremos EEUU'!$S$6:$S$25</definedName>
    <definedName name="SSA_B">'Baremos Españoles'!$CA$7:$CA$16</definedName>
    <definedName name="SSA_C">'Baremos EEUU'!$CA$6:$CA$15</definedName>
    <definedName name="SSSA_B">'Baremos Españoles'!$AY$6:$AY$126</definedName>
    <definedName name="SSSA_C">'Baremos EEUU'!$AY$6:$AY$121</definedName>
    <definedName name="SSSSA_B">'Baremos Españoles'!$CZ$7:$CZ$15</definedName>
    <definedName name="SSSSA_c">'Baremos EEUU'!$CZ$6:$CZ$14</definedName>
    <definedName name="SSSSSSA_B">'Baremos Españoles'!$EQ$7:$EQ$16</definedName>
    <definedName name="SSSSSSA_c">'Baremos EEUU'!$EQ$6:$EQ$15</definedName>
    <definedName name="TA_B">'Baremos Españoles'!$T$6:$T$25</definedName>
    <definedName name="TA_C">'Baremos EEUU'!$T$6:$T$25</definedName>
    <definedName name="TTA_B">'Baremos Españoles'!$CB$7:$CB$16</definedName>
    <definedName name="TTA_C">'Baremos EEUU'!$CB$6:$CB$15</definedName>
    <definedName name="TTTA_B">'Baremos Españoles'!$AZ$6:$AZ$126</definedName>
    <definedName name="TTTA_C">'Baremos EEUU'!$AZ$6:$AZ$121</definedName>
    <definedName name="TTTTA_B">'Baremos Españoles'!$DA$7:$DA$15</definedName>
    <definedName name="TTTTA_c">'Baremos EEUU'!$DA$6:$DA$14</definedName>
    <definedName name="TTTTTA_B">'Baremos Españoles'!$DV$7:$DV$17</definedName>
    <definedName name="TTTTTA_c">'Baremos EEUU'!$DV$6:$DV$16</definedName>
    <definedName name="TTTTTTA_B">'Baremos Españoles'!$ET$7:$ET$17</definedName>
    <definedName name="TTTTTTA_C">'Baremos EEUU'!$ET$6:$ET$16</definedName>
    <definedName name="UA_B">'Baremos Españoles'!$U$6:$U$33</definedName>
    <definedName name="UA_C">'Baremos EEUU'!$U$6:$U$33</definedName>
    <definedName name="UUA_B">'Baremos Españoles'!$CC$7:$CC$16</definedName>
    <definedName name="UUA_c">'Baremos EEUU'!$CC$6:$CC$15</definedName>
    <definedName name="UUUUA_B">'Baremos Españoles'!$DB$7:$DB$17</definedName>
    <definedName name="UUUUA_c">'Baremos EEUU'!$DB$6:$DB$14</definedName>
    <definedName name="UUUUUA_B">'Baremos Españoles'!$DW$7:$DW$17</definedName>
    <definedName name="UUUUUA_c">'Baremos EEUU'!$DW$6:$DW$16</definedName>
    <definedName name="VA_B">'Baremos Españoles'!$V$6:$V$19</definedName>
    <definedName name="VA_C">'Baremos EEUU'!$V$6:$V$33</definedName>
    <definedName name="VVA_B">'Baremos Españoles'!$CD$7:$CD$14</definedName>
    <definedName name="VVA_c">'Baremos EEUU'!$CD$6:$CD$13</definedName>
    <definedName name="VVVA_B">'Baremos Españoles'!$BA$6:$BA$126</definedName>
    <definedName name="VVVA_c">'Baremos EEUU'!$BA$6:$BA$121</definedName>
    <definedName name="VVVVA_B">'Baremos Españoles'!$DC$7:$DC$17</definedName>
    <definedName name="VVVVA_C">'Baremos EEUU'!$DC$6:$DC$14</definedName>
    <definedName name="WA_B">'Baremos Españoles'!$W$6:$W$24</definedName>
    <definedName name="WA_C">'Baremos EEUU'!$W$6:$W$24</definedName>
    <definedName name="WWA_b">'Baremos Españoles'!$CE$7:$CE$14</definedName>
    <definedName name="WWA_c">'Baremos EEUU'!$CE$6:$CE$13</definedName>
    <definedName name="WWWA_B">'Baremos Españoles'!$BB$6:$BB$126</definedName>
    <definedName name="WWWA_C">'Baremos EEUU'!$BB$6:$BB$121</definedName>
    <definedName name="WWWWA_B">'Baremos Españoles'!$DD$7:$DD$17</definedName>
    <definedName name="WWWWA_C">'Baremos EEUU'!$DD$6:$DD$16</definedName>
    <definedName name="WWWWWA_b">'Baremos Españoles'!$DT$7:$DT$18</definedName>
    <definedName name="WWWWWA_c">'Baremos EEUU'!$DT$6:$DT$17</definedName>
    <definedName name="WWWWWWA_B">'Baremos Españoles'!$ER$7:$ER$14</definedName>
    <definedName name="WWWWWWA_c">'Baremos EEUU'!$ER$6:$ER$13</definedName>
    <definedName name="XA_b">'Baremos Españoles'!$X$6:$X$25</definedName>
    <definedName name="XA_C">'Baremos EEUU'!$X$6:$X$25</definedName>
    <definedName name="XXA_B">'Baremos Españoles'!$CF$7:$CF$16</definedName>
    <definedName name="XXA_c">'Baremos EEUU'!$CF$6:$CF$15</definedName>
    <definedName name="XXXA_B">'Baremos Españoles'!$BC$6:$BC$126</definedName>
    <definedName name="XXXA_C">'Baremos EEUU'!$BC$6:$BC$121</definedName>
    <definedName name="XXXXA_B">'Baremos Españoles'!$DE$7:$DE$17</definedName>
    <definedName name="XXXXA_c">'Baremos EEUU'!$DE$6:$DE$16</definedName>
    <definedName name="XXXXXA_B">'Baremos Españoles'!$DR$7:$DR$16</definedName>
    <definedName name="XXXXXA_c">'Baremos EEUU'!$DR$6:$DR$15</definedName>
    <definedName name="XXXXXXA_B">'Baremos Españoles'!$EO$7:$EO$17</definedName>
    <definedName name="XXXXXXA_c">'Baremos EEUU'!$EO$6:$EO$16</definedName>
    <definedName name="YA_B">'Baremos Españoles'!$Y$6:$Y$33</definedName>
    <definedName name="YA_C">'Baremos EEUU'!$Y$6:$Y$33</definedName>
    <definedName name="YYA_B">'Baremos Españoles'!$CG$7:$CG$16</definedName>
    <definedName name="YYA_c">'Baremos EEUU'!$CG$6:$CG$15</definedName>
    <definedName name="YYYA_B">'Baremos Españoles'!$BD$6:$BD$126</definedName>
    <definedName name="YYYA_c">'Baremos EEUU'!$BD$6:$BD$121</definedName>
    <definedName name="YYYYA_B">'Baremos Españoles'!$DF$7:$DF$18</definedName>
    <definedName name="YYYYA_C">'Baremos EEUU'!$DF$6:$DF$16</definedName>
    <definedName name="YYYYYYA_B">'Baremos Españoles'!$EU$7:$EU$17</definedName>
    <definedName name="YYYYYYA_C">'Baremos EEUU'!$EU$6:$EU$16</definedName>
    <definedName name="ZA_B">'Baremos Españoles'!$Z$6:$Z$30</definedName>
    <definedName name="ZA_C">'Baremos EEUU'!$Z$6:$Z$30</definedName>
    <definedName name="ZZA_B">'Baremos Españoles'!$CH$7:$CH$14</definedName>
    <definedName name="ZZA_c">'Baremos EEUU'!$CH$6:$CH$13</definedName>
    <definedName name="ZZZA_B">'Baremos Españoles'!$BE$6:$BE$126</definedName>
    <definedName name="ZZZA_C">'Baremos EEUU'!$BE$6:$BE$121</definedName>
    <definedName name="ZZZZA_B">'Baremos Españoles'!$DG$7:$DG$18</definedName>
    <definedName name="ZZZZA_C">'Baremos EEUU'!$DG$6:$DG$16</definedName>
    <definedName name="ZZZZZA_b">'Baremos Españoles'!$DQ$7:$DQ$16</definedName>
    <definedName name="ZZZZZA_c">'Baremos EEUU'!$DQ$6:$DQ$15</definedName>
    <definedName name="ZZZZZZA_B">'Baremos Españoles'!$EP$7:$EP$16</definedName>
    <definedName name="ZZZZZZA_C">'Baremos EEUU'!$EP$6:$EP$15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28" i="1" l="1"/>
  <c r="CB27" i="1"/>
  <c r="CB26" i="1"/>
  <c r="CB25" i="1"/>
  <c r="CB24" i="1"/>
  <c r="CB23" i="1"/>
  <c r="CB22" i="1"/>
  <c r="CB21" i="1"/>
  <c r="CB20" i="1"/>
  <c r="BX28" i="1"/>
  <c r="BX27" i="1"/>
  <c r="BX26" i="1"/>
  <c r="BX25" i="1"/>
  <c r="BX24" i="1"/>
  <c r="BX23" i="1"/>
  <c r="BX22" i="1"/>
  <c r="BX21" i="1"/>
  <c r="BX20" i="1"/>
  <c r="Y6" i="8"/>
  <c r="AR182" i="2"/>
  <c r="AR181" i="2"/>
  <c r="AR177" i="2"/>
  <c r="AR199" i="2"/>
  <c r="AR198" i="2"/>
  <c r="AR197" i="2"/>
  <c r="AR196" i="2"/>
  <c r="AR194" i="2"/>
  <c r="AR192" i="2"/>
  <c r="AR189" i="2"/>
  <c r="AR188" i="2"/>
  <c r="AR187" i="2"/>
  <c r="AR185" i="2"/>
  <c r="AR184" i="2"/>
  <c r="AR176" i="2"/>
  <c r="AR175" i="2"/>
  <c r="BU23" i="1" l="1"/>
  <c r="BU22" i="1"/>
  <c r="FV29" i="1"/>
  <c r="FV28" i="1"/>
  <c r="FV27" i="1"/>
  <c r="FV26" i="1"/>
  <c r="FV25" i="1"/>
  <c r="FV24" i="1"/>
  <c r="FV23" i="1"/>
  <c r="FV22" i="1"/>
  <c r="FV21" i="1"/>
  <c r="FV20" i="1"/>
  <c r="FT26" i="1"/>
  <c r="FT25" i="1"/>
  <c r="FT24" i="1"/>
  <c r="FT23" i="1"/>
  <c r="FT22" i="1"/>
  <c r="FT21" i="1"/>
  <c r="FT20" i="1"/>
  <c r="FR28" i="1"/>
  <c r="FR27" i="1"/>
  <c r="FR26" i="1"/>
  <c r="FR25" i="1"/>
  <c r="FR24" i="1"/>
  <c r="FR23" i="1"/>
  <c r="FR22" i="1"/>
  <c r="FR21" i="1"/>
  <c r="FR20" i="1"/>
  <c r="FO29" i="1"/>
  <c r="FO28" i="1"/>
  <c r="FO27" i="1"/>
  <c r="FO26" i="1"/>
  <c r="FO25" i="1"/>
  <c r="FO24" i="1"/>
  <c r="FO23" i="1"/>
  <c r="FO22" i="1"/>
  <c r="FO21" i="1"/>
  <c r="FO20" i="1"/>
  <c r="FM30" i="1"/>
  <c r="FM29" i="1"/>
  <c r="FM28" i="1"/>
  <c r="FM27" i="1"/>
  <c r="FM26" i="1"/>
  <c r="FM25" i="1"/>
  <c r="FM24" i="1"/>
  <c r="FM23" i="1"/>
  <c r="FM22" i="1"/>
  <c r="FM21" i="1"/>
  <c r="FM20" i="1"/>
  <c r="FK27" i="1"/>
  <c r="FK26" i="1"/>
  <c r="FK25" i="1"/>
  <c r="FK24" i="1"/>
  <c r="FK23" i="1"/>
  <c r="FK22" i="1"/>
  <c r="FK21" i="1"/>
  <c r="FK20" i="1"/>
  <c r="FH30" i="1"/>
  <c r="FH29" i="1"/>
  <c r="FH28" i="1"/>
  <c r="FH27" i="1"/>
  <c r="FH26" i="1"/>
  <c r="FH25" i="1"/>
  <c r="FH24" i="1"/>
  <c r="FH23" i="1"/>
  <c r="FH22" i="1"/>
  <c r="FH21" i="1"/>
  <c r="FH20" i="1"/>
  <c r="FF30" i="1"/>
  <c r="FF29" i="1"/>
  <c r="FF28" i="1"/>
  <c r="FF27" i="1"/>
  <c r="FF26" i="1"/>
  <c r="FF25" i="1"/>
  <c r="FF24" i="1"/>
  <c r="FF23" i="1"/>
  <c r="FF22" i="1"/>
  <c r="FF21" i="1"/>
  <c r="FF20" i="1"/>
  <c r="FD28" i="1"/>
  <c r="FD27" i="1"/>
  <c r="FD26" i="1"/>
  <c r="FD25" i="1"/>
  <c r="FD24" i="1"/>
  <c r="FD23" i="1"/>
  <c r="FD22" i="1"/>
  <c r="FD21" i="1"/>
  <c r="FD20" i="1"/>
  <c r="FA28" i="1"/>
  <c r="FA27" i="1"/>
  <c r="FA26" i="1"/>
  <c r="FA25" i="1"/>
  <c r="FA24" i="1"/>
  <c r="FA23" i="1"/>
  <c r="FA22" i="1"/>
  <c r="FA21" i="1"/>
  <c r="FA20" i="1"/>
  <c r="EY28" i="1"/>
  <c r="EY27" i="1"/>
  <c r="EY26" i="1"/>
  <c r="EY25" i="1"/>
  <c r="EY24" i="1"/>
  <c r="EY23" i="1"/>
  <c r="EY22" i="1"/>
  <c r="EY21" i="1"/>
  <c r="EY20" i="1"/>
  <c r="EW31" i="1"/>
  <c r="EW30" i="1"/>
  <c r="EW29" i="1"/>
  <c r="EW28" i="1"/>
  <c r="EW27" i="1"/>
  <c r="EW26" i="1"/>
  <c r="EW25" i="1"/>
  <c r="EW24" i="1"/>
  <c r="EW23" i="1"/>
  <c r="EW22" i="1"/>
  <c r="EW21" i="1"/>
  <c r="EW20" i="1"/>
  <c r="ET29" i="1"/>
  <c r="ET28" i="1"/>
  <c r="ET27" i="1"/>
  <c r="ET26" i="1"/>
  <c r="ET25" i="1"/>
  <c r="ET24" i="1"/>
  <c r="ET23" i="1"/>
  <c r="ET22" i="1"/>
  <c r="ET21" i="1"/>
  <c r="ET20" i="1"/>
  <c r="ER30" i="1"/>
  <c r="ER29" i="1"/>
  <c r="ER28" i="1"/>
  <c r="ER27" i="1"/>
  <c r="ER26" i="1"/>
  <c r="ER25" i="1"/>
  <c r="ER24" i="1"/>
  <c r="ER23" i="1"/>
  <c r="ER22" i="1"/>
  <c r="ER21" i="1"/>
  <c r="ER20" i="1"/>
  <c r="EP28" i="1"/>
  <c r="EP27" i="1"/>
  <c r="EP26" i="1"/>
  <c r="EP25" i="1"/>
  <c r="EP24" i="1"/>
  <c r="EP23" i="1"/>
  <c r="EP22" i="1"/>
  <c r="EP21" i="1"/>
  <c r="EP20" i="1"/>
  <c r="EM28" i="1"/>
  <c r="EM27" i="1"/>
  <c r="EM26" i="1"/>
  <c r="EM25" i="1"/>
  <c r="EM24" i="1"/>
  <c r="EM23" i="1"/>
  <c r="EM22" i="1"/>
  <c r="EM21" i="1"/>
  <c r="EM20" i="1"/>
  <c r="EK31" i="1"/>
  <c r="EK29" i="1"/>
  <c r="EK28" i="1"/>
  <c r="EK27" i="1"/>
  <c r="EK26" i="1"/>
  <c r="EK25" i="1"/>
  <c r="EK24" i="1"/>
  <c r="EK23" i="1"/>
  <c r="EK22" i="1"/>
  <c r="EK21" i="1"/>
  <c r="EK20" i="1"/>
  <c r="EI27" i="1"/>
  <c r="EI26" i="1"/>
  <c r="EI25" i="1"/>
  <c r="EI24" i="1"/>
  <c r="EI23" i="1"/>
  <c r="EI22" i="1"/>
  <c r="EI21" i="1"/>
  <c r="EI20" i="1"/>
  <c r="EF26" i="1"/>
  <c r="EF25" i="1"/>
  <c r="EF24" i="1"/>
  <c r="EF23" i="1"/>
  <c r="EF22" i="1"/>
  <c r="EF21" i="1"/>
  <c r="EF20" i="1"/>
  <c r="ED26" i="1"/>
  <c r="ED25" i="1"/>
  <c r="ED24" i="1"/>
  <c r="ED23" i="1"/>
  <c r="ED22" i="1"/>
  <c r="ED21" i="1"/>
  <c r="ED20" i="1"/>
  <c r="EB30" i="1"/>
  <c r="EB29" i="1"/>
  <c r="EB28" i="1"/>
  <c r="EB27" i="1"/>
  <c r="EB26" i="1"/>
  <c r="EB25" i="1"/>
  <c r="EB24" i="1"/>
  <c r="EB23" i="1"/>
  <c r="EB22" i="1"/>
  <c r="EB21" i="1"/>
  <c r="EB20" i="1"/>
  <c r="DY29" i="1"/>
  <c r="DY28" i="1"/>
  <c r="DY27" i="1"/>
  <c r="DY26" i="1"/>
  <c r="DY25" i="1"/>
  <c r="DY24" i="1"/>
  <c r="DY23" i="1"/>
  <c r="DY22" i="1"/>
  <c r="DY21" i="1"/>
  <c r="DY20" i="1"/>
  <c r="DW29" i="1"/>
  <c r="DW28" i="1"/>
  <c r="DW27" i="1"/>
  <c r="DW26" i="1"/>
  <c r="DW25" i="1"/>
  <c r="DW24" i="1"/>
  <c r="DW23" i="1"/>
  <c r="DW22" i="1"/>
  <c r="DW21" i="1"/>
  <c r="DW20" i="1"/>
  <c r="DU27" i="1"/>
  <c r="DU26" i="1"/>
  <c r="DU25" i="1"/>
  <c r="DU24" i="1"/>
  <c r="DU23" i="1"/>
  <c r="DU22" i="1"/>
  <c r="DU21" i="1"/>
  <c r="DU20" i="1"/>
  <c r="DR27" i="1"/>
  <c r="DR26" i="1"/>
  <c r="DR25" i="1"/>
  <c r="DR24" i="1"/>
  <c r="DR23" i="1"/>
  <c r="DR22" i="1"/>
  <c r="DR21" i="1"/>
  <c r="DR20" i="1"/>
  <c r="DP29" i="1"/>
  <c r="DP28" i="1"/>
  <c r="DP27" i="1"/>
  <c r="DP26" i="1"/>
  <c r="DP25" i="1"/>
  <c r="DP24" i="1"/>
  <c r="DP23" i="1"/>
  <c r="DP22" i="1"/>
  <c r="DP21" i="1"/>
  <c r="DP20" i="1"/>
  <c r="DN28" i="1"/>
  <c r="DN27" i="1"/>
  <c r="DN26" i="1"/>
  <c r="DN25" i="1"/>
  <c r="DN24" i="1"/>
  <c r="DN23" i="1"/>
  <c r="DN22" i="1"/>
  <c r="DN21" i="1"/>
  <c r="DN20" i="1"/>
  <c r="DK27" i="1"/>
  <c r="DK26" i="1"/>
  <c r="DK25" i="1"/>
  <c r="DK24" i="1"/>
  <c r="DK23" i="1"/>
  <c r="DK22" i="1"/>
  <c r="DK21" i="1"/>
  <c r="DK20" i="1"/>
  <c r="DI28" i="1"/>
  <c r="DI27" i="1"/>
  <c r="DI26" i="1"/>
  <c r="DI25" i="1"/>
  <c r="DI24" i="1"/>
  <c r="DI23" i="1"/>
  <c r="DI22" i="1"/>
  <c r="DI21" i="1"/>
  <c r="DI20" i="1"/>
  <c r="DG27" i="1"/>
  <c r="DG26" i="1"/>
  <c r="DG25" i="1"/>
  <c r="DG24" i="1"/>
  <c r="DG23" i="1"/>
  <c r="DG22" i="1"/>
  <c r="DG21" i="1"/>
  <c r="DG20" i="1"/>
  <c r="DD31" i="1"/>
  <c r="DD30" i="1"/>
  <c r="DD29" i="1"/>
  <c r="DD28" i="1"/>
  <c r="DD27" i="1"/>
  <c r="DD26" i="1"/>
  <c r="DD25" i="1"/>
  <c r="DD24" i="1"/>
  <c r="DD23" i="1"/>
  <c r="DD22" i="1"/>
  <c r="DD21" i="1"/>
  <c r="DD20" i="1"/>
  <c r="DB29" i="1"/>
  <c r="DB28" i="1"/>
  <c r="DB27" i="1"/>
  <c r="DB26" i="1"/>
  <c r="DB25" i="1"/>
  <c r="DB24" i="1"/>
  <c r="DB23" i="1"/>
  <c r="DB22" i="1"/>
  <c r="DB21" i="1"/>
  <c r="DB20" i="1"/>
  <c r="CZ26" i="1"/>
  <c r="CZ25" i="1"/>
  <c r="CZ24" i="1"/>
  <c r="CZ23" i="1"/>
  <c r="CZ22" i="1"/>
  <c r="CZ21" i="1"/>
  <c r="CZ20" i="1"/>
  <c r="CW28" i="1"/>
  <c r="CW27" i="1"/>
  <c r="CW26" i="1"/>
  <c r="CW25" i="1"/>
  <c r="CW24" i="1"/>
  <c r="CW23" i="1"/>
  <c r="CW22" i="1"/>
  <c r="CW21" i="1"/>
  <c r="CW20" i="1"/>
  <c r="CU26" i="1"/>
  <c r="CU25" i="1"/>
  <c r="CU24" i="1"/>
  <c r="CU23" i="1"/>
  <c r="CU22" i="1"/>
  <c r="CU21" i="1"/>
  <c r="CU20" i="1"/>
  <c r="CS28" i="1"/>
  <c r="CS27" i="1"/>
  <c r="CS26" i="1"/>
  <c r="CS25" i="1"/>
  <c r="CS24" i="1"/>
  <c r="CS23" i="1"/>
  <c r="CS22" i="1"/>
  <c r="CS21" i="1"/>
  <c r="CS20" i="1"/>
  <c r="CP28" i="1"/>
  <c r="CP27" i="1"/>
  <c r="CP26" i="1"/>
  <c r="CP25" i="1"/>
  <c r="CP24" i="1"/>
  <c r="CP23" i="1"/>
  <c r="CP22" i="1"/>
  <c r="CP21" i="1"/>
  <c r="CP20" i="1"/>
  <c r="CN28" i="1"/>
  <c r="CN27" i="1"/>
  <c r="CN26" i="1"/>
  <c r="CN25" i="1"/>
  <c r="CN24" i="1"/>
  <c r="CN23" i="1"/>
  <c r="CN22" i="1"/>
  <c r="CN21" i="1"/>
  <c r="CN20" i="1"/>
  <c r="CL28" i="1"/>
  <c r="CL27" i="1"/>
  <c r="CL26" i="1"/>
  <c r="CL25" i="1"/>
  <c r="CL24" i="1"/>
  <c r="CL23" i="1"/>
  <c r="CL22" i="1"/>
  <c r="CL21" i="1"/>
  <c r="CL20" i="1"/>
  <c r="CI28" i="1"/>
  <c r="CI27" i="1"/>
  <c r="CI26" i="1"/>
  <c r="CI25" i="1"/>
  <c r="CI24" i="1"/>
  <c r="CI23" i="1"/>
  <c r="CI22" i="1"/>
  <c r="CI21" i="1"/>
  <c r="CI20" i="1"/>
  <c r="CG28" i="1"/>
  <c r="CG27" i="1"/>
  <c r="CG26" i="1"/>
  <c r="CG25" i="1"/>
  <c r="CG24" i="1"/>
  <c r="CG23" i="1"/>
  <c r="CG22" i="1"/>
  <c r="CG21" i="1"/>
  <c r="CG20" i="1"/>
  <c r="CE27" i="1"/>
  <c r="CE26" i="1"/>
  <c r="CE25" i="1"/>
  <c r="CE24" i="1"/>
  <c r="CE23" i="1"/>
  <c r="CE22" i="1"/>
  <c r="CE21" i="1"/>
  <c r="CE20" i="1"/>
  <c r="BZ28" i="1"/>
  <c r="BZ27" i="1"/>
  <c r="BZ26" i="1"/>
  <c r="BZ25" i="1"/>
  <c r="BZ24" i="1"/>
  <c r="BZ23" i="1"/>
  <c r="BZ22" i="1"/>
  <c r="BZ21" i="1"/>
  <c r="BZ20" i="1"/>
  <c r="BU44" i="1"/>
  <c r="BU43" i="1"/>
  <c r="BU42" i="1"/>
  <c r="BU41" i="1"/>
  <c r="BU40" i="1"/>
  <c r="BU39" i="1"/>
  <c r="BU38" i="1"/>
  <c r="BU37" i="1"/>
  <c r="BU36" i="1"/>
  <c r="BU35" i="1"/>
  <c r="BU34" i="1"/>
  <c r="BU33" i="1"/>
  <c r="BU32" i="1"/>
  <c r="BU31" i="1"/>
  <c r="BU30" i="1"/>
  <c r="BU29" i="1"/>
  <c r="BU28" i="1"/>
  <c r="BU27" i="1"/>
  <c r="BU26" i="1"/>
  <c r="BU25" i="1"/>
  <c r="BU24" i="1"/>
  <c r="BU21" i="1"/>
  <c r="BU20" i="1"/>
  <c r="BS22" i="1"/>
  <c r="BS21" i="1"/>
  <c r="BS20" i="1"/>
  <c r="BP49" i="1"/>
  <c r="BP48" i="1"/>
  <c r="BP47" i="1"/>
  <c r="BP46" i="1"/>
  <c r="BP45" i="1"/>
  <c r="BP44" i="1"/>
  <c r="BP43" i="1"/>
  <c r="BP42" i="1"/>
  <c r="BP41" i="1"/>
  <c r="BP40" i="1"/>
  <c r="BP39" i="1"/>
  <c r="BP38" i="1"/>
  <c r="BP37" i="1"/>
  <c r="BP36" i="1"/>
  <c r="BP35" i="1"/>
  <c r="BP34" i="1"/>
  <c r="BP33" i="1"/>
  <c r="BP32" i="1"/>
  <c r="BP31" i="1"/>
  <c r="BP30" i="1"/>
  <c r="BP29" i="1"/>
  <c r="BP28" i="1"/>
  <c r="BP27" i="1"/>
  <c r="BP26" i="1"/>
  <c r="BP25" i="1"/>
  <c r="BP24" i="1"/>
  <c r="BP23" i="1"/>
  <c r="BP22" i="1"/>
  <c r="BP21" i="1"/>
  <c r="BP20" i="1"/>
  <c r="BN43" i="1"/>
  <c r="BN42" i="1"/>
  <c r="BN41" i="1"/>
  <c r="BN40" i="1"/>
  <c r="BN39" i="1"/>
  <c r="BN38" i="1"/>
  <c r="BN37" i="1"/>
  <c r="BN36" i="1"/>
  <c r="BN35" i="1"/>
  <c r="BN34" i="1"/>
  <c r="BN33" i="1"/>
  <c r="BN32" i="1"/>
  <c r="BN31" i="1"/>
  <c r="BN30" i="1"/>
  <c r="BN29" i="1"/>
  <c r="BN28" i="1"/>
  <c r="BN27" i="1"/>
  <c r="BN26" i="1"/>
  <c r="BN25" i="1"/>
  <c r="BN24" i="1"/>
  <c r="BN23" i="1"/>
  <c r="BN22" i="1"/>
  <c r="BN21" i="1"/>
  <c r="BN20" i="1"/>
  <c r="BL140" i="1"/>
  <c r="BL139" i="1"/>
  <c r="BL138" i="1"/>
  <c r="BL137" i="1"/>
  <c r="BL136" i="1"/>
  <c r="BL135" i="1"/>
  <c r="BL134" i="1"/>
  <c r="BL133" i="1"/>
  <c r="BL132" i="1"/>
  <c r="BL131" i="1"/>
  <c r="BL130" i="1"/>
  <c r="BL129" i="1"/>
  <c r="BL128" i="1"/>
  <c r="BL127" i="1"/>
  <c r="BL126" i="1"/>
  <c r="BL125" i="1"/>
  <c r="BL124" i="1"/>
  <c r="BL123" i="1"/>
  <c r="BL122" i="1"/>
  <c r="BL121" i="1"/>
  <c r="BL120" i="1"/>
  <c r="BL119" i="1"/>
  <c r="BL118" i="1"/>
  <c r="BL117" i="1"/>
  <c r="BL116" i="1"/>
  <c r="BL115" i="1"/>
  <c r="BL114" i="1"/>
  <c r="BL113" i="1"/>
  <c r="BL112" i="1"/>
  <c r="BL111" i="1"/>
  <c r="BL110" i="1"/>
  <c r="BL109" i="1"/>
  <c r="BL108" i="1"/>
  <c r="BL107" i="1"/>
  <c r="BL106" i="1"/>
  <c r="BL105" i="1"/>
  <c r="BL104" i="1"/>
  <c r="BL103" i="1"/>
  <c r="BL102" i="1"/>
  <c r="BL101" i="1"/>
  <c r="BL100" i="1"/>
  <c r="BL99" i="1"/>
  <c r="BL98" i="1"/>
  <c r="BL97" i="1"/>
  <c r="BL96" i="1"/>
  <c r="BL95" i="1"/>
  <c r="BL94" i="1"/>
  <c r="BL93" i="1"/>
  <c r="BL92" i="1"/>
  <c r="BL91" i="1"/>
  <c r="BL90" i="1"/>
  <c r="BL89" i="1"/>
  <c r="BL88" i="1"/>
  <c r="BL87" i="1"/>
  <c r="BL86" i="1"/>
  <c r="BL85" i="1"/>
  <c r="BL84" i="1"/>
  <c r="BL83" i="1"/>
  <c r="BL82" i="1"/>
  <c r="BL81" i="1"/>
  <c r="BL80" i="1"/>
  <c r="BL79" i="1"/>
  <c r="BL78" i="1"/>
  <c r="BL77" i="1"/>
  <c r="BL76" i="1"/>
  <c r="BL75" i="1"/>
  <c r="BL74" i="1"/>
  <c r="BL73" i="1"/>
  <c r="BL72" i="1"/>
  <c r="BL71" i="1"/>
  <c r="BL70" i="1"/>
  <c r="BL69" i="1"/>
  <c r="BL68" i="1"/>
  <c r="BL67" i="1"/>
  <c r="BL66" i="1"/>
  <c r="BL65" i="1"/>
  <c r="BL64" i="1"/>
  <c r="BL63" i="1"/>
  <c r="BL62" i="1"/>
  <c r="BL61" i="1"/>
  <c r="BL60" i="1"/>
  <c r="BL59" i="1"/>
  <c r="BL58" i="1"/>
  <c r="BL57" i="1"/>
  <c r="BL56" i="1"/>
  <c r="BL55" i="1"/>
  <c r="BL54" i="1"/>
  <c r="BL53" i="1"/>
  <c r="BL52" i="1"/>
  <c r="BL51" i="1"/>
  <c r="BL50" i="1"/>
  <c r="BL49" i="1"/>
  <c r="BL48" i="1"/>
  <c r="BL47" i="1"/>
  <c r="BL46" i="1"/>
  <c r="BL45" i="1"/>
  <c r="BL44" i="1"/>
  <c r="BL43" i="1"/>
  <c r="BL42" i="1"/>
  <c r="BL41" i="1"/>
  <c r="BL40" i="1"/>
  <c r="BL39" i="1"/>
  <c r="BL38" i="1"/>
  <c r="BL37" i="1"/>
  <c r="BL36" i="1"/>
  <c r="BL35" i="1"/>
  <c r="BL34" i="1"/>
  <c r="BL33" i="1"/>
  <c r="BL32" i="1"/>
  <c r="BL31" i="1"/>
  <c r="BL30" i="1"/>
  <c r="BL29" i="1"/>
  <c r="BL28" i="1"/>
  <c r="BL27" i="1"/>
  <c r="BL26" i="1"/>
  <c r="BL25" i="1"/>
  <c r="BL24" i="1"/>
  <c r="BL23" i="1"/>
  <c r="BL22" i="1"/>
  <c r="BL21" i="1"/>
  <c r="BL20" i="1"/>
  <c r="BH33" i="1"/>
  <c r="BH32" i="1"/>
  <c r="BH31" i="1"/>
  <c r="BH30" i="1"/>
  <c r="BH29" i="1"/>
  <c r="BH28" i="1"/>
  <c r="BH27" i="1"/>
  <c r="BH26" i="1"/>
  <c r="BH25" i="1"/>
  <c r="BH24" i="1"/>
  <c r="BH23" i="1"/>
  <c r="BH22" i="1"/>
  <c r="BH21" i="1"/>
  <c r="BH20" i="1"/>
  <c r="BF36" i="1"/>
  <c r="BF35" i="1"/>
  <c r="BF34" i="1"/>
  <c r="BF33" i="1"/>
  <c r="BF32" i="1"/>
  <c r="BF31" i="1"/>
  <c r="BF30" i="1"/>
  <c r="BF29" i="1"/>
  <c r="BF28" i="1"/>
  <c r="BF27" i="1"/>
  <c r="BF26" i="1"/>
  <c r="BF25" i="1"/>
  <c r="BF24" i="1"/>
  <c r="BF23" i="1"/>
  <c r="BF22" i="1"/>
  <c r="BF21" i="1"/>
  <c r="BF20" i="1"/>
  <c r="BD40" i="1"/>
  <c r="BD39" i="1"/>
  <c r="BD38" i="1"/>
  <c r="BD37" i="1"/>
  <c r="BD36" i="1"/>
  <c r="BD35" i="1"/>
  <c r="BD34" i="1"/>
  <c r="BD33" i="1"/>
  <c r="BD32" i="1"/>
  <c r="BD31" i="1"/>
  <c r="BD30" i="1"/>
  <c r="BD29" i="1"/>
  <c r="BD28" i="1"/>
  <c r="BD27" i="1"/>
  <c r="BD26" i="1"/>
  <c r="BD25" i="1"/>
  <c r="BD24" i="1"/>
  <c r="BD23" i="1"/>
  <c r="BD22" i="1"/>
  <c r="BD21" i="1"/>
  <c r="BD20" i="1"/>
  <c r="BA33" i="1"/>
  <c r="BA32" i="1"/>
  <c r="BA31" i="1"/>
  <c r="BA30" i="1"/>
  <c r="BA29" i="1"/>
  <c r="BA28" i="1"/>
  <c r="BA27" i="1"/>
  <c r="BA26" i="1"/>
  <c r="BA25" i="1"/>
  <c r="BA24" i="1"/>
  <c r="BA23" i="1"/>
  <c r="BA22" i="1"/>
  <c r="BA21" i="1"/>
  <c r="BA20" i="1"/>
  <c r="AY30" i="1"/>
  <c r="AY29" i="1"/>
  <c r="AY28" i="1"/>
  <c r="AY27" i="1"/>
  <c r="AY26" i="1"/>
  <c r="AY25" i="1"/>
  <c r="AY24" i="1"/>
  <c r="AY23" i="1"/>
  <c r="AY22" i="1"/>
  <c r="AY21" i="1"/>
  <c r="AY20" i="1"/>
  <c r="AW27" i="1"/>
  <c r="AW26" i="1"/>
  <c r="AW25" i="1"/>
  <c r="AW24" i="1"/>
  <c r="AW23" i="1"/>
  <c r="AW22" i="1"/>
  <c r="AW21" i="1"/>
  <c r="AW20" i="1"/>
  <c r="AU40" i="1"/>
  <c r="AU39" i="1"/>
  <c r="AU38" i="1"/>
  <c r="AU37" i="1"/>
  <c r="AU36" i="1"/>
  <c r="AU35" i="1"/>
  <c r="AU34" i="1"/>
  <c r="AU33" i="1"/>
  <c r="AU32" i="1"/>
  <c r="AU31" i="1"/>
  <c r="AU30" i="1"/>
  <c r="AU29" i="1"/>
  <c r="AU28" i="1"/>
  <c r="AU27" i="1"/>
  <c r="AU26" i="1"/>
  <c r="AU25" i="1"/>
  <c r="AU24" i="1"/>
  <c r="AU23" i="1"/>
  <c r="AU22" i="1"/>
  <c r="AU21" i="1"/>
  <c r="AU20" i="1"/>
  <c r="AS32" i="1"/>
  <c r="AS31" i="1"/>
  <c r="AS30" i="1"/>
  <c r="AS29" i="1"/>
  <c r="AS28" i="1"/>
  <c r="AS27" i="1"/>
  <c r="AS26" i="1"/>
  <c r="AS25" i="1"/>
  <c r="AS24" i="1"/>
  <c r="AS23" i="1"/>
  <c r="AS22" i="1"/>
  <c r="AS21" i="1"/>
  <c r="AS20" i="1"/>
  <c r="AQ29" i="1"/>
  <c r="AQ28" i="1"/>
  <c r="AQ27" i="1"/>
  <c r="AQ26" i="1"/>
  <c r="AQ25" i="1"/>
  <c r="AQ24" i="1"/>
  <c r="AQ23" i="1"/>
  <c r="AQ22" i="1"/>
  <c r="AQ21" i="1"/>
  <c r="AQ20" i="1"/>
  <c r="AO32" i="1"/>
  <c r="AO31" i="1"/>
  <c r="AO30" i="1"/>
  <c r="AO29" i="1"/>
  <c r="AO28" i="1"/>
  <c r="AO27" i="1"/>
  <c r="AO26" i="1"/>
  <c r="AO25" i="1"/>
  <c r="AO24" i="1"/>
  <c r="AO23" i="1"/>
  <c r="AO22" i="1"/>
  <c r="AO21" i="1"/>
  <c r="AO20" i="1"/>
  <c r="AL35" i="1"/>
  <c r="AL34" i="1"/>
  <c r="AL33" i="1"/>
  <c r="AL32" i="1"/>
  <c r="AL31" i="1"/>
  <c r="AL30" i="1"/>
  <c r="AL29" i="1"/>
  <c r="AL28" i="1"/>
  <c r="AL27" i="1"/>
  <c r="AL26" i="1"/>
  <c r="AL25" i="1"/>
  <c r="AL24" i="1"/>
  <c r="AL23" i="1"/>
  <c r="AL22" i="1"/>
  <c r="AL21" i="1"/>
  <c r="AL20" i="1"/>
  <c r="AJ39" i="1"/>
  <c r="AJ38" i="1"/>
  <c r="AJ37" i="1"/>
  <c r="AJ36" i="1"/>
  <c r="AJ35" i="1"/>
  <c r="AJ34" i="1"/>
  <c r="AJ33" i="1"/>
  <c r="AJ32" i="1"/>
  <c r="AJ31" i="1"/>
  <c r="AJ30" i="1"/>
  <c r="AJ29" i="1"/>
  <c r="AJ28" i="1"/>
  <c r="AJ27" i="1"/>
  <c r="AJ26" i="1"/>
  <c r="AJ25" i="1"/>
  <c r="AJ24" i="1"/>
  <c r="AJ23" i="1"/>
  <c r="AJ22" i="1"/>
  <c r="AJ21" i="1"/>
  <c r="AJ20" i="1"/>
  <c r="AH40" i="1"/>
  <c r="AH39" i="1"/>
  <c r="AH38" i="1"/>
  <c r="AH37" i="1"/>
  <c r="AH36" i="1"/>
  <c r="AH35" i="1"/>
  <c r="AH34" i="1"/>
  <c r="AH33" i="1"/>
  <c r="AH32" i="1"/>
  <c r="AH31" i="1"/>
  <c r="AH30" i="1"/>
  <c r="AH29" i="1"/>
  <c r="AH28" i="1"/>
  <c r="AH27" i="1"/>
  <c r="AH26" i="1"/>
  <c r="AH25" i="1"/>
  <c r="AH24" i="1"/>
  <c r="AH23" i="1"/>
  <c r="AH22" i="1"/>
  <c r="AH21" i="1"/>
  <c r="AH20" i="1"/>
  <c r="AE37" i="1"/>
  <c r="AE36" i="1"/>
  <c r="AE35" i="1"/>
  <c r="AE34" i="1"/>
  <c r="AE33" i="1"/>
  <c r="AE32" i="1"/>
  <c r="AE31" i="1"/>
  <c r="AE30" i="1"/>
  <c r="AE29" i="1"/>
  <c r="AE28" i="1"/>
  <c r="AE27" i="1"/>
  <c r="AE26" i="1"/>
  <c r="AE25" i="1"/>
  <c r="AE24" i="1"/>
  <c r="AE23" i="1"/>
  <c r="AE22" i="1"/>
  <c r="AE21" i="1"/>
  <c r="AE20" i="1"/>
  <c r="AC37" i="1"/>
  <c r="AC36" i="1"/>
  <c r="AC35" i="1"/>
  <c r="AC34" i="1"/>
  <c r="AC33" i="1"/>
  <c r="AC32" i="1"/>
  <c r="AC31" i="1"/>
  <c r="AC30" i="1"/>
  <c r="AC29" i="1"/>
  <c r="AC28" i="1"/>
  <c r="AC27" i="1"/>
  <c r="AC26" i="1"/>
  <c r="AC25" i="1"/>
  <c r="AC24" i="1"/>
  <c r="AC23" i="1"/>
  <c r="AC22" i="1"/>
  <c r="AC21" i="1"/>
  <c r="AC20" i="1"/>
  <c r="AA32" i="1"/>
  <c r="AA31" i="1"/>
  <c r="AA30" i="1"/>
  <c r="AA29" i="1"/>
  <c r="AA28" i="1"/>
  <c r="AA27" i="1"/>
  <c r="AA26" i="1"/>
  <c r="AA25" i="1"/>
  <c r="AA24" i="1"/>
  <c r="AA23" i="1"/>
  <c r="AA22" i="1"/>
  <c r="AA21" i="1"/>
  <c r="AA20" i="1"/>
  <c r="Y33" i="1"/>
  <c r="Y32" i="1"/>
  <c r="Y31" i="1"/>
  <c r="Y28" i="1"/>
  <c r="Y29" i="1"/>
  <c r="Y27" i="1"/>
  <c r="Y26" i="1"/>
  <c r="Y25" i="1"/>
  <c r="Y24" i="1"/>
  <c r="Y23" i="1"/>
  <c r="Y22" i="1"/>
  <c r="Y21" i="1"/>
  <c r="Y20" i="1"/>
  <c r="W33" i="1"/>
  <c r="W32" i="1"/>
  <c r="W31" i="1"/>
  <c r="W30" i="1"/>
  <c r="W29" i="1"/>
  <c r="W28" i="1"/>
  <c r="W27" i="1"/>
  <c r="W26" i="1"/>
  <c r="W25" i="1"/>
  <c r="W24" i="1"/>
  <c r="W23" i="1"/>
  <c r="W22" i="1"/>
  <c r="W21" i="1"/>
  <c r="W20" i="1"/>
  <c r="U35" i="1"/>
  <c r="U34" i="1"/>
  <c r="U33" i="1"/>
  <c r="U32" i="1"/>
  <c r="U31" i="1"/>
  <c r="U30" i="1"/>
  <c r="U29" i="1"/>
  <c r="U28" i="1"/>
  <c r="U27" i="1"/>
  <c r="U26" i="1"/>
  <c r="U25" i="1"/>
  <c r="U24" i="1"/>
  <c r="U23" i="1"/>
  <c r="U22" i="1"/>
  <c r="U21" i="1"/>
  <c r="U20" i="1"/>
  <c r="S36" i="1"/>
  <c r="S35" i="1"/>
  <c r="S34" i="1"/>
  <c r="S33" i="1"/>
  <c r="S32" i="1"/>
  <c r="S31" i="1"/>
  <c r="S30" i="1"/>
  <c r="S29" i="1"/>
  <c r="S28" i="1"/>
  <c r="S27" i="1"/>
  <c r="S26" i="1"/>
  <c r="S25" i="1"/>
  <c r="S24" i="1"/>
  <c r="S23" i="1"/>
  <c r="S22" i="1"/>
  <c r="S21" i="1"/>
  <c r="S20" i="1"/>
  <c r="Q36" i="1"/>
  <c r="Q35" i="1"/>
  <c r="Q34" i="1"/>
  <c r="Q33" i="1"/>
  <c r="Q32" i="1"/>
  <c r="Q31" i="1"/>
  <c r="Q30" i="1"/>
  <c r="Q29" i="1"/>
  <c r="Q28" i="1"/>
  <c r="Q27" i="1"/>
  <c r="Q26" i="1"/>
  <c r="Q25" i="1"/>
  <c r="Q24" i="1"/>
  <c r="Q23" i="1"/>
  <c r="Q22" i="1"/>
  <c r="Q21" i="1"/>
  <c r="Q20" i="1"/>
  <c r="O33" i="1"/>
  <c r="O32" i="1"/>
  <c r="O31" i="1"/>
  <c r="O30" i="1"/>
  <c r="O29" i="1"/>
  <c r="O28" i="1"/>
  <c r="O27" i="1"/>
  <c r="O26" i="1"/>
  <c r="O25" i="1"/>
  <c r="O24" i="1"/>
  <c r="O23" i="1"/>
  <c r="O22" i="1"/>
  <c r="O21" i="1"/>
  <c r="O20" i="1"/>
  <c r="M38" i="1"/>
  <c r="M37" i="1"/>
  <c r="M36" i="1"/>
  <c r="M35" i="1"/>
  <c r="M34" i="1"/>
  <c r="M33" i="1"/>
  <c r="M32" i="1"/>
  <c r="M31" i="1"/>
  <c r="M30" i="1"/>
  <c r="M29" i="1"/>
  <c r="M28" i="1"/>
  <c r="M27" i="1"/>
  <c r="M26" i="1"/>
  <c r="M25" i="1"/>
  <c r="M24" i="1"/>
  <c r="M23" i="1"/>
  <c r="M22" i="1"/>
  <c r="M21" i="1"/>
  <c r="M20" i="1"/>
  <c r="K37" i="1"/>
  <c r="K36" i="1"/>
  <c r="K35" i="1"/>
  <c r="K34" i="1"/>
  <c r="K33" i="1"/>
  <c r="K32" i="1"/>
  <c r="K31" i="1"/>
  <c r="K30" i="1"/>
  <c r="K29" i="1"/>
  <c r="K28" i="1"/>
  <c r="K27" i="1"/>
  <c r="K26" i="1"/>
  <c r="K25" i="1"/>
  <c r="K24" i="1"/>
  <c r="K23" i="1"/>
  <c r="K22" i="1"/>
  <c r="K21" i="1"/>
  <c r="K20" i="1"/>
  <c r="I34" i="1"/>
  <c r="I33" i="1"/>
  <c r="I32" i="1"/>
  <c r="I31" i="1"/>
  <c r="I30" i="1"/>
  <c r="I29" i="1"/>
  <c r="I28" i="1"/>
  <c r="I27" i="1"/>
  <c r="I26" i="1"/>
  <c r="I25" i="1"/>
  <c r="I24" i="1"/>
  <c r="I23" i="1"/>
  <c r="I22" i="1"/>
  <c r="I21" i="1"/>
  <c r="I20" i="1"/>
  <c r="Y46" i="1"/>
  <c r="B312" i="2" s="1"/>
  <c r="U104" i="2"/>
  <c r="C25" i="4" l="1"/>
  <c r="C21" i="4"/>
  <c r="C19" i="4"/>
  <c r="C20" i="4"/>
  <c r="Y49" i="1"/>
  <c r="B317" i="2" s="1"/>
  <c r="U45" i="1"/>
  <c r="B281" i="2" s="1"/>
  <c r="O46" i="1"/>
  <c r="B256" i="2" s="1"/>
  <c r="C28" i="4" a="1"/>
  <c r="BD41" i="1" l="1"/>
  <c r="BP50" i="1"/>
  <c r="AE45" i="1" l="1"/>
  <c r="B297" i="2" s="1"/>
  <c r="AE44" i="1"/>
  <c r="B296" i="2" s="1"/>
  <c r="AC45" i="1"/>
  <c r="B292" i="2" s="1"/>
  <c r="AC44" i="1"/>
  <c r="B291" i="2" s="1"/>
  <c r="I49" i="1"/>
  <c r="B233" i="2" s="1"/>
  <c r="Y30" i="1"/>
  <c r="U16" i="8"/>
  <c r="C27" i="4" s="1"/>
  <c r="U12" i="8"/>
  <c r="C22" i="4" s="1"/>
  <c r="L6" i="2"/>
  <c r="M61" i="2" s="1"/>
  <c r="L132" i="2" s="1"/>
  <c r="AC11" i="8"/>
  <c r="AA8" i="8"/>
  <c r="C23" i="4" s="1"/>
  <c r="AA7" i="8"/>
  <c r="Y11" i="8"/>
  <c r="X11" i="8"/>
  <c r="X10" i="8"/>
  <c r="X9" i="8"/>
  <c r="X8" i="8"/>
  <c r="X7" i="8"/>
  <c r="X6" i="8"/>
  <c r="X5" i="8"/>
  <c r="X4" i="8"/>
  <c r="X3" i="8"/>
  <c r="X2" i="8"/>
  <c r="X1" i="8"/>
  <c r="W8" i="8"/>
  <c r="W9" i="8" s="1"/>
  <c r="C26" i="4" s="1"/>
  <c r="U6" i="8"/>
  <c r="C24" i="4" s="1"/>
  <c r="Q45" i="1"/>
  <c r="B270" i="2" s="1"/>
  <c r="I48" i="1"/>
  <c r="B232" i="2" s="1"/>
  <c r="AA50" i="1"/>
  <c r="B327" i="2" s="1"/>
  <c r="AA49" i="1"/>
  <c r="B326" i="2" s="1"/>
  <c r="AA48" i="1"/>
  <c r="B325" i="2" s="1"/>
  <c r="AA47" i="1"/>
  <c r="B324" i="2" s="1"/>
  <c r="AA46" i="1"/>
  <c r="B323" i="2" s="1"/>
  <c r="AA45" i="1"/>
  <c r="B322" i="2" s="1"/>
  <c r="AA44" i="1"/>
  <c r="B320" i="2" s="1"/>
  <c r="Y48" i="1"/>
  <c r="B315" i="2" s="1"/>
  <c r="Y47" i="1"/>
  <c r="B313" i="2" s="1"/>
  <c r="Y45" i="1"/>
  <c r="B311" i="2" s="1"/>
  <c r="Y44" i="1"/>
  <c r="B310" i="2" s="1"/>
  <c r="W49" i="1"/>
  <c r="B307" i="2" s="1"/>
  <c r="W48" i="1"/>
  <c r="B306" i="2" s="1"/>
  <c r="W47" i="1"/>
  <c r="B304" i="2" s="1"/>
  <c r="W46" i="1"/>
  <c r="B303" i="2" s="1"/>
  <c r="W45" i="1"/>
  <c r="B302" i="2" s="1"/>
  <c r="W44" i="1"/>
  <c r="B300" i="2" s="1"/>
  <c r="U52" i="1"/>
  <c r="B288" i="2" s="1"/>
  <c r="U51" i="1"/>
  <c r="B287" i="2" s="1"/>
  <c r="U50" i="1"/>
  <c r="B286" i="2" s="1"/>
  <c r="U49" i="1"/>
  <c r="B285" i="2" s="1"/>
  <c r="U48" i="1"/>
  <c r="B284" i="2" s="1"/>
  <c r="U47" i="1"/>
  <c r="B283" i="2" s="1"/>
  <c r="U46" i="1"/>
  <c r="B282" i="2" s="1"/>
  <c r="U44" i="1"/>
  <c r="B280" i="2" s="1"/>
  <c r="S47" i="1"/>
  <c r="B277" i="2" s="1"/>
  <c r="S44" i="1"/>
  <c r="B273" i="2" s="1"/>
  <c r="S46" i="1"/>
  <c r="B275" i="2" s="1"/>
  <c r="S45" i="1"/>
  <c r="B274" i="2" s="1"/>
  <c r="Q44" i="1"/>
  <c r="B269" i="2" s="1"/>
  <c r="O55" i="1"/>
  <c r="B266" i="2" s="1"/>
  <c r="O54" i="1"/>
  <c r="B265" i="2" s="1"/>
  <c r="O53" i="1"/>
  <c r="B264" i="2" s="1"/>
  <c r="O52" i="1"/>
  <c r="B263" i="2" s="1"/>
  <c r="O51" i="1"/>
  <c r="B262" i="2" s="1"/>
  <c r="O50" i="1"/>
  <c r="B261" i="2" s="1"/>
  <c r="O49" i="1"/>
  <c r="B260" i="2" s="1"/>
  <c r="O48" i="1"/>
  <c r="B259" i="2" s="1"/>
  <c r="O47" i="1"/>
  <c r="B258" i="2" s="1"/>
  <c r="O45" i="1"/>
  <c r="B255" i="2" s="1"/>
  <c r="O44" i="1"/>
  <c r="B254" i="2" s="1"/>
  <c r="M51" i="1"/>
  <c r="B251" i="2" s="1"/>
  <c r="M50" i="1"/>
  <c r="B250" i="2" s="1"/>
  <c r="M49" i="1"/>
  <c r="B249" i="2" s="1"/>
  <c r="M48" i="1"/>
  <c r="B247" i="2" s="1"/>
  <c r="M47" i="1"/>
  <c r="B246" i="2" s="1"/>
  <c r="M46" i="1"/>
  <c r="B245" i="2" s="1"/>
  <c r="M45" i="1"/>
  <c r="B244" i="2" s="1"/>
  <c r="M44" i="1"/>
  <c r="B243" i="2" s="1"/>
  <c r="K47" i="1"/>
  <c r="B240" i="2" s="1"/>
  <c r="K46" i="1"/>
  <c r="B239" i="2" s="1"/>
  <c r="K45" i="1"/>
  <c r="B237" i="2" s="1"/>
  <c r="K44" i="1"/>
  <c r="B236" i="2" s="1"/>
  <c r="I47" i="1"/>
  <c r="B231" i="2" s="1"/>
  <c r="I46" i="1"/>
  <c r="B230" i="2" s="1"/>
  <c r="I45" i="1"/>
  <c r="B229" i="2" s="1"/>
  <c r="I44" i="1"/>
  <c r="B228" i="2" s="1"/>
  <c r="P61" i="2"/>
  <c r="P132" i="2" s="1"/>
  <c r="B61" i="2"/>
  <c r="B132" i="2" s="1"/>
  <c r="U98" i="2"/>
  <c r="U153" i="2"/>
  <c r="U154" i="2"/>
  <c r="U157" i="2"/>
  <c r="U158" i="2"/>
  <c r="U159" i="2"/>
  <c r="U128" i="2"/>
  <c r="U129" i="2"/>
  <c r="U132" i="2"/>
  <c r="U133" i="2"/>
  <c r="U134" i="2"/>
  <c r="U137" i="2"/>
  <c r="U138" i="2"/>
  <c r="U139" i="2"/>
  <c r="U142" i="2"/>
  <c r="U143" i="2"/>
  <c r="U144" i="2"/>
  <c r="U147" i="2"/>
  <c r="U148" i="2"/>
  <c r="U149" i="2"/>
  <c r="U152" i="2"/>
  <c r="U127" i="2"/>
  <c r="U89" i="2"/>
  <c r="U90" i="2"/>
  <c r="U93" i="2"/>
  <c r="U94" i="2"/>
  <c r="U95" i="2"/>
  <c r="U99" i="2"/>
  <c r="U100" i="2"/>
  <c r="U103" i="2"/>
  <c r="U105" i="2"/>
  <c r="U108" i="2"/>
  <c r="U109" i="2"/>
  <c r="U110" i="2"/>
  <c r="U113" i="2"/>
  <c r="U114" i="2"/>
  <c r="U115" i="2"/>
  <c r="U118" i="2"/>
  <c r="U119" i="2"/>
  <c r="U120" i="2"/>
  <c r="U123" i="2"/>
  <c r="U124" i="2"/>
  <c r="U125" i="2"/>
  <c r="U88" i="2"/>
  <c r="AE142" i="2" l="1"/>
  <c r="S142" i="2"/>
  <c r="Y13" i="8"/>
  <c r="Y12" i="8"/>
  <c r="B268" i="2" a="1"/>
  <c r="B290" i="2" a="1"/>
  <c r="B319" i="2" a="1"/>
  <c r="B235" i="2" a="1"/>
  <c r="B253" i="2" a="1"/>
  <c r="B309" i="2" a="1"/>
  <c r="B299" i="2" a="1"/>
  <c r="B272" i="2" a="1"/>
  <c r="B279" i="2" a="1"/>
  <c r="B295" i="2" a="1"/>
  <c r="B242" i="2" a="1"/>
  <c r="B227" i="2" a="1"/>
  <c r="BA34" i="1"/>
  <c r="CL29" i="1"/>
  <c r="EK30" i="1"/>
  <c r="AD74" i="6"/>
  <c r="AD76" i="6"/>
  <c r="AD77" i="6"/>
  <c r="AD78" i="6" s="1"/>
  <c r="AD80" i="6"/>
  <c r="AD81" i="6" s="1"/>
  <c r="AD83" i="6"/>
  <c r="AD84" i="6" s="1"/>
  <c r="AD86" i="6"/>
  <c r="AD87" i="6"/>
  <c r="AD89" i="6"/>
  <c r="AD90" i="6" s="1"/>
  <c r="AD92" i="6"/>
  <c r="AD94" i="6"/>
  <c r="AD96" i="6"/>
  <c r="AD98" i="6"/>
  <c r="AD100" i="6"/>
  <c r="AD101" i="6"/>
  <c r="AD103" i="6"/>
  <c r="AD105" i="6"/>
  <c r="AD107" i="6"/>
  <c r="AD109" i="6"/>
  <c r="AD110" i="6" s="1"/>
  <c r="AD111" i="6" s="1"/>
  <c r="AD112" i="6" s="1"/>
  <c r="AD113" i="6" s="1"/>
  <c r="AD114" i="6" s="1"/>
  <c r="AD115" i="6" s="1"/>
  <c r="AD116" i="6" s="1"/>
  <c r="AD117" i="6" s="1"/>
  <c r="AD118" i="6" s="1"/>
  <c r="AD119" i="6" s="1"/>
  <c r="AD120" i="6" s="1"/>
  <c r="AD121" i="6" s="1"/>
  <c r="B142" i="2" l="1"/>
  <c r="BX29" i="1"/>
  <c r="G88" i="2" s="1"/>
  <c r="DN29" i="1"/>
  <c r="G118" i="2" s="1"/>
  <c r="CW29" i="1"/>
  <c r="G105" i="2" s="1"/>
  <c r="CB29" i="1"/>
  <c r="G90" i="2" s="1"/>
  <c r="ED27" i="1"/>
  <c r="O89" i="2" s="1"/>
  <c r="EY29" i="1"/>
  <c r="O104" i="2" s="1"/>
  <c r="EM29" i="1"/>
  <c r="O95" i="2" s="1"/>
  <c r="CS29" i="1"/>
  <c r="G103" i="2" s="1"/>
  <c r="DW30" i="1"/>
  <c r="G124" i="2" s="1"/>
  <c r="DK28" i="1"/>
  <c r="G115" i="2" s="1"/>
  <c r="DP30" i="1"/>
  <c r="G119" i="2" s="1"/>
  <c r="CG29" i="1"/>
  <c r="G94" i="2" s="1"/>
  <c r="EB31" i="1"/>
  <c r="O88" i="2" s="1"/>
  <c r="DI29" i="1"/>
  <c r="G114" i="2" s="1"/>
  <c r="DB30" i="1"/>
  <c r="G109" i="2" s="1"/>
  <c r="ER31" i="1"/>
  <c r="O99" i="2" s="1"/>
  <c r="FF31" i="1"/>
  <c r="O109" i="2" s="1"/>
  <c r="FR29" i="1"/>
  <c r="O118" i="2" s="1"/>
  <c r="FV30" i="1"/>
  <c r="O120" i="2" s="1"/>
  <c r="DR28" i="1"/>
  <c r="G120" i="2" s="1"/>
  <c r="EK32" i="1"/>
  <c r="O94" i="2" s="1"/>
  <c r="FK28" i="1"/>
  <c r="O113" i="2" s="1"/>
  <c r="EF27" i="1"/>
  <c r="O90" i="2" s="1"/>
  <c r="FD29" i="1"/>
  <c r="O108" i="2" s="1"/>
  <c r="CN29" i="1"/>
  <c r="G99" i="2" s="1"/>
  <c r="G98" i="2"/>
  <c r="EW32" i="1"/>
  <c r="O103" i="2" s="1"/>
  <c r="FO30" i="1"/>
  <c r="O115" i="2" s="1"/>
  <c r="CI29" i="1"/>
  <c r="G95" i="2" s="1"/>
  <c r="CP29" i="1"/>
  <c r="G100" i="2" s="1"/>
  <c r="EP29" i="1"/>
  <c r="O98" i="2" s="1"/>
  <c r="FH31" i="1"/>
  <c r="O110" i="2" s="1"/>
  <c r="BZ29" i="1"/>
  <c r="G89" i="2" s="1"/>
  <c r="CU27" i="1"/>
  <c r="G104" i="2" s="1"/>
  <c r="CZ27" i="1"/>
  <c r="G108" i="2" s="1"/>
  <c r="FT27" i="1"/>
  <c r="O119" i="2" s="1"/>
  <c r="DD32" i="1"/>
  <c r="G110" i="2" s="1"/>
  <c r="DU28" i="1"/>
  <c r="G123" i="2" s="1"/>
  <c r="CE28" i="1"/>
  <c r="G93" i="2" s="1"/>
  <c r="FA29" i="1"/>
  <c r="O105" i="2" s="1"/>
  <c r="FM31" i="1"/>
  <c r="O114" i="2" s="1"/>
  <c r="DG28" i="1"/>
  <c r="G113" i="2" s="1"/>
  <c r="DY30" i="1"/>
  <c r="G125" i="2" s="1"/>
  <c r="ET30" i="1"/>
  <c r="O100" i="2" s="1"/>
  <c r="EI28" i="1"/>
  <c r="O93" i="2" s="1"/>
  <c r="AQ30" i="1" l="1"/>
  <c r="G48" i="2" s="1"/>
  <c r="D28" i="3" s="1"/>
  <c r="W88" i="2"/>
  <c r="W118" i="2"/>
  <c r="W90" i="2"/>
  <c r="W105" i="2"/>
  <c r="W143" i="2"/>
  <c r="W128" i="2"/>
  <c r="W127" i="2"/>
  <c r="W94" i="2"/>
  <c r="W119" i="2"/>
  <c r="W115" i="2"/>
  <c r="W124" i="2"/>
  <c r="W103" i="2"/>
  <c r="W134" i="2"/>
  <c r="W98" i="2"/>
  <c r="W95" i="2"/>
  <c r="W139" i="2"/>
  <c r="W154" i="2"/>
  <c r="W144" i="2"/>
  <c r="W147" i="2"/>
  <c r="W93" i="2"/>
  <c r="W123" i="2"/>
  <c r="W152" i="2"/>
  <c r="W110" i="2"/>
  <c r="W133" i="2"/>
  <c r="W129" i="2"/>
  <c r="W158" i="2"/>
  <c r="W120" i="2"/>
  <c r="W125" i="2"/>
  <c r="W108" i="2"/>
  <c r="W159" i="2"/>
  <c r="W99" i="2"/>
  <c r="W104" i="2"/>
  <c r="W157" i="2"/>
  <c r="W89" i="2"/>
  <c r="W148" i="2"/>
  <c r="W113" i="2"/>
  <c r="W149" i="2"/>
  <c r="W138" i="2"/>
  <c r="W137" i="2"/>
  <c r="W109" i="2"/>
  <c r="W142" i="2"/>
  <c r="W153" i="2"/>
  <c r="W100" i="2"/>
  <c r="W114" i="2"/>
  <c r="W132" i="2"/>
  <c r="G53" i="2"/>
  <c r="D33" i="3" s="1"/>
  <c r="BS23" i="1"/>
  <c r="P13" i="2" s="1"/>
  <c r="AY31" i="1"/>
  <c r="G52" i="2" s="1"/>
  <c r="D32" i="3" s="1"/>
  <c r="AW28" i="1"/>
  <c r="G51" i="2" s="1"/>
  <c r="D31" i="3" s="1"/>
  <c r="G55" i="2"/>
  <c r="D35" i="3" s="1"/>
  <c r="BH34" i="1"/>
  <c r="G57" i="2" s="1"/>
  <c r="D37" i="3" s="1"/>
  <c r="AU41" i="1"/>
  <c r="G50" i="2" s="1"/>
  <c r="D30" i="3" s="1"/>
  <c r="BN44" i="1"/>
  <c r="H21" i="2" s="1"/>
  <c r="AO33" i="1"/>
  <c r="G47" i="2" s="1"/>
  <c r="D27" i="3" s="1"/>
  <c r="AS33" i="1"/>
  <c r="G49" i="2" s="1"/>
  <c r="D29" i="3" s="1"/>
  <c r="BU45" i="1"/>
  <c r="P15" i="2" s="1"/>
  <c r="H22" i="2"/>
  <c r="BF37" i="1"/>
  <c r="G56" i="2" s="1"/>
  <c r="D36" i="3" s="1"/>
  <c r="BL141" i="1"/>
  <c r="H20" i="2" s="1"/>
  <c r="AL36" i="1"/>
  <c r="G42" i="2" s="1"/>
  <c r="D25" i="3" s="1"/>
  <c r="AH41" i="1"/>
  <c r="G40" i="2" s="1"/>
  <c r="D23" i="3" s="1"/>
  <c r="AJ40" i="1"/>
  <c r="G41" i="2" s="1"/>
  <c r="D24" i="3" s="1"/>
  <c r="V12" i="2" l="1"/>
  <c r="D3" i="3"/>
  <c r="F31" i="3" s="1"/>
  <c r="D5" i="3"/>
  <c r="E5" i="3" s="1"/>
  <c r="D4" i="3"/>
  <c r="E4" i="3" s="1"/>
  <c r="B7" i="2"/>
  <c r="B62" i="2" s="1"/>
  <c r="AR146" i="2" l="1"/>
  <c r="AR145" i="2"/>
  <c r="F28" i="3"/>
  <c r="F18" i="3"/>
  <c r="F17" i="3"/>
  <c r="F13" i="3"/>
  <c r="F23" i="3"/>
  <c r="F30" i="3"/>
  <c r="F35" i="3"/>
  <c r="F15" i="3"/>
  <c r="F12" i="3"/>
  <c r="F25" i="3"/>
  <c r="F27" i="3"/>
  <c r="F16" i="3"/>
  <c r="F14" i="3"/>
  <c r="E3" i="3"/>
  <c r="B133" i="2"/>
  <c r="F33" i="3"/>
  <c r="F32" i="3"/>
  <c r="F37" i="3"/>
  <c r="F11" i="3"/>
  <c r="F29" i="3"/>
  <c r="F21" i="3"/>
  <c r="F10" i="3"/>
  <c r="F36" i="3"/>
  <c r="F20" i="3"/>
  <c r="F19" i="3"/>
  <c r="F24" i="3"/>
  <c r="K38" i="1"/>
  <c r="G28" i="2" s="1"/>
  <c r="D11" i="3" s="1"/>
  <c r="AE38" i="1"/>
  <c r="G38" i="2" s="1"/>
  <c r="D21" i="3" s="1"/>
  <c r="AA33" i="1"/>
  <c r="G36" i="2" s="1"/>
  <c r="D19" i="3" s="1"/>
  <c r="M39" i="1"/>
  <c r="G29" i="2" s="1"/>
  <c r="D12" i="3" s="1"/>
  <c r="Y34" i="1"/>
  <c r="G35" i="2" s="1"/>
  <c r="D18" i="3" s="1"/>
  <c r="W34" i="1"/>
  <c r="G34" i="2" s="1"/>
  <c r="D17" i="3" s="1"/>
  <c r="S37" i="1"/>
  <c r="G32" i="2" s="1"/>
  <c r="D15" i="3" s="1"/>
  <c r="U36" i="1"/>
  <c r="G33" i="2" s="1"/>
  <c r="D16" i="3" s="1"/>
  <c r="I35" i="1"/>
  <c r="G27" i="2" s="1"/>
  <c r="D10" i="3" s="1"/>
  <c r="O34" i="1"/>
  <c r="G30" i="2" s="1"/>
  <c r="D13" i="3" s="1"/>
  <c r="Q37" i="1"/>
  <c r="G31" i="2" s="1"/>
  <c r="D14" i="3" s="1"/>
  <c r="AC38" i="1"/>
  <c r="G37" i="2" s="1"/>
  <c r="D20" i="3" s="1"/>
  <c r="AS194" i="2" l="1"/>
  <c r="AS199" i="2" l="1"/>
  <c r="AS197" i="2" l="1"/>
  <c r="AS198" i="2"/>
  <c r="AS196" i="2" l="1"/>
  <c r="I120" i="2"/>
  <c r="H93" i="2"/>
  <c r="E31" i="3"/>
  <c r="I99" i="2"/>
  <c r="P100" i="2"/>
  <c r="P105" i="2"/>
  <c r="Q105" i="2"/>
  <c r="Q118" i="2"/>
  <c r="I89" i="2"/>
  <c r="I21" i="2"/>
  <c r="E35" i="3"/>
  <c r="I104" i="2"/>
  <c r="E23" i="3"/>
  <c r="H114" i="2"/>
  <c r="I110" i="2"/>
  <c r="H119" i="2"/>
  <c r="I109" i="2"/>
  <c r="I100" i="2"/>
  <c r="H103" i="2"/>
  <c r="H120" i="2"/>
  <c r="E14" i="3"/>
  <c r="E21" i="3"/>
  <c r="P120" i="2"/>
  <c r="E18" i="3"/>
  <c r="Q119" i="2"/>
  <c r="P93" i="2"/>
  <c r="I125" i="2"/>
  <c r="Q120" i="2"/>
  <c r="P90" i="2"/>
  <c r="I108" i="2"/>
  <c r="I20" i="2"/>
  <c r="E13" i="3"/>
  <c r="E32" i="3"/>
  <c r="H90" i="2"/>
  <c r="Q90" i="2"/>
  <c r="I115" i="2"/>
  <c r="Q115" i="2"/>
  <c r="E15" i="3"/>
  <c r="H108" i="2"/>
  <c r="H118" i="2"/>
  <c r="E16" i="3"/>
  <c r="I124" i="2"/>
  <c r="P99" i="2"/>
  <c r="H98" i="2"/>
  <c r="E30" i="3"/>
  <c r="E12" i="3"/>
  <c r="H88" i="2"/>
  <c r="I103" i="2"/>
  <c r="I118" i="2"/>
  <c r="P119" i="2"/>
  <c r="P118" i="2"/>
  <c r="P115" i="2"/>
  <c r="I88" i="2"/>
  <c r="H125" i="2"/>
  <c r="P98" i="2"/>
  <c r="P94" i="2"/>
  <c r="P104" i="2"/>
  <c r="E11" i="3"/>
  <c r="H104" i="2"/>
  <c r="H113" i="2"/>
  <c r="E29" i="3"/>
  <c r="P88" i="2"/>
  <c r="E28" i="3"/>
  <c r="P89" i="2"/>
  <c r="E37" i="3"/>
  <c r="H109" i="2"/>
  <c r="P113" i="2"/>
  <c r="H99" i="2"/>
  <c r="Q110" i="2"/>
  <c r="I113" i="2"/>
  <c r="I93" i="2"/>
  <c r="E19" i="3"/>
  <c r="Q94" i="2"/>
  <c r="Q113" i="2"/>
  <c r="I119" i="2"/>
  <c r="H89" i="2"/>
  <c r="H105" i="2"/>
  <c r="Q99" i="2"/>
  <c r="P95" i="2"/>
  <c r="Q104" i="2"/>
  <c r="E20" i="3"/>
  <c r="E25" i="3"/>
  <c r="E36" i="3"/>
  <c r="Q114" i="2"/>
  <c r="H100" i="2"/>
  <c r="P103" i="2"/>
  <c r="P114" i="2"/>
  <c r="H110" i="2"/>
  <c r="E27" i="3"/>
  <c r="P108" i="2"/>
  <c r="Q88" i="2"/>
  <c r="H123" i="2"/>
  <c r="I22" i="2"/>
  <c r="E10" i="3"/>
  <c r="H95" i="2"/>
  <c r="I123" i="2"/>
  <c r="I98" i="2"/>
  <c r="P110" i="2"/>
  <c r="Q95" i="2"/>
  <c r="Q93" i="2"/>
  <c r="I95" i="2"/>
  <c r="Q108" i="2"/>
  <c r="I90" i="2"/>
  <c r="E17" i="3"/>
  <c r="Q100" i="2"/>
  <c r="I94" i="2"/>
  <c r="Q89" i="2"/>
  <c r="H115" i="2"/>
  <c r="I105" i="2"/>
  <c r="E33" i="3"/>
  <c r="H124" i="2"/>
  <c r="P109" i="2"/>
  <c r="Q103" i="2"/>
  <c r="Y153" i="2" l="1"/>
  <c r="AD153" i="2" s="1"/>
  <c r="X159" i="2"/>
  <c r="H16" i="3"/>
  <c r="I33" i="2" s="1"/>
  <c r="Y109" i="2"/>
  <c r="AD109" i="2" s="1"/>
  <c r="X128" i="2"/>
  <c r="X100" i="2"/>
  <c r="V4" i="3"/>
  <c r="W4" i="3" s="1"/>
  <c r="H36" i="3"/>
  <c r="I56" i="2" s="1"/>
  <c r="Y124" i="2"/>
  <c r="AD124" i="2" s="1"/>
  <c r="H14" i="3"/>
  <c r="I31" i="2" s="1"/>
  <c r="X119" i="2"/>
  <c r="X132" i="2"/>
  <c r="Y128" i="2"/>
  <c r="AD128" i="2" s="1"/>
  <c r="H25" i="3"/>
  <c r="I42" i="2" s="1"/>
  <c r="H29" i="3"/>
  <c r="I49" i="2" s="1"/>
  <c r="X118" i="2"/>
  <c r="Y110" i="2"/>
  <c r="AD110" i="2" s="1"/>
  <c r="H30" i="3"/>
  <c r="I50" i="2" s="1"/>
  <c r="Y94" i="2"/>
  <c r="AD94" i="2" s="1"/>
  <c r="H20" i="3"/>
  <c r="I37" i="2" s="1"/>
  <c r="X120" i="2"/>
  <c r="X114" i="2"/>
  <c r="H27" i="3"/>
  <c r="I47" i="2" s="1"/>
  <c r="V3" i="3"/>
  <c r="W3" i="3" s="1"/>
  <c r="Y139" i="2"/>
  <c r="AD139" i="2" s="1"/>
  <c r="Y143" i="2"/>
  <c r="AD143" i="2" s="1"/>
  <c r="X113" i="2"/>
  <c r="X103" i="2"/>
  <c r="X148" i="2"/>
  <c r="H17" i="3"/>
  <c r="I34" i="2" s="1"/>
  <c r="X134" i="2"/>
  <c r="X104" i="2"/>
  <c r="X108" i="2"/>
  <c r="Y104" i="2"/>
  <c r="AD104" i="2" s="1"/>
  <c r="Y158" i="2"/>
  <c r="AD158" i="2" s="1"/>
  <c r="Y90" i="2"/>
  <c r="AD90" i="2" s="1"/>
  <c r="Y138" i="2"/>
  <c r="AD138" i="2" s="1"/>
  <c r="H15" i="3"/>
  <c r="I32" i="2" s="1"/>
  <c r="H35" i="3"/>
  <c r="I55" i="2" s="1"/>
  <c r="H28" i="3"/>
  <c r="I48" i="2" s="1"/>
  <c r="Y147" i="2"/>
  <c r="AD147" i="2" s="1"/>
  <c r="X105" i="2"/>
  <c r="X143" i="2"/>
  <c r="Y100" i="2"/>
  <c r="AD100" i="2" s="1"/>
  <c r="W17" i="2"/>
  <c r="V21" i="2"/>
  <c r="X124" i="2"/>
  <c r="Y95" i="2"/>
  <c r="AD95" i="2" s="1"/>
  <c r="X89" i="2"/>
  <c r="X133" i="2"/>
  <c r="Y154" i="2"/>
  <c r="AD154" i="2" s="1"/>
  <c r="Y89" i="2"/>
  <c r="AD89" i="2" s="1"/>
  <c r="X98" i="2"/>
  <c r="Y132" i="2"/>
  <c r="AD132" i="2" s="1"/>
  <c r="Y119" i="2"/>
  <c r="AD119" i="2" s="1"/>
  <c r="X137" i="2"/>
  <c r="Y115" i="2"/>
  <c r="AD115" i="2" s="1"/>
  <c r="Y157" i="2"/>
  <c r="AD157" i="2" s="1"/>
  <c r="X110" i="2"/>
  <c r="Y134" i="2"/>
  <c r="AD134" i="2" s="1"/>
  <c r="Y152" i="2"/>
  <c r="AD152" i="2" s="1"/>
  <c r="X125" i="2"/>
  <c r="Y129" i="2"/>
  <c r="AD129" i="2" s="1"/>
  <c r="Y144" i="2"/>
  <c r="AD144" i="2" s="1"/>
  <c r="H18" i="3"/>
  <c r="I35" i="2" s="1"/>
  <c r="X149" i="2"/>
  <c r="Y133" i="2"/>
  <c r="AD133" i="2" s="1"/>
  <c r="Y88" i="2"/>
  <c r="AD88" i="2" s="1"/>
  <c r="X90" i="2"/>
  <c r="X144" i="2"/>
  <c r="X138" i="2"/>
  <c r="Y98" i="2"/>
  <c r="AD98" i="2" s="1"/>
  <c r="H19" i="3"/>
  <c r="I36" i="2" s="1"/>
  <c r="X154" i="2"/>
  <c r="H32" i="3"/>
  <c r="I52" i="2" s="1"/>
  <c r="X139" i="2"/>
  <c r="X127" i="2"/>
  <c r="Y123" i="2"/>
  <c r="AD123" i="2" s="1"/>
  <c r="Y93" i="2"/>
  <c r="AD93" i="2" s="1"/>
  <c r="X157" i="2"/>
  <c r="H13" i="3"/>
  <c r="I30" i="2" s="1"/>
  <c r="Y99" i="2"/>
  <c r="AD99" i="2" s="1"/>
  <c r="X153" i="2"/>
  <c r="X95" i="2"/>
  <c r="Y113" i="2"/>
  <c r="AD113" i="2" s="1"/>
  <c r="X158" i="2"/>
  <c r="V20" i="2"/>
  <c r="H31" i="3"/>
  <c r="I51" i="2" s="1"/>
  <c r="H33" i="3"/>
  <c r="I53" i="2" s="1"/>
  <c r="H10" i="3"/>
  <c r="I27" i="2" s="1"/>
  <c r="Y149" i="2"/>
  <c r="AD149" i="2" s="1"/>
  <c r="Y118" i="2"/>
  <c r="AD118" i="2" s="1"/>
  <c r="Y108" i="2"/>
  <c r="AD108" i="2" s="1"/>
  <c r="X93" i="2"/>
  <c r="Y105" i="2"/>
  <c r="AD105" i="2" s="1"/>
  <c r="W18" i="2"/>
  <c r="V22" i="2"/>
  <c r="X99" i="2"/>
  <c r="Y103" i="2"/>
  <c r="AD103" i="2" s="1"/>
  <c r="X129" i="2"/>
  <c r="X142" i="2"/>
  <c r="X123" i="2"/>
  <c r="X152" i="2"/>
  <c r="X88" i="2"/>
  <c r="Y159" i="2"/>
  <c r="AD159" i="2" s="1"/>
  <c r="X115" i="2"/>
  <c r="Y127" i="2"/>
  <c r="AD127" i="2" s="1"/>
  <c r="X109" i="2"/>
  <c r="Y125" i="2"/>
  <c r="AD125" i="2" s="1"/>
  <c r="Y120" i="2"/>
  <c r="AD120" i="2" s="1"/>
  <c r="Y142" i="2"/>
  <c r="AD142" i="2" s="1"/>
  <c r="X147" i="2"/>
  <c r="H37" i="3"/>
  <c r="I57" i="2" s="1"/>
  <c r="Q109" i="2"/>
  <c r="I114" i="2"/>
  <c r="E24" i="3"/>
  <c r="Q98" i="2"/>
  <c r="H94" i="2"/>
  <c r="X94" i="2" l="1"/>
  <c r="Y137" i="2"/>
  <c r="AD137" i="2" s="1"/>
  <c r="Y114" i="2"/>
  <c r="AD114" i="2" s="1"/>
  <c r="Y148" i="2"/>
  <c r="AD148" i="2" s="1"/>
  <c r="W19" i="2"/>
  <c r="AR147" i="2" s="1"/>
  <c r="C19" i="9"/>
  <c r="W5" i="3"/>
  <c r="AR224" i="2"/>
  <c r="AR235" i="2" s="1"/>
  <c r="AR223" i="2"/>
  <c r="AR236" i="2" s="1"/>
  <c r="H32" i="2"/>
  <c r="H33" i="2"/>
  <c r="H47" i="2"/>
  <c r="H30" i="2"/>
  <c r="H57" i="2"/>
  <c r="H56" i="2"/>
  <c r="H53" i="2"/>
  <c r="H50" i="2"/>
  <c r="H48" i="2"/>
  <c r="H42" i="2"/>
  <c r="H52" i="2"/>
  <c r="H49" i="2"/>
  <c r="H36" i="2"/>
  <c r="H27" i="2"/>
  <c r="H37" i="2"/>
  <c r="H34" i="2"/>
  <c r="H31" i="2"/>
  <c r="H35" i="2"/>
  <c r="H51" i="2"/>
  <c r="H55" i="2"/>
  <c r="S48" i="2" l="1"/>
  <c r="S55" i="2"/>
  <c r="S53" i="2"/>
  <c r="S57" i="2"/>
  <c r="S47" i="2"/>
  <c r="S34" i="2"/>
  <c r="S27" i="2"/>
  <c r="S51" i="2"/>
  <c r="S56" i="2"/>
  <c r="S30" i="2"/>
  <c r="S33" i="2"/>
  <c r="S42" i="2"/>
  <c r="S50" i="2"/>
  <c r="S35" i="2"/>
  <c r="S49" i="2"/>
  <c r="S52" i="2"/>
  <c r="S32" i="2"/>
  <c r="S37" i="2"/>
  <c r="S36" i="2"/>
  <c r="S31" i="2"/>
  <c r="G24" i="3"/>
  <c r="H24" i="3" s="1"/>
  <c r="I41" i="2" s="1"/>
  <c r="G12" i="3"/>
  <c r="H12" i="3" s="1"/>
  <c r="I29" i="2" s="1"/>
  <c r="G21" i="3"/>
  <c r="H21" i="3" s="1"/>
  <c r="I38" i="2" s="1"/>
  <c r="G11" i="3"/>
  <c r="G23" i="3"/>
  <c r="H23" i="3" s="1"/>
  <c r="I40" i="2" s="1"/>
  <c r="AR216" i="2" l="1"/>
  <c r="AQ346" i="2" a="1"/>
  <c r="AQ344" i="2" a="1"/>
  <c r="AR219" i="2"/>
  <c r="AR217" i="2"/>
  <c r="AQ345" i="2" a="1"/>
  <c r="AR218" i="2"/>
  <c r="AR215" i="2"/>
  <c r="AR220" i="2"/>
  <c r="C18" i="9"/>
  <c r="AR222" i="2"/>
  <c r="AR221" i="2"/>
  <c r="C17" i="9"/>
  <c r="AQ211" i="2"/>
  <c r="AQ212" i="2"/>
  <c r="AQ184" i="2"/>
  <c r="AQ185" i="2"/>
  <c r="AQ193" i="2"/>
  <c r="AR148" i="2"/>
  <c r="H3" i="3"/>
  <c r="G15" i="2" s="1"/>
  <c r="H11" i="3"/>
  <c r="I28" i="2" s="1"/>
  <c r="H29" i="2"/>
  <c r="H38" i="2"/>
  <c r="H40" i="2"/>
  <c r="H41" i="2"/>
  <c r="S41" i="2" l="1"/>
  <c r="S40" i="2"/>
  <c r="AR346" i="2" s="1"/>
  <c r="E348" i="2" s="1"/>
  <c r="S38" i="2"/>
  <c r="S29" i="2"/>
  <c r="AR344" i="2"/>
  <c r="E346" i="2" s="1"/>
  <c r="AR225" i="2"/>
  <c r="AR227" i="2" s="1"/>
  <c r="AR230" i="2" s="1"/>
  <c r="AR226" i="2"/>
  <c r="AR186" i="2"/>
  <c r="AQ204" i="2"/>
  <c r="AQ203" i="2"/>
  <c r="AQ175" i="2"/>
  <c r="AQ176" i="2"/>
  <c r="V16" i="2"/>
  <c r="AR150" i="2" s="1"/>
  <c r="B146" i="2" s="1"/>
  <c r="H28" i="2"/>
  <c r="AR228" i="2" l="1"/>
  <c r="AR233" i="2" s="1"/>
  <c r="AR229" i="2"/>
  <c r="AR234" i="2" s="1"/>
  <c r="S28" i="2"/>
  <c r="AR345" i="2"/>
  <c r="E347" i="2" s="1"/>
  <c r="AR232" i="2"/>
  <c r="AR231" i="2"/>
  <c r="B196" i="2" l="1"/>
  <c r="B343" i="2"/>
  <c r="AQ356" i="2" a="1"/>
  <c r="B79" i="2"/>
  <c r="AQ195" i="2"/>
  <c r="AQ191" i="2"/>
  <c r="AQ192" i="2"/>
  <c r="AQ189" i="2"/>
  <c r="AQ188" i="2"/>
  <c r="AQ353" i="2" a="1"/>
  <c r="B75" i="2"/>
  <c r="AQ197" i="2"/>
  <c r="AQ198" i="2"/>
  <c r="AQ352" i="2" a="1"/>
  <c r="G13" i="2"/>
  <c r="AQ187" i="2"/>
  <c r="AQ196" i="2"/>
  <c r="F75" i="2"/>
  <c r="AQ201" i="2"/>
  <c r="B71" i="2"/>
  <c r="F79" i="2"/>
  <c r="AQ355" i="2" a="1"/>
  <c r="AQ190" i="2"/>
  <c r="AQ354" i="2" a="1"/>
  <c r="AR354" i="2" s="1"/>
  <c r="E358" i="2" s="1"/>
  <c r="AQ194" i="2"/>
  <c r="F71" i="2"/>
  <c r="AQ200" i="2"/>
  <c r="AQ202" i="2"/>
  <c r="AQ199" i="2"/>
  <c r="AA143" i="2" l="1"/>
  <c r="AA120" i="2"/>
  <c r="AA127" i="2"/>
  <c r="AA107" i="2"/>
  <c r="AA152" i="2"/>
  <c r="AA112" i="2"/>
  <c r="AA148" i="2"/>
  <c r="AA111" i="2"/>
  <c r="AA138" i="2"/>
  <c r="AA117" i="2"/>
  <c r="AA129" i="2"/>
  <c r="AA109" i="2"/>
  <c r="AA113" i="2"/>
  <c r="AA139" i="2"/>
  <c r="AA88" i="2"/>
  <c r="AA154" i="2"/>
  <c r="AA90" i="2"/>
  <c r="AA159" i="2"/>
  <c r="AA158" i="2"/>
  <c r="AA121" i="2"/>
  <c r="AA98" i="2"/>
  <c r="AA124" i="2"/>
  <c r="AA104" i="2"/>
  <c r="AA114" i="2"/>
  <c r="AA130" i="2"/>
  <c r="AA140" i="2"/>
  <c r="AA97" i="2"/>
  <c r="AA128" i="2"/>
  <c r="AA133" i="2"/>
  <c r="AA115" i="2"/>
  <c r="AA134" i="2"/>
  <c r="AA116" i="2"/>
  <c r="AA103" i="2"/>
  <c r="AA149" i="2"/>
  <c r="AA122" i="2"/>
  <c r="AA142" i="2"/>
  <c r="AA92" i="2"/>
  <c r="AA123" i="2"/>
  <c r="AA132" i="2"/>
  <c r="AA137" i="2"/>
  <c r="AA101" i="2"/>
  <c r="AA157" i="2"/>
  <c r="AA110" i="2"/>
  <c r="AA99" i="2"/>
  <c r="AA119" i="2"/>
  <c r="AA93" i="2"/>
  <c r="AA147" i="2"/>
  <c r="AA94" i="2"/>
  <c r="AA89" i="2"/>
  <c r="AR355" i="2" s="1"/>
  <c r="E359" i="2" s="1"/>
  <c r="AA125" i="2"/>
  <c r="AA153" i="2"/>
  <c r="AA91" i="2"/>
  <c r="AA108" i="2"/>
  <c r="AA118" i="2"/>
  <c r="AA141" i="2"/>
  <c r="AA126" i="2"/>
  <c r="AA100" i="2"/>
  <c r="AA105" i="2"/>
  <c r="AA95" i="2"/>
  <c r="AA144" i="2"/>
  <c r="AA96" i="2"/>
  <c r="AA102" i="2"/>
  <c r="AA131" i="2"/>
  <c r="AA106" i="2"/>
  <c r="AQ177" i="2"/>
  <c r="AQ179" i="2" s="1"/>
  <c r="AQ182" i="2" s="1"/>
  <c r="AQ206" i="2"/>
  <c r="AQ205" i="2"/>
  <c r="AQ208" i="2" s="1"/>
  <c r="AQ178" i="2"/>
  <c r="AB112" i="2"/>
  <c r="AB95" i="2"/>
  <c r="AB117" i="2"/>
  <c r="AB90" i="2"/>
  <c r="AB105" i="2"/>
  <c r="AB110" i="2"/>
  <c r="AB139" i="2"/>
  <c r="AB157" i="2"/>
  <c r="AB153" i="2"/>
  <c r="AB132" i="2"/>
  <c r="AB113" i="2"/>
  <c r="AB131" i="2"/>
  <c r="AB115" i="2"/>
  <c r="AB93" i="2"/>
  <c r="AB118" i="2"/>
  <c r="AB120" i="2"/>
  <c r="AB149" i="2"/>
  <c r="AB109" i="2"/>
  <c r="AB89" i="2"/>
  <c r="AB133" i="2"/>
  <c r="AB121" i="2"/>
  <c r="AB100" i="2"/>
  <c r="AB99" i="2"/>
  <c r="AB147" i="2"/>
  <c r="AB138" i="2"/>
  <c r="AR356" i="2" s="1"/>
  <c r="E360" i="2" s="1"/>
  <c r="AB96" i="2"/>
  <c r="AB134" i="2"/>
  <c r="AB104" i="2"/>
  <c r="AB126" i="2"/>
  <c r="AB116" i="2"/>
  <c r="AB152" i="2"/>
  <c r="AB92" i="2"/>
  <c r="AB114" i="2"/>
  <c r="AB91" i="2"/>
  <c r="AB137" i="2"/>
  <c r="AB106" i="2"/>
  <c r="AB103" i="2"/>
  <c r="AB143" i="2"/>
  <c r="AB111" i="2"/>
  <c r="AB129" i="2"/>
  <c r="AB140" i="2"/>
  <c r="AB119" i="2"/>
  <c r="AB128" i="2"/>
  <c r="AB142" i="2"/>
  <c r="AB107" i="2"/>
  <c r="AB141" i="2"/>
  <c r="AB88" i="2"/>
  <c r="AB123" i="2"/>
  <c r="AB94" i="2"/>
  <c r="AB154" i="2"/>
  <c r="AB125" i="2"/>
  <c r="AB98" i="2"/>
  <c r="AB148" i="2"/>
  <c r="AB102" i="2"/>
  <c r="AB158" i="2"/>
  <c r="AB127" i="2"/>
  <c r="AB130" i="2"/>
  <c r="AB124" i="2"/>
  <c r="AB97" i="2"/>
  <c r="AB144" i="2"/>
  <c r="AB101" i="2"/>
  <c r="AB159" i="2"/>
  <c r="AB122" i="2"/>
  <c r="AB108" i="2"/>
  <c r="Z152" i="2"/>
  <c r="Z115" i="2"/>
  <c r="Z122" i="2"/>
  <c r="Z158" i="2"/>
  <c r="Z100" i="2"/>
  <c r="Z127" i="2"/>
  <c r="Z153" i="2"/>
  <c r="Z140" i="2"/>
  <c r="Z129" i="2"/>
  <c r="Z90" i="2"/>
  <c r="Z119" i="2"/>
  <c r="AR353" i="2" s="1"/>
  <c r="E357" i="2" s="1"/>
  <c r="AR352" i="2" s="1"/>
  <c r="E356" i="2" s="1"/>
  <c r="Z117" i="2"/>
  <c r="Z108" i="2"/>
  <c r="Z157" i="2"/>
  <c r="Z120" i="2"/>
  <c r="Z97" i="2"/>
  <c r="Z104" i="2"/>
  <c r="Z137" i="2"/>
  <c r="Z154" i="2"/>
  <c r="Z139" i="2"/>
  <c r="Z98" i="2"/>
  <c r="Z96" i="2"/>
  <c r="Z126" i="2"/>
  <c r="Z111" i="2"/>
  <c r="Z134" i="2"/>
  <c r="Z125" i="2"/>
  <c r="Z118" i="2"/>
  <c r="Z130" i="2"/>
  <c r="Z91" i="2"/>
  <c r="Z142" i="2"/>
  <c r="Z93" i="2"/>
  <c r="Z103" i="2"/>
  <c r="Z95" i="2"/>
  <c r="Z143" i="2"/>
  <c r="Z114" i="2"/>
  <c r="Z92" i="2"/>
  <c r="Z121" i="2"/>
  <c r="Z116" i="2"/>
  <c r="Z89" i="2"/>
  <c r="Z112" i="2"/>
  <c r="Z113" i="2"/>
  <c r="Z88" i="2"/>
  <c r="Z133" i="2"/>
  <c r="Z141" i="2"/>
  <c r="Z101" i="2"/>
  <c r="Z109" i="2"/>
  <c r="Z131" i="2"/>
  <c r="Z107" i="2"/>
  <c r="Z105" i="2"/>
  <c r="Z159" i="2"/>
  <c r="Z106" i="2"/>
  <c r="Z102" i="2"/>
  <c r="Z144" i="2"/>
  <c r="Z124" i="2"/>
  <c r="Z94" i="2"/>
  <c r="Z148" i="2"/>
  <c r="Z138" i="2"/>
  <c r="Z147" i="2"/>
  <c r="Z128" i="2"/>
  <c r="Z110" i="2"/>
  <c r="Z149" i="2"/>
  <c r="Z132" i="2"/>
  <c r="Z123" i="2"/>
  <c r="Z99" i="2"/>
  <c r="AQ183" i="2" l="1"/>
  <c r="H82" i="2" a="1"/>
  <c r="G81" i="2" a="1"/>
  <c r="I81" i="2" a="1"/>
  <c r="B81" i="2" a="1"/>
  <c r="I82" i="2" a="1"/>
  <c r="G82" i="2" a="1"/>
  <c r="H80" i="2" a="1"/>
  <c r="I80" i="2" a="1"/>
  <c r="T80" i="2" s="1"/>
  <c r="F81" i="2" a="1"/>
  <c r="B82" i="2" a="1"/>
  <c r="H81" i="2" a="1"/>
  <c r="B80" i="2" a="1"/>
  <c r="F82" i="2" a="1"/>
  <c r="G80" i="2" a="1"/>
  <c r="F80" i="2" a="1"/>
  <c r="AQ181" i="2"/>
  <c r="G77" i="2" a="1"/>
  <c r="I76" i="2" a="1"/>
  <c r="T76" i="2" s="1"/>
  <c r="B76" i="2" a="1"/>
  <c r="F77" i="2" a="1"/>
  <c r="H77" i="2" a="1"/>
  <c r="F78" i="2" a="1"/>
  <c r="I77" i="2" a="1"/>
  <c r="T77" i="2" s="1"/>
  <c r="I78" i="2" a="1"/>
  <c r="T78" i="2" s="1"/>
  <c r="G78" i="2" a="1"/>
  <c r="G76" i="2" a="1"/>
  <c r="H78" i="2" a="1"/>
  <c r="H76" i="2" a="1"/>
  <c r="B78" i="2" a="1"/>
  <c r="F76" i="2" a="1"/>
  <c r="B77" i="2" a="1"/>
  <c r="I72" i="2" a="1"/>
  <c r="AS210" i="2" s="1"/>
  <c r="H74" i="2" a="1"/>
  <c r="I74" i="2" a="1"/>
  <c r="T74" i="2" s="1"/>
  <c r="F72" i="2" a="1"/>
  <c r="B73" i="2" a="1"/>
  <c r="H72" i="2" a="1"/>
  <c r="G74" i="2" a="1"/>
  <c r="B72" i="2" a="1"/>
  <c r="G72" i="2" a="1"/>
  <c r="F73" i="2" a="1"/>
  <c r="I73" i="2" a="1"/>
  <c r="T73" i="2" s="1"/>
  <c r="G73" i="2" a="1"/>
  <c r="H73" i="2" a="1"/>
  <c r="F74" i="2" a="1"/>
  <c r="B74" i="2" a="1"/>
  <c r="AR190" i="2"/>
  <c r="AR191" i="2"/>
  <c r="AQ207" i="2"/>
  <c r="AQ210" i="2" s="1"/>
  <c r="S78" i="2" l="1"/>
  <c r="AR193" i="2"/>
  <c r="AS193" i="2" s="1"/>
  <c r="S77" i="2"/>
  <c r="T82" i="2"/>
  <c r="AR201" i="2"/>
  <c r="AS201" i="2" s="1"/>
  <c r="AR200" i="2"/>
  <c r="AS200" i="2" s="1"/>
  <c r="AS217" i="2"/>
  <c r="AQ209" i="2"/>
  <c r="T81" i="2" s="1"/>
  <c r="S76" i="2"/>
  <c r="S80" i="2" l="1"/>
  <c r="AS215" i="2"/>
  <c r="AS216" i="2" s="1"/>
  <c r="AS218" i="2" s="1"/>
  <c r="AS212" i="2" s="1"/>
  <c r="T72" i="2" s="1"/>
  <c r="S81" i="2"/>
  <c r="S82" i="2"/>
  <c r="AR195" i="2"/>
  <c r="AS195" i="2" s="1"/>
  <c r="AT196" i="2" s="1"/>
  <c r="AT195" i="2" l="1"/>
  <c r="AT198" i="2"/>
  <c r="AT194" i="2"/>
  <c r="B161" i="2"/>
  <c r="C21" i="9" s="1"/>
  <c r="AS211" i="2"/>
  <c r="S72" i="2"/>
  <c r="S73" i="2"/>
  <c r="S74" i="2"/>
  <c r="AT193" i="2"/>
  <c r="AS213" i="2" l="1"/>
  <c r="AS214" i="2" s="1"/>
  <c r="AT212" i="2" l="1"/>
  <c r="AR206" i="2" s="1"/>
  <c r="AT211" i="2"/>
  <c r="AR205" i="2" s="1"/>
  <c r="AT215" i="2"/>
  <c r="AR202" i="2" s="1"/>
  <c r="AR203" i="2" s="1"/>
  <c r="AT210" i="2"/>
  <c r="AR204" i="2" s="1"/>
  <c r="AT213" i="2"/>
  <c r="AR207" i="2" s="1"/>
  <c r="AR208" i="2" l="1"/>
  <c r="B177"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<sst xmlns="http://schemas.openxmlformats.org/spreadsheetml/2006/main" count="2108" uniqueCount="871">
  <si>
    <t>Últimamente parece que me quedo sin fuerzas incluso por las mañanas.</t>
  </si>
  <si>
    <t>Siempre me aseguro de que mi trabajo esté bien planeado y organizado.</t>
  </si>
  <si>
    <t>Disfruto haciendo tantas cosas diferentes que no puedo decidir por cuál empezar.</t>
  </si>
  <si>
    <t>Me preocupa que las personas de las que dependo me abandonen.</t>
  </si>
  <si>
    <t>Aunque me da miedo hacer amistades, me gustaría tener más de las que tengo.</t>
  </si>
  <si>
    <t>Raramente exteriorizo los pocos sentimientos que tengo.</t>
  </si>
  <si>
    <t>Me cuesta mantener el equilibrio cuando camino.</t>
  </si>
  <si>
    <t>Siempre busco oportunidades nuevas que me resulten emocionantes.</t>
  </si>
  <si>
    <t>Me gusta ser el centro de atención.</t>
  </si>
  <si>
    <t>De adolescente tuve muchos problemas por mi mal comportamiento en la escuela o instituto.</t>
  </si>
  <si>
    <t>Noto que la gente está hablando de mí cuando paso a su lado.</t>
  </si>
  <si>
    <t>Si puedo elegir, prefiero hacer las cosas solo.</t>
  </si>
  <si>
    <t>Últimamente he comenzado a sentir deseos de destrozar cosas.</t>
  </si>
  <si>
    <t>Las cosas que hoy van bien no durarán mucho tiempo.</t>
  </si>
  <si>
    <t>A veces, cuando las cosas empiezan a irme mal, me siento como si estuviera loco o fuera de la realidad.</t>
  </si>
  <si>
    <t>Hago lo que quiero sin preocuparme de las consecuencias que tenga en los demás.</t>
  </si>
  <si>
    <t>Afronto mis actividades diarias con mucha energía y persistencia.</t>
  </si>
  <si>
    <t>Nunca perdono una ofensa ni olvido una situación embarazosa que alguien me haya causado.</t>
  </si>
  <si>
    <t>Me siento extremadamente deprimido y triste gran parte del tiempo.</t>
  </si>
  <si>
    <t>Siempre tiendo a culparme cuando las cosas van mal.</t>
  </si>
  <si>
    <t>Hace mucho decidí que es mejor tener poca relación con la gente.</t>
  </si>
  <si>
    <t>Tengo un problema con el alcohol que nos ha creado dificultades a mí y a mi familia.</t>
  </si>
  <si>
    <t>Soy una persona socialmente muy reservada y tímida.</t>
  </si>
  <si>
    <t>Muchas veces me siento muy alegre y animado sin ninguna razón.</t>
  </si>
  <si>
    <t>En las últimas semanas me he sentido agotado sin ningún motivo en particular.</t>
  </si>
  <si>
    <t>Mi tiempo es más valioso que el de los demás.</t>
  </si>
  <si>
    <t>Siempre estoy buscando hacer nuevas amistades y conocer gente nueva.</t>
  </si>
  <si>
    <t>Desde hace unas semanas estoy muy nervioso.</t>
  </si>
  <si>
    <t>Simplemente, no he tenido la suerte que otras personas han tenido en la vida.</t>
  </si>
  <si>
    <t>Las ideas me dan vueltas en la cabeza una y otra vez y no desaparecen.</t>
  </si>
  <si>
    <t>Desde hace uno o dos años, al pensar sobre la vida, me siento muy triste y desanimado.</t>
  </si>
  <si>
    <t>Intento hacerlo todo tan perfecto como sea posible.</t>
  </si>
  <si>
    <t>Mi adicción a las drogas hizo que faltara al trabajo.</t>
  </si>
  <si>
    <t>Mi estado de ánimo varía mucho de un día para otro.</t>
  </si>
  <si>
    <t>Utilizo mi encanto para conseguir lo que quiero.</t>
  </si>
  <si>
    <t>A menudo pienso que no merezco las cosas buenas que me pasan.</t>
  </si>
  <si>
    <t>Tengo la sensación de que no duermo, y me levanto tan cansado como al acostarme.</t>
  </si>
  <si>
    <t>Parece que pocas cosas me entristecen o me alegran.</t>
  </si>
  <si>
    <t>A menudo tengo pensamientos extraños de los que desearía librarme.</t>
  </si>
  <si>
    <t>Tengo muchos problemas para controlar el impulso de beber alcohol en exceso.</t>
  </si>
  <si>
    <t>Hago amistades con mucha más facilidad que la mayoría de la gente que conozco.</t>
  </si>
  <si>
    <t>Me da vergüenza el maltrato que sufrí cuando era joven.</t>
  </si>
  <si>
    <t>Me parece muy bien que haya normas, porque son una buena guía para seguir.</t>
  </si>
  <si>
    <t>El año pasado aparecí en la portada de varias revistas.</t>
  </si>
  <si>
    <t>A menudo me enfado con la gente que hace las cosas lentamente.</t>
  </si>
  <si>
    <t>Me paso la vida preocupándome por una cosa u otra.</t>
  </si>
  <si>
    <t>Siempre me pregunto cuál es la razón real de que alguien sea específicamente agradable conmigo.</t>
  </si>
  <si>
    <t>Mis actividades cotidianas me animan y motivan.</t>
  </si>
  <si>
    <t>Tengo muchas ideas que son avanzadas para los tiempos actuales.</t>
  </si>
  <si>
    <t>Desde que sufrí una conmoción cerebral grave, ya no puedo concentrarme en nada.</t>
  </si>
  <si>
    <t>He perdido el apetito por completo, y la mayoría de las noches tengo problemas para dormir.</t>
  </si>
  <si>
    <t>Desde que era niño he ido perdiendo contacto con la realidad.</t>
  </si>
  <si>
    <t>No puedo sentir mucho placer, porque no creo que lo merezca.</t>
  </si>
  <si>
    <t>Prefiero que me digan lo que tengo que hacer en lugar de decidir por mí mismo.</t>
  </si>
  <si>
    <t>Consumir drogas me ha causado discusiones con mi familia.</t>
  </si>
  <si>
    <t>El recuerdo de una experiencia muy perturbadora sigue presente en mis pensamientos y me obsesiona.</t>
  </si>
  <si>
    <t>La mayoría de la gente me considera una persona prudente y cuidadosa.</t>
  </si>
  <si>
    <t>Parece que he perdido el interés en la mayoría de las cosas que solía encontrar placenteras, como el sexo.</t>
  </si>
  <si>
    <t>He tenido problemas con la ley un par de veces.</t>
  </si>
  <si>
    <t>He tenido que ser muy duro con algunas personas para mantenerlas a raya.</t>
  </si>
  <si>
    <t>Estoy muy seguro de mí mismo.</t>
  </si>
  <si>
    <t>La gente intenta hacerme creer que estoy loco.</t>
  </si>
  <si>
    <t>Me doy atracones de comida un par de veces en la semana.</t>
  </si>
  <si>
    <t>Frecuentemente siento que no hay nada dentro de mí, como si estuviera vacío y hueco.</t>
  </si>
  <si>
    <t>Siempre me ha resultado difícil dejar de sentirme deprimido y triste.</t>
  </si>
  <si>
    <t>Cuando estoy solo y lejos de casa a menudo comienzo a sentirme tenso y entro en pánico.</t>
  </si>
  <si>
    <t>La gente dice que soy una persona formal y con valores morales.</t>
  </si>
  <si>
    <t>Me cuesta controlar mi ira.</t>
  </si>
  <si>
    <t>Soy una persona muy optimista.</t>
  </si>
  <si>
    <t>Años después, aún tengo pesadillas sobre un hecho que fue una amenaza real para mi vida.</t>
  </si>
  <si>
    <t>Me parece que necesito que alguien me oriente para hacer las cosas.</t>
  </si>
  <si>
    <t>Recientemente he pensado muy en serio en quitarme la vida.</t>
  </si>
  <si>
    <t>Hay gente mala que intenta llevarse el mérito de lo que he hecho o pensado.</t>
  </si>
  <si>
    <t>Últimamente estoy destrozado.</t>
  </si>
  <si>
    <t>Consumir drogas puede ser irresponsable, pero en el pasado las he necesitado.</t>
  </si>
  <si>
    <t>Soy una persona muy variable, cambio de opinión y sentimientos continuamente.</t>
  </si>
  <si>
    <t>Se me da muy bien inventar excusas cuando me meto en problemas.</t>
  </si>
  <si>
    <t>Cuando estoy en una fiesta, nunca me aíslo de los demás.</t>
  </si>
  <si>
    <t>Parece que echo a perder las buenas oportunidades que se cruzan en mi camino.</t>
  </si>
  <si>
    <t>Algunas veces me provoco el vómito después de comer.</t>
  </si>
  <si>
    <t>Soy una persona especial, así que no me importa lo que piensen los demás.</t>
  </si>
  <si>
    <t>Ciertos pensamientos vuelven a mi mente una y otra vez.</t>
  </si>
  <si>
    <t>Pocas cosas en la vida me resultan placenteras.</t>
  </si>
  <si>
    <t>Me siento agitado y me cuesta conciliar el sueño porque tengo recuerdos dolorosos dando vueltas en mi cabeza.</t>
  </si>
  <si>
    <t>A menudo me pierdo en mis pensamientos y me olvido de lo que está pasando a mi alrededor.</t>
  </si>
  <si>
    <t>Nunca he podido dejar de sentir que no valgo nada para los demás.</t>
  </si>
  <si>
    <t>Tengo un problema con la bebida que he tratado de solucionar sin éxito.</t>
  </si>
  <si>
    <t>Alguien ha estado intentando controlar mi mente.</t>
  </si>
  <si>
    <t>La mayoría de las personas que han triunfado han tenido suerte o han sido deshonestas.</t>
  </si>
  <si>
    <t>A menudo irrito a la gente dándoles órdenes.</t>
  </si>
  <si>
    <t>No he visto un coche en los últimos diez años.</t>
  </si>
  <si>
    <t>Siempre me siento cohibido y tenso en las reuniones sociales.</t>
  </si>
  <si>
    <t>Creo que provoco situaciones en las que resulto herido o me siento rechazado.</t>
  </si>
  <si>
    <t>Me siento profundamente deprimido sin saber por qué.</t>
  </si>
  <si>
    <t>La gente dice que soy una persona delgada, pero creo que mis muslos y mi trasero son demasiado grandes.</t>
  </si>
  <si>
    <t>A menudo disfruto provocando una discusión o una pelea.</t>
  </si>
  <si>
    <t>Tengo mucho cuidado en mantener mi vida como algo privado, para que nadie pueda aprovecharse de mí.</t>
  </si>
  <si>
    <t>El consumo de drogas me ha causado muchos problemas.</t>
  </si>
  <si>
    <t>A menudo me echan la culpa por las cosas de las que no soy responsable.</t>
  </si>
  <si>
    <t>Pensar en el futuro al inicio de cada día me hace sentir extremadamente deprimido.</t>
  </si>
  <si>
    <t>A veces las personas se molestan conmigo porque dicen que hablo mucho o demasiado rápido.</t>
  </si>
  <si>
    <t>Yo nunca podría arreglármelas solo.</t>
  </si>
  <si>
    <t>Mi cabeza no funciona bien desde que hace unos años tuve una lesión cerebral.</t>
  </si>
  <si>
    <t>Me siento solo y vacío la mayor parte del tiempo.</t>
  </si>
  <si>
    <t>La gente se burla de mí a mis espaldas.</t>
  </si>
  <si>
    <t>Últimamente sudo mucho y me siento muy tenso.</t>
  </si>
  <si>
    <t>Me enfurezco rápidamente con la gente que me molesta.</t>
  </si>
  <si>
    <t>A veces no he podido pasar el día sin tomar drogas.</t>
  </si>
  <si>
    <t>Me gusta mucho coquetear.</t>
  </si>
  <si>
    <t>Ya no tengo energía para concentrarme en mis responsabilidades.</t>
  </si>
  <si>
    <t>Mis emociones no parecen ser tan intensas como las del resto de la gente.</t>
  </si>
  <si>
    <t>Me siento débil y cansado la mayor parte del tiempo.</t>
  </si>
  <si>
    <t>Ideas extrañas entran en mi mente, dan vueltas y vueltas en mi cabeza, y no desaparecen.</t>
  </si>
  <si>
    <t>Los demás tienen oportunidades que yo no tengo.</t>
  </si>
  <si>
    <t>He tomado medicación que me habían recetado.</t>
  </si>
  <si>
    <t>Mi vida actual todavía se ve afectada por recuerdos e imágenes de algo terrible que me pasó.</t>
  </si>
  <si>
    <t>A menudo echo a perder las cosas buenas que me ocurren.</t>
  </si>
  <si>
    <t>Voces malvadas intentan apoderarse de mi mente.</t>
  </si>
  <si>
    <t>Me siento muy culpable cuando pierdo el control.</t>
  </si>
  <si>
    <t>Mi entusiasmo por el trabajo que hago nunca disminuye.</t>
  </si>
  <si>
    <t>Supongo que no soy diferente de mis padres ya que, en cierto modo, me he convertido en un alcohólico.</t>
  </si>
  <si>
    <t>Últimamente tengo que pensar las cosas una y otra vez sin ningún motivo.</t>
  </si>
  <si>
    <t>Animo a los demás a que admiren lo que digo o hago.</t>
  </si>
  <si>
    <t>Dejo de hacer cosas si tengo que hacerlas solo.</t>
  </si>
  <si>
    <t>He intentado suicidarme.</t>
  </si>
  <si>
    <t>Soy una persona miedosa y reservada.</t>
  </si>
  <si>
    <t>A las personas que supuestamente son mis amigos les gustaría hacerme daño.</t>
  </si>
  <si>
    <t>A menudo me dejo llevar por la rabia y luego me siento culpable.</t>
  </si>
  <si>
    <t>A menudo oigo cosas con tanta claridad que me molesta.</t>
  </si>
  <si>
    <t>Aparte de mi familia, tengo muy pocos amigos íntimos.</t>
  </si>
  <si>
    <t>La desorganización me hace sentir muy incómodo.</t>
  </si>
  <si>
    <t>A menudo critico mucho a la gente que me irrita.</t>
  </si>
  <si>
    <t>Tengo muchas cualidades que los demás querrían tener.</t>
  </si>
  <si>
    <t>Terribles acontecimientos de mi pasado reaparecen obsesivamente en mis pensamientos y sueños.</t>
  </si>
  <si>
    <t>Sé que he gastado más dinero en droga del que debería.</t>
  </si>
  <si>
    <t>A menudo, y antes de darme cuenta, me pongo a gritar enfadado a mis amigos y familiares.</t>
  </si>
  <si>
    <t>Me preocupa que mi cuerpo se desgaste rápidamente.</t>
  </si>
  <si>
    <t>Está bien burlar la ley si es poco probable que te atrapen.</t>
  </si>
  <si>
    <t>Creo que hay una conspiración contra mí.</t>
  </si>
  <si>
    <t>Soy una persona solitaria y no me molesta.</t>
  </si>
  <si>
    <t>Todavía me aterrorizo cuando pienso en una experiencia traumática que tuve hace años.</t>
  </si>
  <si>
    <t>Últimamente me he sentido muy culpable porque ya no soy capaz de hacer nada bien.</t>
  </si>
  <si>
    <t>Los castigos nunca me impidieron hacer lo que quería.</t>
  </si>
  <si>
    <t>Pocas veces creo lo que la gente me dice.</t>
  </si>
  <si>
    <t>Soy una persona muy sociable y extrovertida.</t>
  </si>
  <si>
    <t>Me entusiasmo con casi todo lo que hago.</t>
  </si>
  <si>
    <t>Estoy confundido sobre quién soy.</t>
  </si>
  <si>
    <t>Odio pensar en el maltrato que sufrí en la infancia.</t>
  </si>
  <si>
    <t>Nunca infringiría la ley, aunque pudiera salir impune.</t>
  </si>
  <si>
    <t>En el último año he cruzado el Atlántico en avión 30 veces.</t>
  </si>
  <si>
    <t>Beber alcohol me ayuda cuando me siento deprimido.</t>
  </si>
  <si>
    <t>Preferiría seguir a alguien antes que ser yo el líder.</t>
  </si>
  <si>
    <t>A menudo me siento tan mal que quiero hacerme daño de verdad.</t>
  </si>
  <si>
    <t>Algunas personas dicen que soy extraño o raro.</t>
  </si>
  <si>
    <t>A veces encuentro consuelo en mi sufrimiento.</t>
  </si>
  <si>
    <t>A menudo creo que me han tratado injustamente.</t>
  </si>
  <si>
    <t>Muestro mi enfado rápidamente a las personas que no están de acuerdo conmigo.</t>
  </si>
  <si>
    <t>Casi siempre me siento culpable sin ninguna razón aparente.</t>
  </si>
  <si>
    <t>Desde hace algún tiempo me siento triste y deprimido y parece que no consigo animarme.</t>
  </si>
  <si>
    <t>Sé cómo seducir a la gente.</t>
  </si>
  <si>
    <t>Siempre he tenido que estar atento a la gente que intenta engañarme.</t>
  </si>
  <si>
    <t>Siempre estoy dispuesto a aceptar lo que los demás les gustaría hacer.</t>
  </si>
  <si>
    <t>Afronto todos los retos de la vida con una actitud valiente y enérgica.</t>
  </si>
  <si>
    <t>Nunca siento que tenga algo interesante que aportar a una conversación.</t>
  </si>
  <si>
    <t>Si un medicamento no me hace efecto, es probable que lo tome con más frecuencia o aumente la dosis.</t>
  </si>
  <si>
    <t>En muchos periodos de mi vida he estado tan animado y he consumido tanta energía que luego me he sentido muy bajo de ánimo.</t>
  </si>
  <si>
    <t>A menudo me siento muy infeliz conmigo mismo.</t>
  </si>
  <si>
    <t>No me gusta cambiar mi rutina.</t>
  </si>
  <si>
    <t>No necesito tener amigos íntimos como tienen los demás.</t>
  </si>
  <si>
    <t>A veces me ha reconfortado herirme físicamente.</t>
  </si>
  <si>
    <t>Mucha gente ha estado espiando mi vida privada durante años.</t>
  </si>
  <si>
    <t>Cuando quiero, se me da bastante bien engañar a la gente.</t>
  </si>
  <si>
    <t>Incluso cuando las cosas van bien, creo que pronto irán mal.</t>
  </si>
  <si>
    <t>Se me da muy bien animar y motivar a los demás.</t>
  </si>
  <si>
    <t>Estoy dispuesto a pasar hambre para estar aún más delgado de lo que estoy.</t>
  </si>
  <si>
    <t>A menudo estoy irritable y de mal humor.</t>
  </si>
  <si>
    <t>Siempre intento acabar mi trabajo antes de dedicar tiempo a actividades de ocio.</t>
  </si>
  <si>
    <t>Solo las personas excepcionales pueden comprender mis capacidades.</t>
  </si>
  <si>
    <t>Realmente no entiendo los sentimientos humanos como los entienden los demás.</t>
  </si>
  <si>
    <t>Demasiadas normas impiden que haga lo que quiero.</t>
  </si>
  <si>
    <t>A veces siento que merezco ser infeliz.</t>
  </si>
  <si>
    <t>He estado abatido y triste gran parte de mi vida.</t>
  </si>
  <si>
    <t>Tiendo a estar de acuerdo con las opiniones de los demás.</t>
  </si>
  <si>
    <t>Evito la mayoría de las situaciones sociales porque creo que la gente me rechazará.</t>
  </si>
  <si>
    <t>V</t>
  </si>
  <si>
    <t>F</t>
  </si>
  <si>
    <t>Esquizoide</t>
  </si>
  <si>
    <t>Evitativo</t>
  </si>
  <si>
    <t>Melancólico</t>
  </si>
  <si>
    <t>Dependiente</t>
  </si>
  <si>
    <t>Histriónico</t>
  </si>
  <si>
    <t>Tempestuoso</t>
  </si>
  <si>
    <t>Narcisista</t>
  </si>
  <si>
    <t>Antisocial</t>
  </si>
  <si>
    <t>Sádico</t>
  </si>
  <si>
    <t>Compulsivo</t>
  </si>
  <si>
    <t>Negativista</t>
  </si>
  <si>
    <t>Masoquista</t>
  </si>
  <si>
    <t>Items</t>
  </si>
  <si>
    <t>2A</t>
  </si>
  <si>
    <t>2B</t>
  </si>
  <si>
    <t>4A</t>
  </si>
  <si>
    <t>4B</t>
  </si>
  <si>
    <t>6A</t>
  </si>
  <si>
    <t>6B</t>
  </si>
  <si>
    <t>8A</t>
  </si>
  <si>
    <t>8B</t>
  </si>
  <si>
    <t>MCMI-IV</t>
  </si>
  <si>
    <t>INVENTARIO CLÍNICO MULTIAXIAL DE MILLON-IV</t>
  </si>
  <si>
    <t>RESUMEN DE LAS PUNTUACIONES Y PERFIL</t>
  </si>
  <si>
    <t>CÓDIGO DE PUNTUACIONES MÁXIMAS =</t>
  </si>
  <si>
    <t>INCONSISTENCIA (W) =</t>
  </si>
  <si>
    <t>INVALIDEZ (V) =</t>
  </si>
  <si>
    <t>VALIDEZ</t>
  </si>
  <si>
    <t>Puntuación</t>
  </si>
  <si>
    <t>PD</t>
  </si>
  <si>
    <t>TB</t>
  </si>
  <si>
    <t>Perfil de las tasas base</t>
  </si>
  <si>
    <t>Índices modificadores</t>
  </si>
  <si>
    <t>Sinceridad</t>
  </si>
  <si>
    <t>Deseabilidad social</t>
  </si>
  <si>
    <t>Devaluación</t>
  </si>
  <si>
    <t>X</t>
  </si>
  <si>
    <t>Y</t>
  </si>
  <si>
    <t>Z</t>
  </si>
  <si>
    <t>PERSONALIDAD</t>
  </si>
  <si>
    <t>PC</t>
  </si>
  <si>
    <t>Patrones clínicos de la personalidad</t>
  </si>
  <si>
    <t>Patología grave de la personalidad</t>
  </si>
  <si>
    <t>PSICOPATOLOGÍA</t>
  </si>
  <si>
    <t>Síndromes clínicos</t>
  </si>
  <si>
    <t>Esquizotípico</t>
  </si>
  <si>
    <t>Límite</t>
  </si>
  <si>
    <t>Paranoide</t>
  </si>
  <si>
    <t>S</t>
  </si>
  <si>
    <t>C</t>
  </si>
  <si>
    <t>P</t>
  </si>
  <si>
    <t>Ansiedad generalizada</t>
  </si>
  <si>
    <t>Síntomas somáticos</t>
  </si>
  <si>
    <t>Espectro bipolar</t>
  </si>
  <si>
    <t>Depresión persistente</t>
  </si>
  <si>
    <t>Consumo de alcohol</t>
  </si>
  <si>
    <t>Consumo de drogas</t>
  </si>
  <si>
    <t>Estrés postraumático</t>
  </si>
  <si>
    <t>Síndromes clínicos graves</t>
  </si>
  <si>
    <t>Espectro esquizofrénico</t>
  </si>
  <si>
    <t>Depresión mayor</t>
  </si>
  <si>
    <t>Delirante</t>
  </si>
  <si>
    <t>A</t>
  </si>
  <si>
    <t>H</t>
  </si>
  <si>
    <t>N</t>
  </si>
  <si>
    <t>D</t>
  </si>
  <si>
    <t>B</t>
  </si>
  <si>
    <t>T</t>
  </si>
  <si>
    <t>R</t>
  </si>
  <si>
    <t>SS</t>
  </si>
  <si>
    <t>CC</t>
  </si>
  <si>
    <t>PP</t>
  </si>
  <si>
    <t>Escala X</t>
  </si>
  <si>
    <t>1-8B</t>
  </si>
  <si>
    <t>S-PP</t>
  </si>
  <si>
    <t>Ajustas a la TB</t>
  </si>
  <si>
    <t>A/CC</t>
  </si>
  <si>
    <t>2B,8B,C</t>
  </si>
  <si>
    <t>2A,S</t>
  </si>
  <si>
    <t>INVALIDEZ</t>
  </si>
  <si>
    <t>W</t>
  </si>
  <si>
    <t>INCONSISTENCIA</t>
  </si>
  <si>
    <t>(22-170)</t>
  </si>
  <si>
    <t xml:space="preserve"> (125-143)</t>
  </si>
  <si>
    <t xml:space="preserve"> (47-157)</t>
  </si>
  <si>
    <t xml:space="preserve"> (40-181)</t>
  </si>
  <si>
    <t>(81-116)</t>
  </si>
  <si>
    <t xml:space="preserve"> (85-126)</t>
  </si>
  <si>
    <t xml:space="preserve"> (76-150)</t>
  </si>
  <si>
    <t xml:space="preserve"> (25-94)</t>
  </si>
  <si>
    <t xml:space="preserve"> (44-121)</t>
  </si>
  <si>
    <t xml:space="preserve"> (39-59)</t>
  </si>
  <si>
    <t xml:space="preserve"> (17-184)</t>
  </si>
  <si>
    <t xml:space="preserve"> (33-89)</t>
  </si>
  <si>
    <t xml:space="preserve"> (78-164)</t>
  </si>
  <si>
    <t>(38-171)</t>
  </si>
  <si>
    <t xml:space="preserve"> (74-115)</t>
  </si>
  <si>
    <t xml:space="preserve"> (46-154)</t>
  </si>
  <si>
    <t xml:space="preserve"> (26-99)</t>
  </si>
  <si>
    <t xml:space="preserve"> (20-174)</t>
  </si>
  <si>
    <t xml:space="preserve"> (32-122)</t>
  </si>
  <si>
    <t xml:space="preserve"> (13-112)</t>
  </si>
  <si>
    <t xml:space="preserve"> (55-110)</t>
  </si>
  <si>
    <t>(173-194)</t>
  </si>
  <si>
    <t xml:space="preserve"> (95-127)</t>
  </si>
  <si>
    <t xml:space="preserve"> (60-162)</t>
  </si>
  <si>
    <t xml:space="preserve"> (15-149)</t>
  </si>
  <si>
    <t>P.D</t>
  </si>
  <si>
    <t>Ajuste a la TB</t>
  </si>
  <si>
    <t>1.1</t>
  </si>
  <si>
    <t>1.2</t>
  </si>
  <si>
    <t>1.3</t>
  </si>
  <si>
    <t>2A.1</t>
  </si>
  <si>
    <t>2A.2</t>
  </si>
  <si>
    <t>2A.3</t>
  </si>
  <si>
    <t>2B.1</t>
  </si>
  <si>
    <t>2B.2</t>
  </si>
  <si>
    <t>2B.3</t>
  </si>
  <si>
    <t>3.1</t>
  </si>
  <si>
    <t>3.2</t>
  </si>
  <si>
    <t>3.3</t>
  </si>
  <si>
    <t>4A.1</t>
  </si>
  <si>
    <t>4A.2</t>
  </si>
  <si>
    <t>4A.3</t>
  </si>
  <si>
    <t>4B.1</t>
  </si>
  <si>
    <t>4B.2</t>
  </si>
  <si>
    <t>4B.3</t>
  </si>
  <si>
    <t>5.1</t>
  </si>
  <si>
    <t>5.2</t>
  </si>
  <si>
    <t>5.3</t>
  </si>
  <si>
    <t>6A.1</t>
  </si>
  <si>
    <t>6A.2</t>
  </si>
  <si>
    <t>6A.3</t>
  </si>
  <si>
    <t>6B.1</t>
  </si>
  <si>
    <t>6B.2</t>
  </si>
  <si>
    <t>6B.3</t>
  </si>
  <si>
    <t>7.1</t>
  </si>
  <si>
    <t>7.2</t>
  </si>
  <si>
    <t>7.3</t>
  </si>
  <si>
    <t>8A.1</t>
  </si>
  <si>
    <t>8A.2</t>
  </si>
  <si>
    <t>8A.3</t>
  </si>
  <si>
    <t>8B.1</t>
  </si>
  <si>
    <t>8B.2</t>
  </si>
  <si>
    <t>8B.3</t>
  </si>
  <si>
    <t>S.1</t>
  </si>
  <si>
    <t>S.2</t>
  </si>
  <si>
    <t>S.3</t>
  </si>
  <si>
    <t>C.1</t>
  </si>
  <si>
    <t>C.2</t>
  </si>
  <si>
    <t>C.3</t>
  </si>
  <si>
    <t>P.1</t>
  </si>
  <si>
    <t>P.2</t>
  </si>
  <si>
    <t>P.3</t>
  </si>
  <si>
    <t>Conversión de Tasa Base ajustada a percentil para las escalas de patrones de personalidad y sindrome clínico</t>
  </si>
  <si>
    <t>Conversión de puntuaciones directa a Tasa Base para las escalas de patrones de personalidad y sindromes clínico</t>
  </si>
  <si>
    <t>Conversión de puntuación  directa a Tasa Base y Percentil para las facetas de Grossman</t>
  </si>
  <si>
    <t>Conversión de PD a Tasa Base X, Y y Z</t>
  </si>
  <si>
    <t>MCMI *- IV</t>
  </si>
  <si>
    <t>Millon* Clinical Multiaxial Inventory-IV</t>
  </si>
  <si>
    <t>Interpretive Report</t>
  </si>
  <si>
    <t>Theodore Millon, PhD, DSc</t>
  </si>
  <si>
    <t>Nombre:</t>
  </si>
  <si>
    <t>Edad:</t>
  </si>
  <si>
    <t>Sexo:</t>
  </si>
  <si>
    <t>Estudios:</t>
  </si>
  <si>
    <t>Región:</t>
  </si>
  <si>
    <t>Estado civil:</t>
  </si>
  <si>
    <t>Fecha de evaluación:</t>
  </si>
  <si>
    <t>Número de C.I:</t>
  </si>
  <si>
    <t>Baremo:</t>
  </si>
  <si>
    <t>Copyright @ 2015 DICANDRIEN, Inc. All rights reserved.</t>
  </si>
  <si>
    <t>TRADE SECRET INFORMATION</t>
  </si>
  <si>
    <t>Not for release under HIPAA or other data disclosure laws that exempt trade secrets from disclosure.</t>
  </si>
  <si>
    <t>[1.0/RE1/QG1]</t>
  </si>
  <si>
    <t>CONVERSIÓN DE PUNTUACIONES DIRECTAS A TASA BASE CON POBLACIÓN ESPAÑOLA</t>
  </si>
  <si>
    <t>A_B</t>
  </si>
  <si>
    <t>A_C</t>
  </si>
  <si>
    <t>E</t>
  </si>
  <si>
    <t>G</t>
  </si>
  <si>
    <t>I</t>
  </si>
  <si>
    <t>J</t>
  </si>
  <si>
    <t>K</t>
  </si>
  <si>
    <t>L</t>
  </si>
  <si>
    <t>M</t>
  </si>
  <si>
    <t>Q</t>
  </si>
  <si>
    <t>U</t>
  </si>
  <si>
    <t>AA</t>
  </si>
  <si>
    <t>Histríonico</t>
  </si>
  <si>
    <t>FACETAS GROSSMAN</t>
  </si>
  <si>
    <t>PUNTUACIONES DE LAS FACETAS DE GROSSMAN
PD
1
2
2
PC
22
20
40
TB
20
30
40
2
1
2
24
20
40
30
15
40
6B
6B.1
6B.2
6B.3
7
7.1
7.2
7.3
Sádico</t>
  </si>
  <si>
    <t>Contenido escaso</t>
  </si>
  <si>
    <t>Temperamentalmente apático</t>
  </si>
  <si>
    <t>Expresivamente precipitado</t>
  </si>
  <si>
    <t>Interpers. desagradable</t>
  </si>
  <si>
    <t>Arquitectura eruptiva</t>
  </si>
  <si>
    <t>Autoimagen alienada</t>
  </si>
  <si>
    <t>Contenido vejatorio</t>
  </si>
  <si>
    <t>Cognitivamente fatalista</t>
  </si>
  <si>
    <t>Autoimagen inútil</t>
  </si>
  <si>
    <t>Temperamentalmente afligido</t>
  </si>
  <si>
    <t>Expresivamente pueril</t>
  </si>
  <si>
    <t>Autoimagen inepta</t>
  </si>
  <si>
    <t>Expresivamente impetuoso</t>
  </si>
  <si>
    <t>Interpers. euforico</t>
  </si>
  <si>
    <t>Autoimagen sobreestimada</t>
  </si>
  <si>
    <t>Interpers. explotador</t>
  </si>
  <si>
    <t>Cognitivamente expansivo</t>
  </si>
  <si>
    <t>Autoimagen admirable</t>
  </si>
  <si>
    <t>Interpers. irresponsable</t>
  </si>
  <si>
    <t>Autoimagen autónoma</t>
  </si>
  <si>
    <t>Dinámicas de irreflexión (paso al acto)</t>
  </si>
  <si>
    <t>Expresivamente disciplinado</t>
  </si>
  <si>
    <t>Cognitivamente constreñido</t>
  </si>
  <si>
    <t>Autoimagen responsable</t>
  </si>
  <si>
    <t>Expresivamente resentido</t>
  </si>
  <si>
    <t>Autoimagen descontenta</t>
  </si>
  <si>
    <t>Temperamentalmente irritable</t>
  </si>
  <si>
    <t>Autoimagen desmerecedora</t>
  </si>
  <si>
    <t>Arquitectura invertida</t>
  </si>
  <si>
    <t>Temperamentalmente disfórico</t>
  </si>
  <si>
    <t>Cognitivamente circunstancial</t>
  </si>
  <si>
    <t>Autoimagen disociada</t>
  </si>
  <si>
    <t>Contenido caótico</t>
  </si>
  <si>
    <t>Autoimagen inestable</t>
  </si>
  <si>
    <t>Arquitectura disgregada</t>
  </si>
  <si>
    <t>Temperamentalmente lábil</t>
  </si>
  <si>
    <t>Expresivamente dramático</t>
  </si>
  <si>
    <t>Interpers. buscador de atención</t>
  </si>
  <si>
    <t>Temperamentalmente inconstante</t>
  </si>
  <si>
    <t>Expresivamente defensivo</t>
  </si>
  <si>
    <t>Cognitivamente desconfiado</t>
  </si>
  <si>
    <t>Esquizotíplco</t>
  </si>
  <si>
    <t>BB</t>
  </si>
  <si>
    <t>DD</t>
  </si>
  <si>
    <t>AAA</t>
  </si>
  <si>
    <t>BBB</t>
  </si>
  <si>
    <t>CCC</t>
  </si>
  <si>
    <t>DDD</t>
  </si>
  <si>
    <t>EEE</t>
  </si>
  <si>
    <t>FFF</t>
  </si>
  <si>
    <t>GGG</t>
  </si>
  <si>
    <t>HHH</t>
  </si>
  <si>
    <t>III</t>
  </si>
  <si>
    <t>JJJ</t>
  </si>
  <si>
    <t>KKK</t>
  </si>
  <si>
    <t>MMM</t>
  </si>
  <si>
    <t>NNN</t>
  </si>
  <si>
    <t>OOO</t>
  </si>
  <si>
    <t>PPP</t>
  </si>
  <si>
    <t>QQQ</t>
  </si>
  <si>
    <t>RRR</t>
  </si>
  <si>
    <t>SSS</t>
  </si>
  <si>
    <t>TTT</t>
  </si>
  <si>
    <t>VVV</t>
  </si>
  <si>
    <t>WWW</t>
  </si>
  <si>
    <t>XXX</t>
  </si>
  <si>
    <t>YYY</t>
  </si>
  <si>
    <t>ZZZ</t>
  </si>
  <si>
    <t>LLL</t>
  </si>
  <si>
    <t>AAAA</t>
  </si>
  <si>
    <t>AAAAA</t>
  </si>
  <si>
    <t>EE</t>
  </si>
  <si>
    <t>FF</t>
  </si>
  <si>
    <t>GG</t>
  </si>
  <si>
    <t>HH</t>
  </si>
  <si>
    <t>II</t>
  </si>
  <si>
    <t>JJ</t>
  </si>
  <si>
    <t>KK</t>
  </si>
  <si>
    <t>LL</t>
  </si>
  <si>
    <t>MM</t>
  </si>
  <si>
    <t>NN</t>
  </si>
  <si>
    <t>OO</t>
  </si>
  <si>
    <t>QQ</t>
  </si>
  <si>
    <t>RR</t>
  </si>
  <si>
    <t>TT</t>
  </si>
  <si>
    <t>UU</t>
  </si>
  <si>
    <t>VV</t>
  </si>
  <si>
    <t>WW</t>
  </si>
  <si>
    <t>XX</t>
  </si>
  <si>
    <t>YY</t>
  </si>
  <si>
    <t>ZZ</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</si>
  <si>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</si>
  <si>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</si>
  <si>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</si>
  <si>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</si>
  <si>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</si>
  <si>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</si>
  <si>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</si>
  <si>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</si>
  <si>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</si>
  <si>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</si>
  <si>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</si>
  <si>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</si>
  <si>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</si>
  <si>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</si>
  <si>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</si>
  <si>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</si>
  <si>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</si>
  <si>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</si>
  <si>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</si>
  <si>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</si>
  <si>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</si>
  <si>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WWWW</t>
  </si>
  <si>
    <t>XXXX</t>
  </si>
  <si>
    <t>YYYY</t>
  </si>
  <si>
    <t>ZZZZ</t>
  </si>
  <si>
    <t>BBBBB</t>
  </si>
  <si>
    <t>CCCCC</t>
  </si>
  <si>
    <t>DDDDD</t>
  </si>
  <si>
    <t>FFFFF</t>
  </si>
  <si>
    <t>HHHHH</t>
  </si>
  <si>
    <t>LLLLL</t>
  </si>
  <si>
    <t>ZZZZZ</t>
  </si>
  <si>
    <t>QQQQQ</t>
  </si>
  <si>
    <t>WWWWW</t>
  </si>
  <si>
    <t>RRRRR</t>
  </si>
  <si>
    <t>TTTTT</t>
  </si>
  <si>
    <t>UUUUU</t>
  </si>
  <si>
    <t>IIIII</t>
  </si>
  <si>
    <t>OOOOO</t>
  </si>
  <si>
    <t>PPPPP</t>
  </si>
  <si>
    <t>JJJJJ</t>
  </si>
  <si>
    <t>AAAAAAA</t>
  </si>
  <si>
    <t>BBBBBB</t>
  </si>
  <si>
    <t>CCCCCC</t>
  </si>
  <si>
    <t>DDDDDD</t>
  </si>
  <si>
    <t>EEEEEE</t>
  </si>
  <si>
    <t>FFFFFF</t>
  </si>
  <si>
    <t>GGGGGG</t>
  </si>
  <si>
    <t>HHHHHH</t>
  </si>
  <si>
    <t>JJJJJJ</t>
  </si>
  <si>
    <t>KKKKKK</t>
  </si>
  <si>
    <t>LLLLLL</t>
  </si>
  <si>
    <t>MMMMMM</t>
  </si>
  <si>
    <t>NNNNNN</t>
  </si>
  <si>
    <t>XXXXXX</t>
  </si>
  <si>
    <t>ZZZZZZ</t>
  </si>
  <si>
    <t>SSSSSS</t>
  </si>
  <si>
    <t>WWWWWW</t>
  </si>
  <si>
    <t>QQQQQQ</t>
  </si>
  <si>
    <t>TTTTTT</t>
  </si>
  <si>
    <t>YYYYYY</t>
  </si>
  <si>
    <t>GGGGGGG</t>
  </si>
  <si>
    <t>GGGGG</t>
  </si>
  <si>
    <t>KKKKK</t>
  </si>
  <si>
    <t>XXXXX</t>
  </si>
  <si>
    <t>BBC</t>
  </si>
  <si>
    <t>CCD</t>
  </si>
  <si>
    <t>DDE</t>
  </si>
  <si>
    <t>AAE</t>
  </si>
  <si>
    <t>RESPUESTAS SIGNIFICATIVAS</t>
  </si>
  <si>
    <t>HP</t>
  </si>
  <si>
    <t>IA</t>
  </si>
  <si>
    <t>EM</t>
  </si>
  <si>
    <t>SP</t>
  </si>
  <si>
    <t>CA</t>
  </si>
  <si>
    <t>EA</t>
  </si>
  <si>
    <t>VP</t>
  </si>
  <si>
    <t>EX</t>
  </si>
  <si>
    <t>AD</t>
  </si>
  <si>
    <t>AS</t>
  </si>
  <si>
    <t>INSTRUCCIONES</t>
  </si>
  <si>
    <t>A continuación figuran frases que pueden describir los sentimientos y actitudes de las personas. Lea cuidadosamente cada frase y responda con la mayor sinceridad posible. No se preocupe si algunas frases le parecen poco frecuentes, describen los sentimientos y actitudes de personas con distintos problemas.</t>
  </si>
  <si>
    <t>RESPONDA CON LA MAYOR SINCERIDAD Y SERIEDAD POSIBLE.</t>
  </si>
  <si>
    <t>DATOS DEL SUJETO</t>
  </si>
  <si>
    <t>/</t>
  </si>
  <si>
    <t xml:space="preserve">Sexo: </t>
  </si>
  <si>
    <t>Seleccione cuáles son los dos problemas que más le preocupan o molestan, escriba el número 1 en la casilla que corresponda a su mayor problema, y el número 2 en la casilla que corresponda a su segundo mayor problema:</t>
  </si>
  <si>
    <t>Conyugal o familiar</t>
  </si>
  <si>
    <t>Cambios de humor</t>
  </si>
  <si>
    <t>Alcohol</t>
  </si>
  <si>
    <t>Comportamiento antisocial</t>
  </si>
  <si>
    <t>Laboral o académico</t>
  </si>
  <si>
    <t>Confianza en mí mismo</t>
  </si>
  <si>
    <t>Drogas</t>
  </si>
  <si>
    <t>Otro</t>
  </si>
  <si>
    <t>Soledad</t>
  </si>
  <si>
    <t>Enfermedad o cansancio</t>
  </si>
  <si>
    <t>Sexualidad</t>
  </si>
  <si>
    <t>DATOS DE LA APLICACIÓN</t>
  </si>
  <si>
    <t>Examinador:</t>
  </si>
  <si>
    <t>Marque la duración del episodio más reciente:</t>
  </si>
  <si>
    <t>Soltero</t>
  </si>
  <si>
    <t>Separado</t>
  </si>
  <si>
    <t>Viviendo en pareja (sin estar casado)</t>
  </si>
  <si>
    <t>Casado</t>
  </si>
  <si>
    <t>Divorciado</t>
  </si>
  <si>
    <t>Casado más de una vez</t>
  </si>
  <si>
    <t>Viudo</t>
  </si>
  <si>
    <t>Paciente ambulatorio sin hospitalización previa</t>
  </si>
  <si>
    <t>Paciente ambulatorio con hospitalización previa</t>
  </si>
  <si>
    <t>Paciente ingresado en hospital psiquiátrico</t>
  </si>
  <si>
    <t>Paciente ingresado en hospital general</t>
  </si>
  <si>
    <t>Paciente en centro penitenciario</t>
  </si>
  <si>
    <t>Paciente en clínica universitaria</t>
  </si>
  <si>
    <t>Proceso Penal</t>
  </si>
  <si>
    <t>&lt; 1 semana</t>
  </si>
  <si>
    <t>1-4 semanas</t>
  </si>
  <si>
    <t>1-3 meses</t>
  </si>
  <si>
    <t>3 meses-1 año</t>
  </si>
  <si>
    <t>1-3 años (cíclico)</t>
  </si>
  <si>
    <t>1-3 años (continuo)</t>
  </si>
  <si>
    <t>3-7 años (cíclico)</t>
  </si>
  <si>
    <t>Más de 7 años</t>
  </si>
  <si>
    <t>No aplicable</t>
  </si>
  <si>
    <t>7 años (continuo)</t>
  </si>
  <si>
    <t>N° de C.I:</t>
  </si>
  <si>
    <t>Varón</t>
  </si>
  <si>
    <t>Mujer</t>
  </si>
  <si>
    <t>Urbano</t>
  </si>
  <si>
    <t>Fecha de aplicación:</t>
  </si>
  <si>
    <t>Población Española</t>
  </si>
  <si>
    <t>Población EEUU</t>
  </si>
  <si>
    <t>SB</t>
  </si>
  <si>
    <t xml:space="preserve">Fecha de nacimiento : </t>
  </si>
  <si>
    <t>Edgar Espinoza Jimenez</t>
  </si>
  <si>
    <t>El MCMI-IV se ha diseñado para evaluar a adultos que buscan atención o tratamiento psicológico. No es, por tanto, un instrumento de evaluación de la personalidad general para población no clínica. Por ello, solo debe utilizarse el MCMI-IV con poblaciones que no difieran notablemente de los sujetos de la muestra en la que se basan los baremos (p. ej., no es apropiado para adolescentes o poblaciones no clínicas). El informe del MCMI-IV no puede interpretarse de forma aislada y debe integrarse con otras fuentes de información. La interpretación del MCMI-IV la debe llevar a cabo un profesional de la salud mental con experiencia en evaluación psicológica.</t>
  </si>
  <si>
    <t>PATRONES DE PERSONALIDAD</t>
  </si>
  <si>
    <t>Los siguientes apartados se refieren a los rasgos de personalidad persistentes y generalizados que subyacen a las dificultades emocionales, cognitivas e interpersonales de este evaluado(a). En lugar de centrarse en los síntomas mayormente transitorios que conforman los síndromes clínicos, esta sección se concentra en sus estilos más habituales y desadaptativos de relacionarse, comportarse, pensar y sentir.</t>
  </si>
  <si>
    <t>ASPECTOS DE INTERPRETACIÓN</t>
  </si>
  <si>
    <t>conyugal o familiar</t>
  </si>
  <si>
    <t>cambios de humor</t>
  </si>
  <si>
    <t>alcohol</t>
  </si>
  <si>
    <t>comportamiento antisocial</t>
  </si>
  <si>
    <t>drogas</t>
  </si>
  <si>
    <t>soledad</t>
  </si>
  <si>
    <t>enfermedad o cansancio</t>
  </si>
  <si>
    <t>sexualidad</t>
  </si>
  <si>
    <t>Interpers. Desvinculado</t>
  </si>
  <si>
    <t>Interpers. Aversivo</t>
  </si>
  <si>
    <t>Interpers. Sumiso</t>
  </si>
  <si>
    <t>SÍNDROMES CLÍNICOS</t>
  </si>
  <si>
    <t>CONSIDERACIONES DIAGNÓSTICAS DSM-5®</t>
  </si>
  <si>
    <t>Síndromes Clínicos</t>
  </si>
  <si>
    <t>Trastornos</t>
  </si>
  <si>
    <t xml:space="preserve">Codigo DSM 5 ® </t>
  </si>
  <si>
    <t>Trastorno de la personalidad esquizoide</t>
  </si>
  <si>
    <t>Trastorno de la personalidad evitativa</t>
  </si>
  <si>
    <t>Otro trastorno de la personalidad especificado (Patrón Melancólico)</t>
  </si>
  <si>
    <t>Trastorno de la personalidad dependiente</t>
  </si>
  <si>
    <t>Trastorno de la personalidad histriónica</t>
  </si>
  <si>
    <t>Otro trastorno de la personalidad especificado (Patrón Tempestuoso)</t>
  </si>
  <si>
    <t>Trastorno de la personalidad narcisista</t>
  </si>
  <si>
    <t>Trastorno de la personalidad antisocial</t>
  </si>
  <si>
    <t>Otro trastorno de la personalidad especificado (Patrón Sádico)</t>
  </si>
  <si>
    <t>Trastorno de la personalidad obsesivo-compulsiva</t>
  </si>
  <si>
    <t>Otro trastorno de la personalidad especificado (Patrón Negativista)</t>
  </si>
  <si>
    <t>Otro trastorno de la personalidad especificado (Patrón Masoquista)</t>
  </si>
  <si>
    <t>Trastorno de la personalidad esquizotípica</t>
  </si>
  <si>
    <t>Trastorno de la personalidad límite</t>
  </si>
  <si>
    <t>Trastorno de la personalidad paranoide</t>
  </si>
  <si>
    <t>Trastorno de ansiedad generalizada</t>
  </si>
  <si>
    <t>Trastorno de síntomas somáticos</t>
  </si>
  <si>
    <t>Trastorno de estrés postraumático</t>
  </si>
  <si>
    <t>Trastorno de depresión mayor</t>
  </si>
  <si>
    <t>Trastorno bipolar</t>
  </si>
  <si>
    <t>Trastorno depresivo persistente (Distimia)</t>
  </si>
  <si>
    <t>Trastorno por consumo de alcohol</t>
  </si>
  <si>
    <t>Trastorno por consumo de sustancias</t>
  </si>
  <si>
    <t>Esquizofrenia</t>
  </si>
  <si>
    <t>Trastorno delirante</t>
  </si>
  <si>
    <t>301.0 (F60.0)</t>
  </si>
  <si>
    <t xml:space="preserve"> 301.20 (F60.1)</t>
  </si>
  <si>
    <t xml:space="preserve">301.22 (F21) </t>
  </si>
  <si>
    <t>301.7 (F60,2)</t>
  </si>
  <si>
    <t>301.83 (F60.3)</t>
  </si>
  <si>
    <t>301.50 (F60.4)</t>
  </si>
  <si>
    <t>301.81 (F60.81)</t>
  </si>
  <si>
    <t>301.82 (F60.6)</t>
  </si>
  <si>
    <t>301.6 (F60.7)</t>
  </si>
  <si>
    <t>301.4 (F60.5)</t>
  </si>
  <si>
    <t xml:space="preserve">301.89 (F60.89) </t>
  </si>
  <si>
    <t>300.02 (F41.1)</t>
  </si>
  <si>
    <t>300.82 (F45.1)</t>
  </si>
  <si>
    <t>300.4 (F34.1)</t>
  </si>
  <si>
    <t>296.43 (F31.13)</t>
  </si>
  <si>
    <t>296.23 (F32.2)</t>
  </si>
  <si>
    <t>309.81 (F43.10)</t>
  </si>
  <si>
    <t>303.90 (F10.20)</t>
  </si>
  <si>
    <t>304.30 (F12.20)</t>
  </si>
  <si>
    <t>297.1 (F22)</t>
  </si>
  <si>
    <t>295.90 (F20.9)</t>
  </si>
  <si>
    <t>Trastornos de la personalidad</t>
  </si>
  <si>
    <t>Los patrones duraderos y consistentes de funcionamiento psicológico desadaptativo explican la forma en que la persona percibe la realidad, se relaciona con los demás y regula sus emociones. Estos rasgos conforman la base estructural de su modo de ser y están en el origen de las manifestaciones clínicas observadas. En este caso, los siguientes prototipos de personalidad se relacionan con los diagnósticos más probables del DSM-5.</t>
  </si>
  <si>
    <t>Trastorno de personalidad</t>
  </si>
  <si>
    <t>Tipo de personalidad</t>
  </si>
  <si>
    <t>Estilo de personalidad</t>
  </si>
  <si>
    <t>Tipo de personalidad esquizoide</t>
  </si>
  <si>
    <t>Tipo de personalidad evitativa</t>
  </si>
  <si>
    <t>Tipo de personalidad especificado (Patrón Melancólico)</t>
  </si>
  <si>
    <t>Tipo de personalidad dependiente</t>
  </si>
  <si>
    <t>Tipo de personalidad histriónica</t>
  </si>
  <si>
    <t>Tipo de personalidad especificado (Patrón Tempestuoso)</t>
  </si>
  <si>
    <t>Tipo de personalidad narcisista</t>
  </si>
  <si>
    <t>Tipo de personalidad antisocial</t>
  </si>
  <si>
    <t>Tipo de personalidad especificado (Patrón Sádico)</t>
  </si>
  <si>
    <t>Tipo de personalidad obsesivo-compulsiva</t>
  </si>
  <si>
    <t>Tipo de personalidad especificado (Patrón Negativista)</t>
  </si>
  <si>
    <t>Tipo de personalidad especificado (Patrón Masoquista)</t>
  </si>
  <si>
    <t>Estilo de personalidad esquizoide</t>
  </si>
  <si>
    <t>Estilo de personalidad evitativa</t>
  </si>
  <si>
    <t>Estilo de personalidad especificado (Patrón Melancólico)</t>
  </si>
  <si>
    <t>Estilo de personalidad dependiente</t>
  </si>
  <si>
    <t>Estilo de personalidad histriónica</t>
  </si>
  <si>
    <t>Estilo de personalidad narcisista</t>
  </si>
  <si>
    <t>Estilo de personalidad antisocial</t>
  </si>
  <si>
    <t>Estilo de personalidad especificado (Patrón Sádico)</t>
  </si>
  <si>
    <t>Estilo de personalidad obsesivo-compulsiva</t>
  </si>
  <si>
    <t>Estilo de personalidad especificado (Patrón Negativista)</t>
  </si>
  <si>
    <t>Estilo de personalidad especificado (Patrón Masoquista)</t>
  </si>
  <si>
    <t>Fin del informe</t>
  </si>
  <si>
    <t>Copyright @ 2020 DICANDRIEN, Inc. All rights reserved.</t>
  </si>
  <si>
    <r>
      <rPr>
        <b/>
        <sz val="10"/>
        <color theme="1"/>
        <rFont val="Daytona"/>
        <family val="2"/>
      </rPr>
      <t xml:space="preserve">Pearson, </t>
    </r>
    <r>
      <rPr>
        <sz val="10"/>
        <color theme="1"/>
        <rFont val="Daytona"/>
        <family val="2"/>
      </rPr>
      <t>the PSI logo, and PsychCorp are trademarks in the U.S. and/or other countries of Pearson Education, Inc., or its affiliate(s). MCMI</t>
    </r>
  </si>
  <si>
    <r>
      <t>and MIllon are registered trademarks of DICANDRIEN, Inc</t>
    </r>
    <r>
      <rPr>
        <b/>
        <sz val="10"/>
        <color theme="1"/>
        <rFont val="Daytona"/>
        <family val="2"/>
      </rPr>
      <t>. DSM-5</t>
    </r>
    <r>
      <rPr>
        <sz val="10"/>
        <color theme="1"/>
        <rFont val="Daytona"/>
        <family val="2"/>
      </rPr>
      <t xml:space="preserve"> is a registered trademark of the American Psychiatric Association.</t>
    </r>
  </si>
  <si>
    <t>Tipo de personalidad Esquizotípico</t>
  </si>
  <si>
    <t>Tipo de personalidad Límite</t>
  </si>
  <si>
    <t>Tipo de personalidad Paranoide</t>
  </si>
  <si>
    <t>Estilo de personalidad Esquizotípico</t>
  </si>
  <si>
    <t>Estilo de personalidad Límite</t>
  </si>
  <si>
    <t>Estilo de personalidad Paranoide</t>
  </si>
  <si>
    <t>sin estudios</t>
  </si>
  <si>
    <t>educación primaria</t>
  </si>
  <si>
    <t>educación secundaria</t>
  </si>
  <si>
    <t>bachillerato superior o formación profesional</t>
  </si>
  <si>
    <t>diplomatura, licenciatura o titulaciones superiores</t>
  </si>
  <si>
    <t>Los síndromes clínicos que se presentan deben entenderse como trastornos integrados en el contexto de los patrones de personalidad del evaluado. Estos síndromes representan estados en los que se manifiesta un proceso patológico activo, a menudo acelerado por acontecimientos externos o situaciones estresantes. Clínicamente, estos síndromes se consideran ampliaciones o distorsiones del estilo básico de personalidad. Durante los periodos de malestar psicológico, los síndromes clínicos exageran, realzan y acentúan las características de la estructura de personalidad básica.</t>
  </si>
  <si>
    <t>FACETAS DE GROSSMAN CON LA PUNTUACIÓN MAS ALTA</t>
  </si>
  <si>
    <t>Dinámicas de proyección</t>
  </si>
  <si>
    <t>Ha respondido a los siguientes ítems en el sentido indicado entre paréntesis. Estos ítems pertenecen a categorías específicas y sugieren problemas que el profesional puede analizar en mayor profundidad.</t>
  </si>
  <si>
    <t>Al examinar las puntuaciones elevadas obtenidas en las escalas de patrones de personalidad clínicos y de patología grave de la personalidad de la Escala de Facetas de Grossman, es posible identificar los ámbitos funcionales y estructurales más problemáticos o clínicamente significativos (por ejemplo, la autoimagen o la conducta interpersonal). Un análisis minucioso de las puntuaciones de esta persona en las escalas de facetas sugiere que las siguientes características se encuentran entre sus rasgos de personalidad más destacados.</t>
  </si>
  <si>
    <t>ESCALAS DE FACETAS DE GROSSMAN</t>
  </si>
  <si>
    <t>AUXILIARES — IDENTIFICACIÓN DINÁMICA DE ESCALAS</t>
  </si>
  <si>
    <t>Esc 1ª (código):</t>
  </si>
  <si>
    <t>Esc 1ª (TB):</t>
  </si>
  <si>
    <t>Esc 2ª (código):</t>
  </si>
  <si>
    <t>Esc 2ª (TB):</t>
  </si>
  <si>
    <t>Esc 3ª (código):</t>
  </si>
  <si>
    <t>Esc 3ª (TB):</t>
  </si>
  <si>
    <t>Máx S/C/P (TB):</t>
  </si>
  <si>
    <t>Grave dominante:</t>
  </si>
  <si>
    <t>Nº esc ≥ 75:</t>
  </si>
  <si>
    <t>Nº esc ≥ 60:</t>
  </si>
  <si>
    <t>Patón clín 1ª (cód):</t>
  </si>
  <si>
    <t>Patón clín 1ª (TB):</t>
  </si>
  <si>
    <t>Patón clín 2ª (cód):</t>
  </si>
  <si>
    <t>Patón clín 2ª (TB):</t>
  </si>
  <si>
    <t>Patón clín 3ª (cód):</t>
  </si>
  <si>
    <t>Patón clín 3ª (TB):</t>
  </si>
  <si>
    <t>Slot top-4 (código)</t>
  </si>
  <si>
    <t>Faceta TB+tiebreak</t>
  </si>
  <si>
    <t>Total facetas ≥1 elevadas</t>
  </si>
  <si>
    <t>Código faceta</t>
  </si>
  <si>
    <t>Descripción narrativa Pearson</t>
  </si>
  <si>
    <t>una evitación de las actividades que suponen relaciones personales estrechas, sobre un sustrato de ansiedad social y desconfianza; busca la aceptación, no obstante se muestra poco dispuesto a implicarse en los vínculos a menos que tenga la certeza de agradar, en la medida en que mantiene la distancia para preservar su privacidad y evitar la vergüenza y la humillación</t>
  </si>
  <si>
    <t>una representación de sí mismo como socialmente inepto, incompetente e inferior, lo cual justifica a sus ojos el aislamiento y el rechazo recibido; se percibe personalmente poco atractivo, subestima sus logros y experimenta una persistente sensación de vacío</t>
  </si>
  <si>
    <t>una búsqueda activa de elogios y la manipulación de los demás para obtener la seguridad, atención y aprobación que necesita; tiende a mostrarse exigente, coqueto, engreído y seductoramente exhibicionista, en particular cuando quiere ser el centro de atención</t>
  </si>
  <si>
    <t>una representación de sí mismo como una fuerza imponente, inspiradora y vigorosa, cuya energía omnipresente activa y estimula a los demás; tiende a creerse invencible y capaz de emprender y lograr más de lo objetivamente posible</t>
  </si>
  <si>
    <t>una disposición a actuar como persona desleal en la que no se puede confiar, que incumple o elude deliberadamente sus obligaciones personales, no respeta a los demás y vulnera sus derechos; sus conductas engañosas e ilegales conllevan la transgresión de los códigos sociales establecidos</t>
  </si>
  <si>
    <t>una percepción de sí mismo como libre tanto de las restricciones de las normas sociales como de la obligación de mantenerse leal a otras personas; valora la idea de libertad y disfruta sintiéndose sin responsabilidades, en tanto que siente que no está limitado por personas, lugares, obligaciones o rutinas</t>
  </si>
  <si>
    <t>una evitación de las tensiones internas a través de la expresión sin limitación de pensamientos ofensivos y la realización de acciones malintencionadas; no transforma los impulsos socialmente repulsivos en formas sublimadas, sino que los libera directa e impetuosamente, por lo general al margen del sentimiento de culpa y del remordimiento</t>
  </si>
  <si>
    <t>una gratificación psicológica inmediata al intimidar, coaccionar, humillar o menospreciar a los demás; tiende a ser ofensivo verbalmente y, posiblemente, agresivo física o sexualmente</t>
  </si>
  <si>
    <t>una vida muy estructurada y estrictamente organizada, en una conducta estricta y responsable y en la necesidad de mantener las emociones bajo control; su búsqueda del perfeccionismo puede resultar limitante y dificultar la realización completa de las tareas habituales</t>
  </si>
  <si>
    <t>una construcción del mundo en términos de reglas, normas, planificaciones y jerarquías sociales; tiende a ser inflexible y obstinado respecto al cumplimiento de las normas convencionales y, ante situaciones inciertas, a menudo acaba bloqueado, incapaz de tomar una decisión</t>
  </si>
  <si>
    <t>una representación de sí mismo como incomprendido, desafortunado, poco valorado y menospreciado por los demás; reconoce su propio resentimiento, insatisfacción y desilusión con la vida, en tanto que experimenta envidia y rencor hacia quienes considera que tienen una vida más fácil</t>
  </si>
  <si>
    <t>una tendencia a sentir placer cuando la reacción más apropiada sería el dolor y dolor cuando la más adecuada sería el placer; esta transposición recurrente de la gratificación de las necesidades se traduce, por consiguiente, en frustración y, en ocasiones, en autosabotaje</t>
  </si>
  <si>
    <t>una maraña de recuerdos diversos, impulsos erráticos y canales desorganizados de regulación de la tensión; esta mezcla casi aleatoria de objetos, impulsos y pensamientos vuelve ineficaz y desorganizada la regulación de tensiones, necesidades y objetivos</t>
  </si>
  <si>
    <t>una confusión generada por un sentido de la identidad inmaduro, indefinido o fluctuante, con sentimientos subyacentes de vacío; aparenta una incapacidad para elegir un rumbo o rol a partir del cual formarse un sentido de sí mismo homogéneo y duradero, en tanto que tiende a redimir los actos impulsivos con expresiones de remordimiento y conductas autopunitivas</t>
  </si>
  <si>
    <t>Código síndrome</t>
  </si>
  <si>
    <t>Etiqueta de cuadro</t>
  </si>
  <si>
    <t>de ansiedad generalizada</t>
  </si>
  <si>
    <t>de síntomas somáticos</t>
  </si>
  <si>
    <t>del espectro bipolar</t>
  </si>
  <si>
    <t>de depresión persistente</t>
  </si>
  <si>
    <t>de consumo de alcohol</t>
  </si>
  <si>
    <t>de consumo de sustancias</t>
  </si>
  <si>
    <t>de estrés postraumático</t>
  </si>
  <si>
    <t>del espectro esquizofrénico</t>
  </si>
  <si>
    <t>de depresión mayor</t>
  </si>
  <si>
    <t>delirante</t>
  </si>
  <si>
    <t>una tendencia a humillarse y a considerarse merecedor de deshonras, reproches y menosprecios; tiende a centrarse en sus peores características y, ante elogios o reconocimientos, suele considerarlos observaciones erróneas, en tanto que ante el incumplimiento de expectativas siente que merece consecuencias dolorosas</t>
  </si>
  <si>
    <t>una disposición a permanecer indiferente y distante respecto de las acciones y sentimientos ajenos, con preferencia por las actividades solitarias y un mínimo interés por las demás personas; tiende a situarse en un segundo plano y a asumir un papel secundario en los ámbitos social, escolar y familiar, sin establecer ni desear vínculos estrechos</t>
  </si>
  <si>
    <t>una carencia de representaciones objetales interiorizadas, que se encuentran mínimamente articuladas y, en su mayoría, vacías de las percepciones y recuerdos propios de las relaciones con los demás, todo lo cual deriva en una escasa interacción dinámica entre los impulsos psíquicos y los conflictos</t>
  </si>
  <si>
    <t>una actitud derrotista y fatalista ante prácticamente todo y una tendencia a ver el lado más adverso de las cosas y a esperar lo peor; tiende a sentirse agobiado, desanimado y abatido, en tanto que su interpretación de los acontecimientos resulta consistentemente pesimista</t>
  </si>
  <si>
    <t>una representación de sí mismo como alguien que no vale nada, insignificante e irrelevante, sobre un sustrato de tristeza generalizada; el menor error puede sumirlo en un estado profundo de desánimo, en la medida en que se ve a sí mismo como alguien que merece ser criticado y menospreciado</t>
  </si>
  <si>
    <t>una disposición optimista y animada en los vínculos sociales, junto con el intento de atraer a los demás mediante un entusiasmo contagioso; no obstante, bajo presión o en estados eufóricos puede volverse entrometido, autoritario e innecesariamente intruso</t>
  </si>
  <si>
    <t>una imaginación expansiva y un pensamiento centrado en fantasías inmaduras de éxito, belleza o amor; la realidad objetiva lo limita poco, en la medida en que hace su propia interpretación de los hechos y, en ocasiones, los distorsiona para sostener las fantasías sobre sí mismo</t>
  </si>
  <si>
    <t>una suspicacia permanente respecto de las intenciones de los demás y una tendencia a interpretar erróneamente acciones inofensivas como pruebas de hipocresía o de conspiración; capta cualquier detalle por trivial que sea, lo magnifica y lo distorsiona para confirmar sus peores expectativas</t>
  </si>
  <si>
    <t>una no aceptación de sus cualidades e intenciones despreciables, que atribuye a los demás; permanece ciego a su propia conducta y a sus rasgos indeseables, en tanto que advierte los defectos más intrascendentes de los otros, sobre un sustrato de susceptibilidad e irritabilidad que lo mantiene siempre dispuesto a descalificar y a menospreciar a quienes considera sospechosos</t>
  </si>
  <si>
    <t>una insensibilidad innata y una frialdad afectiva, con pocas necesidades afectivas o sexuales y una aparente incapacidad para experimentar placer, tristeza o ira con cierta intensidad</t>
  </si>
  <si>
    <t>una serie de representaciones interiorizadas compuestas de recuerdos de relaciones tempranas problemáticas, intensos y conflictivos, que se reactivan fácilmente; por consiguiente, dispone de limitadas opciones para sentir satisfacción o evocar momentos satisfactorios, así como de pocos mecanismos para canalizar sus necesidades o evitar los estresores externos</t>
  </si>
  <si>
    <t>un estado apenado y malhumorado, intensificado por su tendencia a preocuparse, ver el lado negativo de todo y sentirse culpable; puede relacionarse con los demás, si bien lo hace de manera mecánica y con poco entusiasmo, todo lo cual merma su capacidad de disfrutar de la vida</t>
  </si>
  <si>
    <t>una desvinculación de las responsabilidades propias de los adultos; tiende a ser dócil y pasivo, muestra escasas capacidades funcionales y evita la asertividad, en la medida en que carece de la seguridad propia de la madurez y busca el afecto, la atención y la protección de los demás a la manera infantil</t>
  </si>
  <si>
    <t>una entrega ante figuras más fuertes y protectoras, sin las cuales puede sentirse angustiadamente solo y desvalido; necesita recibir consejos y seguridad de forma constante y se muestra obediente, transigente y conciliador, en tanto que teme quedarse sin nadie que se ocupe de él</t>
  </si>
  <si>
    <t>una representación de sí mismo como débil, frágil e incompetente, sobre un sustrato de menosprecio de las propias capacidades; carece de confianza para actuar por sí solo, si bien gran parte de esta autodevaluación opera, al margen de la conciencia, como una estrategia para obtener elogios y apoyo de los demás</t>
  </si>
  <si>
    <t>una reactividad voluble, provocadora y cautivadora; tiende a ser caprichoso, a entusiasmarse con facilidad y a no tolerar los fracasos, los retrasos ni las desilusiones, de manera que reacciona de forma impulsiva, teatral y emocionalmente intensa, en tanto que se siente atraído por las experiencias estimulantes y las situaciones de novedad</t>
  </si>
  <si>
    <t>una sensibilidad emocional y la expresión de sentimientos, positivos y negativos, que cambian con facilidad; pasa con rapidez de la alegría y el entusiasmo a la impulsividad, el enfado o el aburrimiento, sobre un alto nivel de activación autónoma</t>
  </si>
  <si>
    <t>una conducta enérgica, decidida, emocionalmente excitable y entusiasta, sobre un sustrato de vitalidad sostenida y una inquietud que rara vez se aplaca; este ánimo sostenido, no obstante, no se traduce necesariamente en logros efectivos y, cuando esto sucede, puede derivar en obstinación con los demás y en conductas cáusticas o agresivas</t>
  </si>
  <si>
    <t>un sentido de privilegio, una falta de empatía y la expectativa de favores especiales a cambio de nada; no valora a los demás y los utiliza abiertamente para satisfacer sus propios deseos y destacar</t>
  </si>
  <si>
    <t>una representación de sí mismo como elogiable, especial, único y digno de toda admiración; actúa con grandiosidad y seguridad en sí mismo, a menudo sin que existan motivos objetivos para hacerlo, en tanto que sostiene una autoestima elevada a pesar de que los demás puedan percibirlo como egocéntrico, desconsiderado y arrogante</t>
  </si>
  <si>
    <t>una falta de sensibilidad hacia los demás y una inclinación a discutir y polemizar, con reacciones de arrebatos repentinos, inesperados e injustificados; se muestra impasible ante el dolor y poco intimidado por los peligros o castigos, en tanto que ante insultos u ofensas se inclina a actuar por venganza</t>
  </si>
  <si>
    <t>una energía interior de naturaleza agresiva o sexual que se va acumulando y acaba manifestándose en arrebatos impetuosos que amenazan con desbordar el autocontrol; experiencias dolorosas tempranas han dado lugar a emociones residuales que expresa con inmediatez y de forma persistente</t>
  </si>
  <si>
    <t>una representación de sí mismo como eficiente, disciplinado, meticuloso y diligente, sobre un sustrato de dedicación al trabajo y a las responsabilidades; tiende a restar importancia a las actividades recreativas y de ocio, en tanto que teme ser visto como irresponsable o como alguien que no cumple las expectativas de los demás</t>
  </si>
  <si>
    <t>una resistencia a cumplir las expectativas de los demás, con tendencia a la dilación, la ineficiencia, la obstinación y el oposicionismo; al margen de la conciencia, exterioriza una satisfacción al socavar los placeres y aspiraciones ajenos</t>
  </si>
  <si>
    <t>un estado malhumorado, obstinado y resentido, con una baja tolerancia a la frustración; fácilmente se exaspera ante lo que hacen los demás, en tanto que tiende a replegarse huraño y en silencio</t>
  </si>
  <si>
    <t>un estado oscilante entre la ansiedad y la inquietud y el ánimo apenado y triste; experimenta angustia y tormento con frecuencia, en tanto que tiende a mostrarse deliberadamente quejumbroso y melancólico para provocar sentimientos de culpa y malestar en los demás</t>
  </si>
  <si>
    <t>una mezcla de la comunicación social con irrelevancias personales, lenguaje circunstancial, ideas de referencia y comentarios metafóricos al margen; tiende a mostrarse absorto en sí mismo y sumido en sus fantasías, con un ocasional pensamiento mágico, ilusiones corporales y distorsión entre realidad y fantasía</t>
  </si>
  <si>
    <t>una estructura psíquica interior inconsistente e incongruente, caracterizada por una inusual combinación de elementos claramente segmentados; los niveles de conciencia pueden cambiar de repente y dar lugar a percepciones, recuerdos y afectos opuestos, todo lo cual potencialmente conlleva episodios psicóticos breves relacionados con el estrés</t>
  </si>
  <si>
    <t>una inestabilidad emocional con un estado de ánimo poco acorde a la realidad; el desánimo y la apatía crónicos se intercalan con periodos breves de ira, euforia o ansiedad, en tanto que puede predominar un componente depresivo autocompasivo que da paso periódicamente a una agitación ansiosa o a arrebatos impulsivos</t>
  </si>
  <si>
    <t>una actitud constante de alerta, cautela y desconfianza para protegerse anticipadamente de los engaños y la malicia de los demás; es tenaz y se resiste con firmeza a las influencias externas y a ser controlado, en tanto que se muestra tenso e inquieto, con una actitud defensiva que lo lleva a reaccionar bruscamente ante la mínima ofensa real o percibida</t>
  </si>
  <si>
    <t>una preocupación frecuente por su mala salud y por toda una serie de dolores desmesurados pero en gran medida inespecíficos en distintas partes del cuerpo; tiende a interpretar los periodos persistentes de fatiga o las molestias físicas de poca importancia como indicadores de enfermedades graves y, cuando realmente padece alguna enfermedad, a sobrevalorarla pese a que los médicos le digan que puede estar tranquilo, en la medida en que utiliza los problemas somáticos para llamar la atención</t>
  </si>
  <si>
    <t>una historia probable de alcoholismo recurrente o reciente y la dificultad para superar el problema, en virtud de la cual el evaluado(a) se siente muy mal en el ámbito familiar y laboral</t>
  </si>
  <si>
    <t>una historia probable de drogadicción recurrente o reciente, en la medida en que le suele costar reprimir sus impulsos o mantenerlos dentro de los límites sociales convencionales y, en muchos casos, una incapacidad para gestionar las consecuencias personales de su conducta</t>
  </si>
  <si>
    <t>conductas incongruentes, desorganizadas o regresivas que aparecen periódicamente, en las que a menudo parece confuso y desorientado, con afectos inapropiados, alucinaciones aisladas y delirios no sistemáticos; sus pensamientos pueden estar fragmentados o ser extraños y sus sentimientos aplanados, en tanto que tiende a sentirse aislado de los demás e incomprendido, con conductas retraídas, solitarias y reservadas</t>
  </si>
  <si>
    <t>un estado paranoide agudo en el que periódicamente puede mostrar agresividad y expresar delirios irracionales pero interconectados, de temática celosa, persecutoria o de grandeza; presenta indicios de alteración del pensamiento e ideas de referencia, así como recelo y vigilancia constante ante una posible traición, en el contexto de un estado de ánimo hostil, en la medida en que se siente acosado y maltratado por los demás</t>
  </si>
  <si>
    <t>un estado generalizado de tensión que se traduce en la incapacidad de relajarse, en movimientos nerviosos y en una tendencia a reaccionar y sobresaltarse fácilmente, sobre un sustrato de quejas frecuentes por molestias físicas de distinto tipo (dolores musculares mal definidos, sudoración excesiva, náuseas), junto con inquietud y temor por problemas que cree inminentes, un estado de alerta excesivo hacia todo lo que lo rodea y una irritabilidad generalizada</t>
  </si>
  <si>
    <t>una participación en la vida diaria pero, durante años, con angustia, sentimientos de desánimo o culpa, falta de iniciativa, apatía y baja autoestima, así como expresiones frecuentes de inutilidad y comentarios autodenigrantes; durante los periodos depresivos pueden observarse muchos momentos de llanto, ideación suicida, visión pesimista del futuro, aislamiento social, falta de apetito o apetito excesivo, fatiga crónica, falta de concentración y una notable pérdida de interés por las actividades placenteras, todo lo cual contribuye a que el evaluado(a) lleve a cabo las tareas cotidianas con menor eficacia</t>
  </si>
  <si>
    <t>la vivencia o el haber presenciado un acontecimiento relacionado con la muerte o con lesiones graves, ya sea real o amenaza, que le ha causado un miedo intenso, sentimientos de impotencia u horror; estos acontecimientos traumáticos se reviven a menudo a través de sueños, pesadillas o recuerdos que producen mucho malestar y ansiedad, en el contexto de síntomas de activación ansiosa, como los sobresaltos exagerados y la hipervigilancia, así como del esfuerzo por evitar todo aquello que asocia con el trauma</t>
  </si>
  <si>
    <t>una incapacidad para funcionar en un entorno normal, una visión pesimista del futuro, ideación suicida y un sentimiento generalizado de resignación sin esperanza, con miedos repetitivos y un estado meditabundo; físicamente puede observarse un notable deterioro motor o, por el contrario, una inquietud incesante con lamentos sobre su deplorable estado, así como insomnio, una sensación de cansancio acentuado y pérdida o ganancia de peso</t>
  </si>
  <si>
    <t>la experiencia de síntomas que pueden ir desde rasgos ciclotímicos hasta cuadros bipolares de mayor gravedad, con periodos de euforia superficial, autoestima exagerada, hiperactividad y falta de atención, nerviosismo, presión del habla, impulsividad e irritabilidad; actúa con un entusiasmo poco selectivo, planifica en exceso objetivos poco realistas y es entrometido, cuando no dominante y exigente, en las relaciones interpersonales, en tanto que necesita dormir menos, tiene fugas de ideas y cambios de humor rápidos e inestables, todo lo cual, en los casos extremos, puede dar lugar a procesos psicóticos, como delirios y alucinaciones</t>
  </si>
  <si>
    <t>Estas últimas semanas me he sentido cada vez más triste.</t>
  </si>
  <si>
    <t>Si está de acuerdo con una frase o cree que le describe, marque en la casilla V (Verdadero). Si no está de acuerdo con una frase o cree que no le describe, marque con una «X» la casilla F (Falso). Intente responder a todas las frases, aunque no esté seguro de su respuesta. Si después de intentarlo no es capaz de decidir su respuesta, marque en la casilla F (Falso). No hay un límite de tiempo para responder, pero lo mejor es hacerlo tan rápidamente como le resulte cómodo.</t>
  </si>
  <si>
    <t>Algunas veces puedo ser bastante duro y desagradable con mi familia.</t>
  </si>
  <si>
    <t>Me da miedo hacerme muy amigo de alguien, porque podría acabar sintiéndome ridiculizado o avergonzado.</t>
  </si>
  <si>
    <t>Hace unos años comencé a sentirme un fracasado.</t>
  </si>
  <si>
    <t>En el pasado me corté o autolesioné a propósito.</t>
  </si>
  <si>
    <t>A menudo dejo que los demás tomen mis decisiones importantes.</t>
  </si>
  <si>
    <t>Observo atentamente a mi familia para saber en quién se puede confiar y en quién no.</t>
  </si>
  <si>
    <t>Repito ciertos comportamientos una y otra vez, algunas veces para reducir mi ansiedad y otras para evitar que pase algo malo.</t>
  </si>
  <si>
    <t>Algunos miembros de mi familia dicen que soy egoísta y que solo pienso en mí.</t>
  </si>
  <si>
    <t>A menudo me vienen ideas a la mente mucho más rápido de lo que puedo expresarlas.</t>
  </si>
  <si>
    <t>Antes la gente decía que me interesaba y me entusiasmaba demasiado por muchas cosas.</t>
  </si>
  <si>
    <t>laboral o académica</t>
  </si>
  <si>
    <t>AJUSTES DE LAS TASAS BASE =</t>
  </si>
  <si>
    <t>Las siguientes asignaciones diagnósticas deben considerarse juicios de prototipos clínicos y de personalidad que corresponden conceptualmente a categorías diagnósticas formales. Los criterios diagnósticos y los ítems utilizados en el MCMI-IV difieren en cierta medida de los del DSM-5, pero existen suficientes paralelismos en los ítems del MCMI-IV para recomendar la consideración de las siguientes asignaciones. Es importante señalar que varios síndromes clínicos del DSM-5 no se evalúan en el MCMI-IV. Los diagnósticos definitivos deben fundamentarse en datos biográficos, de observación y de entrevista, además de los inventarios de autoinforme como el MCMI-IV.
Antes del nombre de cada trastorno, se presentan los códigos del CIE-9-MC, seguidos de los códigos del CIE-10-MC entre paréntesis.</t>
  </si>
  <si>
    <t>La sintomatología reportada y las conductas de la persona evaluada son consistentes con los siguientes síndromes clínicos, enumerados según su relevancia.</t>
  </si>
  <si>
    <t>una confusión respecto de sí mismo y una perplejidad respecto de la sociedad, con experiencias aisladas de despersonalización y alteración de la conciencia; se ve a sí mismo apenado, con pensamientos recurrentes sobre el vacío y la falta de sentido de la vida, en tanto que su percepción deficiente y su afectividad incongruente hacen que solo pueda vivir los acontecimientos con desánimo e incomprensión</t>
  </si>
  <si>
    <t>Estilo de personalidad especificado (Patrón Tempestuoso)</t>
  </si>
  <si>
    <t>Ámbito:</t>
  </si>
  <si>
    <t>Registro de cambios — Umbral de interpretación de la patología grave de la personalidad (MCMI-IV)</t>
  </si>
  <si>
    <t>Motivo: las escalas de patología grave de la personalidad (S esquizotípico, C límite, P paranoide) se activaban desde TB 60. Se elevó el umbral a TB 85.</t>
  </si>
  <si>
    <t>Hoja intervenida: Perfil. Fecha: 2026-08-20</t>
  </si>
  <si>
    <t>Paso</t>
  </si>
  <si>
    <t>Celda</t>
  </si>
  <si>
    <t>Función de la celda</t>
  </si>
  <si>
    <t>Fragmento anterior</t>
  </si>
  <si>
    <t>Fragmento nuevo</t>
  </si>
  <si>
    <t>Reemplazos</t>
  </si>
  <si>
    <t>Perfil!AQ211</t>
  </si>
  <si>
    <t>Devuelve la etiqueta (S, C o P) de la escala severa dominante</t>
  </si>
  <si>
    <t>MAX(I40:I42)&gt;=60</t>
  </si>
  <si>
    <t>MAX(I40:I42)&gt;=85</t>
  </si>
  <si>
    <t>Perfil!AQ212</t>
  </si>
  <si>
    <t>Devuelve la TB de la escala severa dominante (0 si no supera el umbral)</t>
  </si>
  <si>
    <t>Perfil!AQ184</t>
  </si>
  <si>
    <t>Par duplicado de AQ211 (etiqueta de la escala severa dominante)</t>
  </si>
  <si>
    <t>Perfil!AQ185</t>
  </si>
  <si>
    <t>Par duplicado de AQ212 (TB de la escala severa dominante)</t>
  </si>
  <si>
    <t>Perfil!AR186</t>
  </si>
  <si>
    <t>Redacta el párrafo de la configuración nuclear (esquizotípico / límite / paranoide)</t>
  </si>
  <si>
    <t>AQ212&gt;=60</t>
  </si>
  <si>
    <t>AQ212&gt;=85</t>
  </si>
  <si>
    <t>Perfil!AR190</t>
  </si>
  <si>
    <t>Decide si el patrón clínico se presenta como premórbido bajo un cuadro severo o como configuración principal</t>
  </si>
  <si>
    <t>Perfil!AR195</t>
  </si>
  <si>
    <t>Redacta el tercer patrón asociado, condicionado a la ausencia de cuadro severo</t>
  </si>
  <si>
    <t>AQ212&lt;60</t>
  </si>
  <si>
    <t>AQ212&lt;85</t>
  </si>
  <si>
    <t>Efecto en este protocolo</t>
  </si>
  <si>
    <t>Escala</t>
  </si>
  <si>
    <t>Antes (umbral 60)</t>
  </si>
  <si>
    <t>Ahora (umbral 85)</t>
  </si>
  <si>
    <t>S — Esquizotípico</t>
  </si>
  <si>
    <t>No se activaba</t>
  </si>
  <si>
    <t>No se activa</t>
  </si>
  <si>
    <t>C — Límite</t>
  </si>
  <si>
    <t>P — Paranoide</t>
  </si>
  <si>
    <t>Se afirmaba como configuración nuclear del perfil</t>
  </si>
  <si>
    <t>No se activa (no alcanza TB 85)</t>
  </si>
  <si>
    <t>Texto resultante en Perfil!B161 (primeras líneas)</t>
  </si>
  <si>
    <t>Alcance de la revisión</t>
  </si>
  <si>
    <t>No se modificaron los umbrales 60 / 75 / 85 de los patrones clínicos de la personalidad (AQ206, AQ208, AQ210), que conservan la gradación estilo / tipo / trastorno.</t>
  </si>
  <si>
    <t>Verificado por lectura: AQ211, AQ212, AR186, AR190, AR195 y B161. No se auditaron los apartados de síndromes clínicos ni las facetas de Grossman.</t>
  </si>
  <si>
    <t>Asteria Asunta Catari Ledezma</t>
  </si>
  <si>
    <t>Familiar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</si>
</sst>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quot;años&quot;"/>
    <numFmt numFmtId="165" formatCode="0.000"/>
  </numFmts>
  <fonts count="37">
    <font>
      <sz val="11"/>
      <color theme="1"/>
      <name val="Aptos Narrow"/>
      <family val="2"/>
      <scheme val="minor"/>
    </font>
    <font>
      <sz val="11"/>
      <color theme="1"/>
      <name val="sans-serif"/>
    </font>
    <font>
      <b/>
      <sz val="11"/>
      <color theme="1"/>
      <name val="sans-serif"/>
    </font>
    <font>
      <b/>
      <sz val="11"/>
      <color theme="0"/>
      <name val="sans-serif"/>
    </font>
    <font>
      <b/>
      <sz val="11"/>
      <color rgb="FF495B86"/>
      <name val="sans-serif"/>
    </font>
    <font>
      <sz val="8"/>
      <color rgb="FF000000"/>
      <name val="Segoe UI"/>
      <family val="2"/>
    </font>
    <font>
      <sz val="11"/>
      <color theme="0"/>
      <name val="Aptos Narrow"/>
      <family val="2"/>
      <scheme val="minor"/>
    </font>
    <font>
      <sz val="11"/>
      <color theme="0"/>
      <name val="sans-serif"/>
    </font>
    <font>
      <sz val="11"/>
      <name val="Daytona"/>
      <family val="2"/>
    </font>
    <font>
      <sz val="11"/>
      <color theme="1"/>
      <name val="Daytona"/>
      <family val="2"/>
    </font>
    <font>
      <b/>
      <sz val="12"/>
      <color theme="1"/>
      <name val="Daytona"/>
      <family val="2"/>
    </font>
    <font>
      <b/>
      <sz val="11"/>
      <color theme="1"/>
      <name val="Daytona"/>
      <family val="2"/>
    </font>
    <font>
      <sz val="11"/>
      <color rgb="FFFF0000"/>
      <name val="Daytona"/>
      <family val="2"/>
    </font>
    <font>
      <sz val="10"/>
      <color rgb="FF000000"/>
      <name val="Daytona"/>
      <family val="2"/>
    </font>
    <font>
      <sz val="12"/>
      <color theme="1"/>
      <name val="Daytona"/>
      <family val="2"/>
    </font>
    <font>
      <b/>
      <sz val="16"/>
      <color rgb="FF495B86"/>
      <name val="Daytona"/>
      <family val="2"/>
    </font>
    <font>
      <b/>
      <sz val="11"/>
      <color rgb="FF495B86"/>
      <name val="Daytona"/>
      <family val="2"/>
    </font>
    <font>
      <sz val="11"/>
      <color theme="0"/>
      <name val="Daytona"/>
      <family val="2"/>
    </font>
    <font>
      <sz val="10"/>
      <color theme="1"/>
      <name val="Daytona"/>
      <family val="2"/>
    </font>
    <font>
      <b/>
      <sz val="10"/>
      <color theme="1"/>
      <name val="Daytona"/>
      <family val="2"/>
    </font>
    <font>
      <b/>
      <sz val="12"/>
      <color rgb="FF1F2639"/>
      <name val="Daytona"/>
      <family val="2"/>
    </font>
    <font>
      <sz val="12"/>
      <color rgb="FF1F2639"/>
      <name val="Daytona"/>
      <family val="2"/>
    </font>
    <font>
      <sz val="11"/>
      <color rgb="FF1F2639"/>
      <name val="Daytona"/>
      <family val="2"/>
    </font>
    <font>
      <sz val="9"/>
      <color theme="1"/>
      <name val="Daytona"/>
      <family val="2"/>
    </font>
    <font>
      <b/>
      <i/>
      <sz val="11"/>
      <color theme="1"/>
      <name val="Daytona"/>
      <family val="2"/>
    </font>
    <font>
      <sz val="11"/>
      <color rgb="FF000000"/>
      <name val="Daytona"/>
      <family val="2"/>
    </font>
    <font>
      <sz val="7"/>
      <color theme="1"/>
      <name val="Daytona"/>
      <family val="2"/>
    </font>
    <font>
      <sz val="9"/>
      <color rgb="FF666666"/>
      <name val="Daytona"/>
      <family val="2"/>
    </font>
    <font>
      <b/>
      <sz val="9"/>
      <color rgb="FF666666"/>
      <name val="Daytona"/>
      <family val="2"/>
    </font>
    <font>
      <sz val="14"/>
      <color theme="1"/>
      <name val="Daytona"/>
      <family val="2"/>
    </font>
    <font>
      <b/>
      <sz val="16"/>
      <color theme="1"/>
      <name val="Daytona"/>
      <family val="2"/>
    </font>
    <font>
      <b/>
      <sz val="14"/>
      <color theme="1"/>
      <name val="Daytona"/>
      <family val="2"/>
    </font>
    <font>
      <b/>
      <sz val="11"/>
      <color theme="1"/>
      <name val="Aptos Narrow"/>
      <family val="2"/>
      <scheme val="minor"/>
    </font>
    <font>
      <b/>
      <sz val="14"/>
      <color theme="1"/>
      <name val="Aptos Narrow"/>
      <family val="2"/>
      <scheme val="minor"/>
    </font>
    <font>
      <i/>
      <sz val="11"/>
      <color theme="1"/>
      <name val="Aptos Narrow"/>
      <family val="2"/>
      <scheme val="minor"/>
    </font>
    <font>
      <b/>
      <sz val="11"/>
      <color rgb="FFFFFFFF"/>
      <name val="Aptos Narrow"/>
      <family val="2"/>
      <scheme val="minor"/>
    </font>
    <font>
      <b/>
      <sz val="12"/>
      <color theme="1"/>
      <name val="Aptos Narrow"/>
      <family val="2"/>
      <scheme val="minor"/>
    </font>
  </fonts>
  <fills count="13">
    <fill>
      <patternFill patternType="none"/>
    </fill>
    <fill>
      <patternFill patternType="gray125"/>
    </fill>
    <fill>
      <patternFill patternType="solid">
        <fgColor theme="2" tint="-0.499984740745262"/>
        <bgColor indexed="64"/>
      </patternFill>
    </fill>
    <fill>
      <patternFill patternType="solid">
        <fgColor theme="0" tint="-0.14999847407452621"/>
        <bgColor indexed="64"/>
      </patternFill>
    </fill>
    <fill>
      <patternFill patternType="solid">
        <fgColor rgb="FF0D5EA8"/>
        <bgColor indexed="64"/>
      </patternFill>
    </fill>
    <fill>
      <patternFill patternType="solid">
        <fgColor theme="0" tint="-0.499984740745262"/>
        <bgColor indexed="64"/>
      </patternFill>
    </fill>
    <fill>
      <patternFill patternType="solid">
        <fgColor theme="0"/>
        <bgColor indexed="64"/>
      </patternFill>
    </fill>
    <fill>
      <patternFill patternType="solid">
        <fgColor rgb="FF80A3B7"/>
        <bgColor indexed="64"/>
      </patternFill>
    </fill>
    <fill>
      <patternFill patternType="solid">
        <fgColor rgb="FFC7D6DF"/>
        <bgColor indexed="64"/>
      </patternFill>
    </fill>
    <fill>
      <patternFill patternType="solid">
        <fgColor rgb="FFFFFF00"/>
        <bgColor indexed="64"/>
      </patternFill>
    </fill>
    <fill>
      <patternFill patternType="solid">
        <fgColor rgb="FFFF0000"/>
        <bgColor indexed="64"/>
      </patternFill>
    </fill>
    <fill>
      <patternFill patternType="solid">
        <fgColor rgb="FF1F3864"/>
        <bgColor indexed="64"/>
      </patternFill>
    </fill>
    <fill>
      <patternFill patternType="solid">
        <fgColor rgb="FFD9E1F2"/>
        <bgColor indexed="64"/>
      </patternFill>
    </fill>
  </fills>
  <borders count="33">
    <border>
      <left/>
      <right/>
      <top/>
      <bottom/>
      <diagonal/>
    </border>
    <border>
      <left/>
      <right/>
      <top/>
      <bottom style="thick">
        <color rgb="FF0D5EA8"/>
      </bottom>
      <diagonal/>
    </border>
    <border>
      <left/>
      <right/>
      <top/>
      <bottom style="medium">
        <color indexed="64"/>
      </bottom>
      <diagonal/>
    </border>
    <border>
      <left/>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n">
        <color indexed="64"/>
      </right>
      <top style="thick">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rgb="FF0D5EA8"/>
      </bottom>
      <diagonal/>
    </border>
    <border>
      <left style="thin">
        <color rgb="FF0D5EA8"/>
      </left>
      <right style="thin">
        <color rgb="FF0D5EA8"/>
      </right>
      <top style="thin">
        <color rgb="FF0D5EA8"/>
      </top>
      <bottom style="thin">
        <color rgb="FF0D5EA8"/>
      </bottom>
      <diagonal/>
    </border>
    <border>
      <left/>
      <right/>
      <top/>
      <bottom style="thin">
        <color rgb="FF29637F"/>
      </bottom>
      <diagonal/>
    </border>
    <border>
      <left style="thin">
        <color indexed="64"/>
      </left>
      <right/>
      <top style="thick">
        <color indexed="64"/>
      </top>
      <bottom style="thin">
        <color indexed="64"/>
      </bottom>
      <diagonal/>
    </border>
    <border>
      <left/>
      <right/>
      <top style="thick">
        <color indexed="64"/>
      </top>
      <bottom style="thin">
        <color indexed="64"/>
      </bottom>
      <diagonal/>
    </border>
  </borders>
  <cellStyleXfs count="1">
    <xf numFmtId="0" fontId="0" fillId="0" borderId="0"/>
  </cellStyleXfs>
  <cellXfs count="298">
    <xf numFmtId="0" fontId="0" fillId="0" borderId="0" xfId="0"/>
    <xf numFmtId="0" fontId="1" fillId="0" borderId="0" xfId="0" applyFont="1"/>
    <xf numFmtId="0" fontId="2" fillId="0" borderId="0" xfId="0" applyFont="1" applyAlignment="1">
      <alignment horizontal="center" vertical="center"/>
    </xf>
    <xf numFmtId="0" fontId="1" fillId="0" borderId="0" xfId="0" applyFont="1" applyAlignment="1">
      <alignment horizontal="center" vertical="center"/>
    </xf>
    <xf numFmtId="0" fontId="2" fillId="0" borderId="0" xfId="0" applyFont="1" applyAlignment="1">
      <alignment horizontal="center" vertical="center" wrapText="1"/>
    </xf>
    <xf numFmtId="0" fontId="2" fillId="6" borderId="0" xfId="0" applyFont="1" applyFill="1" applyAlignment="1" applyProtection="1">
      <alignment horizontal="center" vertical="center"/>
      <protection hidden="1"/>
    </xf>
    <xf numFmtId="0" fontId="1" fillId="6" borderId="0" xfId="0" applyFont="1" applyFill="1" applyAlignment="1" applyProtection="1">
      <alignment horizontal="center" vertical="center"/>
      <protection hidden="1"/>
    </xf>
    <xf numFmtId="0" fontId="1" fillId="0" borderId="0" xfId="0" applyFont="1" applyAlignment="1" applyProtection="1">
      <alignment horizontal="center" vertical="center"/>
      <protection hidden="1"/>
    </xf>
    <xf numFmtId="0" fontId="3" fillId="4" borderId="0" xfId="0" applyFont="1" applyFill="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3" fillId="4" borderId="0" xfId="0" applyFont="1" applyFill="1" applyAlignment="1" applyProtection="1">
      <alignment horizontal="center" vertical="center"/>
      <protection hidden="1"/>
    </xf>
    <xf numFmtId="0" fontId="3" fillId="4" borderId="10" xfId="0" applyFont="1" applyFill="1" applyBorder="1" applyAlignment="1" applyProtection="1">
      <alignment horizontal="center" vertical="center"/>
      <protection hidden="1"/>
    </xf>
    <xf numFmtId="0" fontId="3" fillId="4" borderId="10" xfId="0" applyFont="1" applyFill="1" applyBorder="1" applyAlignment="1">
      <alignment horizontal="center" vertical="center"/>
    </xf>
    <xf numFmtId="0" fontId="3" fillId="4" borderId="24" xfId="0" applyFont="1" applyFill="1" applyBorder="1" applyAlignment="1">
      <alignment horizontal="center" vertical="center"/>
    </xf>
    <xf numFmtId="0" fontId="0" fillId="6" borderId="0" xfId="0" applyFill="1" applyAlignment="1">
      <alignment horizontal="center" vertical="center"/>
    </xf>
    <xf numFmtId="0" fontId="2" fillId="0" borderId="24" xfId="0" applyFont="1" applyBorder="1" applyAlignment="1">
      <alignment horizontal="center" vertical="center"/>
    </xf>
    <xf numFmtId="0" fontId="0" fillId="0" borderId="24" xfId="0" applyBorder="1" applyAlignment="1">
      <alignment horizontal="center" vertical="center" wrapText="1"/>
    </xf>
    <xf numFmtId="0" fontId="0" fillId="0" borderId="24" xfId="0" applyBorder="1" applyAlignment="1">
      <alignment horizontal="center" vertical="center"/>
    </xf>
    <xf numFmtId="0" fontId="3" fillId="6" borderId="0" xfId="0" applyFont="1" applyFill="1" applyAlignment="1">
      <alignment horizontal="center" vertical="center"/>
    </xf>
    <xf numFmtId="0" fontId="1" fillId="0" borderId="10" xfId="0" applyFont="1" applyBorder="1" applyAlignment="1">
      <alignment horizontal="center" vertical="center"/>
    </xf>
    <xf numFmtId="0" fontId="1" fillId="6" borderId="24" xfId="0" applyFont="1" applyFill="1" applyBorder="1" applyAlignment="1" applyProtection="1">
      <alignment horizontal="center" vertical="center"/>
      <protection hidden="1"/>
    </xf>
    <xf numFmtId="0" fontId="1" fillId="6" borderId="10" xfId="0" applyFont="1" applyFill="1" applyBorder="1" applyAlignment="1" applyProtection="1">
      <alignment horizontal="center" vertical="center"/>
      <protection hidden="1"/>
    </xf>
    <xf numFmtId="0" fontId="7" fillId="0" borderId="0" xfId="0" applyFont="1" applyAlignment="1">
      <alignment horizontal="center" vertical="center"/>
    </xf>
    <xf numFmtId="0" fontId="3" fillId="0" borderId="0" xfId="0" applyFont="1" applyAlignment="1">
      <alignment horizontal="center" vertical="center"/>
    </xf>
    <xf numFmtId="0" fontId="6" fillId="0" borderId="0" xfId="0" applyFont="1"/>
    <xf numFmtId="0" fontId="7" fillId="6" borderId="0" xfId="0" applyFont="1" applyFill="1" applyAlignment="1">
      <alignment horizontal="center" vertical="center"/>
    </xf>
    <xf numFmtId="0" fontId="1"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center"/>
      <protection locked="0"/>
    </xf>
    <xf numFmtId="0" fontId="1" fillId="0" borderId="0" xfId="0" applyFont="1" applyProtection="1">
      <protection locked="0"/>
    </xf>
    <xf numFmtId="0" fontId="1" fillId="0" borderId="0" xfId="0" applyFont="1" applyAlignment="1" applyProtection="1">
      <alignment horizontal="center"/>
      <protection locked="0"/>
    </xf>
    <xf numFmtId="0" fontId="2" fillId="0" borderId="0" xfId="0" applyFont="1" applyProtection="1">
      <protection locked="0"/>
    </xf>
    <xf numFmtId="0" fontId="2" fillId="0" borderId="0" xfId="0" applyFont="1" applyAlignment="1" applyProtection="1">
      <alignment horizontal="left" vertical="center"/>
      <protection hidden="1"/>
    </xf>
    <xf numFmtId="0" fontId="2" fillId="0" borderId="0" xfId="0" applyFont="1" applyAlignment="1" applyProtection="1">
      <alignment horizontal="center"/>
      <protection hidden="1"/>
    </xf>
    <xf numFmtId="0" fontId="2" fillId="0" borderId="0" xfId="0" applyFont="1" applyAlignment="1" applyProtection="1">
      <alignment horizontal="center" vertical="center"/>
      <protection hidden="1"/>
    </xf>
    <xf numFmtId="0" fontId="1" fillId="0" borderId="0" xfId="0" applyFont="1" applyProtection="1">
      <protection hidden="1"/>
    </xf>
    <xf numFmtId="0" fontId="1" fillId="0" borderId="0" xfId="0" applyFont="1" applyAlignment="1" applyProtection="1">
      <alignment horizontal="center"/>
      <protection hidden="1"/>
    </xf>
    <xf numFmtId="0" fontId="2" fillId="0" borderId="0" xfId="0" applyFont="1" applyAlignment="1" applyProtection="1">
      <alignment horizontal="left" indent="2"/>
      <protection hidden="1"/>
    </xf>
    <xf numFmtId="0" fontId="1" fillId="0" borderId="0" xfId="0" applyFont="1" applyAlignment="1" applyProtection="1">
      <alignment horizontal="left" indent="1"/>
      <protection hidden="1"/>
    </xf>
    <xf numFmtId="0" fontId="2" fillId="0" borderId="0" xfId="0" applyFont="1" applyAlignment="1" applyProtection="1">
      <alignment horizontal="right"/>
      <protection hidden="1"/>
    </xf>
    <xf numFmtId="0" fontId="1" fillId="0" borderId="0" xfId="0" applyFont="1" applyAlignment="1" applyProtection="1">
      <alignment wrapText="1"/>
      <protection locked="0"/>
    </xf>
    <xf numFmtId="0" fontId="1" fillId="6" borderId="0" xfId="0" applyFont="1" applyFill="1" applyProtection="1">
      <protection locked="0"/>
    </xf>
    <xf numFmtId="0" fontId="1" fillId="0" borderId="0" xfId="0" applyFont="1" applyAlignment="1" applyProtection="1">
      <alignment horizontal="left" vertical="center"/>
      <protection locked="0"/>
    </xf>
    <xf numFmtId="0" fontId="1" fillId="0" borderId="0" xfId="0" applyFont="1" applyAlignment="1" applyProtection="1">
      <alignment wrapText="1"/>
      <protection hidden="1"/>
    </xf>
    <xf numFmtId="0" fontId="3" fillId="6" borderId="0" xfId="0" applyFont="1" applyFill="1" applyAlignment="1" applyProtection="1">
      <alignment horizontal="center" vertical="center"/>
      <protection locked="0"/>
    </xf>
    <xf numFmtId="0" fontId="2" fillId="3" borderId="0" xfId="0" applyFont="1" applyFill="1" applyAlignment="1" applyProtection="1">
      <alignment horizontal="center" vertical="center"/>
      <protection locked="0"/>
    </xf>
    <xf numFmtId="0" fontId="2" fillId="3" borderId="0" xfId="0" applyFont="1" applyFill="1" applyProtection="1">
      <protection locked="0"/>
    </xf>
    <xf numFmtId="0" fontId="2" fillId="6" borderId="0" xfId="0" applyFont="1" applyFill="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0" fillId="0" borderId="0" xfId="0" applyAlignment="1" applyProtection="1">
      <alignment wrapText="1"/>
      <protection locked="0"/>
    </xf>
    <xf numFmtId="0" fontId="0" fillId="0" borderId="0" xfId="0" applyAlignment="1" applyProtection="1">
      <alignment horizontal="center"/>
      <protection locked="0"/>
    </xf>
    <xf numFmtId="0" fontId="0" fillId="0" borderId="0" xfId="0" applyProtection="1">
      <protection locked="0"/>
    </xf>
    <xf numFmtId="0" fontId="4" fillId="0" borderId="0" xfId="0" applyFont="1" applyAlignment="1" applyProtection="1">
      <alignment horizontal="center" vertical="center"/>
      <protection hidden="1"/>
    </xf>
    <xf numFmtId="0" fontId="8" fillId="0" borderId="0" xfId="0" applyFont="1" applyProtection="1">
      <protection locked="0"/>
    </xf>
    <xf numFmtId="0" fontId="9" fillId="0" borderId="0" xfId="0" applyFont="1" applyProtection="1">
      <protection hidden="1"/>
    </xf>
    <xf numFmtId="0" fontId="9" fillId="0" borderId="0" xfId="0" applyFont="1" applyAlignment="1" applyProtection="1">
      <alignment horizontal="center" vertical="center"/>
      <protection hidden="1"/>
    </xf>
    <xf numFmtId="0" fontId="9" fillId="0" borderId="0" xfId="0" applyFont="1" applyAlignment="1" applyProtection="1">
      <alignment horizontal="center"/>
      <protection hidden="1"/>
    </xf>
    <xf numFmtId="0" fontId="9" fillId="0" borderId="0" xfId="0" applyFont="1" applyProtection="1">
      <protection locked="0"/>
    </xf>
    <xf numFmtId="0" fontId="9" fillId="0" borderId="0" xfId="0" applyFont="1" applyAlignment="1" applyProtection="1">
      <alignment horizontal="center" vertical="center"/>
      <protection locked="0"/>
    </xf>
    <xf numFmtId="0" fontId="9" fillId="0" borderId="0" xfId="0" applyFont="1" applyAlignment="1" applyProtection="1">
      <alignment horizontal="center"/>
      <protection locked="0"/>
    </xf>
    <xf numFmtId="0" fontId="9" fillId="0" borderId="0" xfId="0" applyFont="1" applyAlignment="1" applyProtection="1">
      <alignment wrapText="1"/>
      <protection hidden="1"/>
    </xf>
    <xf numFmtId="0" fontId="9" fillId="4" borderId="0" xfId="0" applyFont="1" applyFill="1" applyProtection="1">
      <protection hidden="1"/>
    </xf>
    <xf numFmtId="0" fontId="9" fillId="4" borderId="0" xfId="0" applyFont="1" applyFill="1" applyAlignment="1" applyProtection="1">
      <alignment wrapText="1"/>
      <protection hidden="1"/>
    </xf>
    <xf numFmtId="0" fontId="9" fillId="4" borderId="0" xfId="0" applyFont="1" applyFill="1" applyAlignment="1" applyProtection="1">
      <alignment horizontal="center" vertical="center"/>
      <protection hidden="1"/>
    </xf>
    <xf numFmtId="0" fontId="9" fillId="4" borderId="0" xfId="0" applyFont="1" applyFill="1" applyAlignment="1" applyProtection="1">
      <alignment horizontal="center"/>
      <protection hidden="1"/>
    </xf>
    <xf numFmtId="0" fontId="9" fillId="6" borderId="0" xfId="0" applyFont="1" applyFill="1" applyProtection="1">
      <protection hidden="1"/>
    </xf>
    <xf numFmtId="0" fontId="9" fillId="6" borderId="0" xfId="0" applyFont="1" applyFill="1" applyAlignment="1" applyProtection="1">
      <alignment wrapText="1"/>
      <protection hidden="1"/>
    </xf>
    <xf numFmtId="0" fontId="9" fillId="6" borderId="0" xfId="0" applyFont="1" applyFill="1" applyAlignment="1" applyProtection="1">
      <alignment horizontal="center" vertical="center"/>
      <protection hidden="1"/>
    </xf>
    <xf numFmtId="0" fontId="9" fillId="6" borderId="0" xfId="0" applyFont="1" applyFill="1" applyAlignment="1" applyProtection="1">
      <alignment horizontal="center"/>
      <protection hidden="1"/>
    </xf>
    <xf numFmtId="0" fontId="9" fillId="0" borderId="0" xfId="0" applyFont="1" applyAlignment="1" applyProtection="1">
      <alignment horizontal="left" vertical="center"/>
      <protection hidden="1"/>
    </xf>
    <xf numFmtId="0" fontId="9" fillId="0" borderId="0" xfId="0" applyFont="1" applyAlignment="1" applyProtection="1">
      <alignment vertical="center"/>
      <protection hidden="1"/>
    </xf>
    <xf numFmtId="0" fontId="9" fillId="0" borderId="1" xfId="0" applyFont="1" applyBorder="1" applyProtection="1">
      <protection hidden="1"/>
    </xf>
    <xf numFmtId="0" fontId="9" fillId="0" borderId="1" xfId="0" applyFont="1" applyBorder="1" applyAlignment="1" applyProtection="1">
      <alignment horizontal="center" vertical="center"/>
      <protection hidden="1"/>
    </xf>
    <xf numFmtId="0" fontId="9" fillId="0" borderId="1" xfId="0" applyFont="1" applyBorder="1" applyAlignment="1" applyProtection="1">
      <alignment horizontal="center"/>
      <protection hidden="1"/>
    </xf>
    <xf numFmtId="0" fontId="9" fillId="0" borderId="1" xfId="0" applyFont="1" applyBorder="1" applyAlignment="1" applyProtection="1">
      <alignment vertical="center"/>
      <protection hidden="1"/>
    </xf>
    <xf numFmtId="0" fontId="10" fillId="0" borderId="0" xfId="0" applyFont="1" applyAlignment="1" applyProtection="1">
      <alignment horizontal="center" vertical="center"/>
      <protection hidden="1"/>
    </xf>
    <xf numFmtId="0" fontId="9" fillId="0" borderId="0" xfId="0" applyFont="1" applyAlignment="1" applyProtection="1">
      <alignment horizontal="right"/>
      <protection hidden="1"/>
    </xf>
    <xf numFmtId="0" fontId="9" fillId="0" borderId="0" xfId="0" applyFont="1" applyAlignment="1" applyProtection="1">
      <alignment horizontal="left" vertical="center"/>
      <protection locked="0"/>
    </xf>
    <xf numFmtId="0" fontId="9" fillId="0" borderId="0" xfId="0" applyFont="1" applyAlignment="1" applyProtection="1">
      <alignment horizontal="left" vertical="center" indent="2"/>
      <protection hidden="1"/>
    </xf>
    <xf numFmtId="0" fontId="9" fillId="0" borderId="3" xfId="0" applyFont="1" applyBorder="1" applyProtection="1">
      <protection hidden="1"/>
    </xf>
    <xf numFmtId="0" fontId="9" fillId="0" borderId="3" xfId="0" applyFont="1" applyBorder="1" applyAlignment="1" applyProtection="1">
      <alignment horizontal="center" vertical="center"/>
      <protection hidden="1"/>
    </xf>
    <xf numFmtId="0" fontId="9" fillId="0" borderId="10" xfId="0" applyFont="1" applyBorder="1" applyProtection="1">
      <protection locked="0"/>
    </xf>
    <xf numFmtId="0" fontId="11" fillId="0" borderId="0" xfId="0" applyFont="1" applyAlignment="1" applyProtection="1">
      <alignment horizontal="center"/>
      <protection hidden="1"/>
    </xf>
    <xf numFmtId="0" fontId="11" fillId="0" borderId="6" xfId="0" applyFont="1" applyBorder="1" applyAlignment="1" applyProtection="1">
      <alignment horizontal="center" vertical="center"/>
      <protection hidden="1"/>
    </xf>
    <xf numFmtId="0" fontId="11" fillId="0" borderId="7" xfId="0" applyFont="1" applyBorder="1" applyAlignment="1" applyProtection="1">
      <alignment horizontal="center" vertical="center"/>
      <protection hidden="1"/>
    </xf>
    <xf numFmtId="0" fontId="9" fillId="0" borderId="6" xfId="0" applyFont="1" applyBorder="1" applyProtection="1">
      <protection hidden="1"/>
    </xf>
    <xf numFmtId="0" fontId="9" fillId="0" borderId="7" xfId="0" applyFont="1" applyBorder="1" applyAlignment="1" applyProtection="1">
      <alignment horizontal="center" vertical="center"/>
      <protection hidden="1"/>
    </xf>
    <xf numFmtId="0" fontId="9" fillId="0" borderId="2" xfId="0" applyFont="1" applyBorder="1" applyProtection="1">
      <protection hidden="1"/>
    </xf>
    <xf numFmtId="0" fontId="9" fillId="0" borderId="2" xfId="0" applyFont="1" applyBorder="1" applyAlignment="1" applyProtection="1">
      <alignment horizontal="center" vertical="center"/>
      <protection hidden="1"/>
    </xf>
    <xf numFmtId="0" fontId="9" fillId="0" borderId="14" xfId="0" applyFont="1" applyBorder="1" applyAlignment="1" applyProtection="1">
      <alignment horizontal="center" vertical="center"/>
      <protection hidden="1"/>
    </xf>
    <xf numFmtId="0" fontId="9" fillId="0" borderId="0" xfId="0" applyFont="1" applyAlignment="1" applyProtection="1">
      <alignment horizontal="left"/>
      <protection locked="0"/>
    </xf>
    <xf numFmtId="0" fontId="9" fillId="0" borderId="10" xfId="0" applyFont="1" applyBorder="1" applyAlignment="1" applyProtection="1">
      <alignment horizontal="left" vertical="center"/>
      <protection locked="0"/>
    </xf>
    <xf numFmtId="0" fontId="9" fillId="0" borderId="13" xfId="0" applyFont="1" applyBorder="1" applyAlignment="1" applyProtection="1">
      <alignment horizontal="center" vertical="center"/>
      <protection hidden="1"/>
    </xf>
    <xf numFmtId="0" fontId="9" fillId="6" borderId="13" xfId="0" applyFont="1" applyFill="1" applyBorder="1" applyAlignment="1" applyProtection="1">
      <alignment horizontal="center" vertical="center"/>
      <protection hidden="1"/>
    </xf>
    <xf numFmtId="0" fontId="9" fillId="0" borderId="10" xfId="0" applyFont="1" applyBorder="1" applyAlignment="1" applyProtection="1">
      <alignment horizontal="center" vertical="center"/>
      <protection hidden="1"/>
    </xf>
    <xf numFmtId="0" fontId="9" fillId="0" borderId="0" xfId="0" applyFont="1" applyAlignment="1" applyProtection="1">
      <alignment vertical="center"/>
      <protection locked="0"/>
    </xf>
    <xf numFmtId="0" fontId="9" fillId="0" borderId="9" xfId="0" applyFont="1" applyBorder="1" applyAlignment="1" applyProtection="1">
      <alignment horizontal="center" vertical="center"/>
      <protection hidden="1"/>
    </xf>
    <xf numFmtId="0" fontId="9" fillId="6" borderId="9" xfId="0" applyFont="1" applyFill="1" applyBorder="1" applyAlignment="1" applyProtection="1">
      <alignment horizontal="center" vertical="center"/>
      <protection hidden="1"/>
    </xf>
    <xf numFmtId="0" fontId="9" fillId="0" borderId="6" xfId="0" applyFont="1" applyBorder="1" applyAlignment="1" applyProtection="1">
      <alignment horizontal="left" vertical="center"/>
      <protection hidden="1"/>
    </xf>
    <xf numFmtId="0" fontId="9" fillId="0" borderId="3" xfId="0" applyFont="1" applyBorder="1" applyAlignment="1" applyProtection="1">
      <alignment horizontal="left" vertical="center"/>
      <protection hidden="1"/>
    </xf>
    <xf numFmtId="0" fontId="9" fillId="0" borderId="16" xfId="0" applyFont="1" applyBorder="1" applyAlignment="1" applyProtection="1">
      <alignment horizontal="center" vertical="center"/>
      <protection hidden="1"/>
    </xf>
    <xf numFmtId="0" fontId="9" fillId="0" borderId="12" xfId="0" applyFont="1" applyBorder="1" applyAlignment="1" applyProtection="1">
      <alignment horizontal="left" vertical="center"/>
      <protection hidden="1"/>
    </xf>
    <xf numFmtId="0" fontId="9" fillId="0" borderId="12" xfId="0" applyFont="1" applyBorder="1" applyAlignment="1" applyProtection="1">
      <alignment horizontal="center" vertical="center"/>
      <protection hidden="1"/>
    </xf>
    <xf numFmtId="0" fontId="11" fillId="0" borderId="3" xfId="0" applyFont="1" applyBorder="1" applyAlignment="1" applyProtection="1">
      <alignment horizontal="center" vertical="center"/>
      <protection hidden="1"/>
    </xf>
    <xf numFmtId="0" fontId="9" fillId="0" borderId="8" xfId="0" applyFont="1" applyBorder="1" applyProtection="1">
      <protection hidden="1"/>
    </xf>
    <xf numFmtId="0" fontId="9" fillId="0" borderId="12" xfId="0" applyFont="1" applyBorder="1" applyProtection="1">
      <protection hidden="1"/>
    </xf>
    <xf numFmtId="0" fontId="9" fillId="0" borderId="20" xfId="0" applyFont="1" applyBorder="1" applyProtection="1">
      <protection hidden="1"/>
    </xf>
    <xf numFmtId="0" fontId="9" fillId="0" borderId="21" xfId="0" applyFont="1" applyBorder="1" applyProtection="1">
      <protection hidden="1"/>
    </xf>
    <xf numFmtId="0" fontId="9" fillId="0" borderId="21" xfId="0" applyFont="1" applyBorder="1" applyAlignment="1" applyProtection="1">
      <alignment horizontal="center" vertical="center"/>
      <protection hidden="1"/>
    </xf>
    <xf numFmtId="0" fontId="9" fillId="0" borderId="22" xfId="0" applyFont="1" applyBorder="1" applyAlignment="1" applyProtection="1">
      <alignment horizontal="center" vertical="center"/>
      <protection hidden="1"/>
    </xf>
    <xf numFmtId="0" fontId="9" fillId="0" borderId="23" xfId="0" applyFont="1" applyBorder="1" applyAlignment="1" applyProtection="1">
      <alignment horizontal="center" vertical="center"/>
      <protection hidden="1"/>
    </xf>
    <xf numFmtId="0" fontId="9" fillId="0" borderId="15" xfId="0" applyFont="1" applyBorder="1" applyAlignment="1" applyProtection="1">
      <alignment horizontal="center" vertical="center"/>
      <protection hidden="1"/>
    </xf>
    <xf numFmtId="165" fontId="8" fillId="0" borderId="0" xfId="0" applyNumberFormat="1" applyFont="1" applyAlignment="1" applyProtection="1">
      <alignment horizontal="center" vertical="center"/>
      <protection locked="0"/>
    </xf>
    <xf numFmtId="0" fontId="9" fillId="0" borderId="5" xfId="0" applyFont="1" applyBorder="1" applyAlignment="1" applyProtection="1">
      <alignment horizontal="center" vertical="center"/>
      <protection hidden="1"/>
    </xf>
    <xf numFmtId="0" fontId="9" fillId="6" borderId="5" xfId="0" applyFont="1" applyFill="1" applyBorder="1" applyAlignment="1" applyProtection="1">
      <alignment horizontal="center" vertical="center"/>
      <protection hidden="1"/>
    </xf>
    <xf numFmtId="0" fontId="9" fillId="6" borderId="15" xfId="0" applyFont="1" applyFill="1" applyBorder="1" applyAlignment="1" applyProtection="1">
      <alignment horizontal="center" vertical="center"/>
      <protection hidden="1"/>
    </xf>
    <xf numFmtId="165" fontId="9" fillId="0" borderId="0" xfId="0" applyNumberFormat="1" applyFont="1" applyProtection="1">
      <protection locked="0"/>
    </xf>
    <xf numFmtId="0" fontId="11" fillId="0" borderId="0" xfId="0" applyFont="1" applyAlignment="1" applyProtection="1">
      <alignment horizontal="center" vertical="center"/>
      <protection hidden="1"/>
    </xf>
    <xf numFmtId="0" fontId="12" fillId="0" borderId="0" xfId="0" applyFont="1" applyAlignment="1" applyProtection="1">
      <alignment horizontal="left" vertical="center"/>
      <protection locked="0"/>
    </xf>
    <xf numFmtId="0" fontId="9" fillId="6" borderId="0" xfId="0" applyFont="1" applyFill="1" applyProtection="1">
      <protection locked="0"/>
    </xf>
    <xf numFmtId="0" fontId="9" fillId="6" borderId="0" xfId="0" applyFont="1" applyFill="1" applyAlignment="1" applyProtection="1">
      <alignment horizontal="center" vertical="center"/>
      <protection locked="0"/>
    </xf>
    <xf numFmtId="0" fontId="9" fillId="6" borderId="0" xfId="0" applyFont="1" applyFill="1" applyAlignment="1" applyProtection="1">
      <alignment horizontal="center"/>
      <protection locked="0"/>
    </xf>
    <xf numFmtId="0" fontId="9" fillId="0" borderId="0" xfId="0" applyFont="1" applyAlignment="1" applyProtection="1">
      <alignment vertical="top" wrapText="1"/>
      <protection locked="0"/>
    </xf>
    <xf numFmtId="0" fontId="9" fillId="0" borderId="0" xfId="0" applyFont="1" applyAlignment="1" applyProtection="1">
      <alignment horizontal="center" vertical="top" wrapText="1"/>
      <protection locked="0"/>
    </xf>
    <xf numFmtId="0" fontId="9" fillId="0" borderId="0" xfId="0" applyFont="1" applyAlignment="1" applyProtection="1">
      <alignment horizontal="center" vertical="center" wrapText="1"/>
      <protection locked="0"/>
    </xf>
    <xf numFmtId="0" fontId="11" fillId="0" borderId="21" xfId="0" applyFont="1" applyBorder="1" applyAlignment="1" applyProtection="1">
      <alignment horizontal="center"/>
      <protection hidden="1"/>
    </xf>
    <xf numFmtId="0" fontId="11" fillId="0" borderId="21" xfId="0" applyFont="1" applyBorder="1" applyProtection="1">
      <protection hidden="1"/>
    </xf>
    <xf numFmtId="0" fontId="11" fillId="0" borderId="22" xfId="0" applyFont="1" applyBorder="1" applyProtection="1">
      <protection hidden="1"/>
    </xf>
    <xf numFmtId="0" fontId="9" fillId="0" borderId="24" xfId="0" applyFont="1" applyBorder="1" applyProtection="1">
      <protection locked="0"/>
    </xf>
    <xf numFmtId="0" fontId="9" fillId="0" borderId="0" xfId="0" applyFont="1" applyAlignment="1" applyProtection="1">
      <alignment horizontal="left" vertical="top"/>
      <protection locked="0"/>
    </xf>
    <xf numFmtId="0" fontId="9" fillId="0" borderId="24" xfId="0" applyFont="1" applyBorder="1" applyProtection="1">
      <protection hidden="1"/>
    </xf>
    <xf numFmtId="0" fontId="9" fillId="0" borderId="22" xfId="0" applyFont="1" applyBorder="1" applyProtection="1">
      <protection hidden="1"/>
    </xf>
    <xf numFmtId="0" fontId="11" fillId="0" borderId="21" xfId="0" applyFont="1" applyBorder="1" applyAlignment="1" applyProtection="1">
      <alignment horizontal="center" vertical="center"/>
      <protection hidden="1"/>
    </xf>
    <xf numFmtId="0" fontId="11" fillId="0" borderId="0" xfId="0" applyFont="1" applyProtection="1">
      <protection hidden="1"/>
    </xf>
    <xf numFmtId="0" fontId="11" fillId="0" borderId="0" xfId="0" applyFont="1" applyAlignment="1" applyProtection="1">
      <alignment horizontal="center" vertical="center"/>
      <protection locked="0"/>
    </xf>
    <xf numFmtId="0" fontId="13" fillId="0" borderId="0" xfId="0" applyFont="1" applyProtection="1">
      <protection locked="0"/>
    </xf>
    <xf numFmtId="0" fontId="9" fillId="0" borderId="28" xfId="0" applyFont="1" applyBorder="1" applyProtection="1">
      <protection hidden="1"/>
    </xf>
    <xf numFmtId="0" fontId="9" fillId="0" borderId="28" xfId="0" applyFont="1" applyBorder="1" applyAlignment="1" applyProtection="1">
      <alignment horizontal="center" vertical="center"/>
      <protection hidden="1"/>
    </xf>
    <xf numFmtId="0" fontId="9" fillId="0" borderId="28" xfId="0" applyFont="1" applyBorder="1" applyAlignment="1" applyProtection="1">
      <alignment horizontal="center"/>
      <protection hidden="1"/>
    </xf>
    <xf numFmtId="0" fontId="11" fillId="0" borderId="0" xfId="0" applyFont="1" applyAlignment="1" applyProtection="1">
      <alignment horizontal="left" vertical="center"/>
      <protection hidden="1"/>
    </xf>
    <xf numFmtId="0" fontId="11" fillId="0" borderId="0" xfId="0" applyFont="1" applyProtection="1">
      <protection locked="0"/>
    </xf>
    <xf numFmtId="0" fontId="11" fillId="0" borderId="0" xfId="0" applyFont="1" applyAlignment="1" applyProtection="1">
      <alignment horizontal="left" vertical="center"/>
      <protection locked="0"/>
    </xf>
    <xf numFmtId="0" fontId="14" fillId="0" borderId="0" xfId="0" applyFont="1" applyAlignment="1" applyProtection="1">
      <alignment vertical="center" wrapText="1"/>
      <protection hidden="1"/>
    </xf>
    <xf numFmtId="0" fontId="11" fillId="0" borderId="0" xfId="0" applyFont="1" applyAlignment="1" applyProtection="1">
      <alignment horizontal="center"/>
      <protection locked="0"/>
    </xf>
    <xf numFmtId="0" fontId="10" fillId="0" borderId="0" xfId="0" applyFont="1" applyProtection="1">
      <protection hidden="1"/>
    </xf>
    <xf numFmtId="0" fontId="9" fillId="0" borderId="0" xfId="0" applyFont="1" applyAlignment="1" applyProtection="1">
      <alignment horizontal="left" vertical="top" wrapText="1"/>
      <protection hidden="1"/>
    </xf>
    <xf numFmtId="0" fontId="16" fillId="0" borderId="0" xfId="0" applyFont="1" applyAlignment="1" applyProtection="1">
      <alignment horizontal="center" vertical="center"/>
      <protection hidden="1"/>
    </xf>
    <xf numFmtId="0" fontId="9" fillId="0" borderId="0" xfId="0" applyFont="1" applyAlignment="1" applyProtection="1">
      <alignment horizontal="left" vertical="center" wrapText="1"/>
      <protection hidden="1"/>
    </xf>
    <xf numFmtId="0" fontId="0" fillId="0" borderId="0" xfId="0" applyAlignment="1">
      <alignment wrapText="1"/>
    </xf>
    <xf numFmtId="0" fontId="11" fillId="0" borderId="0" xfId="0" applyFont="1" applyAlignment="1" applyProtection="1">
      <alignment wrapText="1"/>
      <protection hidden="1"/>
    </xf>
    <xf numFmtId="0" fontId="2" fillId="0" borderId="0" xfId="0" applyFont="1" applyAlignment="1" applyProtection="1">
      <alignment wrapText="1"/>
      <protection locked="0"/>
    </xf>
    <xf numFmtId="164" fontId="9" fillId="0" borderId="0" xfId="0" applyNumberFormat="1" applyFont="1" applyAlignment="1" applyProtection="1">
      <alignment horizontal="left" vertical="center"/>
      <protection hidden="1"/>
    </xf>
    <xf numFmtId="0" fontId="9" fillId="0" borderId="0" xfId="0" applyFont="1" applyAlignment="1" applyProtection="1">
      <alignment horizontal="left"/>
      <protection hidden="1"/>
    </xf>
    <xf numFmtId="0" fontId="18" fillId="0" borderId="0" xfId="0" applyFont="1" applyAlignment="1" applyProtection="1">
      <alignment horizontal="left" vertical="center"/>
      <protection hidden="1"/>
    </xf>
    <xf numFmtId="0" fontId="19" fillId="0" borderId="0" xfId="0" applyFont="1" applyAlignment="1" applyProtection="1">
      <alignment horizontal="left" vertical="center"/>
      <protection hidden="1"/>
    </xf>
    <xf numFmtId="0" fontId="9" fillId="0" borderId="0" xfId="0" applyFont="1" applyAlignment="1" applyProtection="1">
      <alignment horizontal="left" vertical="top" wrapText="1"/>
      <protection locked="0"/>
    </xf>
    <xf numFmtId="0" fontId="9" fillId="8" borderId="0" xfId="0" applyFont="1" applyFill="1" applyProtection="1">
      <protection locked="0"/>
    </xf>
    <xf numFmtId="0" fontId="9" fillId="0" borderId="30" xfId="0" applyFont="1" applyBorder="1" applyAlignment="1" applyProtection="1">
      <alignment horizontal="center" vertical="center"/>
      <protection locked="0"/>
    </xf>
    <xf numFmtId="1" fontId="9" fillId="0" borderId="30" xfId="0" applyNumberFormat="1" applyFont="1" applyBorder="1" applyAlignment="1" applyProtection="1">
      <alignment horizontal="center" vertical="center"/>
      <protection locked="0"/>
    </xf>
    <xf numFmtId="0" fontId="9" fillId="0" borderId="30" xfId="0" applyFont="1" applyBorder="1" applyAlignment="1" applyProtection="1">
      <alignment vertical="center"/>
      <protection locked="0"/>
    </xf>
    <xf numFmtId="0" fontId="21" fillId="8" borderId="0" xfId="0" applyFont="1" applyFill="1" applyProtection="1">
      <protection hidden="1"/>
    </xf>
    <xf numFmtId="0" fontId="20" fillId="8" borderId="0" xfId="0" applyFont="1" applyFill="1" applyProtection="1">
      <protection hidden="1"/>
    </xf>
    <xf numFmtId="0" fontId="20" fillId="0" borderId="0" xfId="0" applyFont="1" applyProtection="1">
      <protection locked="0"/>
    </xf>
    <xf numFmtId="0" fontId="11" fillId="0" borderId="30" xfId="0" applyFont="1" applyBorder="1" applyAlignment="1" applyProtection="1">
      <alignment horizontal="center" vertical="center"/>
      <protection locked="0"/>
    </xf>
    <xf numFmtId="0" fontId="9" fillId="0" borderId="30" xfId="0" applyFont="1" applyBorder="1" applyProtection="1">
      <protection hidden="1"/>
    </xf>
    <xf numFmtId="0" fontId="24" fillId="0" borderId="0" xfId="0" applyFont="1" applyProtection="1">
      <protection hidden="1"/>
    </xf>
    <xf numFmtId="0" fontId="2" fillId="9" borderId="0" xfId="0" applyFont="1" applyFill="1" applyAlignment="1" applyProtection="1">
      <alignment horizontal="center" vertical="center"/>
      <protection locked="0"/>
    </xf>
    <xf numFmtId="0" fontId="9" fillId="6" borderId="0" xfId="0" applyFont="1" applyFill="1" applyAlignment="1" applyProtection="1">
      <alignment horizontal="left" vertical="center"/>
      <protection locked="0"/>
    </xf>
    <xf numFmtId="0" fontId="14" fillId="0" borderId="0" xfId="0" applyFont="1" applyAlignment="1" applyProtection="1">
      <alignment vertical="top" wrapText="1" readingOrder="1"/>
      <protection hidden="1"/>
    </xf>
    <xf numFmtId="0" fontId="14" fillId="0" borderId="0" xfId="0" applyFont="1" applyProtection="1">
      <protection hidden="1"/>
    </xf>
    <xf numFmtId="0" fontId="14" fillId="0" borderId="0" xfId="0" applyFont="1" applyAlignment="1" applyProtection="1">
      <alignment horizontal="center" vertical="center"/>
      <protection hidden="1"/>
    </xf>
    <xf numFmtId="0" fontId="14" fillId="0" borderId="0" xfId="0" applyFont="1" applyAlignment="1" applyProtection="1">
      <alignment horizontal="center"/>
      <protection hidden="1"/>
    </xf>
    <xf numFmtId="0" fontId="14" fillId="0" borderId="0" xfId="0" applyFont="1" applyAlignment="1" applyProtection="1">
      <alignment horizontal="left" indent="1"/>
      <protection hidden="1"/>
    </xf>
    <xf numFmtId="0" fontId="14" fillId="0" borderId="0" xfId="0" applyFont="1" applyAlignment="1" applyProtection="1">
      <alignment horizontal="left" indent="2"/>
      <protection hidden="1"/>
    </xf>
    <xf numFmtId="0" fontId="14" fillId="0" borderId="0" xfId="0" applyFont="1" applyAlignment="1" applyProtection="1">
      <alignment horizontal="left" indent="3"/>
      <protection hidden="1"/>
    </xf>
    <xf numFmtId="0" fontId="14" fillId="0" borderId="0" xfId="0" applyFont="1" applyProtection="1">
      <protection locked="0"/>
    </xf>
    <xf numFmtId="0" fontId="14" fillId="0" borderId="0" xfId="0" applyFont="1" applyAlignment="1" applyProtection="1">
      <alignment horizontal="center" vertical="center"/>
      <protection locked="0"/>
    </xf>
    <xf numFmtId="0" fontId="14" fillId="0" borderId="0" xfId="0" applyFont="1" applyAlignment="1" applyProtection="1">
      <alignment horizontal="center"/>
      <protection locked="0"/>
    </xf>
    <xf numFmtId="49" fontId="9" fillId="0" borderId="0" xfId="0" applyNumberFormat="1" applyFont="1" applyProtection="1">
      <protection locked="0"/>
    </xf>
    <xf numFmtId="0" fontId="27" fillId="0" borderId="0" xfId="0" applyFont="1" applyProtection="1">
      <protection locked="0"/>
    </xf>
    <xf numFmtId="0" fontId="28" fillId="0" borderId="0" xfId="0" applyFont="1" applyProtection="1">
      <protection locked="0"/>
    </xf>
    <xf numFmtId="0" fontId="13" fillId="0" borderId="0" xfId="0" applyFont="1" applyAlignment="1" applyProtection="1">
      <alignment horizontal="left" vertical="center"/>
      <protection locked="0"/>
    </xf>
    <xf numFmtId="0" fontId="30" fillId="0" borderId="0" xfId="0" applyFont="1" applyAlignment="1" applyProtection="1">
      <alignment horizontal="left" vertical="center"/>
      <protection hidden="1"/>
    </xf>
    <xf numFmtId="0" fontId="30" fillId="0" borderId="0" xfId="0" applyFont="1" applyAlignment="1" applyProtection="1">
      <alignment horizontal="left" vertical="top" readingOrder="1"/>
      <protection hidden="1"/>
    </xf>
    <xf numFmtId="0" fontId="30" fillId="0" borderId="0" xfId="0" applyFont="1" applyProtection="1">
      <protection hidden="1"/>
    </xf>
    <xf numFmtId="0" fontId="29" fillId="0" borderId="0" xfId="0" applyFont="1" applyProtection="1">
      <protection hidden="1"/>
    </xf>
    <xf numFmtId="0" fontId="29" fillId="0" borderId="0" xfId="0" applyFont="1" applyAlignment="1" applyProtection="1">
      <alignment horizontal="left"/>
      <protection hidden="1"/>
    </xf>
    <xf numFmtId="0" fontId="29" fillId="0" borderId="0" xfId="0" applyFont="1" applyAlignment="1" applyProtection="1">
      <alignment horizontal="center" vertical="center"/>
      <protection hidden="1"/>
    </xf>
    <xf numFmtId="0" fontId="29" fillId="0" borderId="0" xfId="0" applyFont="1" applyAlignment="1" applyProtection="1">
      <alignment horizontal="center"/>
      <protection hidden="1"/>
    </xf>
    <xf numFmtId="0" fontId="31" fillId="0" borderId="0" xfId="0" applyFont="1" applyProtection="1">
      <protection hidden="1"/>
    </xf>
    <xf numFmtId="0" fontId="31" fillId="0" borderId="0" xfId="0" applyFont="1" applyAlignment="1" applyProtection="1">
      <alignment vertical="center"/>
      <protection hidden="1"/>
    </xf>
    <xf numFmtId="0" fontId="29" fillId="0" borderId="0" xfId="0" applyFont="1" applyAlignment="1" applyProtection="1">
      <alignment horizontal="left" vertical="center" wrapText="1"/>
      <protection hidden="1"/>
    </xf>
    <xf numFmtId="0" fontId="1" fillId="10" borderId="0" xfId="0" applyFont="1" applyFill="1" applyAlignment="1" applyProtection="1">
      <alignment horizontal="center" vertical="center"/>
      <protection locked="0"/>
    </xf>
    <xf numFmtId="0" fontId="12" fillId="0" borderId="0" xfId="0" applyFont="1" applyAlignment="1" applyProtection="1">
      <alignment horizontal="left" vertical="center" wrapText="1"/>
      <protection hidden="1"/>
    </xf>
    <xf numFmtId="0" fontId="0" fillId="0" borderId="0" xfId="0" applyAlignment="1">
      <alignment horizontal="left" vertical="center"/>
    </xf>
    <xf numFmtId="0" fontId="33" fillId="0" borderId="0" xfId="0" applyFont="1"/>
    <xf numFmtId="0" fontId="34" fillId="0" borderId="0" xfId="0" applyFont="1"/>
    <xf numFmtId="0" fontId="36" fillId="0" borderId="0" xfId="0" applyFont="1"/>
    <xf numFmtId="0" fontId="0" fillId="0" borderId="9" xfId="0" applyBorder="1"/>
    <xf numFmtId="0" fontId="0" fillId="0" borderId="5" xfId="0" applyBorder="1"/>
    <xf numFmtId="0" fontId="0" fillId="0" borderId="8" xfId="0" applyBorder="1"/>
    <xf numFmtId="0" fontId="0" fillId="0" borderId="26" xfId="0" applyBorder="1"/>
    <xf numFmtId="0" fontId="0" fillId="0" borderId="25" xfId="0" applyBorder="1"/>
    <xf numFmtId="0" fontId="0" fillId="0" borderId="27" xfId="0" applyBorder="1"/>
    <xf numFmtId="0" fontId="32" fillId="12" borderId="7" xfId="0" applyFont="1" applyFill="1" applyBorder="1"/>
    <xf numFmtId="0" fontId="32" fillId="12" borderId="15" xfId="0" applyFont="1" applyFill="1" applyBorder="1"/>
    <xf numFmtId="0" fontId="32" fillId="12" borderId="6" xfId="0" applyFont="1" applyFill="1" applyBorder="1"/>
    <xf numFmtId="0" fontId="35" fillId="11" borderId="5" xfId="0" applyFont="1" applyFill="1" applyBorder="1" applyAlignment="1">
      <alignment horizontal="center" vertical="top"/>
    </xf>
    <xf numFmtId="0" fontId="0" fillId="0" borderId="5" xfId="0" applyBorder="1" applyAlignment="1">
      <alignment vertical="top"/>
    </xf>
    <xf numFmtId="0" fontId="0" fillId="0" borderId="5" xfId="0" applyBorder="1" applyAlignment="1">
      <alignment vertical="top" wrapText="1"/>
    </xf>
    <xf numFmtId="0" fontId="0" fillId="0" borderId="5" xfId="0" applyBorder="1" applyAlignment="1">
      <alignment horizontal="center" vertical="top"/>
    </xf>
    <xf numFmtId="0" fontId="0" fillId="0" borderId="5" xfId="0" applyBorder="1" applyAlignment="1">
      <alignment horizontal="center"/>
    </xf>
    <xf numFmtId="0" fontId="0" fillId="0" borderId="25" xfId="0" applyBorder="1" applyAlignment="1">
      <alignment horizontal="center"/>
    </xf>
    <xf numFmtId="0" fontId="12" fillId="9" borderId="0" xfId="0" applyFont="1" applyFill="1" applyProtection="1">
      <protection locked="0"/>
    </xf>
    <xf numFmtId="0" fontId="12" fillId="0" borderId="0" xfId="0" applyFont="1" applyAlignment="1" applyProtection="1">
      <alignment horizontal="center"/>
      <protection hidden="1"/>
    </xf>
    <xf numFmtId="0" fontId="12" fillId="0" borderId="0" xfId="0" applyFont="1" applyAlignment="1" applyProtection="1">
      <alignment horizontal="center" vertical="center"/>
      <protection hidden="1"/>
    </xf>
    <xf numFmtId="0" fontId="8" fillId="0" borderId="0" xfId="0" applyFont="1" applyAlignment="1" applyProtection="1">
      <alignment horizontal="center" vertical="center"/>
      <protection hidden="1"/>
    </xf>
    <xf numFmtId="0" fontId="9" fillId="0" borderId="0" xfId="0" applyFont="1" applyAlignment="1" applyProtection="1">
      <alignment horizontal="right" vertical="center"/>
      <protection hidden="1"/>
    </xf>
    <xf numFmtId="14" fontId="9" fillId="0" borderId="0" xfId="0" applyNumberFormat="1" applyFont="1" applyAlignment="1" applyProtection="1">
      <alignment horizontal="left" vertical="center"/>
      <protection hidden="1"/>
    </xf>
    <xf numFmtId="0" fontId="9" fillId="0" borderId="0" xfId="0" applyFont="1" applyAlignment="1" applyProtection="1">
      <alignment horizontal="center" vertical="center"/>
      <protection hidden="1"/>
    </xf>
    <xf numFmtId="0" fontId="9" fillId="0" borderId="0" xfId="0" applyFont="1" applyProtection="1">
      <protection hidden="1"/>
    </xf>
    <xf numFmtId="0" fontId="10" fillId="0" borderId="0" xfId="0" applyFont="1" applyAlignment="1" applyProtection="1">
      <alignment horizontal="center" wrapText="1"/>
      <protection hidden="1"/>
    </xf>
    <xf numFmtId="0" fontId="10" fillId="0" borderId="0" xfId="0" applyFont="1" applyAlignment="1" applyProtection="1">
      <alignment horizontal="center"/>
      <protection hidden="1"/>
    </xf>
    <xf numFmtId="0" fontId="11" fillId="0" borderId="21" xfId="0" applyFont="1" applyBorder="1" applyAlignment="1" applyProtection="1">
      <alignment horizontal="left" vertical="center"/>
      <protection hidden="1"/>
    </xf>
    <xf numFmtId="0" fontId="11" fillId="0" borderId="0" xfId="0" applyFont="1" applyProtection="1">
      <protection hidden="1"/>
    </xf>
    <xf numFmtId="0" fontId="9" fillId="0" borderId="5" xfId="0" applyFont="1" applyBorder="1" applyAlignment="1" applyProtection="1">
      <alignment horizontal="left" vertical="center" indent="2"/>
      <protection hidden="1"/>
    </xf>
    <xf numFmtId="0" fontId="9" fillId="0" borderId="8" xfId="0" applyFont="1" applyBorder="1" applyAlignment="1" applyProtection="1">
      <alignment horizontal="left" vertical="center" indent="2"/>
      <protection hidden="1"/>
    </xf>
    <xf numFmtId="0" fontId="9" fillId="0" borderId="8" xfId="0" applyFont="1" applyBorder="1" applyAlignment="1" applyProtection="1">
      <alignment vertical="center"/>
      <protection hidden="1"/>
    </xf>
    <xf numFmtId="0" fontId="9" fillId="0" borderId="12" xfId="0" applyFont="1" applyBorder="1" applyAlignment="1" applyProtection="1">
      <alignment vertical="center"/>
      <protection hidden="1"/>
    </xf>
    <xf numFmtId="0" fontId="9" fillId="0" borderId="31" xfId="0" applyFont="1" applyBorder="1" applyAlignment="1" applyProtection="1">
      <alignment vertical="center"/>
      <protection hidden="1"/>
    </xf>
    <xf numFmtId="0" fontId="9" fillId="0" borderId="32" xfId="0" applyFont="1" applyBorder="1" applyAlignment="1" applyProtection="1">
      <alignment vertical="center"/>
      <protection hidden="1"/>
    </xf>
    <xf numFmtId="0" fontId="11" fillId="0" borderId="21" xfId="0" applyFont="1" applyBorder="1" applyAlignment="1" applyProtection="1">
      <alignment horizontal="left"/>
      <protection hidden="1"/>
    </xf>
    <xf numFmtId="0" fontId="10" fillId="0" borderId="5" xfId="0" applyFont="1" applyBorder="1" applyAlignment="1" applyProtection="1">
      <alignment horizontal="left" vertical="center" indent="1"/>
      <protection hidden="1"/>
    </xf>
    <xf numFmtId="0" fontId="11" fillId="0" borderId="25" xfId="0" applyFont="1" applyBorder="1" applyAlignment="1" applyProtection="1">
      <alignment horizontal="center" vertical="center"/>
      <protection hidden="1"/>
    </xf>
    <xf numFmtId="0" fontId="9" fillId="0" borderId="0" xfId="0" applyFont="1" applyAlignment="1" applyProtection="1">
      <alignment horizontal="left" vertical="center"/>
      <protection hidden="1"/>
    </xf>
    <xf numFmtId="14" fontId="9" fillId="0" borderId="0" xfId="0" applyNumberFormat="1" applyFont="1" applyAlignment="1" applyProtection="1">
      <alignment horizontal="left"/>
      <protection hidden="1"/>
    </xf>
    <xf numFmtId="0" fontId="11" fillId="0" borderId="19" xfId="0" applyFont="1" applyBorder="1" applyAlignment="1" applyProtection="1">
      <alignment horizontal="left" vertical="center" indent="1"/>
      <protection hidden="1"/>
    </xf>
    <xf numFmtId="0" fontId="9" fillId="0" borderId="15" xfId="0" applyFont="1" applyBorder="1" applyAlignment="1" applyProtection="1">
      <alignment horizontal="left" vertical="center" indent="2"/>
      <protection hidden="1"/>
    </xf>
    <xf numFmtId="0" fontId="9" fillId="0" borderId="6" xfId="0" applyFont="1" applyBorder="1" applyAlignment="1" applyProtection="1">
      <alignment horizontal="left" vertical="center" indent="2"/>
      <protection hidden="1"/>
    </xf>
    <xf numFmtId="0" fontId="10" fillId="0" borderId="19" xfId="0" applyFont="1" applyBorder="1" applyAlignment="1" applyProtection="1">
      <alignment horizontal="left" vertical="center" indent="1"/>
      <protection hidden="1"/>
    </xf>
    <xf numFmtId="0" fontId="9" fillId="0" borderId="31" xfId="0" applyFont="1" applyBorder="1" applyAlignment="1" applyProtection="1">
      <alignment horizontal="left" vertical="center" indent="2"/>
      <protection hidden="1"/>
    </xf>
    <xf numFmtId="0" fontId="9" fillId="0" borderId="32" xfId="0" applyFont="1" applyBorder="1" applyAlignment="1" applyProtection="1">
      <alignment horizontal="left" vertical="center" indent="2"/>
      <protection hidden="1"/>
    </xf>
    <xf numFmtId="0" fontId="11" fillId="0" borderId="8" xfId="0" applyFont="1" applyBorder="1" applyAlignment="1" applyProtection="1">
      <alignment horizontal="center" vertical="center"/>
      <protection hidden="1"/>
    </xf>
    <xf numFmtId="0" fontId="11" fillId="0" borderId="12" xfId="0" applyFont="1" applyBorder="1" applyAlignment="1" applyProtection="1">
      <alignment horizontal="center" vertical="center"/>
      <protection hidden="1"/>
    </xf>
    <xf numFmtId="0" fontId="11" fillId="0" borderId="9" xfId="0" applyFont="1" applyBorder="1" applyAlignment="1" applyProtection="1">
      <alignment horizontal="center" vertical="center"/>
      <protection hidden="1"/>
    </xf>
    <xf numFmtId="0" fontId="10" fillId="0" borderId="17" xfId="0" applyFont="1" applyBorder="1" applyAlignment="1" applyProtection="1">
      <alignment horizontal="left" vertical="center" indent="1"/>
      <protection hidden="1"/>
    </xf>
    <xf numFmtId="0" fontId="10" fillId="0" borderId="18" xfId="0" applyFont="1" applyBorder="1" applyAlignment="1" applyProtection="1">
      <alignment horizontal="left" vertical="center" indent="1"/>
      <protection hidden="1"/>
    </xf>
    <xf numFmtId="0" fontId="10" fillId="0" borderId="4" xfId="0" applyFont="1" applyBorder="1" applyAlignment="1" applyProtection="1">
      <alignment horizontal="left" vertical="center" indent="1"/>
      <protection hidden="1"/>
    </xf>
    <xf numFmtId="0" fontId="10" fillId="0" borderId="0" xfId="0" applyFont="1" applyAlignment="1" applyProtection="1">
      <alignment horizontal="center" vertical="center"/>
      <protection hidden="1"/>
    </xf>
    <xf numFmtId="0" fontId="9" fillId="0" borderId="0" xfId="0" applyFont="1" applyAlignment="1" applyProtection="1">
      <alignment horizontal="left" vertical="center" indent="2"/>
      <protection hidden="1"/>
    </xf>
    <xf numFmtId="0" fontId="11" fillId="0" borderId="27" xfId="0" applyFont="1" applyBorder="1" applyAlignment="1" applyProtection="1">
      <alignment horizontal="center" vertical="center"/>
      <protection hidden="1"/>
    </xf>
    <xf numFmtId="0" fontId="11" fillId="0" borderId="26" xfId="0" applyFont="1" applyBorder="1" applyAlignment="1" applyProtection="1">
      <alignment horizontal="center" vertical="center"/>
      <protection hidden="1"/>
    </xf>
    <xf numFmtId="0" fontId="11" fillId="0" borderId="0" xfId="0" applyFont="1" applyAlignment="1" applyProtection="1">
      <alignment horizontal="center"/>
      <protection hidden="1"/>
    </xf>
    <xf numFmtId="0" fontId="11" fillId="0" borderId="10" xfId="0" applyFont="1" applyBorder="1" applyAlignment="1" applyProtection="1">
      <alignment horizontal="center"/>
      <protection hidden="1"/>
    </xf>
    <xf numFmtId="0" fontId="9" fillId="0" borderId="0" xfId="0" applyFont="1" applyAlignment="1" applyProtection="1">
      <alignment horizontal="right" vertical="center" indent="2"/>
      <protection hidden="1"/>
    </xf>
    <xf numFmtId="0" fontId="9" fillId="0" borderId="11" xfId="0" applyFont="1" applyBorder="1" applyAlignment="1" applyProtection="1">
      <alignment horizontal="left" vertical="center" indent="2"/>
      <protection hidden="1"/>
    </xf>
    <xf numFmtId="0" fontId="9" fillId="0" borderId="12" xfId="0" applyFont="1" applyBorder="1" applyAlignment="1" applyProtection="1">
      <alignment horizontal="left" vertical="center" indent="2"/>
      <protection hidden="1"/>
    </xf>
    <xf numFmtId="0" fontId="10" fillId="0" borderId="0" xfId="0" applyFont="1" applyAlignment="1" applyProtection="1">
      <alignment horizontal="left" vertical="center" indent="1"/>
      <protection hidden="1"/>
    </xf>
    <xf numFmtId="0" fontId="10" fillId="0" borderId="3" xfId="0" applyFont="1" applyBorder="1" applyAlignment="1" applyProtection="1">
      <alignment horizontal="left" vertical="center" indent="1"/>
      <protection hidden="1"/>
    </xf>
    <xf numFmtId="0" fontId="9" fillId="0" borderId="0" xfId="0" applyFont="1" applyAlignment="1" applyProtection="1">
      <alignment horizontal="left" vertical="center" indent="9"/>
      <protection hidden="1"/>
    </xf>
    <xf numFmtId="0" fontId="11" fillId="0" borderId="0" xfId="0" applyFont="1" applyAlignment="1" applyProtection="1">
      <alignment horizontal="center" vertical="center"/>
      <protection hidden="1"/>
    </xf>
    <xf numFmtId="0" fontId="11" fillId="0" borderId="10" xfId="0" applyFont="1" applyBorder="1" applyAlignment="1" applyProtection="1">
      <alignment horizontal="center" vertical="center"/>
      <protection hidden="1"/>
    </xf>
    <xf numFmtId="0" fontId="29" fillId="0" borderId="0" xfId="0" applyFont="1" applyAlignment="1" applyProtection="1">
      <alignment horizontal="justify" vertical="top" wrapText="1" readingOrder="1"/>
      <protection hidden="1"/>
    </xf>
    <xf numFmtId="0" fontId="29" fillId="0" borderId="0" xfId="0" applyFont="1" applyAlignment="1" applyProtection="1">
      <alignment horizontal="justify" vertical="top" readingOrder="1"/>
      <protection hidden="1"/>
    </xf>
    <xf numFmtId="0" fontId="14" fillId="0" borderId="0" xfId="0" applyFont="1" applyAlignment="1" applyProtection="1">
      <alignment horizontal="justify" vertical="top" wrapText="1" readingOrder="1"/>
      <protection hidden="1"/>
    </xf>
    <xf numFmtId="0" fontId="29" fillId="0" borderId="0" xfId="0" applyFont="1" applyAlignment="1" applyProtection="1">
      <alignment horizontal="left" vertical="top" wrapText="1"/>
      <protection hidden="1"/>
    </xf>
    <xf numFmtId="0" fontId="29" fillId="0" borderId="0" xfId="0" applyFont="1" applyAlignment="1" applyProtection="1">
      <alignment horizontal="left" vertical="center" wrapText="1"/>
      <protection hidden="1"/>
    </xf>
    <xf numFmtId="0" fontId="29" fillId="0" borderId="0" xfId="0" applyFont="1" applyAlignment="1" applyProtection="1">
      <alignment horizontal="left" wrapText="1"/>
      <protection hidden="1"/>
    </xf>
    <xf numFmtId="0" fontId="20" fillId="7" borderId="0" xfId="0" applyFont="1" applyFill="1" applyAlignment="1" applyProtection="1">
      <alignment horizontal="center"/>
      <protection hidden="1"/>
    </xf>
    <xf numFmtId="0" fontId="9" fillId="0" borderId="30" xfId="0" applyFont="1" applyBorder="1" applyAlignment="1" applyProtection="1">
      <alignment horizontal="left"/>
      <protection locked="0"/>
    </xf>
    <xf numFmtId="0" fontId="11" fillId="0" borderId="0" xfId="0" applyFont="1" applyAlignment="1" applyProtection="1">
      <alignment horizontal="left" vertical="center"/>
      <protection hidden="1"/>
    </xf>
    <xf numFmtId="0" fontId="22" fillId="8" borderId="0" xfId="0" applyFont="1" applyFill="1" applyAlignment="1" applyProtection="1">
      <alignment horizontal="left" vertical="center"/>
      <protection hidden="1"/>
    </xf>
    <xf numFmtId="0" fontId="22" fillId="8" borderId="0" xfId="0" applyFont="1" applyFill="1" applyAlignment="1" applyProtection="1">
      <alignment horizontal="justify" vertical="top" wrapText="1" readingOrder="1"/>
      <protection hidden="1"/>
    </xf>
    <xf numFmtId="0" fontId="22" fillId="8" borderId="0" xfId="0" applyFont="1" applyFill="1" applyAlignment="1" applyProtection="1">
      <alignment horizontal="justify" vertical="top" readingOrder="1"/>
      <protection hidden="1"/>
    </xf>
    <xf numFmtId="0" fontId="26" fillId="0" borderId="30" xfId="0" applyFont="1" applyBorder="1" applyAlignment="1" applyProtection="1">
      <alignment horizontal="left" vertical="center" wrapText="1"/>
      <protection locked="0"/>
    </xf>
    <xf numFmtId="0" fontId="9" fillId="0" borderId="30" xfId="0" applyFont="1" applyBorder="1" applyAlignment="1" applyProtection="1">
      <alignment horizontal="left" vertical="center"/>
      <protection locked="0"/>
    </xf>
    <xf numFmtId="0" fontId="11" fillId="0" borderId="0" xfId="0" applyFont="1" applyAlignment="1" applyProtection="1">
      <alignment horizontal="right" vertical="center"/>
      <protection hidden="1"/>
    </xf>
    <xf numFmtId="164" fontId="9" fillId="0" borderId="30" xfId="0" applyNumberFormat="1" applyFont="1" applyBorder="1" applyAlignment="1" applyProtection="1">
      <alignment horizontal="left" vertical="center"/>
      <protection locked="0"/>
    </xf>
    <xf numFmtId="0" fontId="23" fillId="0" borderId="30" xfId="0" applyFont="1" applyBorder="1" applyAlignment="1" applyProtection="1">
      <alignment horizontal="left" vertical="center"/>
      <protection locked="0"/>
    </xf>
    <xf numFmtId="0" fontId="17" fillId="6" borderId="0" xfId="0" applyFont="1" applyFill="1" applyAlignment="1" applyProtection="1">
      <alignment horizontal="left" vertical="center"/>
      <protection hidden="1"/>
    </xf>
    <xf numFmtId="0" fontId="18" fillId="0" borderId="0" xfId="0" applyFont="1" applyAlignment="1" applyProtection="1">
      <alignment horizontal="left" vertical="top" wrapText="1"/>
      <protection hidden="1"/>
    </xf>
    <xf numFmtId="0" fontId="15" fillId="7" borderId="0" xfId="0" applyFont="1" applyFill="1" applyAlignment="1" applyProtection="1">
      <alignment horizontal="center" vertical="center"/>
      <protection hidden="1"/>
    </xf>
    <xf numFmtId="0" fontId="9" fillId="0" borderId="0" xfId="0" applyFont="1" applyAlignment="1" applyProtection="1">
      <alignment horizontal="justify" vertical="top" readingOrder="1"/>
      <protection hidden="1"/>
    </xf>
    <xf numFmtId="0" fontId="3" fillId="2" borderId="0" xfId="0" applyFont="1" applyFill="1" applyAlignment="1" applyProtection="1">
      <alignment horizontal="center"/>
      <protection locked="0"/>
    </xf>
    <xf numFmtId="0" fontId="3" fillId="5" borderId="0" xfId="0" applyFont="1" applyFill="1" applyAlignment="1" applyProtection="1">
      <alignment horizontal="center"/>
      <protection locked="0"/>
    </xf>
    <xf numFmtId="0" fontId="3" fillId="5" borderId="0" xfId="0" applyFont="1" applyFill="1" applyAlignment="1" applyProtection="1">
      <alignment horizontal="center" vertical="center"/>
      <protection locked="0"/>
    </xf>
    <xf numFmtId="0" fontId="2" fillId="0" borderId="0" xfId="0" applyFont="1" applyAlignment="1" applyProtection="1">
      <alignment horizontal="center" vertical="center"/>
      <protection hidden="1"/>
    </xf>
    <xf numFmtId="0" fontId="2" fillId="0" borderId="0" xfId="0" applyFont="1" applyAlignment="1" applyProtection="1">
      <alignment horizontal="center"/>
      <protection hidden="1"/>
    </xf>
    <xf numFmtId="0" fontId="3" fillId="4" borderId="0" xfId="0" applyFont="1" applyFill="1" applyAlignment="1" applyProtection="1">
      <alignment horizontal="center" vertical="center"/>
      <protection hidden="1"/>
    </xf>
    <xf numFmtId="0" fontId="3" fillId="4" borderId="10" xfId="0" applyFont="1" applyFill="1" applyBorder="1" applyAlignment="1" applyProtection="1">
      <alignment horizontal="center" vertical="center"/>
      <protection hidden="1"/>
    </xf>
    <xf numFmtId="0" fontId="3" fillId="4" borderId="0" xfId="0" applyFont="1" applyFill="1" applyAlignment="1">
      <alignment horizontal="center" vertical="center"/>
    </xf>
    <xf numFmtId="0" fontId="2" fillId="0" borderId="0" xfId="0" applyFont="1" applyAlignment="1">
      <alignment horizontal="center" vertical="center"/>
    </xf>
    <xf numFmtId="0" fontId="3" fillId="4" borderId="24" xfId="0" applyFont="1" applyFill="1" applyBorder="1" applyAlignment="1" applyProtection="1">
      <alignment horizontal="center" vertical="center"/>
      <protection hidden="1"/>
    </xf>
    <xf numFmtId="0" fontId="12" fillId="6" borderId="13" xfId="0" applyFont="1" applyFill="1" applyBorder="1" applyAlignment="1" applyProtection="1">
      <alignment horizontal="center" vertical="center"/>
      <protection hidden="1"/>
    </xf>
    <xf numFmtId="0" fontId="12" fillId="0" borderId="15" xfId="0" applyFont="1" applyBorder="1" applyAlignment="1" applyProtection="1">
      <alignment horizontal="center" vertical="center"/>
      <protection hidden="1"/>
    </xf>
    <xf numFmtId="0" fontId="8" fillId="6" borderId="15" xfId="0" applyFont="1" applyFill="1" applyBorder="1" applyAlignment="1" applyProtection="1">
      <alignment horizontal="center" vertical="center"/>
      <protection hidden="1"/>
    </xf>
    <xf numFmtId="0" fontId="12" fillId="0" borderId="0" xfId="0" applyFont="1" applyAlignment="1" applyProtection="1">
      <alignment horizontal="left" vertical="center"/>
      <protection hidden="1"/>
    </xf>
  </cellXfs>
  <cellStyles count="1">
    <cellStyle name="Normal" xfId="0" builtinId="0"/>
  </cellStyles>
  <dxfs count="0"/>
  <tableStyles count="0" defaultTableStyle="TableStyleMedium2" defaultPivotStyle="PivotStyleLight16"/>
  <colors>
    <mruColors>
      <color rgb="FF29637F"/>
      <color rgb="FF80A3B7"/>
      <color rgb="FFC7D6DF"/>
      <color rgb="FF1F2639"/>
      <color rgb="FF29334B"/>
      <color rgb="FF495B86"/>
      <color rgb="FF0D5EA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83378664311954886"/>
        </c:manualLayout>
      </c:layout>
      <c:barChart>
        <c:barDir val="bar"/>
        <c:grouping val="clustered"/>
        <c:varyColors val="0"/>
        <c:ser>
          <c:idx val="0"/>
          <c:order val="0"/>
          <c:spPr>
            <a:solidFill>
              <a:schemeClr val="tx1"/>
            </a:solidFill>
            <a:ln w="25400">
              <a:solidFill>
                <a:schemeClr val="tx1"/>
              </a:solidFill>
            </a:ln>
            <a:effectLst/>
          </c:spPr>
          <c:invertIfNegative val="0"/>
          <c:val>
            <c:numRef>
              <c:f>Perfil!$I$20:$I$22</c:f>
              <c:numCache>
                <c:formatCode>General</c:formatCode>
                <c:ptCount val="3"/>
                <c:pt idx="0">
                  <c:v>62</c:v>
                </c:pt>
                <c:pt idx="1">
                  <c:v>39</c:v>
                </c:pt>
                <c:pt idx="2">
                  <c:v>73</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2.6141732283464569E-2"/>
          <c:w val="0.95985663082437278"/>
          <c:h val="0.94492893306369508"/>
        </c:manualLayout>
      </c:layout>
      <c:barChart>
        <c:barDir val="bar"/>
        <c:grouping val="clustered"/>
        <c:varyColors val="0"/>
        <c:ser>
          <c:idx val="0"/>
          <c:order val="0"/>
          <c:spPr>
            <a:solidFill>
              <a:schemeClr val="tx1"/>
            </a:solidFill>
            <a:ln w="31750">
              <a:solidFill>
                <a:schemeClr val="tx1"/>
              </a:solidFill>
            </a:ln>
            <a:effectLst/>
          </c:spPr>
          <c:invertIfNegative val="0"/>
          <c:val>
            <c:numRef>
              <c:f>Perfil!$I$27:$I$38</c:f>
              <c:numCache>
                <c:formatCode>General</c:formatCode>
                <c:ptCount val="12"/>
                <c:pt idx="0">
                  <c:v>97</c:v>
                </c:pt>
                <c:pt idx="1">
                  <c:v>79</c:v>
                </c:pt>
                <c:pt idx="2">
                  <c:v>74</c:v>
                </c:pt>
                <c:pt idx="3">
                  <c:v>80</c:v>
                </c:pt>
                <c:pt idx="4">
                  <c:v>13</c:v>
                </c:pt>
                <c:pt idx="5">
                  <c:v>12</c:v>
                </c:pt>
                <c:pt idx="6">
                  <c:v>24</c:v>
                </c:pt>
                <c:pt idx="7">
                  <c:v>0</c:v>
                </c:pt>
                <c:pt idx="8">
                  <c:v>0</c:v>
                </c:pt>
                <c:pt idx="9">
                  <c:v>80</c:v>
                </c:pt>
                <c:pt idx="10">
                  <c:v>69</c:v>
                </c:pt>
                <c:pt idx="11">
                  <c:v>64</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2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28575">
              <a:solidFill>
                <a:schemeClr val="tx1"/>
              </a:solidFill>
            </a:ln>
            <a:effectLst/>
          </c:spPr>
          <c:invertIfNegative val="0"/>
          <c:val>
            <c:numRef>
              <c:f>Perfil!$I$40:$I$42</c:f>
              <c:numCache>
                <c:formatCode>General</c:formatCode>
                <c:ptCount val="3"/>
                <c:pt idx="0">
                  <c:v>63</c:v>
                </c:pt>
                <c:pt idx="1">
                  <c:v>56</c:v>
                </c:pt>
                <c:pt idx="2">
                  <c:v>43</c:v>
                </c:pt>
              </c:numCache>
            </c:numRef>
          </c:val>
          <c:extLst>
            <c:ext xmlns:c16="http://schemas.microsoft.com/office/drawing/2014/chart" uri="{C3380CC4-5D6E-409C-BE32-E72D297353CC}">
              <c16:uniqueId val="{00000000-494F-47BA-9820-7B80BD4D259E}"/>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31750">
              <a:solidFill>
                <a:schemeClr val="tx1"/>
              </a:solidFill>
            </a:ln>
            <a:effectLst/>
          </c:spPr>
          <c:invertIfNegative val="0"/>
          <c:val>
            <c:numRef>
              <c:f>Perfil!$I$55:$I$57</c:f>
              <c:numCache>
                <c:formatCode>General</c:formatCode>
                <c:ptCount val="3"/>
                <c:pt idx="0">
                  <c:v>64</c:v>
                </c:pt>
                <c:pt idx="1">
                  <c:v>85</c:v>
                </c:pt>
                <c:pt idx="2">
                  <c:v>30</c:v>
                </c:pt>
              </c:numCache>
            </c:numRef>
          </c:val>
          <c:extLst>
            <c:ext xmlns:c16="http://schemas.microsoft.com/office/drawing/2014/chart" uri="{C3380CC4-5D6E-409C-BE32-E72D297353CC}">
              <c16:uniqueId val="{00000000-494F-47BA-9820-7B80BD4D259E}"/>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1.6446111734703922E-2"/>
          <c:w val="0.95985663082437278"/>
          <c:h val="0.93074821291427912"/>
        </c:manualLayout>
      </c:layout>
      <c:barChart>
        <c:barDir val="bar"/>
        <c:grouping val="clustered"/>
        <c:varyColors val="0"/>
        <c:ser>
          <c:idx val="0"/>
          <c:order val="0"/>
          <c:spPr>
            <a:solidFill>
              <a:schemeClr val="tx1"/>
            </a:solidFill>
            <a:ln w="31750">
              <a:solidFill>
                <a:schemeClr val="tx1"/>
              </a:solidFill>
            </a:ln>
            <a:effectLst/>
          </c:spPr>
          <c:invertIfNegative val="0"/>
          <c:val>
            <c:numRef>
              <c:f>Perfil!$I$47:$I$53</c:f>
              <c:numCache>
                <c:formatCode>General</c:formatCode>
                <c:ptCount val="7"/>
                <c:pt idx="0">
                  <c:v>95</c:v>
                </c:pt>
                <c:pt idx="1">
                  <c:v>115</c:v>
                </c:pt>
                <c:pt idx="2">
                  <c:v>63</c:v>
                </c:pt>
                <c:pt idx="3">
                  <c:v>100</c:v>
                </c:pt>
                <c:pt idx="4">
                  <c:v>60</c:v>
                </c:pt>
                <c:pt idx="5">
                  <c:v>0</c:v>
                </c:pt>
                <c:pt idx="6">
                  <c:v>93</c:v>
                </c:pt>
              </c:numCache>
            </c:numRef>
          </c:val>
          <c:extLst>
            <c:ext xmlns:c16="http://schemas.microsoft.com/office/drawing/2014/chart" uri="{C3380CC4-5D6E-409C-BE32-E72D297353CC}">
              <c16:uniqueId val="{00000000-494F-47BA-9820-7B80BD4D259E}"/>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31750">
              <a:solidFill>
                <a:schemeClr val="tx1"/>
              </a:solidFill>
            </a:ln>
            <a:effectLst/>
          </c:spPr>
          <c:invertIfNegative val="0"/>
          <c:val>
            <c:numRef>
              <c:f>Perfil!$I$72:$I$74</c:f>
              <c:numCache>
                <c:formatCode>General</c:formatCode>
                <c:ptCount val="3"/>
                <c:pt idx="0">
                  <c:v>85</c:v>
                </c:pt>
                <c:pt idx="1">
                  <c:v>85</c:v>
                </c:pt>
                <c:pt idx="2">
                  <c:v>85</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28575">
              <a:solidFill>
                <a:schemeClr val="tx1"/>
              </a:solidFill>
            </a:ln>
            <a:effectLst/>
          </c:spPr>
          <c:invertIfNegative val="0"/>
          <c:val>
            <c:numRef>
              <c:f>Perfil!$I$76:$I$78</c:f>
              <c:numCache>
                <c:formatCode>General</c:formatCode>
                <c:ptCount val="3"/>
                <c:pt idx="0">
                  <c:v>36</c:v>
                </c:pt>
                <c:pt idx="1">
                  <c:v>85</c:v>
                </c:pt>
                <c:pt idx="2">
                  <c:v>85</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31750">
              <a:solidFill>
                <a:schemeClr val="tx1"/>
              </a:solidFill>
            </a:ln>
            <a:effectLst/>
          </c:spPr>
          <c:invertIfNegative val="0"/>
          <c:val>
            <c:numRef>
              <c:f>Perfil!$I$80:$I$82</c:f>
              <c:numCache>
                <c:formatCode>General</c:formatCode>
                <c:ptCount val="3"/>
                <c:pt idx="0">
                  <c:v>60</c:v>
                </c:pt>
                <c:pt idx="1">
                  <c:v>93</c:v>
                </c:pt>
                <c:pt idx="2">
                  <c:v>85</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T$10" lockText="1"/>
</file>

<file path=xl/ctrlProps/ctrlProp2.xml><?xml version="1.0" encoding="utf-8"?>
<formControlPr xmlns="http://schemas.microsoft.com/office/spreadsheetml/2009/9/main" objectType="CheckBox" checked="Checked" fmlaLink="$T$11" lockText="1"/>
</file>

<file path=xl/ctrlProps/ctrlProp3.xml><?xml version="1.0" encoding="utf-8"?>
<formControlPr xmlns="http://schemas.microsoft.com/office/spreadsheetml/2009/9/main" objectType="CheckBox" fmlaLink="$T$1" lockText="1"/>
</file>

<file path=xl/ctrlProps/ctrlProp4.xml><?xml version="1.0" encoding="utf-8"?>
<formControlPr xmlns="http://schemas.microsoft.com/office/spreadsheetml/2009/9/main" objectType="CheckBox" fmlaLink="$T$2" lockText="1"/>
</file>

<file path=xl/ctrlProps/ctrlProp5.xml><?xml version="1.0" encoding="utf-8"?>
<formControlPr xmlns="http://schemas.microsoft.com/office/spreadsheetml/2009/9/main" objectType="CheckBox" fmlaLink="$T$3" lockText="1"/>
</file>

<file path=xl/ctrlProps/ctrlProp6.xml><?xml version="1.0" encoding="utf-8"?>
<formControlPr xmlns="http://schemas.microsoft.com/office/spreadsheetml/2009/9/main" objectType="CheckBox" checked="Checked" fmlaLink="$T$4" lockText="1"/>
</file>

<file path=xl/ctrlProps/ctrlProp7.xml><?xml version="1.0" encoding="utf-8"?>
<formControlPr xmlns="http://schemas.microsoft.com/office/spreadsheetml/2009/9/main" objectType="CheckBox" fmlaLink="$T$5" lockText="1"/>
</file>

<file path=xl/ctrlProps/ctrlProp8.xml><?xml version="1.0" encoding="utf-8"?>
<formControlPr xmlns="http://schemas.microsoft.com/office/spreadsheetml/2009/9/main" objectType="CheckBox" checked="Checked" fmlaLink="$V$1" lockText="1"/>
</file>

<file path=xl/ctrlProps/ctrlProp9.xml><?xml version="1.0" encoding="utf-8"?>
<formControlPr xmlns="http://schemas.microsoft.com/office/spreadsheetml/2009/9/main" objectType="CheckBox" fmlaLink="$V$2" lockText="1"/>
</file>

<file path=xl/ctrlProps/ctrlProp10.xml><?xml version="1.0" encoding="utf-8"?>
<formControlPr xmlns="http://schemas.microsoft.com/office/spreadsheetml/2009/9/main" objectType="CheckBox" fmlaLink="$V$3" lockText="1"/>
</file>

<file path=xl/ctrlProps/ctrlProp11.xml><?xml version="1.0" encoding="utf-8"?>
<formControlPr xmlns="http://schemas.microsoft.com/office/spreadsheetml/2009/9/main" objectType="CheckBox" fmlaLink="$V$4" lockText="1"/>
</file>

<file path=xl/ctrlProps/ctrlProp12.xml><?xml version="1.0" encoding="utf-8"?>
<formControlPr xmlns="http://schemas.microsoft.com/office/spreadsheetml/2009/9/main" objectType="CheckBox" fmlaLink="$V$5" lockText="1"/>
</file>

<file path=xl/ctrlProps/ctrlProp13.xml><?xml version="1.0" encoding="utf-8"?>
<formControlPr xmlns="http://schemas.microsoft.com/office/spreadsheetml/2009/9/main" objectType="CheckBox" fmlaLink="$V$6" lockText="1"/>
</file>

<file path=xl/ctrlProps/ctrlProp14.xml><?xml version="1.0" encoding="utf-8"?>
<formControlPr xmlns="http://schemas.microsoft.com/office/spreadsheetml/2009/9/main" objectType="CheckBox" fmlaLink="$V$7" lockText="1"/>
</file>

<file path=xl/ctrlProps/ctrlProp15.xml><?xml version="1.0" encoding="utf-8"?>
<formControlPr xmlns="http://schemas.microsoft.com/office/spreadsheetml/2009/9/main" objectType="CheckBox" fmlaLink="$V$8" lockText="1"/>
</file>

<file path=xl/ctrlProps/ctrlProp16.xml><?xml version="1.0" encoding="utf-8"?>
<formControlPr xmlns="http://schemas.microsoft.com/office/spreadsheetml/2009/9/main" objectType="CheckBox" fmlaLink="$Z$1" lockText="1"/>
</file>

<file path=xl/ctrlProps/ctrlProp17.xml><?xml version="1.0" encoding="utf-8"?>
<formControlPr xmlns="http://schemas.microsoft.com/office/spreadsheetml/2009/9/main" objectType="CheckBox" fmlaLink="$Z$2" lockText="1"/>
</file>

<file path=xl/ctrlProps/ctrlProp18.xml><?xml version="1.0" encoding="utf-8"?>
<formControlPr xmlns="http://schemas.microsoft.com/office/spreadsheetml/2009/9/main" objectType="CheckBox" fmlaLink="$Z$3" lockText="1"/>
</file>

<file path=xl/ctrlProps/ctrlProp19.xml><?xml version="1.0" encoding="utf-8"?>
<formControlPr xmlns="http://schemas.microsoft.com/office/spreadsheetml/2009/9/main" objectType="CheckBox" fmlaLink="$Z$4" lockText="1"/>
</file>

<file path=xl/ctrlProps/ctrlProp20.xml><?xml version="1.0" encoding="utf-8"?>
<formControlPr xmlns="http://schemas.microsoft.com/office/spreadsheetml/2009/9/main" objectType="CheckBox" fmlaLink="$Z$5" lockText="1"/>
</file>

<file path=xl/ctrlProps/ctrlProp21.xml><?xml version="1.0" encoding="utf-8"?>
<formControlPr xmlns="http://schemas.microsoft.com/office/spreadsheetml/2009/9/main" objectType="CheckBox" fmlaLink="$Z$6" lockText="1"/>
</file>

<file path=xl/ctrlProps/ctrlProp22.xml><?xml version="1.0" encoding="utf-8"?>
<formControlPr xmlns="http://schemas.microsoft.com/office/spreadsheetml/2009/9/main" objectType="CheckBox" checked="Checked" fmlaLink="$Z$7" lockText="1"/>
</file>

<file path=xl/ctrlProps/ctrlProp23.xml><?xml version="1.0" encoding="utf-8"?>
<formControlPr xmlns="http://schemas.microsoft.com/office/spreadsheetml/2009/9/main" objectType="CheckBox" fmlaLink="$AB$1" lockText="1"/>
</file>

<file path=xl/ctrlProps/ctrlProp24.xml><?xml version="1.0" encoding="utf-8"?>
<formControlPr xmlns="http://schemas.microsoft.com/office/spreadsheetml/2009/9/main" objectType="CheckBox" checked="Checked" fmlaLink="$AB$2" lockText="1"/>
</file>

<file path=xl/ctrlProps/ctrlProp25.xml><?xml version="1.0" encoding="utf-8"?>
<formControlPr xmlns="http://schemas.microsoft.com/office/spreadsheetml/2009/9/main" objectType="CheckBox" fmlaLink="$AB$3" lockText="1"/>
</file>

<file path=xl/ctrlProps/ctrlProp26.xml><?xml version="1.0" encoding="utf-8"?>
<formControlPr xmlns="http://schemas.microsoft.com/office/spreadsheetml/2009/9/main" objectType="CheckBox" fmlaLink="$AB$4" lockText="1"/>
</file>

<file path=xl/ctrlProps/ctrlProp27.xml><?xml version="1.0" encoding="utf-8"?>
<formControlPr xmlns="http://schemas.microsoft.com/office/spreadsheetml/2009/9/main" objectType="CheckBox" fmlaLink="$AB$5" lockText="1"/>
</file>

<file path=xl/ctrlProps/ctrlProp28.xml><?xml version="1.0" encoding="utf-8"?>
<formControlPr xmlns="http://schemas.microsoft.com/office/spreadsheetml/2009/9/main" objectType="CheckBox" fmlaLink="$AB$6" lockText="1"/>
</file>

<file path=xl/ctrlProps/ctrlProp29.xml><?xml version="1.0" encoding="utf-8"?>
<formControlPr xmlns="http://schemas.microsoft.com/office/spreadsheetml/2009/9/main" objectType="CheckBox" fmlaLink="$AB$7" lockText="1"/>
</file>

<file path=xl/ctrlProps/ctrlProp30.xml><?xml version="1.0" encoding="utf-8"?>
<formControlPr xmlns="http://schemas.microsoft.com/office/spreadsheetml/2009/9/main" objectType="CheckBox" fmlaLink="$AB$8" lockText="1"/>
</file>

<file path=xl/ctrlProps/ctrlProp31.xml><?xml version="1.0" encoding="utf-8"?>
<formControlPr xmlns="http://schemas.microsoft.com/office/spreadsheetml/2009/9/main" objectType="CheckBox" checked="Checked" fmlaLink="$AB$9" lockText="1"/>
</file>

<file path=xl/ctrlProps/ctrlProp32.xml><?xml version="1.0" encoding="utf-8"?>
<formControlPr xmlns="http://schemas.microsoft.com/office/spreadsheetml/2009/9/main" objectType="CheckBox" fmlaLink="$AB$10" lockText="1"/>
</file>

<file path=xl/ctrlProps/ctrlProp33.xml><?xml version="1.0" encoding="utf-8"?>
<formControlPr xmlns="http://schemas.microsoft.com/office/spreadsheetml/2009/9/main" objectType="Drop" dropStyle="combo" dx="22" fmlaLink="$A$2" fmlaRange="$O$5:$O$6" sel="1" val="0"/>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9525</xdr:colOff>
          <xdr:row>11</xdr:row>
          <xdr:rowOff>0</xdr:rowOff>
        </xdr:from>
        <xdr:to>
          <xdr:col>16</xdr:col>
          <xdr:colOff>352425</xdr:colOff>
          <xdr:row>12</xdr:row>
          <xdr:rowOff>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 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542925</xdr:colOff>
          <xdr:row>11</xdr:row>
          <xdr:rowOff>9525</xdr:rowOff>
        </xdr:from>
        <xdr:to>
          <xdr:col>16</xdr:col>
          <xdr:colOff>885825</xdr:colOff>
          <xdr:row>12</xdr:row>
          <xdr:rowOff>9525</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xdr:row>
          <xdr:rowOff>0</xdr:rowOff>
        </xdr:from>
        <xdr:to>
          <xdr:col>3</xdr:col>
          <xdr:colOff>742950</xdr:colOff>
          <xdr:row>16</xdr:row>
          <xdr:rowOff>0</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Sin estudios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16</xdr:row>
          <xdr:rowOff>171450</xdr:rowOff>
        </xdr:from>
        <xdr:to>
          <xdr:col>3</xdr:col>
          <xdr:colOff>723900</xdr:colOff>
          <xdr:row>17</xdr:row>
          <xdr:rowOff>209550</xdr:rowOff>
        </xdr:to>
        <xdr:sp macro="" textlink="">
          <xdr:nvSpPr>
            <xdr:cNvPr id="8200" name="Check Box 8" hidden="1">
              <a:extLst>
                <a:ext uri="{63B3BB69-23CF-44E3-9099-C40C66FF867C}">
                  <a14:compatExt spid="_x0000_s8200"/>
                </a:ext>
                <a:ext uri="{FF2B5EF4-FFF2-40B4-BE49-F238E27FC236}">
                  <a16:creationId xmlns:a16="http://schemas.microsoft.com/office/drawing/2014/main" id="{00000000-0008-0000-0000-00000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Educación primaria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18</xdr:row>
          <xdr:rowOff>66675</xdr:rowOff>
        </xdr:from>
        <xdr:to>
          <xdr:col>3</xdr:col>
          <xdr:colOff>723900</xdr:colOff>
          <xdr:row>19</xdr:row>
          <xdr:rowOff>209550</xdr:rowOff>
        </xdr:to>
        <xdr:sp macro="" textlink="">
          <xdr:nvSpPr>
            <xdr:cNvPr id="8201" name="Check Box 9" hidden="1">
              <a:extLst>
                <a:ext uri="{63B3BB69-23CF-44E3-9099-C40C66FF867C}">
                  <a14:compatExt spid="_x0000_s8201"/>
                </a:ext>
                <a:ext uri="{FF2B5EF4-FFF2-40B4-BE49-F238E27FC236}">
                  <a16:creationId xmlns:a16="http://schemas.microsoft.com/office/drawing/2014/main" id="{00000000-0008-0000-0000-00000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Educación secundaria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171450</xdr:rowOff>
        </xdr:from>
        <xdr:to>
          <xdr:col>16</xdr:col>
          <xdr:colOff>466725</xdr:colOff>
          <xdr:row>16</xdr:row>
          <xdr:rowOff>0</xdr:rowOff>
        </xdr:to>
        <xdr:sp macro="" textlink="">
          <xdr:nvSpPr>
            <xdr:cNvPr id="8202" name="Check Box 10" hidden="1">
              <a:extLst>
                <a:ext uri="{63B3BB69-23CF-44E3-9099-C40C66FF867C}">
                  <a14:compatExt spid="_x0000_s8202"/>
                </a:ext>
                <a:ext uri="{FF2B5EF4-FFF2-40B4-BE49-F238E27FC236}">
                  <a16:creationId xmlns:a16="http://schemas.microsoft.com/office/drawing/2014/main" id="{00000000-0008-0000-0000-00000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Bachillerato superior o formación profesional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16</xdr:row>
          <xdr:rowOff>161925</xdr:rowOff>
        </xdr:from>
        <xdr:to>
          <xdr:col>16</xdr:col>
          <xdr:colOff>466725</xdr:colOff>
          <xdr:row>17</xdr:row>
          <xdr:rowOff>209550</xdr:rowOff>
        </xdr:to>
        <xdr:sp macro="" textlink="">
          <xdr:nvSpPr>
            <xdr:cNvPr id="8203" name="Check Box 11" hidden="1">
              <a:extLst>
                <a:ext uri="{63B3BB69-23CF-44E3-9099-C40C66FF867C}">
                  <a14:compatExt spid="_x0000_s8203"/>
                </a:ext>
                <a:ext uri="{FF2B5EF4-FFF2-40B4-BE49-F238E27FC236}">
                  <a16:creationId xmlns:a16="http://schemas.microsoft.com/office/drawing/2014/main" id="{00000000-0008-0000-0000-00000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Diplomatura,licenciatura o titulaciones superiores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22</xdr:row>
          <xdr:rowOff>171450</xdr:rowOff>
        </xdr:from>
        <xdr:to>
          <xdr:col>3</xdr:col>
          <xdr:colOff>695325</xdr:colOff>
          <xdr:row>23</xdr:row>
          <xdr:rowOff>209550</xdr:rowOff>
        </xdr:to>
        <xdr:sp macro="" textlink="">
          <xdr:nvSpPr>
            <xdr:cNvPr id="8204" name="Check Box 12" hidden="1">
              <a:extLst>
                <a:ext uri="{63B3BB69-23CF-44E3-9099-C40C66FF867C}">
                  <a14:compatExt spid="_x0000_s8204"/>
                </a:ext>
                <a:ext uri="{FF2B5EF4-FFF2-40B4-BE49-F238E27FC236}">
                  <a16:creationId xmlns:a16="http://schemas.microsoft.com/office/drawing/2014/main" id="{00000000-0008-0000-0000-00000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Soltero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25</xdr:row>
          <xdr:rowOff>0</xdr:rowOff>
        </xdr:from>
        <xdr:to>
          <xdr:col>3</xdr:col>
          <xdr:colOff>695325</xdr:colOff>
          <xdr:row>25</xdr:row>
          <xdr:rowOff>209550</xdr:rowOff>
        </xdr:to>
        <xdr:sp macro="" textlink="">
          <xdr:nvSpPr>
            <xdr:cNvPr id="8205" name="Check Box 13"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Separado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27</xdr:row>
          <xdr:rowOff>0</xdr:rowOff>
        </xdr:from>
        <xdr:to>
          <xdr:col>4</xdr:col>
          <xdr:colOff>238125</xdr:colOff>
          <xdr:row>28</xdr:row>
          <xdr:rowOff>0</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000-00000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Viviendo en pareja (Sin estar casado)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22</xdr:row>
          <xdr:rowOff>171450</xdr:rowOff>
        </xdr:from>
        <xdr:to>
          <xdr:col>12</xdr:col>
          <xdr:colOff>333375</xdr:colOff>
          <xdr:row>23</xdr:row>
          <xdr:rowOff>209550</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Casado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25</xdr:row>
          <xdr:rowOff>9525</xdr:rowOff>
        </xdr:from>
        <xdr:to>
          <xdr:col>12</xdr:col>
          <xdr:colOff>323850</xdr:colOff>
          <xdr:row>26</xdr:row>
          <xdr:rowOff>9525</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000-00001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Divorciado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22</xdr:row>
          <xdr:rowOff>171450</xdr:rowOff>
        </xdr:from>
        <xdr:to>
          <xdr:col>16</xdr:col>
          <xdr:colOff>542925</xdr:colOff>
          <xdr:row>23</xdr:row>
          <xdr:rowOff>209550</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000-00001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Casado más de una vez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24</xdr:row>
          <xdr:rowOff>190500</xdr:rowOff>
        </xdr:from>
        <xdr:to>
          <xdr:col>16</xdr:col>
          <xdr:colOff>542925</xdr:colOff>
          <xdr:row>25</xdr:row>
          <xdr:rowOff>209550</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000-00001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Viudo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26</xdr:row>
          <xdr:rowOff>66675</xdr:rowOff>
        </xdr:from>
        <xdr:to>
          <xdr:col>12</xdr:col>
          <xdr:colOff>57150</xdr:colOff>
          <xdr:row>28</xdr:row>
          <xdr:rowOff>0</xdr:rowOff>
        </xdr:to>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Otros (Especificar)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46</xdr:row>
          <xdr:rowOff>180975</xdr:rowOff>
        </xdr:from>
        <xdr:to>
          <xdr:col>8</xdr:col>
          <xdr:colOff>28575</xdr:colOff>
          <xdr:row>47</xdr:row>
          <xdr:rowOff>171450</xdr:rowOff>
        </xdr:to>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ambulatorio sin hospitalización previa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48</xdr:row>
          <xdr:rowOff>171450</xdr:rowOff>
        </xdr:from>
        <xdr:to>
          <xdr:col>8</xdr:col>
          <xdr:colOff>19050</xdr:colOff>
          <xdr:row>49</xdr:row>
          <xdr:rowOff>209550</xdr:rowOff>
        </xdr:to>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ambulatorio con hospitalización previa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50</xdr:row>
          <xdr:rowOff>180975</xdr:rowOff>
        </xdr:from>
        <xdr:to>
          <xdr:col>8</xdr:col>
          <xdr:colOff>19050</xdr:colOff>
          <xdr:row>52</xdr:row>
          <xdr:rowOff>0</xdr:rowOff>
        </xdr:to>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ingresado en hospital psiquiátrico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52</xdr:row>
          <xdr:rowOff>190500</xdr:rowOff>
        </xdr:from>
        <xdr:to>
          <xdr:col>8</xdr:col>
          <xdr:colOff>19050</xdr:colOff>
          <xdr:row>53</xdr:row>
          <xdr:rowOff>209550</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ingresado en hospital general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46</xdr:row>
          <xdr:rowOff>190500</xdr:rowOff>
        </xdr:from>
        <xdr:to>
          <xdr:col>16</xdr:col>
          <xdr:colOff>361950</xdr:colOff>
          <xdr:row>47</xdr:row>
          <xdr:rowOff>180975</xdr:rowOff>
        </xdr:to>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0000-00001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en centro penitenciario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48</xdr:row>
          <xdr:rowOff>171450</xdr:rowOff>
        </xdr:from>
        <xdr:to>
          <xdr:col>16</xdr:col>
          <xdr:colOff>361950</xdr:colOff>
          <xdr:row>49</xdr:row>
          <xdr:rowOff>209550</xdr:rowOff>
        </xdr:to>
        <xdr:sp macro="" textlink="">
          <xdr:nvSpPr>
            <xdr:cNvPr id="8217" name="Check Box 25"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en clínica universitaria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50</xdr:row>
          <xdr:rowOff>66675</xdr:rowOff>
        </xdr:from>
        <xdr:to>
          <xdr:col>11</xdr:col>
          <xdr:colOff>523875</xdr:colOff>
          <xdr:row>52</xdr:row>
          <xdr:rowOff>0</xdr:rowOff>
        </xdr:to>
        <xdr:sp macro="" textlink="">
          <xdr:nvSpPr>
            <xdr:cNvPr id="8218" name="Check Box 26" hidden="1">
              <a:extLst>
                <a:ext uri="{63B3BB69-23CF-44E3-9099-C40C66FF867C}">
                  <a14:compatExt spid="_x0000_s8218"/>
                </a:ext>
                <a:ext uri="{FF2B5EF4-FFF2-40B4-BE49-F238E27FC236}">
                  <a16:creationId xmlns:a16="http://schemas.microsoft.com/office/drawing/2014/main" id="{00000000-0008-0000-0000-00001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Otra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56</xdr:row>
          <xdr:rowOff>171450</xdr:rowOff>
        </xdr:from>
        <xdr:to>
          <xdr:col>3</xdr:col>
          <xdr:colOff>200025</xdr:colOff>
          <xdr:row>57</xdr:row>
          <xdr:rowOff>161925</xdr:rowOff>
        </xdr:to>
        <xdr:sp macro="" textlink="">
          <xdr:nvSpPr>
            <xdr:cNvPr id="8219" name="Check Box 27" hidden="1">
              <a:extLst>
                <a:ext uri="{63B3BB69-23CF-44E3-9099-C40C66FF867C}">
                  <a14:compatExt spid="_x0000_s8219"/>
                </a:ext>
                <a:ext uri="{FF2B5EF4-FFF2-40B4-BE49-F238E27FC236}">
                  <a16:creationId xmlns:a16="http://schemas.microsoft.com/office/drawing/2014/main" id="{00000000-0008-0000-0000-00001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&lt; 1 semana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58</xdr:row>
          <xdr:rowOff>66675</xdr:rowOff>
        </xdr:from>
        <xdr:to>
          <xdr:col>3</xdr:col>
          <xdr:colOff>200025</xdr:colOff>
          <xdr:row>59</xdr:row>
          <xdr:rowOff>209550</xdr:rowOff>
        </xdr:to>
        <xdr:sp macro="" textlink="">
          <xdr:nvSpPr>
            <xdr:cNvPr id="8220" name="Check Box 28" hidden="1">
              <a:extLst>
                <a:ext uri="{63B3BB69-23CF-44E3-9099-C40C66FF867C}">
                  <a14:compatExt spid="_x0000_s8220"/>
                </a:ext>
                <a:ext uri="{FF2B5EF4-FFF2-40B4-BE49-F238E27FC236}">
                  <a16:creationId xmlns:a16="http://schemas.microsoft.com/office/drawing/2014/main" id="{00000000-0008-0000-0000-00001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1-4 semanas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60</xdr:row>
          <xdr:rowOff>66675</xdr:rowOff>
        </xdr:from>
        <xdr:to>
          <xdr:col>3</xdr:col>
          <xdr:colOff>209550</xdr:colOff>
          <xdr:row>61</xdr:row>
          <xdr:rowOff>209550</xdr:rowOff>
        </xdr:to>
        <xdr:sp macro="" textlink="">
          <xdr:nvSpPr>
            <xdr:cNvPr id="8221" name="Check Box 29" hidden="1">
              <a:extLst>
                <a:ext uri="{63B3BB69-23CF-44E3-9099-C40C66FF867C}">
                  <a14:compatExt spid="_x0000_s8221"/>
                </a:ext>
                <a:ext uri="{FF2B5EF4-FFF2-40B4-BE49-F238E27FC236}">
                  <a16:creationId xmlns:a16="http://schemas.microsoft.com/office/drawing/2014/main" id="{00000000-0008-0000-0000-00001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1-3 meses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62</xdr:row>
          <xdr:rowOff>66675</xdr:rowOff>
        </xdr:from>
        <xdr:to>
          <xdr:col>3</xdr:col>
          <xdr:colOff>209550</xdr:colOff>
          <xdr:row>63</xdr:row>
          <xdr:rowOff>209550</xdr:rowOff>
        </xdr:to>
        <xdr:sp macro="" textlink="">
          <xdr:nvSpPr>
            <xdr:cNvPr id="8222" name="Check Box 30"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3 meses-1 año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56</xdr:row>
          <xdr:rowOff>190500</xdr:rowOff>
        </xdr:from>
        <xdr:to>
          <xdr:col>10</xdr:col>
          <xdr:colOff>161925</xdr:colOff>
          <xdr:row>57</xdr:row>
          <xdr:rowOff>180975</xdr:rowOff>
        </xdr:to>
        <xdr:sp macro="" textlink="">
          <xdr:nvSpPr>
            <xdr:cNvPr id="8223" name="Check Box 31" hidden="1">
              <a:extLst>
                <a:ext uri="{63B3BB69-23CF-44E3-9099-C40C66FF867C}">
                  <a14:compatExt spid="_x0000_s8223"/>
                </a:ext>
                <a:ext uri="{FF2B5EF4-FFF2-40B4-BE49-F238E27FC236}">
                  <a16:creationId xmlns:a16="http://schemas.microsoft.com/office/drawing/2014/main" id="{00000000-0008-0000-0000-00001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1-3 años (cíclico)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59</xdr:row>
          <xdr:rowOff>0</xdr:rowOff>
        </xdr:from>
        <xdr:to>
          <xdr:col>10</xdr:col>
          <xdr:colOff>161925</xdr:colOff>
          <xdr:row>59</xdr:row>
          <xdr:rowOff>209550</xdr:rowOff>
        </xdr:to>
        <xdr:sp macro="" textlink="">
          <xdr:nvSpPr>
            <xdr:cNvPr id="8224" name="Check Box 32" hidden="1">
              <a:extLst>
                <a:ext uri="{63B3BB69-23CF-44E3-9099-C40C66FF867C}">
                  <a14:compatExt spid="_x0000_s8224"/>
                </a:ext>
                <a:ext uri="{FF2B5EF4-FFF2-40B4-BE49-F238E27FC236}">
                  <a16:creationId xmlns:a16="http://schemas.microsoft.com/office/drawing/2014/main" id="{00000000-0008-0000-0000-00002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1-3 años (continuo)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60</xdr:row>
          <xdr:rowOff>66675</xdr:rowOff>
        </xdr:from>
        <xdr:to>
          <xdr:col>10</xdr:col>
          <xdr:colOff>161925</xdr:colOff>
          <xdr:row>61</xdr:row>
          <xdr:rowOff>209550</xdr:rowOff>
        </xdr:to>
        <xdr:sp macro="" textlink="">
          <xdr:nvSpPr>
            <xdr:cNvPr id="8225" name="Check Box 33" hidden="1">
              <a:extLst>
                <a:ext uri="{63B3BB69-23CF-44E3-9099-C40C66FF867C}">
                  <a14:compatExt spid="_x0000_s8225"/>
                </a:ext>
                <a:ext uri="{FF2B5EF4-FFF2-40B4-BE49-F238E27FC236}">
                  <a16:creationId xmlns:a16="http://schemas.microsoft.com/office/drawing/2014/main" id="{00000000-0008-0000-0000-00002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3-7 años (cíclico)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63</xdr:row>
          <xdr:rowOff>0</xdr:rowOff>
        </xdr:from>
        <xdr:to>
          <xdr:col>10</xdr:col>
          <xdr:colOff>161925</xdr:colOff>
          <xdr:row>63</xdr:row>
          <xdr:rowOff>209550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0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3-7 años (continuo)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56</xdr:row>
          <xdr:rowOff>190500</xdr:rowOff>
        </xdr:from>
        <xdr:to>
          <xdr:col>15</xdr:col>
          <xdr:colOff>180975</xdr:colOff>
          <xdr:row>57</xdr:row>
          <xdr:rowOff>180975</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0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Más de 7 años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58</xdr:row>
          <xdr:rowOff>66675</xdr:rowOff>
        </xdr:from>
        <xdr:to>
          <xdr:col>15</xdr:col>
          <xdr:colOff>180975</xdr:colOff>
          <xdr:row>59</xdr:row>
          <xdr:rowOff>209550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0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No aplicable</a:t>
              </a:r>
            </a:p>
          </xdr:txBody>
        </xdr:sp>
        <xdr:clientData/>
      </xdr:twoCellAnchor>
    </mc:Choice>
    <mc:Fallback/>
  </mc:AlternateContent>
  <xdr:twoCellAnchor editAs="oneCell">
    <xdr:from>
      <xdr:col>0</xdr:col>
      <xdr:colOff>349250</xdr:colOff>
      <xdr:row>66</xdr:row>
      <xdr:rowOff>8286</xdr:rowOff>
    </xdr:from>
    <xdr:to>
      <xdr:col>17</xdr:col>
      <xdr:colOff>12699</xdr:colOff>
      <xdr:row>68</xdr:row>
      <xdr:rowOff>28050</xdr:rowOff>
    </xdr:to>
    <xdr:pic>
      <xdr:nvPicPr>
        <xdr:cNvPr id="3" name="Imagen 2">
          <a:extLst>
            <a:ext uri="{FF2B5EF4-FFF2-40B4-BE49-F238E27FC236}">
              <a16:creationId xmlns:a16="http://schemas.microsoft.com/office/drawing/2014/main" id="{746D046C-5B98-7543-4D28-C9F25ED7A149}"/>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9677"/>
        <a:stretch>
          <a:fillRect/>
        </a:stretch>
      </xdr:blipFill>
      <xdr:spPr bwMode="auto">
        <a:xfrm>
          <a:off x="349250" y="12409836"/>
          <a:ext cx="6838949" cy="4642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28575</xdr:colOff>
      <xdr:row>1</xdr:row>
      <xdr:rowOff>19049</xdr:rowOff>
    </xdr:from>
    <xdr:to>
      <xdr:col>13</xdr:col>
      <xdr:colOff>732</xdr:colOff>
      <xdr:row>6</xdr:row>
      <xdr:rowOff>114751</xdr:rowOff>
    </xdr:to>
    <xdr:pic>
      <xdr:nvPicPr>
        <xdr:cNvPr id="4" name="Imagen 3">
          <a:extLst>
            <a:ext uri="{FF2B5EF4-FFF2-40B4-BE49-F238E27FC236}">
              <a16:creationId xmlns:a16="http://schemas.microsoft.com/office/drawing/2014/main" id="{18941ADE-D42D-0A58-F70F-5C06C595D46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020" r="5499"/>
        <a:stretch>
          <a:fillRect/>
        </a:stretch>
      </xdr:blipFill>
      <xdr:spPr bwMode="auto">
        <a:xfrm>
          <a:off x="390525" y="238124"/>
          <a:ext cx="4495800" cy="11910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19049</xdr:colOff>
      <xdr:row>3</xdr:row>
      <xdr:rowOff>85725</xdr:rowOff>
    </xdr:from>
    <xdr:to>
      <xdr:col>4</xdr:col>
      <xdr:colOff>476250</xdr:colOff>
      <xdr:row>8</xdr:row>
      <xdr:rowOff>98612</xdr:rowOff>
    </xdr:to>
    <xdr:pic>
      <xdr:nvPicPr>
        <xdr:cNvPr id="3" name="Imagen 2">
          <a:extLst>
            <a:ext uri="{FF2B5EF4-FFF2-40B4-BE49-F238E27FC236}">
              <a16:creationId xmlns:a16="http://schemas.microsoft.com/office/drawing/2014/main" id="{C3F69B0C-03CF-8B6A-45F2-B67C749641B1}"/>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631" t="12354" r="9234" b="17646"/>
        <a:stretch>
          <a:fillRect/>
        </a:stretch>
      </xdr:blipFill>
      <xdr:spPr bwMode="auto">
        <a:xfrm>
          <a:off x="781049" y="714375"/>
          <a:ext cx="3600451" cy="11334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11</xdr:row>
      <xdr:rowOff>0</xdr:rowOff>
    </xdr:from>
    <xdr:to>
      <xdr:col>11</xdr:col>
      <xdr:colOff>0</xdr:colOff>
      <xdr:row>11</xdr:row>
      <xdr:rowOff>0</xdr:rowOff>
    </xdr:to>
    <xdr:cxnSp macro="">
      <xdr:nvCxnSpPr>
        <xdr:cNvPr id="5" name="Conector recto 4">
          <a:extLst>
            <a:ext uri="{FF2B5EF4-FFF2-40B4-BE49-F238E27FC236}">
              <a16:creationId xmlns:a16="http://schemas.microsoft.com/office/drawing/2014/main" id="{40B46802-54FD-3390-3CDA-B51A3030DD96}"/>
            </a:ext>
          </a:extLst>
        </xdr:cNvPr>
        <xdr:cNvCxnSpPr/>
      </xdr:nvCxnSpPr>
      <xdr:spPr>
        <a:xfrm>
          <a:off x="762000" y="2352675"/>
          <a:ext cx="6858000" cy="0"/>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670891</xdr:colOff>
      <xdr:row>29</xdr:row>
      <xdr:rowOff>57978</xdr:rowOff>
    </xdr:from>
    <xdr:to>
      <xdr:col>1</xdr:col>
      <xdr:colOff>1483001</xdr:colOff>
      <xdr:row>31</xdr:row>
      <xdr:rowOff>156395</xdr:rowOff>
    </xdr:to>
    <xdr:pic>
      <xdr:nvPicPr>
        <xdr:cNvPr id="2" name="Imagen 1">
          <a:extLst>
            <a:ext uri="{FF2B5EF4-FFF2-40B4-BE49-F238E27FC236}">
              <a16:creationId xmlns:a16="http://schemas.microsoft.com/office/drawing/2014/main" id="{0DA077A4-C227-0E2D-CE8F-A4C129886A7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221" t="7905" r="79824" b="66008"/>
        <a:stretch>
          <a:fillRect/>
        </a:stretch>
      </xdr:blipFill>
      <xdr:spPr bwMode="auto">
        <a:xfrm>
          <a:off x="670891" y="6021456"/>
          <a:ext cx="1482587" cy="5466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542924</xdr:colOff>
      <xdr:row>39</xdr:row>
      <xdr:rowOff>14967</xdr:rowOff>
    </xdr:from>
    <xdr:to>
      <xdr:col>11</xdr:col>
      <xdr:colOff>28574</xdr:colOff>
      <xdr:row>41</xdr:row>
      <xdr:rowOff>120923</xdr:rowOff>
    </xdr:to>
    <xdr:pic>
      <xdr:nvPicPr>
        <xdr:cNvPr id="4" name="Imagen 3">
          <a:extLst>
            <a:ext uri="{FF2B5EF4-FFF2-40B4-BE49-F238E27FC236}">
              <a16:creationId xmlns:a16="http://schemas.microsoft.com/office/drawing/2014/main" id="{12E9ACCE-981A-27E6-B95E-030449261956}"/>
            </a:ext>
          </a:extLst>
        </xdr:cNvPr>
        <xdr:cNvPicPr>
          <a:picLocks noChangeAspect="1"/>
        </xdr:cNvPicPr>
      </xdr:nvPicPr>
      <xdr:blipFill rotWithShape="1">
        <a:blip xmlns:r="http://schemas.openxmlformats.org/officeDocument/2006/relationships" r:embed="rId3"/>
        <a:srcRect l="2878" t="29290" r="1186" b="9103"/>
        <a:stretch>
          <a:fillRect/>
        </a:stretch>
      </xdr:blipFill>
      <xdr:spPr>
        <a:xfrm>
          <a:off x="542924" y="7815942"/>
          <a:ext cx="8505825" cy="54410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28575</xdr:colOff>
          <xdr:row>26</xdr:row>
          <xdr:rowOff>200025</xdr:rowOff>
        </xdr:from>
        <xdr:to>
          <xdr:col>4</xdr:col>
          <xdr:colOff>552450</xdr:colOff>
          <xdr:row>27</xdr:row>
          <xdr:rowOff>190500</xdr:rowOff>
        </xdr:to>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6</xdr:row>
          <xdr:rowOff>142875</xdr:rowOff>
        </xdr:from>
        <xdr:to>
          <xdr:col>6</xdr:col>
          <xdr:colOff>733425</xdr:colOff>
          <xdr:row>8</xdr:row>
          <xdr:rowOff>47625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BO" sz="1100" b="0" i="0" u="none" strike="noStrike" baseline="0">
                  <a:solidFill>
                    <a:srgbClr val="000000"/>
                  </a:solidFill>
                  <a:latin typeface="Daytona"/>
                </a:rPr>
                <a:t>Borrar</a:t>
              </a:r>
            </a:p>
          </xdr:txBody>
        </xdr:sp>
        <xdr:clientData fPrintsWithSheet="0"/>
      </xdr:twoCellAnchor>
    </mc:Choice>
    <mc:Fallback/>
  </mc:AlternateContent>
  <xdr:twoCellAnchor editAs="oneCell">
    <xdr:from>
      <xdr:col>0</xdr:col>
      <xdr:colOff>190499</xdr:colOff>
      <xdr:row>215</xdr:row>
      <xdr:rowOff>85724</xdr:rowOff>
    </xdr:from>
    <xdr:to>
      <xdr:col>6</xdr:col>
      <xdr:colOff>66675</xdr:colOff>
      <xdr:row>223</xdr:row>
      <xdr:rowOff>161925</xdr:rowOff>
    </xdr:to>
    <xdr:pic>
      <xdr:nvPicPr>
        <xdr:cNvPr id="3" name="Imagen 2">
          <a:extLst>
            <a:ext uri="{FF2B5EF4-FFF2-40B4-BE49-F238E27FC236}">
              <a16:creationId xmlns:a16="http://schemas.microsoft.com/office/drawing/2014/main" id="{E40D0A9C-6CE2-B1D4-B6A9-F175C0CEC598}"/>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0556"/>
        <a:stretch>
          <a:fillRect/>
        </a:stretch>
      </xdr:blipFill>
      <xdr:spPr bwMode="auto">
        <a:xfrm>
          <a:off x="190499" y="47224949"/>
          <a:ext cx="9667876" cy="1533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228600</xdr:colOff>
      <xdr:row>0</xdr:row>
      <xdr:rowOff>9525</xdr:rowOff>
    </xdr:from>
    <xdr:to>
      <xdr:col>2</xdr:col>
      <xdr:colOff>5400675</xdr:colOff>
      <xdr:row>7</xdr:row>
      <xdr:rowOff>63954</xdr:rowOff>
    </xdr:to>
    <xdr:pic>
      <xdr:nvPicPr>
        <xdr:cNvPr id="4" name="Imagen 3">
          <a:extLst>
            <a:ext uri="{FF2B5EF4-FFF2-40B4-BE49-F238E27FC236}">
              <a16:creationId xmlns:a16="http://schemas.microsoft.com/office/drawing/2014/main" id="{5150A33D-656A-78D2-F973-E9294BD2B26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279"/>
        <a:stretch>
          <a:fillRect/>
        </a:stretch>
      </xdr:blipFill>
      <xdr:spPr bwMode="auto">
        <a:xfrm>
          <a:off x="466725" y="9525"/>
          <a:ext cx="5543550" cy="1330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367303</xdr:colOff>
      <xdr:row>46</xdr:row>
      <xdr:rowOff>21881</xdr:rowOff>
    </xdr:from>
    <xdr:to>
      <xdr:col>16</xdr:col>
      <xdr:colOff>436909</xdr:colOff>
      <xdr:row>56</xdr:row>
      <xdr:rowOff>257177</xdr:rowOff>
    </xdr:to>
    <xdr:grpSp>
      <xdr:nvGrpSpPr>
        <xdr:cNvPr id="28" name="Grupo 27">
          <a:extLst>
            <a:ext uri="{FF2B5EF4-FFF2-40B4-BE49-F238E27FC236}">
              <a16:creationId xmlns:a16="http://schemas.microsoft.com/office/drawing/2014/main" id="{A013BE8C-8F09-054A-ABEE-0F1E21465EA8}"/>
            </a:ext>
          </a:extLst>
        </xdr:cNvPr>
        <xdr:cNvGrpSpPr>
          <a:grpSpLocks noChangeAspect="1"/>
        </xdr:cNvGrpSpPr>
      </xdr:nvGrpSpPr>
      <xdr:grpSpPr>
        <a:xfrm>
          <a:off x="8200215" y="10308881"/>
          <a:ext cx="1683253" cy="3047972"/>
          <a:chOff x="7760587" y="4611453"/>
          <a:chExt cx="1764414" cy="3322872"/>
        </a:xfrm>
      </xdr:grpSpPr>
      <xdr:sp macro="" textlink="">
        <xdr:nvSpPr>
          <xdr:cNvPr id="31" name="Rectángulo 30">
            <a:extLst>
              <a:ext uri="{FF2B5EF4-FFF2-40B4-BE49-F238E27FC236}">
                <a16:creationId xmlns:a16="http://schemas.microsoft.com/office/drawing/2014/main" id="{60EB0055-C5A7-0774-F4DD-63815F6053B2}"/>
              </a:ext>
            </a:extLst>
          </xdr:cNvPr>
          <xdr:cNvSpPr/>
        </xdr:nvSpPr>
        <xdr:spPr>
          <a:xfrm>
            <a:off x="8162117" y="4611453"/>
            <a:ext cx="1362884" cy="3322872"/>
          </a:xfrm>
          <a:prstGeom prst="rect">
            <a:avLst/>
          </a:prstGeom>
          <a:solidFill>
            <a:schemeClr val="bg1">
              <a:lumMod val="5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30" name="Rectángulo 29">
            <a:extLst>
              <a:ext uri="{FF2B5EF4-FFF2-40B4-BE49-F238E27FC236}">
                <a16:creationId xmlns:a16="http://schemas.microsoft.com/office/drawing/2014/main" id="{58118410-E7D2-D22E-C2DF-4A187B9FBFDC}"/>
              </a:ext>
            </a:extLst>
          </xdr:cNvPr>
          <xdr:cNvSpPr/>
        </xdr:nvSpPr>
        <xdr:spPr>
          <a:xfrm>
            <a:off x="7760587" y="4614755"/>
            <a:ext cx="404687" cy="3319570"/>
          </a:xfrm>
          <a:prstGeom prst="rect">
            <a:avLst/>
          </a:prstGeom>
          <a:solidFill>
            <a:schemeClr val="bg1">
              <a:lumMod val="75000"/>
            </a:schemeClr>
          </a:solid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14</xdr:col>
      <xdr:colOff>142876</xdr:colOff>
      <xdr:row>71</xdr:row>
      <xdr:rowOff>23430</xdr:rowOff>
    </xdr:from>
    <xdr:to>
      <xdr:col>16</xdr:col>
      <xdr:colOff>438151</xdr:colOff>
      <xdr:row>81</xdr:row>
      <xdr:rowOff>257175</xdr:rowOff>
    </xdr:to>
    <xdr:sp macro="" textlink="">
      <xdr:nvSpPr>
        <xdr:cNvPr id="58" name="Rectángulo 57">
          <a:extLst>
            <a:ext uri="{FF2B5EF4-FFF2-40B4-BE49-F238E27FC236}">
              <a16:creationId xmlns:a16="http://schemas.microsoft.com/office/drawing/2014/main" id="{B036C496-276F-6D34-1893-C10F2D4D03C9}"/>
            </a:ext>
          </a:extLst>
        </xdr:cNvPr>
        <xdr:cNvSpPr/>
      </xdr:nvSpPr>
      <xdr:spPr>
        <a:xfrm>
          <a:off x="8610601" y="15796830"/>
          <a:ext cx="1257300" cy="2938845"/>
        </a:xfrm>
        <a:prstGeom prst="rect">
          <a:avLst/>
        </a:prstGeom>
        <a:solidFill>
          <a:schemeClr val="bg1">
            <a:lumMod val="5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12</xdr:col>
      <xdr:colOff>684557</xdr:colOff>
      <xdr:row>26</xdr:row>
      <xdr:rowOff>29817</xdr:rowOff>
    </xdr:from>
    <xdr:to>
      <xdr:col>16</xdr:col>
      <xdr:colOff>436906</xdr:colOff>
      <xdr:row>41</xdr:row>
      <xdr:rowOff>258417</xdr:rowOff>
    </xdr:to>
    <xdr:grpSp>
      <xdr:nvGrpSpPr>
        <xdr:cNvPr id="23" name="Grupo 22">
          <a:extLst>
            <a:ext uri="{FF2B5EF4-FFF2-40B4-BE49-F238E27FC236}">
              <a16:creationId xmlns:a16="http://schemas.microsoft.com/office/drawing/2014/main" id="{AC763EB8-DEF6-0238-C47A-F5790B473B6C}"/>
            </a:ext>
          </a:extLst>
        </xdr:cNvPr>
        <xdr:cNvGrpSpPr>
          <a:grpSpLocks noChangeAspect="1"/>
        </xdr:cNvGrpSpPr>
      </xdr:nvGrpSpPr>
      <xdr:grpSpPr>
        <a:xfrm>
          <a:off x="7654616" y="4881964"/>
          <a:ext cx="2228849" cy="4442012"/>
          <a:chOff x="7362824" y="4629150"/>
          <a:chExt cx="2162174" cy="3305175"/>
        </a:xfrm>
      </xdr:grpSpPr>
      <xdr:sp macro="" textlink="">
        <xdr:nvSpPr>
          <xdr:cNvPr id="20" name="Rectángulo 19">
            <a:extLst>
              <a:ext uri="{FF2B5EF4-FFF2-40B4-BE49-F238E27FC236}">
                <a16:creationId xmlns:a16="http://schemas.microsoft.com/office/drawing/2014/main" id="{4F43C8AD-8350-E9C5-E4F9-EDB04E67574A}"/>
              </a:ext>
            </a:extLst>
          </xdr:cNvPr>
          <xdr:cNvSpPr/>
        </xdr:nvSpPr>
        <xdr:spPr>
          <a:xfrm>
            <a:off x="7362824" y="4629150"/>
            <a:ext cx="561975" cy="3305175"/>
          </a:xfrm>
          <a:prstGeom prst="rect">
            <a:avLst/>
          </a:prstGeom>
          <a:solidFill>
            <a:schemeClr val="bg1">
              <a:lumMod val="9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1" name="Rectángulo 20">
            <a:extLst>
              <a:ext uri="{FF2B5EF4-FFF2-40B4-BE49-F238E27FC236}">
                <a16:creationId xmlns:a16="http://schemas.microsoft.com/office/drawing/2014/main" id="{0481C4E6-44B3-165D-E375-99371D8D6D57}"/>
              </a:ext>
            </a:extLst>
          </xdr:cNvPr>
          <xdr:cNvSpPr/>
        </xdr:nvSpPr>
        <xdr:spPr>
          <a:xfrm>
            <a:off x="7934326" y="4629150"/>
            <a:ext cx="325991" cy="3305175"/>
          </a:xfrm>
          <a:prstGeom prst="rect">
            <a:avLst/>
          </a:prstGeom>
          <a:solidFill>
            <a:schemeClr val="bg1">
              <a:lumMod val="75000"/>
            </a:schemeClr>
          </a:solid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2" name="Rectángulo 21">
            <a:extLst>
              <a:ext uri="{FF2B5EF4-FFF2-40B4-BE49-F238E27FC236}">
                <a16:creationId xmlns:a16="http://schemas.microsoft.com/office/drawing/2014/main" id="{E559615F-36EB-A0E3-4ABB-74B6CDF3100A}"/>
              </a:ext>
            </a:extLst>
          </xdr:cNvPr>
          <xdr:cNvSpPr/>
        </xdr:nvSpPr>
        <xdr:spPr>
          <a:xfrm>
            <a:off x="8269555" y="4629150"/>
            <a:ext cx="1255443" cy="3305175"/>
          </a:xfrm>
          <a:prstGeom prst="rect">
            <a:avLst/>
          </a:prstGeom>
          <a:solidFill>
            <a:schemeClr val="bg1">
              <a:lumMod val="5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14</xdr:col>
      <xdr:colOff>145676</xdr:colOff>
      <xdr:row>19</xdr:row>
      <xdr:rowOff>17859</xdr:rowOff>
    </xdr:from>
    <xdr:to>
      <xdr:col>16</xdr:col>
      <xdr:colOff>438978</xdr:colOff>
      <xdr:row>21</xdr:row>
      <xdr:rowOff>265043</xdr:rowOff>
    </xdr:to>
    <xdr:sp macro="" textlink="">
      <xdr:nvSpPr>
        <xdr:cNvPr id="10" name="Rectángulo 9">
          <a:extLst>
            <a:ext uri="{FF2B5EF4-FFF2-40B4-BE49-F238E27FC236}">
              <a16:creationId xmlns:a16="http://schemas.microsoft.com/office/drawing/2014/main" id="{6F995BDF-63A9-F79E-B563-B7A0C13AC62C}"/>
            </a:ext>
          </a:extLst>
        </xdr:cNvPr>
        <xdr:cNvSpPr/>
      </xdr:nvSpPr>
      <xdr:spPr>
        <a:xfrm>
          <a:off x="8628529" y="3032241"/>
          <a:ext cx="1257008" cy="807478"/>
        </a:xfrm>
        <a:prstGeom prst="rect">
          <a:avLst/>
        </a:prstGeom>
        <a:solidFill>
          <a:schemeClr val="bg1">
            <a:lumMod val="6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9</xdr:col>
      <xdr:colOff>23642</xdr:colOff>
      <xdr:row>19</xdr:row>
      <xdr:rowOff>22622</xdr:rowOff>
    </xdr:from>
    <xdr:to>
      <xdr:col>11</xdr:col>
      <xdr:colOff>685800</xdr:colOff>
      <xdr:row>21</xdr:row>
      <xdr:rowOff>260748</xdr:rowOff>
    </xdr:to>
    <xdr:sp macro="" textlink="">
      <xdr:nvSpPr>
        <xdr:cNvPr id="9" name="Rectángulo 8">
          <a:extLst>
            <a:ext uri="{FF2B5EF4-FFF2-40B4-BE49-F238E27FC236}">
              <a16:creationId xmlns:a16="http://schemas.microsoft.com/office/drawing/2014/main" id="{9B454C16-9816-7865-B832-D187870626A6}"/>
            </a:ext>
          </a:extLst>
        </xdr:cNvPr>
        <xdr:cNvSpPr/>
      </xdr:nvSpPr>
      <xdr:spPr>
        <a:xfrm>
          <a:off x="5271917" y="3032522"/>
          <a:ext cx="1500358" cy="790576"/>
        </a:xfrm>
        <a:prstGeom prst="rect">
          <a:avLst/>
        </a:prstGeom>
        <a:solidFill>
          <a:schemeClr val="bg1">
            <a:lumMod val="9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9525</xdr:colOff>
      <xdr:row>62</xdr:row>
      <xdr:rowOff>161925</xdr:rowOff>
    </xdr:from>
    <xdr:to>
      <xdr:col>17</xdr:col>
      <xdr:colOff>0</xdr:colOff>
      <xdr:row>62</xdr:row>
      <xdr:rowOff>161925</xdr:rowOff>
    </xdr:to>
    <xdr:cxnSp macro="">
      <xdr:nvCxnSpPr>
        <xdr:cNvPr id="2" name="Conector recto 1">
          <a:extLst>
            <a:ext uri="{FF2B5EF4-FFF2-40B4-BE49-F238E27FC236}">
              <a16:creationId xmlns:a16="http://schemas.microsoft.com/office/drawing/2014/main" id="{D042B57E-BC75-494F-8E7E-50017E955EA9}"/>
            </a:ext>
          </a:extLst>
        </xdr:cNvPr>
        <xdr:cNvCxnSpPr/>
      </xdr:nvCxnSpPr>
      <xdr:spPr>
        <a:xfrm>
          <a:off x="609600" y="12896850"/>
          <a:ext cx="7924800" cy="0"/>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0</xdr:colOff>
      <xdr:row>8</xdr:row>
      <xdr:rowOff>0</xdr:rowOff>
    </xdr:from>
    <xdr:to>
      <xdr:col>16</xdr:col>
      <xdr:colOff>714375</xdr:colOff>
      <xdr:row>8</xdr:row>
      <xdr:rowOff>0</xdr:rowOff>
    </xdr:to>
    <xdr:cxnSp macro="">
      <xdr:nvCxnSpPr>
        <xdr:cNvPr id="4" name="Conector recto 3">
          <a:extLst>
            <a:ext uri="{FF2B5EF4-FFF2-40B4-BE49-F238E27FC236}">
              <a16:creationId xmlns:a16="http://schemas.microsoft.com/office/drawing/2014/main" id="{181CECA9-FD3B-47A3-8CFF-0AC757ADA7EE}"/>
            </a:ext>
          </a:extLst>
        </xdr:cNvPr>
        <xdr:cNvCxnSpPr/>
      </xdr:nvCxnSpPr>
      <xdr:spPr>
        <a:xfrm>
          <a:off x="600075" y="923925"/>
          <a:ext cx="7924800" cy="0"/>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419100</xdr:colOff>
      <xdr:row>18</xdr:row>
      <xdr:rowOff>246530</xdr:rowOff>
    </xdr:from>
    <xdr:to>
      <xdr:col>16</xdr:col>
      <xdr:colOff>428625</xdr:colOff>
      <xdr:row>22</xdr:row>
      <xdr:rowOff>85725</xdr:rowOff>
    </xdr:to>
    <xdr:graphicFrame macro="">
      <xdr:nvGraphicFramePr>
        <xdr:cNvPr id="3" name="Gráfico 2">
          <a:extLst>
            <a:ext uri="{FF2B5EF4-FFF2-40B4-BE49-F238E27FC236}">
              <a16:creationId xmlns:a16="http://schemas.microsoft.com/office/drawing/2014/main" id="{DA95CBD6-0E8E-018F-78A3-E3EA007C54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390525</xdr:colOff>
      <xdr:row>16</xdr:row>
      <xdr:rowOff>180974</xdr:rowOff>
    </xdr:from>
    <xdr:to>
      <xdr:col>10</xdr:col>
      <xdr:colOff>57150</xdr:colOff>
      <xdr:row>18</xdr:row>
      <xdr:rowOff>38099</xdr:rowOff>
    </xdr:to>
    <xdr:sp macro="" textlink="">
      <xdr:nvSpPr>
        <xdr:cNvPr id="5" name="CuadroTexto 4">
          <a:extLst>
            <a:ext uri="{FF2B5EF4-FFF2-40B4-BE49-F238E27FC236}">
              <a16:creationId xmlns:a16="http://schemas.microsoft.com/office/drawing/2014/main" id="{B4FF3AA1-FD07-F783-E7CE-B0B66A571B4A}"/>
            </a:ext>
          </a:extLst>
        </xdr:cNvPr>
        <xdr:cNvSpPr txBox="1"/>
      </xdr:nvSpPr>
      <xdr:spPr>
        <a:xfrm>
          <a:off x="5067300" y="2285999"/>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0</a:t>
          </a:r>
        </a:p>
      </xdr:txBody>
    </xdr:sp>
    <xdr:clientData/>
  </xdr:twoCellAnchor>
  <xdr:twoCellAnchor>
    <xdr:from>
      <xdr:col>11</xdr:col>
      <xdr:colOff>514349</xdr:colOff>
      <xdr:row>16</xdr:row>
      <xdr:rowOff>190499</xdr:rowOff>
    </xdr:from>
    <xdr:to>
      <xdr:col>12</xdr:col>
      <xdr:colOff>200025</xdr:colOff>
      <xdr:row>18</xdr:row>
      <xdr:rowOff>38100</xdr:rowOff>
    </xdr:to>
    <xdr:sp macro="" textlink="">
      <xdr:nvSpPr>
        <xdr:cNvPr id="6" name="CuadroTexto 5">
          <a:extLst>
            <a:ext uri="{FF2B5EF4-FFF2-40B4-BE49-F238E27FC236}">
              <a16:creationId xmlns:a16="http://schemas.microsoft.com/office/drawing/2014/main" id="{EA7C53A5-F441-6729-824E-B93748738A07}"/>
            </a:ext>
          </a:extLst>
        </xdr:cNvPr>
        <xdr:cNvSpPr txBox="1"/>
      </xdr:nvSpPr>
      <xdr:spPr>
        <a:xfrm>
          <a:off x="6600824" y="2495549"/>
          <a:ext cx="5524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35</a:t>
          </a:r>
        </a:p>
      </xdr:txBody>
    </xdr:sp>
    <xdr:clientData/>
  </xdr:twoCellAnchor>
  <xdr:twoCellAnchor>
    <xdr:from>
      <xdr:col>14</xdr:col>
      <xdr:colOff>28574</xdr:colOff>
      <xdr:row>16</xdr:row>
      <xdr:rowOff>200024</xdr:rowOff>
    </xdr:from>
    <xdr:to>
      <xdr:col>14</xdr:col>
      <xdr:colOff>428625</xdr:colOff>
      <xdr:row>18</xdr:row>
      <xdr:rowOff>47625</xdr:rowOff>
    </xdr:to>
    <xdr:sp macro="" textlink="">
      <xdr:nvSpPr>
        <xdr:cNvPr id="7" name="CuadroTexto 6">
          <a:extLst>
            <a:ext uri="{FF2B5EF4-FFF2-40B4-BE49-F238E27FC236}">
              <a16:creationId xmlns:a16="http://schemas.microsoft.com/office/drawing/2014/main" id="{AA43C234-ABED-0F94-5761-DDCDEFF34086}"/>
            </a:ext>
          </a:extLst>
        </xdr:cNvPr>
        <xdr:cNvSpPr txBox="1"/>
      </xdr:nvSpPr>
      <xdr:spPr>
        <a:xfrm>
          <a:off x="8162924" y="2305049"/>
          <a:ext cx="4000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75</a:t>
          </a:r>
        </a:p>
      </xdr:txBody>
    </xdr:sp>
    <xdr:clientData/>
  </xdr:twoCellAnchor>
  <xdr:twoCellAnchor>
    <xdr:from>
      <xdr:col>15</xdr:col>
      <xdr:colOff>428625</xdr:colOff>
      <xdr:row>16</xdr:row>
      <xdr:rowOff>200024</xdr:rowOff>
    </xdr:from>
    <xdr:to>
      <xdr:col>17</xdr:col>
      <xdr:colOff>66676</xdr:colOff>
      <xdr:row>18</xdr:row>
      <xdr:rowOff>47625</xdr:rowOff>
    </xdr:to>
    <xdr:sp macro="" textlink="">
      <xdr:nvSpPr>
        <xdr:cNvPr id="8" name="CuadroTexto 7">
          <a:extLst>
            <a:ext uri="{FF2B5EF4-FFF2-40B4-BE49-F238E27FC236}">
              <a16:creationId xmlns:a16="http://schemas.microsoft.com/office/drawing/2014/main" id="{3E1F33DF-D0A3-D80A-E56C-6E2C30587F8B}"/>
            </a:ext>
          </a:extLst>
        </xdr:cNvPr>
        <xdr:cNvSpPr txBox="1"/>
      </xdr:nvSpPr>
      <xdr:spPr>
        <a:xfrm>
          <a:off x="9753600" y="2505074"/>
          <a:ext cx="53340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100</a:t>
          </a:r>
          <a:endParaRPr lang="es-BO" sz="1200" b="1">
            <a:latin typeface="Daytona" panose="020B0604030500040204" pitchFamily="34" charset="0"/>
          </a:endParaRPr>
        </a:p>
      </xdr:txBody>
    </xdr:sp>
    <xdr:clientData/>
  </xdr:twoCellAnchor>
  <xdr:twoCellAnchor>
    <xdr:from>
      <xdr:col>9</xdr:col>
      <xdr:colOff>152400</xdr:colOff>
      <xdr:row>18</xdr:row>
      <xdr:rowOff>19050</xdr:rowOff>
    </xdr:from>
    <xdr:to>
      <xdr:col>11</xdr:col>
      <xdr:colOff>371475</xdr:colOff>
      <xdr:row>18</xdr:row>
      <xdr:rowOff>238125</xdr:rowOff>
    </xdr:to>
    <xdr:sp macro="" textlink="">
      <xdr:nvSpPr>
        <xdr:cNvPr id="11" name="CuadroTexto 10">
          <a:extLst>
            <a:ext uri="{FF2B5EF4-FFF2-40B4-BE49-F238E27FC236}">
              <a16:creationId xmlns:a16="http://schemas.microsoft.com/office/drawing/2014/main" id="{AFE169FA-7746-7040-1A93-BDE09E6E87A9}"/>
            </a:ext>
          </a:extLst>
        </xdr:cNvPr>
        <xdr:cNvSpPr txBox="1"/>
      </xdr:nvSpPr>
      <xdr:spPr>
        <a:xfrm>
          <a:off x="5276850" y="2543175"/>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Bajo</a:t>
          </a:r>
          <a:endParaRPr lang="es-BO" sz="1000" b="1">
            <a:latin typeface="Daytona" panose="020B0604030500040204" pitchFamily="34" charset="0"/>
          </a:endParaRPr>
        </a:p>
      </xdr:txBody>
    </xdr:sp>
    <xdr:clientData/>
  </xdr:twoCellAnchor>
  <xdr:twoCellAnchor>
    <xdr:from>
      <xdr:col>12</xdr:col>
      <xdr:colOff>228600</xdr:colOff>
      <xdr:row>18</xdr:row>
      <xdr:rowOff>28575</xdr:rowOff>
    </xdr:from>
    <xdr:to>
      <xdr:col>13</xdr:col>
      <xdr:colOff>561975</xdr:colOff>
      <xdr:row>18</xdr:row>
      <xdr:rowOff>247650</xdr:rowOff>
    </xdr:to>
    <xdr:sp macro="" textlink="">
      <xdr:nvSpPr>
        <xdr:cNvPr id="12" name="CuadroTexto 11">
          <a:extLst>
            <a:ext uri="{FF2B5EF4-FFF2-40B4-BE49-F238E27FC236}">
              <a16:creationId xmlns:a16="http://schemas.microsoft.com/office/drawing/2014/main" id="{81183770-2246-4FD0-AB96-D390E0530839}"/>
            </a:ext>
          </a:extLst>
        </xdr:cNvPr>
        <xdr:cNvSpPr txBox="1"/>
      </xdr:nvSpPr>
      <xdr:spPr>
        <a:xfrm>
          <a:off x="6915150" y="2552700"/>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Medio</a:t>
          </a:r>
          <a:endParaRPr lang="es-BO" sz="1000" b="1">
            <a:latin typeface="Daytona" panose="020B0604030500040204" pitchFamily="34" charset="0"/>
          </a:endParaRPr>
        </a:p>
      </xdr:txBody>
    </xdr:sp>
    <xdr:clientData/>
  </xdr:twoCellAnchor>
  <xdr:twoCellAnchor>
    <xdr:from>
      <xdr:col>14</xdr:col>
      <xdr:colOff>266700</xdr:colOff>
      <xdr:row>18</xdr:row>
      <xdr:rowOff>28575</xdr:rowOff>
    </xdr:from>
    <xdr:to>
      <xdr:col>16</xdr:col>
      <xdr:colOff>361950</xdr:colOff>
      <xdr:row>18</xdr:row>
      <xdr:rowOff>247650</xdr:rowOff>
    </xdr:to>
    <xdr:sp macro="" textlink="">
      <xdr:nvSpPr>
        <xdr:cNvPr id="13" name="CuadroTexto 12">
          <a:extLst>
            <a:ext uri="{FF2B5EF4-FFF2-40B4-BE49-F238E27FC236}">
              <a16:creationId xmlns:a16="http://schemas.microsoft.com/office/drawing/2014/main" id="{38D03488-6C52-5E5B-C4E5-BF54A0E141EA}"/>
            </a:ext>
          </a:extLst>
        </xdr:cNvPr>
        <xdr:cNvSpPr txBox="1"/>
      </xdr:nvSpPr>
      <xdr:spPr>
        <a:xfrm>
          <a:off x="8401050" y="2552700"/>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Alto</a:t>
          </a:r>
          <a:endParaRPr lang="es-BO" sz="1000" b="1">
            <a:latin typeface="Daytona" panose="020B0604030500040204" pitchFamily="34" charset="0"/>
          </a:endParaRPr>
        </a:p>
      </xdr:txBody>
    </xdr:sp>
    <xdr:clientData/>
  </xdr:twoCellAnchor>
  <xdr:twoCellAnchor>
    <xdr:from>
      <xdr:col>8</xdr:col>
      <xdr:colOff>419100</xdr:colOff>
      <xdr:row>25</xdr:row>
      <xdr:rowOff>219074</xdr:rowOff>
    </xdr:from>
    <xdr:to>
      <xdr:col>16</xdr:col>
      <xdr:colOff>428625</xdr:colOff>
      <xdr:row>38</xdr:row>
      <xdr:rowOff>89647</xdr:rowOff>
    </xdr:to>
    <xdr:graphicFrame macro="">
      <xdr:nvGraphicFramePr>
        <xdr:cNvPr id="14" name="Gráfico 13">
          <a:extLst>
            <a:ext uri="{FF2B5EF4-FFF2-40B4-BE49-F238E27FC236}">
              <a16:creationId xmlns:a16="http://schemas.microsoft.com/office/drawing/2014/main" id="{D0D8F00C-01B5-A494-8F50-A7AC677A6E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390525</xdr:colOff>
      <xdr:row>23</xdr:row>
      <xdr:rowOff>180974</xdr:rowOff>
    </xdr:from>
    <xdr:to>
      <xdr:col>10</xdr:col>
      <xdr:colOff>57150</xdr:colOff>
      <xdr:row>25</xdr:row>
      <xdr:rowOff>38099</xdr:rowOff>
    </xdr:to>
    <xdr:sp macro="" textlink="">
      <xdr:nvSpPr>
        <xdr:cNvPr id="15" name="CuadroTexto 14">
          <a:extLst>
            <a:ext uri="{FF2B5EF4-FFF2-40B4-BE49-F238E27FC236}">
              <a16:creationId xmlns:a16="http://schemas.microsoft.com/office/drawing/2014/main" id="{B9F810F4-B5B2-0EFE-0C86-67BA1F2F55F1}"/>
            </a:ext>
          </a:extLst>
        </xdr:cNvPr>
        <xdr:cNvSpPr txBox="1"/>
      </xdr:nvSpPr>
      <xdr:spPr>
        <a:xfrm>
          <a:off x="5067300" y="4095749"/>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0</a:t>
          </a:r>
        </a:p>
      </xdr:txBody>
    </xdr:sp>
    <xdr:clientData/>
  </xdr:twoCellAnchor>
  <xdr:twoCellAnchor>
    <xdr:from>
      <xdr:col>12</xdr:col>
      <xdr:colOff>466724</xdr:colOff>
      <xdr:row>23</xdr:row>
      <xdr:rowOff>190499</xdr:rowOff>
    </xdr:from>
    <xdr:to>
      <xdr:col>13</xdr:col>
      <xdr:colOff>152400</xdr:colOff>
      <xdr:row>25</xdr:row>
      <xdr:rowOff>38100</xdr:rowOff>
    </xdr:to>
    <xdr:sp macro="" textlink="">
      <xdr:nvSpPr>
        <xdr:cNvPr id="16" name="CuadroTexto 15">
          <a:extLst>
            <a:ext uri="{FF2B5EF4-FFF2-40B4-BE49-F238E27FC236}">
              <a16:creationId xmlns:a16="http://schemas.microsoft.com/office/drawing/2014/main" id="{45A71DFB-CD1D-2261-2655-07371F3E39F5}"/>
            </a:ext>
          </a:extLst>
        </xdr:cNvPr>
        <xdr:cNvSpPr txBox="1"/>
      </xdr:nvSpPr>
      <xdr:spPr>
        <a:xfrm>
          <a:off x="7153274" y="4105274"/>
          <a:ext cx="409576"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60</a:t>
          </a:r>
          <a:endParaRPr lang="es-BO" sz="1200" b="1">
            <a:latin typeface="Daytona" panose="020B0604030500040204" pitchFamily="34" charset="0"/>
          </a:endParaRPr>
        </a:p>
      </xdr:txBody>
    </xdr:sp>
    <xdr:clientData/>
  </xdr:twoCellAnchor>
  <xdr:twoCellAnchor>
    <xdr:from>
      <xdr:col>13</xdr:col>
      <xdr:colOff>266701</xdr:colOff>
      <xdr:row>23</xdr:row>
      <xdr:rowOff>200024</xdr:rowOff>
    </xdr:from>
    <xdr:to>
      <xdr:col>14</xdr:col>
      <xdr:colOff>57151</xdr:colOff>
      <xdr:row>25</xdr:row>
      <xdr:rowOff>47625</xdr:rowOff>
    </xdr:to>
    <xdr:sp macro="" textlink="">
      <xdr:nvSpPr>
        <xdr:cNvPr id="17" name="CuadroTexto 16">
          <a:extLst>
            <a:ext uri="{FF2B5EF4-FFF2-40B4-BE49-F238E27FC236}">
              <a16:creationId xmlns:a16="http://schemas.microsoft.com/office/drawing/2014/main" id="{B58EE3FB-7B1D-F23B-FC62-26EC86BB53D4}"/>
            </a:ext>
          </a:extLst>
        </xdr:cNvPr>
        <xdr:cNvSpPr txBox="1"/>
      </xdr:nvSpPr>
      <xdr:spPr>
        <a:xfrm>
          <a:off x="8086726" y="4314824"/>
          <a:ext cx="438150"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75</a:t>
          </a:r>
        </a:p>
      </xdr:txBody>
    </xdr:sp>
    <xdr:clientData/>
  </xdr:twoCellAnchor>
  <xdr:twoCellAnchor>
    <xdr:from>
      <xdr:col>15</xdr:col>
      <xdr:colOff>419100</xdr:colOff>
      <xdr:row>23</xdr:row>
      <xdr:rowOff>200024</xdr:rowOff>
    </xdr:from>
    <xdr:to>
      <xdr:col>17</xdr:col>
      <xdr:colOff>66676</xdr:colOff>
      <xdr:row>25</xdr:row>
      <xdr:rowOff>47625</xdr:rowOff>
    </xdr:to>
    <xdr:sp macro="" textlink="">
      <xdr:nvSpPr>
        <xdr:cNvPr id="18" name="CuadroTexto 17">
          <a:extLst>
            <a:ext uri="{FF2B5EF4-FFF2-40B4-BE49-F238E27FC236}">
              <a16:creationId xmlns:a16="http://schemas.microsoft.com/office/drawing/2014/main" id="{BC300474-9DF3-A445-2191-22D32B068968}"/>
            </a:ext>
          </a:extLst>
        </xdr:cNvPr>
        <xdr:cNvSpPr txBox="1"/>
      </xdr:nvSpPr>
      <xdr:spPr>
        <a:xfrm>
          <a:off x="9744075" y="4314824"/>
          <a:ext cx="542926"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115</a:t>
          </a:r>
        </a:p>
      </xdr:txBody>
    </xdr:sp>
    <xdr:clientData/>
  </xdr:twoCellAnchor>
  <xdr:twoCellAnchor>
    <xdr:from>
      <xdr:col>13</xdr:col>
      <xdr:colOff>704849</xdr:colOff>
      <xdr:row>23</xdr:row>
      <xdr:rowOff>200024</xdr:rowOff>
    </xdr:from>
    <xdr:to>
      <xdr:col>14</xdr:col>
      <xdr:colOff>381000</xdr:colOff>
      <xdr:row>25</xdr:row>
      <xdr:rowOff>47625</xdr:rowOff>
    </xdr:to>
    <xdr:sp macro="" textlink="">
      <xdr:nvSpPr>
        <xdr:cNvPr id="19" name="CuadroTexto 18">
          <a:extLst>
            <a:ext uri="{FF2B5EF4-FFF2-40B4-BE49-F238E27FC236}">
              <a16:creationId xmlns:a16="http://schemas.microsoft.com/office/drawing/2014/main" id="{0F1C1677-F793-A1BC-A8ED-93FCD8D33578}"/>
            </a:ext>
          </a:extLst>
        </xdr:cNvPr>
        <xdr:cNvSpPr txBox="1"/>
      </xdr:nvSpPr>
      <xdr:spPr>
        <a:xfrm>
          <a:off x="8115299" y="4114799"/>
          <a:ext cx="4000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85</a:t>
          </a:r>
        </a:p>
      </xdr:txBody>
    </xdr:sp>
    <xdr:clientData/>
  </xdr:twoCellAnchor>
  <xdr:twoCellAnchor>
    <xdr:from>
      <xdr:col>13</xdr:col>
      <xdr:colOff>95250</xdr:colOff>
      <xdr:row>25</xdr:row>
      <xdr:rowOff>47625</xdr:rowOff>
    </xdr:from>
    <xdr:to>
      <xdr:col>14</xdr:col>
      <xdr:colOff>428625</xdr:colOff>
      <xdr:row>25</xdr:row>
      <xdr:rowOff>266700</xdr:rowOff>
    </xdr:to>
    <xdr:sp macro="" textlink="">
      <xdr:nvSpPr>
        <xdr:cNvPr id="24" name="CuadroTexto 23">
          <a:extLst>
            <a:ext uri="{FF2B5EF4-FFF2-40B4-BE49-F238E27FC236}">
              <a16:creationId xmlns:a16="http://schemas.microsoft.com/office/drawing/2014/main" id="{372D69B6-2B50-1E48-F06E-3D476CF052BB}"/>
            </a:ext>
          </a:extLst>
        </xdr:cNvPr>
        <xdr:cNvSpPr txBox="1"/>
      </xdr:nvSpPr>
      <xdr:spPr>
        <a:xfrm>
          <a:off x="7915275" y="4581525"/>
          <a:ext cx="9810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Tipo</a:t>
          </a:r>
          <a:endParaRPr lang="es-BO" sz="1000" b="1">
            <a:latin typeface="Daytona" panose="020B0604030500040204" pitchFamily="34" charset="0"/>
          </a:endParaRPr>
        </a:p>
      </xdr:txBody>
    </xdr:sp>
    <xdr:clientData/>
  </xdr:twoCellAnchor>
  <xdr:twoCellAnchor>
    <xdr:from>
      <xdr:col>12</xdr:col>
      <xdr:colOff>346563</xdr:colOff>
      <xdr:row>25</xdr:row>
      <xdr:rowOff>45427</xdr:rowOff>
    </xdr:from>
    <xdr:to>
      <xdr:col>13</xdr:col>
      <xdr:colOff>679938</xdr:colOff>
      <xdr:row>25</xdr:row>
      <xdr:rowOff>264502</xdr:rowOff>
    </xdr:to>
    <xdr:sp macro="" textlink="">
      <xdr:nvSpPr>
        <xdr:cNvPr id="25" name="CuadroTexto 24">
          <a:extLst>
            <a:ext uri="{FF2B5EF4-FFF2-40B4-BE49-F238E27FC236}">
              <a16:creationId xmlns:a16="http://schemas.microsoft.com/office/drawing/2014/main" id="{1E2615FE-230A-68BF-3FCB-69333725C1E0}"/>
            </a:ext>
          </a:extLst>
        </xdr:cNvPr>
        <xdr:cNvSpPr txBox="1"/>
      </xdr:nvSpPr>
      <xdr:spPr>
        <a:xfrm>
          <a:off x="7423638" y="4579327"/>
          <a:ext cx="12001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Estilo</a:t>
          </a:r>
        </a:p>
      </xdr:txBody>
    </xdr:sp>
    <xdr:clientData/>
  </xdr:twoCellAnchor>
  <xdr:twoCellAnchor>
    <xdr:from>
      <xdr:col>14</xdr:col>
      <xdr:colOff>323850</xdr:colOff>
      <xdr:row>25</xdr:row>
      <xdr:rowOff>38100</xdr:rowOff>
    </xdr:from>
    <xdr:to>
      <xdr:col>16</xdr:col>
      <xdr:colOff>419100</xdr:colOff>
      <xdr:row>25</xdr:row>
      <xdr:rowOff>257175</xdr:rowOff>
    </xdr:to>
    <xdr:sp macro="" textlink="">
      <xdr:nvSpPr>
        <xdr:cNvPr id="26" name="CuadroTexto 25">
          <a:extLst>
            <a:ext uri="{FF2B5EF4-FFF2-40B4-BE49-F238E27FC236}">
              <a16:creationId xmlns:a16="http://schemas.microsoft.com/office/drawing/2014/main" id="{307F5214-E849-F1BB-A5C3-AEF3C1767E4B}"/>
            </a:ext>
          </a:extLst>
        </xdr:cNvPr>
        <xdr:cNvSpPr txBox="1"/>
      </xdr:nvSpPr>
      <xdr:spPr>
        <a:xfrm>
          <a:off x="8458200" y="4371975"/>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Trastorno</a:t>
          </a:r>
          <a:endParaRPr lang="es-BO" sz="1000" b="1">
            <a:latin typeface="Daytona" panose="020B0604030500040204" pitchFamily="34" charset="0"/>
          </a:endParaRPr>
        </a:p>
      </xdr:txBody>
    </xdr:sp>
    <xdr:clientData/>
  </xdr:twoCellAnchor>
  <xdr:twoCellAnchor>
    <xdr:from>
      <xdr:col>8</xdr:col>
      <xdr:colOff>419100</xdr:colOff>
      <xdr:row>38</xdr:row>
      <xdr:rowOff>266700</xdr:rowOff>
    </xdr:from>
    <xdr:to>
      <xdr:col>16</xdr:col>
      <xdr:colOff>428625</xdr:colOff>
      <xdr:row>42</xdr:row>
      <xdr:rowOff>95250</xdr:rowOff>
    </xdr:to>
    <xdr:graphicFrame macro="">
      <xdr:nvGraphicFramePr>
        <xdr:cNvPr id="27" name="Gráfico 26">
          <a:extLst>
            <a:ext uri="{FF2B5EF4-FFF2-40B4-BE49-F238E27FC236}">
              <a16:creationId xmlns:a16="http://schemas.microsoft.com/office/drawing/2014/main" id="{2B5A7894-4BB8-4EEF-945A-53E8576122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9525</xdr:colOff>
      <xdr:row>38</xdr:row>
      <xdr:rowOff>0</xdr:rowOff>
    </xdr:from>
    <xdr:to>
      <xdr:col>16</xdr:col>
      <xdr:colOff>430695</xdr:colOff>
      <xdr:row>38</xdr:row>
      <xdr:rowOff>2923</xdr:rowOff>
    </xdr:to>
    <xdr:cxnSp macro="">
      <xdr:nvCxnSpPr>
        <xdr:cNvPr id="33" name="Conector recto 32">
          <a:extLst>
            <a:ext uri="{FF2B5EF4-FFF2-40B4-BE49-F238E27FC236}">
              <a16:creationId xmlns:a16="http://schemas.microsoft.com/office/drawing/2014/main" id="{1EE76B77-AD14-2A79-CE83-F2C1D3C20E94}"/>
            </a:ext>
          </a:extLst>
        </xdr:cNvPr>
        <xdr:cNvCxnSpPr/>
      </xdr:nvCxnSpPr>
      <xdr:spPr>
        <a:xfrm>
          <a:off x="5257800" y="8134350"/>
          <a:ext cx="4602645" cy="2923"/>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8281</xdr:colOff>
      <xdr:row>39</xdr:row>
      <xdr:rowOff>0</xdr:rowOff>
    </xdr:from>
    <xdr:to>
      <xdr:col>17</xdr:col>
      <xdr:colOff>0</xdr:colOff>
      <xdr:row>39</xdr:row>
      <xdr:rowOff>0</xdr:rowOff>
    </xdr:to>
    <xdr:cxnSp macro="">
      <xdr:nvCxnSpPr>
        <xdr:cNvPr id="36" name="Conector recto 35">
          <a:extLst>
            <a:ext uri="{FF2B5EF4-FFF2-40B4-BE49-F238E27FC236}">
              <a16:creationId xmlns:a16="http://schemas.microsoft.com/office/drawing/2014/main" id="{B9E93A20-32DC-A8BB-9D18-417039682C73}"/>
            </a:ext>
          </a:extLst>
        </xdr:cNvPr>
        <xdr:cNvCxnSpPr/>
      </xdr:nvCxnSpPr>
      <xdr:spPr>
        <a:xfrm>
          <a:off x="5118651" y="8191500"/>
          <a:ext cx="4398066"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422207</xdr:colOff>
      <xdr:row>52</xdr:row>
      <xdr:rowOff>273325</xdr:rowOff>
    </xdr:from>
    <xdr:to>
      <xdr:col>16</xdr:col>
      <xdr:colOff>434627</xdr:colOff>
      <xdr:row>53</xdr:row>
      <xdr:rowOff>0</xdr:rowOff>
    </xdr:to>
    <xdr:cxnSp macro="">
      <xdr:nvCxnSpPr>
        <xdr:cNvPr id="39" name="Conector recto 38">
          <a:extLst>
            <a:ext uri="{FF2B5EF4-FFF2-40B4-BE49-F238E27FC236}">
              <a16:creationId xmlns:a16="http://schemas.microsoft.com/office/drawing/2014/main" id="{FA9B3165-54FD-7772-CD7B-17FEE951530B}"/>
            </a:ext>
          </a:extLst>
        </xdr:cNvPr>
        <xdr:cNvCxnSpPr/>
      </xdr:nvCxnSpPr>
      <xdr:spPr>
        <a:xfrm>
          <a:off x="5209555" y="12051195"/>
          <a:ext cx="4642398" cy="1"/>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436906</xdr:colOff>
      <xdr:row>54</xdr:row>
      <xdr:rowOff>0</xdr:rowOff>
    </xdr:from>
    <xdr:to>
      <xdr:col>16</xdr:col>
      <xdr:colOff>428625</xdr:colOff>
      <xdr:row>54</xdr:row>
      <xdr:rowOff>0</xdr:rowOff>
    </xdr:to>
    <xdr:cxnSp macro="">
      <xdr:nvCxnSpPr>
        <xdr:cNvPr id="40" name="Conector recto 39">
          <a:extLst>
            <a:ext uri="{FF2B5EF4-FFF2-40B4-BE49-F238E27FC236}">
              <a16:creationId xmlns:a16="http://schemas.microsoft.com/office/drawing/2014/main" id="{9741C4F7-0707-ADEF-391B-A2B178F3F0B7}"/>
            </a:ext>
          </a:extLst>
        </xdr:cNvPr>
        <xdr:cNvCxnSpPr/>
      </xdr:nvCxnSpPr>
      <xdr:spPr>
        <a:xfrm>
          <a:off x="5113681" y="12153900"/>
          <a:ext cx="4411319"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419100</xdr:colOff>
      <xdr:row>54</xdr:row>
      <xdr:rowOff>1</xdr:rowOff>
    </xdr:from>
    <xdr:to>
      <xdr:col>16</xdr:col>
      <xdr:colOff>428625</xdr:colOff>
      <xdr:row>57</xdr:row>
      <xdr:rowOff>85726</xdr:rowOff>
    </xdr:to>
    <xdr:graphicFrame macro="">
      <xdr:nvGraphicFramePr>
        <xdr:cNvPr id="41" name="Gráfico 40">
          <a:extLst>
            <a:ext uri="{FF2B5EF4-FFF2-40B4-BE49-F238E27FC236}">
              <a16:creationId xmlns:a16="http://schemas.microsoft.com/office/drawing/2014/main" id="{70A5C066-D722-1C76-00D6-15A3E4121D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419100</xdr:colOff>
      <xdr:row>45</xdr:row>
      <xdr:rowOff>248478</xdr:rowOff>
    </xdr:from>
    <xdr:to>
      <xdr:col>16</xdr:col>
      <xdr:colOff>428625</xdr:colOff>
      <xdr:row>53</xdr:row>
      <xdr:rowOff>96934</xdr:rowOff>
    </xdr:to>
    <xdr:graphicFrame macro="">
      <xdr:nvGraphicFramePr>
        <xdr:cNvPr id="42" name="Gráfico 41">
          <a:extLst>
            <a:ext uri="{FF2B5EF4-FFF2-40B4-BE49-F238E27FC236}">
              <a16:creationId xmlns:a16="http://schemas.microsoft.com/office/drawing/2014/main" id="{A5B0ED23-89F0-58F3-2944-A5A9135D94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390525</xdr:colOff>
      <xdr:row>43</xdr:row>
      <xdr:rowOff>171449</xdr:rowOff>
    </xdr:from>
    <xdr:to>
      <xdr:col>10</xdr:col>
      <xdr:colOff>57150</xdr:colOff>
      <xdr:row>45</xdr:row>
      <xdr:rowOff>28574</xdr:rowOff>
    </xdr:to>
    <xdr:sp macro="" textlink="">
      <xdr:nvSpPr>
        <xdr:cNvPr id="43" name="CuadroTexto 42">
          <a:extLst>
            <a:ext uri="{FF2B5EF4-FFF2-40B4-BE49-F238E27FC236}">
              <a16:creationId xmlns:a16="http://schemas.microsoft.com/office/drawing/2014/main" id="{B72B6B69-E19D-4ED4-AD94-5F9280F451E3}"/>
            </a:ext>
          </a:extLst>
        </xdr:cNvPr>
        <xdr:cNvSpPr txBox="1"/>
      </xdr:nvSpPr>
      <xdr:spPr>
        <a:xfrm>
          <a:off x="5067300" y="9401174"/>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0</a:t>
          </a:r>
        </a:p>
      </xdr:txBody>
    </xdr:sp>
    <xdr:clientData/>
  </xdr:twoCellAnchor>
  <xdr:twoCellAnchor>
    <xdr:from>
      <xdr:col>12</xdr:col>
      <xdr:colOff>437416</xdr:colOff>
      <xdr:row>43</xdr:row>
      <xdr:rowOff>180974</xdr:rowOff>
    </xdr:from>
    <xdr:to>
      <xdr:col>13</xdr:col>
      <xdr:colOff>123092</xdr:colOff>
      <xdr:row>45</xdr:row>
      <xdr:rowOff>28575</xdr:rowOff>
    </xdr:to>
    <xdr:sp macro="" textlink="">
      <xdr:nvSpPr>
        <xdr:cNvPr id="44" name="CuadroTexto 43">
          <a:extLst>
            <a:ext uri="{FF2B5EF4-FFF2-40B4-BE49-F238E27FC236}">
              <a16:creationId xmlns:a16="http://schemas.microsoft.com/office/drawing/2014/main" id="{D1CC7660-5A69-AF74-BC56-AEE8D41100BC}"/>
            </a:ext>
          </a:extLst>
        </xdr:cNvPr>
        <xdr:cNvSpPr txBox="1"/>
      </xdr:nvSpPr>
      <xdr:spPr>
        <a:xfrm>
          <a:off x="7390666" y="9720628"/>
          <a:ext cx="550253" cy="272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60</a:t>
          </a:r>
        </a:p>
      </xdr:txBody>
    </xdr:sp>
    <xdr:clientData/>
  </xdr:twoCellAnchor>
  <xdr:twoCellAnchor>
    <xdr:from>
      <xdr:col>13</xdr:col>
      <xdr:colOff>192697</xdr:colOff>
      <xdr:row>43</xdr:row>
      <xdr:rowOff>190499</xdr:rowOff>
    </xdr:from>
    <xdr:to>
      <xdr:col>13</xdr:col>
      <xdr:colOff>599341</xdr:colOff>
      <xdr:row>45</xdr:row>
      <xdr:rowOff>38100</xdr:rowOff>
    </xdr:to>
    <xdr:sp macro="" textlink="">
      <xdr:nvSpPr>
        <xdr:cNvPr id="45" name="CuadroTexto 44">
          <a:extLst>
            <a:ext uri="{FF2B5EF4-FFF2-40B4-BE49-F238E27FC236}">
              <a16:creationId xmlns:a16="http://schemas.microsoft.com/office/drawing/2014/main" id="{F104B2C7-2F90-19F8-54CB-01FFA334B88E}"/>
            </a:ext>
          </a:extLst>
        </xdr:cNvPr>
        <xdr:cNvSpPr txBox="1"/>
      </xdr:nvSpPr>
      <xdr:spPr>
        <a:xfrm>
          <a:off x="8010524" y="9730153"/>
          <a:ext cx="406644" cy="272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75</a:t>
          </a:r>
        </a:p>
      </xdr:txBody>
    </xdr:sp>
    <xdr:clientData/>
  </xdr:twoCellAnchor>
  <xdr:twoCellAnchor>
    <xdr:from>
      <xdr:col>15</xdr:col>
      <xdr:colOff>381000</xdr:colOff>
      <xdr:row>43</xdr:row>
      <xdr:rowOff>190499</xdr:rowOff>
    </xdr:from>
    <xdr:to>
      <xdr:col>17</xdr:col>
      <xdr:colOff>66676</xdr:colOff>
      <xdr:row>45</xdr:row>
      <xdr:rowOff>38100</xdr:rowOff>
    </xdr:to>
    <xdr:sp macro="" textlink="">
      <xdr:nvSpPr>
        <xdr:cNvPr id="46" name="CuadroTexto 45">
          <a:extLst>
            <a:ext uri="{FF2B5EF4-FFF2-40B4-BE49-F238E27FC236}">
              <a16:creationId xmlns:a16="http://schemas.microsoft.com/office/drawing/2014/main" id="{AA7036C7-13D7-3003-EF74-C5B047B81124}"/>
            </a:ext>
          </a:extLst>
        </xdr:cNvPr>
        <xdr:cNvSpPr txBox="1"/>
      </xdr:nvSpPr>
      <xdr:spPr>
        <a:xfrm>
          <a:off x="9363075" y="9658349"/>
          <a:ext cx="581026"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115</a:t>
          </a:r>
        </a:p>
      </xdr:txBody>
    </xdr:sp>
    <xdr:clientData/>
  </xdr:twoCellAnchor>
  <xdr:twoCellAnchor>
    <xdr:from>
      <xdr:col>13</xdr:col>
      <xdr:colOff>545121</xdr:colOff>
      <xdr:row>43</xdr:row>
      <xdr:rowOff>171449</xdr:rowOff>
    </xdr:from>
    <xdr:to>
      <xdr:col>14</xdr:col>
      <xdr:colOff>373672</xdr:colOff>
      <xdr:row>45</xdr:row>
      <xdr:rowOff>19050</xdr:rowOff>
    </xdr:to>
    <xdr:sp macro="" textlink="">
      <xdr:nvSpPr>
        <xdr:cNvPr id="47" name="CuadroTexto 46">
          <a:extLst>
            <a:ext uri="{FF2B5EF4-FFF2-40B4-BE49-F238E27FC236}">
              <a16:creationId xmlns:a16="http://schemas.microsoft.com/office/drawing/2014/main" id="{4160A175-FBE6-0E6D-2E49-F7662826EDF0}"/>
            </a:ext>
          </a:extLst>
        </xdr:cNvPr>
        <xdr:cNvSpPr txBox="1"/>
      </xdr:nvSpPr>
      <xdr:spPr>
        <a:xfrm>
          <a:off x="8365146" y="9639299"/>
          <a:ext cx="4762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Daytona" panose="020B0604030500040204" pitchFamily="34" charset="0"/>
            </a:rPr>
            <a:t>85</a:t>
          </a:r>
        </a:p>
      </xdr:txBody>
    </xdr:sp>
    <xdr:clientData/>
  </xdr:twoCellAnchor>
  <xdr:twoCellAnchor>
    <xdr:from>
      <xdr:col>13</xdr:col>
      <xdr:colOff>180975</xdr:colOff>
      <xdr:row>45</xdr:row>
      <xdr:rowOff>19050</xdr:rowOff>
    </xdr:from>
    <xdr:to>
      <xdr:col>15</xdr:col>
      <xdr:colOff>0</xdr:colOff>
      <xdr:row>45</xdr:row>
      <xdr:rowOff>238125</xdr:rowOff>
    </xdr:to>
    <xdr:sp macro="" textlink="">
      <xdr:nvSpPr>
        <xdr:cNvPr id="48" name="CuadroTexto 47">
          <a:extLst>
            <a:ext uri="{FF2B5EF4-FFF2-40B4-BE49-F238E27FC236}">
              <a16:creationId xmlns:a16="http://schemas.microsoft.com/office/drawing/2014/main" id="{5C8A4DE1-2D86-F9B8-F6F2-07BC180AD549}"/>
            </a:ext>
          </a:extLst>
        </xdr:cNvPr>
        <xdr:cNvSpPr txBox="1"/>
      </xdr:nvSpPr>
      <xdr:spPr>
        <a:xfrm>
          <a:off x="7591425" y="9667875"/>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Presente</a:t>
          </a:r>
          <a:endParaRPr lang="es-BO" sz="1000" b="1">
            <a:latin typeface="Daytona" panose="020B0604030500040204" pitchFamily="34" charset="0"/>
          </a:endParaRPr>
        </a:p>
      </xdr:txBody>
    </xdr:sp>
    <xdr:clientData/>
  </xdr:twoCellAnchor>
  <xdr:twoCellAnchor>
    <xdr:from>
      <xdr:col>14</xdr:col>
      <xdr:colOff>248478</xdr:colOff>
      <xdr:row>45</xdr:row>
      <xdr:rowOff>28575</xdr:rowOff>
    </xdr:from>
    <xdr:to>
      <xdr:col>16</xdr:col>
      <xdr:colOff>419100</xdr:colOff>
      <xdr:row>45</xdr:row>
      <xdr:rowOff>247650</xdr:rowOff>
    </xdr:to>
    <xdr:sp macro="" textlink="">
      <xdr:nvSpPr>
        <xdr:cNvPr id="50" name="CuadroTexto 49">
          <a:extLst>
            <a:ext uri="{FF2B5EF4-FFF2-40B4-BE49-F238E27FC236}">
              <a16:creationId xmlns:a16="http://schemas.microsoft.com/office/drawing/2014/main" id="{4E8A5F2F-A031-9368-D54C-CE2042817B46}"/>
            </a:ext>
          </a:extLst>
        </xdr:cNvPr>
        <xdr:cNvSpPr txBox="1"/>
      </xdr:nvSpPr>
      <xdr:spPr>
        <a:xfrm>
          <a:off x="8357152" y="9727510"/>
          <a:ext cx="113140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Prominente</a:t>
          </a:r>
          <a:endParaRPr lang="es-BO" sz="1000" b="1">
            <a:latin typeface="Daytona" panose="020B0604030500040204" pitchFamily="34" charset="0"/>
          </a:endParaRPr>
        </a:p>
      </xdr:txBody>
    </xdr:sp>
    <xdr:clientData/>
  </xdr:twoCellAnchor>
  <xdr:twoCellAnchor>
    <xdr:from>
      <xdr:col>8</xdr:col>
      <xdr:colOff>420781</xdr:colOff>
      <xdr:row>70</xdr:row>
      <xdr:rowOff>189940</xdr:rowOff>
    </xdr:from>
    <xdr:to>
      <xdr:col>16</xdr:col>
      <xdr:colOff>430306</xdr:colOff>
      <xdr:row>74</xdr:row>
      <xdr:rowOff>108138</xdr:rowOff>
    </xdr:to>
    <xdr:graphicFrame macro="">
      <xdr:nvGraphicFramePr>
        <xdr:cNvPr id="51" name="Gráfico 50">
          <a:extLst>
            <a:ext uri="{FF2B5EF4-FFF2-40B4-BE49-F238E27FC236}">
              <a16:creationId xmlns:a16="http://schemas.microsoft.com/office/drawing/2014/main" id="{00E6A320-78FF-EB5A-9385-020E6C3672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390525</xdr:colOff>
      <xdr:row>68</xdr:row>
      <xdr:rowOff>137832</xdr:rowOff>
    </xdr:from>
    <xdr:to>
      <xdr:col>10</xdr:col>
      <xdr:colOff>57150</xdr:colOff>
      <xdr:row>70</xdr:row>
      <xdr:rowOff>39781</xdr:rowOff>
    </xdr:to>
    <xdr:sp macro="" textlink="">
      <xdr:nvSpPr>
        <xdr:cNvPr id="52" name="CuadroTexto 51">
          <a:extLst>
            <a:ext uri="{FF2B5EF4-FFF2-40B4-BE49-F238E27FC236}">
              <a16:creationId xmlns:a16="http://schemas.microsoft.com/office/drawing/2014/main" id="{36C3FA34-E6A2-77C6-227A-00B1F9C60044}"/>
            </a:ext>
          </a:extLst>
        </xdr:cNvPr>
        <xdr:cNvSpPr txBox="1"/>
      </xdr:nvSpPr>
      <xdr:spPr>
        <a:xfrm>
          <a:off x="5085790" y="14862361"/>
          <a:ext cx="327772" cy="28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0</a:t>
          </a:r>
        </a:p>
      </xdr:txBody>
    </xdr:sp>
    <xdr:clientData/>
  </xdr:twoCellAnchor>
  <xdr:twoCellAnchor>
    <xdr:from>
      <xdr:col>13</xdr:col>
      <xdr:colOff>114299</xdr:colOff>
      <xdr:row>68</xdr:row>
      <xdr:rowOff>147357</xdr:rowOff>
    </xdr:from>
    <xdr:to>
      <xdr:col>13</xdr:col>
      <xdr:colOff>523875</xdr:colOff>
      <xdr:row>70</xdr:row>
      <xdr:rowOff>39782</xdr:rowOff>
    </xdr:to>
    <xdr:sp macro="" textlink="">
      <xdr:nvSpPr>
        <xdr:cNvPr id="53" name="CuadroTexto 52">
          <a:extLst>
            <a:ext uri="{FF2B5EF4-FFF2-40B4-BE49-F238E27FC236}">
              <a16:creationId xmlns:a16="http://schemas.microsoft.com/office/drawing/2014/main" id="{BB435205-5C87-8A43-9C4C-598FFCF1E4E2}"/>
            </a:ext>
          </a:extLst>
        </xdr:cNvPr>
        <xdr:cNvSpPr txBox="1"/>
      </xdr:nvSpPr>
      <xdr:spPr>
        <a:xfrm>
          <a:off x="7524749" y="14720607"/>
          <a:ext cx="409576" cy="27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60</a:t>
          </a:r>
        </a:p>
      </xdr:txBody>
    </xdr:sp>
    <xdr:clientData/>
  </xdr:twoCellAnchor>
  <xdr:twoCellAnchor>
    <xdr:from>
      <xdr:col>14</xdr:col>
      <xdr:colOff>19049</xdr:colOff>
      <xdr:row>68</xdr:row>
      <xdr:rowOff>156882</xdr:rowOff>
    </xdr:from>
    <xdr:to>
      <xdr:col>14</xdr:col>
      <xdr:colOff>419100</xdr:colOff>
      <xdr:row>70</xdr:row>
      <xdr:rowOff>49307</xdr:rowOff>
    </xdr:to>
    <xdr:sp macro="" textlink="">
      <xdr:nvSpPr>
        <xdr:cNvPr id="54" name="CuadroTexto 53">
          <a:extLst>
            <a:ext uri="{FF2B5EF4-FFF2-40B4-BE49-F238E27FC236}">
              <a16:creationId xmlns:a16="http://schemas.microsoft.com/office/drawing/2014/main" id="{C9EC5F83-E693-1961-F58C-2885238673F7}"/>
            </a:ext>
          </a:extLst>
        </xdr:cNvPr>
        <xdr:cNvSpPr txBox="1"/>
      </xdr:nvSpPr>
      <xdr:spPr>
        <a:xfrm>
          <a:off x="8153399" y="14730132"/>
          <a:ext cx="400051" cy="27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75</a:t>
          </a:r>
        </a:p>
      </xdr:txBody>
    </xdr:sp>
    <xdr:clientData/>
  </xdr:twoCellAnchor>
  <xdr:twoCellAnchor>
    <xdr:from>
      <xdr:col>16</xdr:col>
      <xdr:colOff>76201</xdr:colOff>
      <xdr:row>68</xdr:row>
      <xdr:rowOff>156882</xdr:rowOff>
    </xdr:from>
    <xdr:to>
      <xdr:col>17</xdr:col>
      <xdr:colOff>66676</xdr:colOff>
      <xdr:row>70</xdr:row>
      <xdr:rowOff>49307</xdr:rowOff>
    </xdr:to>
    <xdr:sp macro="" textlink="">
      <xdr:nvSpPr>
        <xdr:cNvPr id="55" name="CuadroTexto 54">
          <a:extLst>
            <a:ext uri="{FF2B5EF4-FFF2-40B4-BE49-F238E27FC236}">
              <a16:creationId xmlns:a16="http://schemas.microsoft.com/office/drawing/2014/main" id="{3789E721-7BE0-8E35-DF9F-8DE10E10FDB5}"/>
            </a:ext>
          </a:extLst>
        </xdr:cNvPr>
        <xdr:cNvSpPr txBox="1"/>
      </xdr:nvSpPr>
      <xdr:spPr>
        <a:xfrm>
          <a:off x="9208995" y="14881411"/>
          <a:ext cx="438710" cy="27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100</a:t>
          </a:r>
        </a:p>
      </xdr:txBody>
    </xdr:sp>
    <xdr:clientData/>
  </xdr:twoCellAnchor>
  <xdr:twoCellAnchor>
    <xdr:from>
      <xdr:col>14</xdr:col>
      <xdr:colOff>123826</xdr:colOff>
      <xdr:row>69</xdr:row>
      <xdr:rowOff>182657</xdr:rowOff>
    </xdr:from>
    <xdr:to>
      <xdr:col>16</xdr:col>
      <xdr:colOff>419101</xdr:colOff>
      <xdr:row>71</xdr:row>
      <xdr:rowOff>9526</xdr:rowOff>
    </xdr:to>
    <xdr:sp macro="" textlink="">
      <xdr:nvSpPr>
        <xdr:cNvPr id="57" name="CuadroTexto 56">
          <a:extLst>
            <a:ext uri="{FF2B5EF4-FFF2-40B4-BE49-F238E27FC236}">
              <a16:creationId xmlns:a16="http://schemas.microsoft.com/office/drawing/2014/main" id="{21FA1F99-24B9-CAFD-AAD7-EA868324E75A}"/>
            </a:ext>
          </a:extLst>
        </xdr:cNvPr>
        <xdr:cNvSpPr txBox="1"/>
      </xdr:nvSpPr>
      <xdr:spPr>
        <a:xfrm>
          <a:off x="8258176" y="14946407"/>
          <a:ext cx="1257300" cy="26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Interpretable</a:t>
          </a:r>
        </a:p>
      </xdr:txBody>
    </xdr:sp>
    <xdr:clientData/>
  </xdr:twoCellAnchor>
  <xdr:twoCellAnchor>
    <xdr:from>
      <xdr:col>8</xdr:col>
      <xdr:colOff>420781</xdr:colOff>
      <xdr:row>74</xdr:row>
      <xdr:rowOff>237565</xdr:rowOff>
    </xdr:from>
    <xdr:to>
      <xdr:col>16</xdr:col>
      <xdr:colOff>430306</xdr:colOff>
      <xdr:row>78</xdr:row>
      <xdr:rowOff>155763</xdr:rowOff>
    </xdr:to>
    <xdr:graphicFrame macro="">
      <xdr:nvGraphicFramePr>
        <xdr:cNvPr id="59" name="Gráfico 58">
          <a:extLst>
            <a:ext uri="{FF2B5EF4-FFF2-40B4-BE49-F238E27FC236}">
              <a16:creationId xmlns:a16="http://schemas.microsoft.com/office/drawing/2014/main" id="{ABA37E23-C1BE-EDC8-AA51-DFB66A0A35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420781</xdr:colOff>
      <xdr:row>78</xdr:row>
      <xdr:rowOff>199465</xdr:rowOff>
    </xdr:from>
    <xdr:to>
      <xdr:col>16</xdr:col>
      <xdr:colOff>430306</xdr:colOff>
      <xdr:row>82</xdr:row>
      <xdr:rowOff>117663</xdr:rowOff>
    </xdr:to>
    <xdr:graphicFrame macro="">
      <xdr:nvGraphicFramePr>
        <xdr:cNvPr id="60" name="Gráfico 59">
          <a:extLst>
            <a:ext uri="{FF2B5EF4-FFF2-40B4-BE49-F238E27FC236}">
              <a16:creationId xmlns:a16="http://schemas.microsoft.com/office/drawing/2014/main" id="{22362EF3-0770-AB35-4037-048B7C6EA1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581025</xdr:colOff>
      <xdr:row>133</xdr:row>
      <xdr:rowOff>54428</xdr:rowOff>
    </xdr:from>
    <xdr:to>
      <xdr:col>17</xdr:col>
      <xdr:colOff>5443</xdr:colOff>
      <xdr:row>133</xdr:row>
      <xdr:rowOff>66675</xdr:rowOff>
    </xdr:to>
    <xdr:cxnSp macro="">
      <xdr:nvCxnSpPr>
        <xdr:cNvPr id="61" name="Conector recto 60">
          <a:extLst>
            <a:ext uri="{FF2B5EF4-FFF2-40B4-BE49-F238E27FC236}">
              <a16:creationId xmlns:a16="http://schemas.microsoft.com/office/drawing/2014/main" id="{FFE7E54B-58AA-49FF-B123-F90877C546D6}"/>
            </a:ext>
          </a:extLst>
        </xdr:cNvPr>
        <xdr:cNvCxnSpPr/>
      </xdr:nvCxnSpPr>
      <xdr:spPr>
        <a:xfrm flipV="1">
          <a:off x="581025" y="27476903"/>
          <a:ext cx="8968468" cy="12247"/>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0</xdr:colOff>
      <xdr:row>74</xdr:row>
      <xdr:rowOff>0</xdr:rowOff>
    </xdr:from>
    <xdr:to>
      <xdr:col>16</xdr:col>
      <xdr:colOff>439394</xdr:colOff>
      <xdr:row>74</xdr:row>
      <xdr:rowOff>0</xdr:rowOff>
    </xdr:to>
    <xdr:cxnSp macro="">
      <xdr:nvCxnSpPr>
        <xdr:cNvPr id="29" name="Conector recto 28">
          <a:extLst>
            <a:ext uri="{FF2B5EF4-FFF2-40B4-BE49-F238E27FC236}">
              <a16:creationId xmlns:a16="http://schemas.microsoft.com/office/drawing/2014/main" id="{FB08099A-C2ED-491C-8CBE-F4309B075B65}"/>
            </a:ext>
          </a:extLst>
        </xdr:cNvPr>
        <xdr:cNvCxnSpPr/>
      </xdr:nvCxnSpPr>
      <xdr:spPr>
        <a:xfrm>
          <a:off x="5121519" y="16302404"/>
          <a:ext cx="4417913"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9525</xdr:colOff>
      <xdr:row>75</xdr:row>
      <xdr:rowOff>0</xdr:rowOff>
    </xdr:from>
    <xdr:to>
      <xdr:col>17</xdr:col>
      <xdr:colOff>1244</xdr:colOff>
      <xdr:row>75</xdr:row>
      <xdr:rowOff>0</xdr:rowOff>
    </xdr:to>
    <xdr:cxnSp macro="">
      <xdr:nvCxnSpPr>
        <xdr:cNvPr id="32" name="Conector recto 31">
          <a:extLst>
            <a:ext uri="{FF2B5EF4-FFF2-40B4-BE49-F238E27FC236}">
              <a16:creationId xmlns:a16="http://schemas.microsoft.com/office/drawing/2014/main" id="{7D341965-C9A2-42E7-B3D3-E0B70069E037}"/>
            </a:ext>
          </a:extLst>
        </xdr:cNvPr>
        <xdr:cNvCxnSpPr/>
      </xdr:nvCxnSpPr>
      <xdr:spPr>
        <a:xfrm>
          <a:off x="5133975" y="16440150"/>
          <a:ext cx="4411319" cy="0"/>
        </a:xfrm>
        <a:prstGeom prst="line">
          <a:avLst/>
        </a:prstGeom>
        <a:ln w="28575">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9525</xdr:colOff>
      <xdr:row>79</xdr:row>
      <xdr:rowOff>0</xdr:rowOff>
    </xdr:from>
    <xdr:to>
      <xdr:col>17</xdr:col>
      <xdr:colOff>1244</xdr:colOff>
      <xdr:row>79</xdr:row>
      <xdr:rowOff>0</xdr:rowOff>
    </xdr:to>
    <xdr:cxnSp macro="">
      <xdr:nvCxnSpPr>
        <xdr:cNvPr id="34" name="Conector recto 33">
          <a:extLst>
            <a:ext uri="{FF2B5EF4-FFF2-40B4-BE49-F238E27FC236}">
              <a16:creationId xmlns:a16="http://schemas.microsoft.com/office/drawing/2014/main" id="{4AE98027-CB2E-41A1-81D0-12E8CF9E03A1}"/>
            </a:ext>
          </a:extLst>
        </xdr:cNvPr>
        <xdr:cNvCxnSpPr/>
      </xdr:nvCxnSpPr>
      <xdr:spPr>
        <a:xfrm>
          <a:off x="5133975" y="17516475"/>
          <a:ext cx="4411319" cy="0"/>
        </a:xfrm>
        <a:prstGeom prst="line">
          <a:avLst/>
        </a:prstGeom>
        <a:ln w="28575">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xdr:colOff>
      <xdr:row>78</xdr:row>
      <xdr:rowOff>3898</xdr:rowOff>
    </xdr:from>
    <xdr:to>
      <xdr:col>16</xdr:col>
      <xdr:colOff>439395</xdr:colOff>
      <xdr:row>78</xdr:row>
      <xdr:rowOff>3898</xdr:rowOff>
    </xdr:to>
    <xdr:cxnSp macro="">
      <xdr:nvCxnSpPr>
        <xdr:cNvPr id="37" name="Conector recto 36">
          <a:extLst>
            <a:ext uri="{FF2B5EF4-FFF2-40B4-BE49-F238E27FC236}">
              <a16:creationId xmlns:a16="http://schemas.microsoft.com/office/drawing/2014/main" id="{E18D0C50-242B-2F1A-A6B8-55F298A858DF}"/>
            </a:ext>
          </a:extLst>
        </xdr:cNvPr>
        <xdr:cNvCxnSpPr/>
      </xdr:nvCxnSpPr>
      <xdr:spPr>
        <a:xfrm>
          <a:off x="5234610" y="17596159"/>
          <a:ext cx="4622111"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350" row="1">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2FED5DA-6FA3-4A61-8168-560B950913BA}">
  <we:reference id="wa200009404" version="1.0.0.5" store="es-ES" storeType="OMEX"/>
  <we:alternateReferences>
    <we:reference id="WA200009404" version="1.0.0.5" store="" storeType="OMEX"/>
  </we:alternateReferences>
  <we:properties>
    <we:property name="claude.fileId" value="&quot;39b7994f-13dc-4051-a6e1-a3b9ff19b600&quot;"/>
  </we:properties>
  <we:bindings/>
  <we:snapshot xmlns:r="http://schemas.openxmlformats.org/officeDocument/2006/relationships"/>
</we:webextension>
</file>

<file path=xl/webextensions/webextension2.xml><?xml version="1.0" encoding="utf-8"?>
<we:webextension xmlns:we="http://schemas.microsoft.com/office/webextensions/webextension/2010/11" id="{F4E85303-E902-43CD-88B1-EC3C6E53B870}">
  <we:reference id="wa200010215" version="2.0.0.0" store="es-HN" storeType="OMEX"/>
  <we:alternateReferences>
    <we:reference id="WA200010215" version="2.0.0.0" store="" storeType="OMEX"/>
  </we:alternateReferences>
  <we:properties>
    <we:property name="bps.codex_control.document_id" value="&quot;279c4c89-31a2-41c1-b01b-01b86bd54b7b&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ctrlProp" Target="../ctrlProps/ctrlProp1.x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8"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E806-A347-4106-99DE-247BEEEA1451}">
  <sheetPr codeName="Hoja1"/>
  <dimension ref="A1:AC70"/>
  <sheetViews>
    <sheetView showGridLines="0" topLeftCell="A35" zoomScale="120" zoomScaleNormal="120" workbookViewId="0">
      <selection activeCell="J41" sqref="J41"/>
    </sheetView>
  </sheetViews>
  <sheetFormatPr baseColWidth="10" defaultColWidth="0" defaultRowHeight="17.25" zeroHeight="1"/>
  <cols>
    <col min="1" max="1" width="5.42578125" style="58" customWidth="1"/>
    <col min="2" max="2" width="3.7109375" style="58" customWidth="1"/>
    <col min="3" max="3" width="10.5703125" style="58" customWidth="1"/>
    <col min="4" max="4" width="12.28515625" style="58" customWidth="1"/>
    <col min="5" max="5" width="4.85546875" style="58" customWidth="1"/>
    <col min="6" max="6" width="2" style="58" customWidth="1"/>
    <col min="7" max="7" width="3.7109375" style="58" customWidth="1"/>
    <col min="8" max="8" width="2" style="58" customWidth="1"/>
    <col min="9" max="9" width="4.42578125" style="58" customWidth="1"/>
    <col min="10" max="11" width="4.5703125" style="58" customWidth="1"/>
    <col min="12" max="12" width="8.42578125" style="58" customWidth="1"/>
    <col min="13" max="13" width="6.5703125" style="58" customWidth="1"/>
    <col min="14" max="14" width="4.28515625" style="58" customWidth="1"/>
    <col min="15" max="15" width="9.42578125" style="58" customWidth="1"/>
    <col min="16" max="16" width="6.140625" style="58" bestFit="1" customWidth="1"/>
    <col min="17" max="17" width="14.42578125" style="58" customWidth="1"/>
    <col min="18" max="18" width="6" style="58" customWidth="1"/>
    <col min="19" max="19" width="11.42578125" style="58" hidden="1" customWidth="1"/>
    <col min="20" max="20" width="14.42578125" style="58" hidden="1" customWidth="1"/>
    <col min="21" max="21" width="42.140625" style="58" hidden="1" customWidth="1"/>
    <col min="22" max="22" width="14.42578125" style="58" hidden="1" customWidth="1"/>
    <col min="23" max="23" width="33.5703125" style="58" hidden="1" customWidth="1"/>
    <col min="24" max="24" width="15" style="58" hidden="1" customWidth="1"/>
    <col min="25" max="25" width="58.5703125" style="58" hidden="1" customWidth="1"/>
    <col min="26" max="26" width="11.42578125" style="58" hidden="1" customWidth="1"/>
    <col min="27" max="27" width="44.5703125" style="58" hidden="1" customWidth="1"/>
    <col min="28" max="28" width="14.42578125" style="58" hidden="1" customWidth="1"/>
    <col min="29" max="29" width="0" style="58" hidden="1" customWidth="1"/>
    <col min="30" max="16384" width="11.42578125" style="58" hidden="1"/>
  </cols>
  <sheetData>
    <row r="1" spans="2:29">
      <c r="B1" s="55"/>
      <c r="C1" s="55"/>
      <c r="D1" s="55"/>
      <c r="E1" s="55"/>
      <c r="F1" s="55"/>
      <c r="G1" s="55"/>
      <c r="H1" s="55"/>
      <c r="I1" s="55"/>
      <c r="J1" s="55"/>
      <c r="K1" s="55"/>
      <c r="L1" s="55"/>
      <c r="M1" s="55"/>
      <c r="N1" s="55"/>
      <c r="O1" s="55"/>
      <c r="P1" s="55"/>
      <c r="Q1" s="55"/>
      <c r="T1" s="58" t="b">
        <v>0</v>
      </c>
      <c r="U1" s="58" t="s">
        <v>707</v>
      </c>
      <c r="V1" s="58" t="b">
        <v>1</v>
      </c>
      <c r="W1" s="58" t="s">
        <v>569</v>
      </c>
      <c r="X1" s="58">
        <f>+B34</f>
        <v>0</v>
      </c>
      <c r="Y1" s="58" t="s">
        <v>607</v>
      </c>
      <c r="Z1" s="58" t="b">
        <v>0</v>
      </c>
      <c r="AA1" s="58" t="s">
        <v>576</v>
      </c>
      <c r="AB1" s="58" t="b">
        <v>0</v>
      </c>
      <c r="AC1" s="58" t="s">
        <v>583</v>
      </c>
    </row>
    <row r="2" spans="2:29">
      <c r="B2" s="55"/>
      <c r="C2" s="55"/>
      <c r="D2" s="55"/>
      <c r="E2" s="55"/>
      <c r="F2" s="55"/>
      <c r="G2" s="55"/>
      <c r="H2" s="55"/>
      <c r="I2" s="55"/>
      <c r="J2" s="55"/>
      <c r="K2" s="55"/>
      <c r="L2" s="55"/>
      <c r="M2" s="55"/>
      <c r="N2" s="55"/>
      <c r="O2" s="55"/>
      <c r="P2" s="55"/>
      <c r="Q2" s="55"/>
      <c r="T2" s="58" t="b">
        <v>0</v>
      </c>
      <c r="U2" s="58" t="s">
        <v>708</v>
      </c>
      <c r="V2" s="58" t="b">
        <v>0</v>
      </c>
      <c r="W2" s="58" t="s">
        <v>570</v>
      </c>
      <c r="X2" s="58">
        <f>+B36</f>
        <v>0</v>
      </c>
      <c r="Y2" s="58" t="s">
        <v>608</v>
      </c>
      <c r="Z2" s="58" t="b">
        <v>0</v>
      </c>
      <c r="AA2" s="58" t="s">
        <v>577</v>
      </c>
      <c r="AB2" s="58" t="b">
        <v>1</v>
      </c>
      <c r="AC2" s="58" t="s">
        <v>584</v>
      </c>
    </row>
    <row r="3" spans="2:29">
      <c r="B3" s="55"/>
      <c r="C3" s="55"/>
      <c r="D3" s="55"/>
      <c r="E3" s="55"/>
      <c r="F3" s="55"/>
      <c r="G3" s="55"/>
      <c r="H3" s="55"/>
      <c r="I3" s="55"/>
      <c r="J3" s="55"/>
      <c r="K3" s="55"/>
      <c r="L3" s="55"/>
      <c r="M3" s="55"/>
      <c r="N3" s="55"/>
      <c r="O3" s="55"/>
      <c r="P3" s="55"/>
      <c r="Q3" s="55"/>
      <c r="T3" s="58" t="b">
        <v>0</v>
      </c>
      <c r="U3" s="58" t="s">
        <v>709</v>
      </c>
      <c r="V3" s="58" t="b">
        <v>0</v>
      </c>
      <c r="W3" s="58" t="s">
        <v>571</v>
      </c>
      <c r="X3" s="58">
        <f>+B38</f>
        <v>0</v>
      </c>
      <c r="Y3" s="58" t="s">
        <v>609</v>
      </c>
      <c r="Z3" s="58" t="b">
        <v>0</v>
      </c>
      <c r="AA3" s="58" t="s">
        <v>578</v>
      </c>
      <c r="AB3" s="58" t="b">
        <v>0</v>
      </c>
      <c r="AC3" s="58" t="s">
        <v>585</v>
      </c>
    </row>
    <row r="4" spans="2:29">
      <c r="B4" s="55"/>
      <c r="C4" s="55"/>
      <c r="D4" s="55"/>
      <c r="E4" s="55"/>
      <c r="F4" s="55"/>
      <c r="G4" s="55"/>
      <c r="H4" s="55"/>
      <c r="I4" s="55"/>
      <c r="J4" s="55"/>
      <c r="K4" s="55"/>
      <c r="L4" s="55"/>
      <c r="M4" s="55"/>
      <c r="N4" s="55"/>
      <c r="O4" s="55"/>
      <c r="P4" s="55"/>
      <c r="Q4" s="55"/>
      <c r="T4" s="58" t="b">
        <v>1</v>
      </c>
      <c r="U4" s="58" t="s">
        <v>710</v>
      </c>
      <c r="V4" s="58" t="b">
        <v>0</v>
      </c>
      <c r="W4" s="58" t="s">
        <v>572</v>
      </c>
      <c r="X4" s="58">
        <f>+B40</f>
        <v>0</v>
      </c>
      <c r="Y4" s="58" t="s">
        <v>610</v>
      </c>
      <c r="Z4" s="58" t="b">
        <v>0</v>
      </c>
      <c r="AA4" s="58" t="s">
        <v>579</v>
      </c>
      <c r="AB4" s="58" t="b">
        <v>0</v>
      </c>
      <c r="AC4" s="58" t="s">
        <v>586</v>
      </c>
    </row>
    <row r="5" spans="2:29">
      <c r="B5" s="55"/>
      <c r="C5" s="55"/>
      <c r="D5" s="55"/>
      <c r="E5" s="55"/>
      <c r="F5" s="55"/>
      <c r="G5" s="55"/>
      <c r="H5" s="55"/>
      <c r="I5" s="55"/>
      <c r="J5" s="55"/>
      <c r="K5" s="55"/>
      <c r="L5" s="55"/>
      <c r="M5" s="55"/>
      <c r="N5" s="55"/>
      <c r="O5" s="55"/>
      <c r="P5" s="55"/>
      <c r="Q5" s="55"/>
      <c r="T5" s="58" t="b">
        <v>0</v>
      </c>
      <c r="U5" s="58" t="s">
        <v>711</v>
      </c>
      <c r="V5" s="58" t="b">
        <v>0</v>
      </c>
      <c r="W5" s="58" t="s">
        <v>573</v>
      </c>
      <c r="X5" s="58">
        <f>+G34</f>
        <v>1</v>
      </c>
      <c r="Y5" s="58" t="s">
        <v>818</v>
      </c>
      <c r="Z5" s="58" t="b">
        <v>0</v>
      </c>
      <c r="AA5" s="58" t="s">
        <v>580</v>
      </c>
      <c r="AB5" s="58" t="b">
        <v>0</v>
      </c>
      <c r="AC5" s="91" t="s">
        <v>587</v>
      </c>
    </row>
    <row r="6" spans="2:29">
      <c r="B6" s="55"/>
      <c r="C6" s="55"/>
      <c r="D6" s="55"/>
      <c r="E6" s="55"/>
      <c r="F6" s="55"/>
      <c r="G6" s="55"/>
      <c r="H6" s="55"/>
      <c r="I6" s="55"/>
      <c r="J6" s="55"/>
      <c r="K6" s="55"/>
      <c r="L6" s="55"/>
      <c r="M6" s="55"/>
      <c r="N6" s="55"/>
      <c r="O6" s="55"/>
      <c r="P6" s="55"/>
      <c r="Q6" s="55"/>
      <c r="U6" s="157" t="str">
        <f>IFERROR(INDEX(U1:U5, MATCH(TRUE, T1:T5, 0)),"")</f>
        <v>bachillerato superior o formación profesional</v>
      </c>
      <c r="W6" s="58" t="s">
        <v>574</v>
      </c>
      <c r="X6" s="58">
        <f>+G36</f>
        <v>0</v>
      </c>
      <c r="Y6" s="58" t="str">
        <f>"la confianza en sí "&amp;IF(U12="Mujer","misma","mismo")</f>
        <v>la confianza en sí misma</v>
      </c>
      <c r="Z6" s="58" t="b">
        <v>0</v>
      </c>
      <c r="AA6" s="58" t="s">
        <v>581</v>
      </c>
      <c r="AB6" s="58" t="b">
        <v>0</v>
      </c>
      <c r="AC6" s="58" t="s">
        <v>588</v>
      </c>
    </row>
    <row r="7" spans="2:29">
      <c r="B7" s="55"/>
      <c r="C7" s="55"/>
      <c r="D7" s="55"/>
      <c r="E7" s="55"/>
      <c r="F7" s="55"/>
      <c r="G7" s="55"/>
      <c r="H7" s="55"/>
      <c r="I7" s="55"/>
      <c r="J7" s="55"/>
      <c r="K7" s="55"/>
      <c r="L7" s="55"/>
      <c r="M7" s="55"/>
      <c r="N7" s="55"/>
      <c r="O7" s="55"/>
      <c r="P7" s="55"/>
      <c r="Q7" s="55"/>
      <c r="V7" s="58" t="b">
        <v>0</v>
      </c>
      <c r="W7" s="58" t="s">
        <v>575</v>
      </c>
      <c r="X7" s="58">
        <f>+G38</f>
        <v>0</v>
      </c>
      <c r="Y7" s="58" t="s">
        <v>611</v>
      </c>
      <c r="Z7" s="58" t="b">
        <v>1</v>
      </c>
      <c r="AA7" s="58" t="str">
        <f>IF(N52="","",  N52)</f>
        <v>Proceso Penal</v>
      </c>
      <c r="AB7" s="58" t="b">
        <v>0</v>
      </c>
      <c r="AC7" s="58" t="s">
        <v>589</v>
      </c>
    </row>
    <row r="8" spans="2:29" ht="18.75">
      <c r="B8" s="269" t="s">
        <v>551</v>
      </c>
      <c r="C8" s="269"/>
      <c r="D8" s="269"/>
      <c r="E8" s="269"/>
      <c r="F8" s="269"/>
      <c r="G8" s="269"/>
      <c r="H8" s="269"/>
      <c r="I8" s="269"/>
      <c r="J8" s="269"/>
      <c r="K8" s="269"/>
      <c r="L8" s="269"/>
      <c r="M8" s="269"/>
      <c r="N8" s="269"/>
      <c r="O8" s="269"/>
      <c r="P8" s="269"/>
      <c r="Q8" s="269"/>
      <c r="V8" s="58" t="b">
        <v>0</v>
      </c>
      <c r="W8" s="60" t="str">
        <f>IF(N28="","",  N28)</f>
        <v/>
      </c>
      <c r="X8" s="58">
        <f>+N34</f>
        <v>0</v>
      </c>
      <c r="Y8" s="58" t="s">
        <v>612</v>
      </c>
      <c r="AA8" s="157" t="str">
        <f>IFERROR(INDEX(AA1:AA7, MATCH(TRUE, Z1:Z7, 0)),"")</f>
        <v>Proceso Penal</v>
      </c>
      <c r="AB8" s="58" t="b">
        <v>0</v>
      </c>
      <c r="AC8" s="58" t="s">
        <v>592</v>
      </c>
    </row>
    <row r="9" spans="2:29">
      <c r="W9" s="157" t="str">
        <f>IFERROR(INDEX(W1:W8, MATCH(TRUE, V1:V8, 0)),"")</f>
        <v>Soltero</v>
      </c>
      <c r="X9" s="58">
        <f>+N36</f>
        <v>0</v>
      </c>
      <c r="Y9" s="58" t="s">
        <v>613</v>
      </c>
      <c r="AB9" s="58" t="b">
        <v>1</v>
      </c>
      <c r="AC9" s="58" t="s">
        <v>590</v>
      </c>
    </row>
    <row r="10" spans="2:29">
      <c r="B10" s="271" t="s">
        <v>348</v>
      </c>
      <c r="C10" s="271"/>
      <c r="D10" s="276" t="s">
        <v>869</v>
      </c>
      <c r="E10" s="276"/>
      <c r="F10" s="276"/>
      <c r="G10" s="276"/>
      <c r="H10" s="276"/>
      <c r="I10" s="276"/>
      <c r="J10" s="276"/>
      <c r="K10" s="276"/>
      <c r="L10" s="276"/>
      <c r="M10" s="276"/>
      <c r="N10" s="277" t="s">
        <v>593</v>
      </c>
      <c r="O10" s="277"/>
      <c r="P10" s="276"/>
      <c r="Q10" s="276"/>
      <c r="T10" s="58" t="b">
        <v>0</v>
      </c>
      <c r="U10" s="58" t="s">
        <v>594</v>
      </c>
      <c r="X10" s="58">
        <f>+N38</f>
        <v>0</v>
      </c>
      <c r="Y10" s="58" t="s">
        <v>614</v>
      </c>
      <c r="AB10" s="58" t="b">
        <v>0</v>
      </c>
      <c r="AC10" s="58" t="s">
        <v>591</v>
      </c>
    </row>
    <row r="11" spans="2:29">
      <c r="T11" s="58" t="b">
        <v>1</v>
      </c>
      <c r="U11" s="58" t="s">
        <v>595</v>
      </c>
      <c r="X11" s="58">
        <f>+G40</f>
        <v>2</v>
      </c>
      <c r="Y11" s="58" t="str">
        <f>IF(J40="","",  J40)</f>
        <v>Familiar</v>
      </c>
      <c r="AC11" s="157" t="str">
        <f>IFERROR(INDEX(AC1:AC10, MATCH(TRUE, AB1:AB10, 0)),"")</f>
        <v>1-4 semanas</v>
      </c>
    </row>
    <row r="12" spans="2:29">
      <c r="B12" s="271" t="s">
        <v>601</v>
      </c>
      <c r="C12" s="271"/>
      <c r="D12" s="271"/>
      <c r="E12" s="158">
        <v>15</v>
      </c>
      <c r="F12" s="134" t="s">
        <v>552</v>
      </c>
      <c r="G12" s="159">
        <v>8</v>
      </c>
      <c r="H12" s="134" t="s">
        <v>552</v>
      </c>
      <c r="I12" s="158">
        <v>93</v>
      </c>
      <c r="J12" s="271" t="s">
        <v>352</v>
      </c>
      <c r="K12" s="271"/>
      <c r="L12" s="160" t="s">
        <v>596</v>
      </c>
      <c r="M12" s="140" t="s">
        <v>349</v>
      </c>
      <c r="N12" s="278">
        <v>32</v>
      </c>
      <c r="O12" s="278"/>
      <c r="P12" s="140" t="s">
        <v>553</v>
      </c>
      <c r="U12" s="157" t="str">
        <f>IFERROR(INDEX(U10:U11, MATCH(TRUE, T10:T11, 0)),"")</f>
        <v>Mujer</v>
      </c>
      <c r="Y12" s="157" t="str">
        <f>IFERROR("su principal preocupación es "&amp; INDEX(Y1:Y11, MATCH(1, X1:X11, 0)),"")</f>
        <v>su principal preocupación es laboral o académica</v>
      </c>
    </row>
    <row r="13" spans="2:29">
      <c r="F13" s="55"/>
      <c r="H13" s="55"/>
      <c r="Y13" s="157" t="str">
        <f>IFERROR("su segunda preocupación es "&amp; INDEX(Y1:Y11, MATCH(2, X1:X11, 0)),"")</f>
        <v>su segunda preocupación es Familiar</v>
      </c>
    </row>
    <row r="14" spans="2:29" ht="18.75">
      <c r="B14" s="269" t="s">
        <v>551</v>
      </c>
      <c r="C14" s="269"/>
      <c r="D14" s="269"/>
      <c r="E14" s="269"/>
      <c r="F14" s="269"/>
      <c r="G14" s="269"/>
      <c r="H14" s="269"/>
      <c r="I14" s="269"/>
      <c r="J14" s="269"/>
      <c r="K14" s="269"/>
      <c r="L14" s="269"/>
      <c r="M14" s="269"/>
      <c r="N14" s="269"/>
      <c r="O14" s="269"/>
      <c r="P14" s="269"/>
      <c r="Q14" s="269"/>
    </row>
    <row r="15" spans="2:29" ht="5.25" customHeight="1"/>
    <row r="16" spans="2:29">
      <c r="C16" s="55"/>
      <c r="M16" s="55"/>
      <c r="U16" s="58" t="str">
        <f>+CONCATENATE(E12,"/",G12,"/",I12)</f>
        <v>15/8/93</v>
      </c>
    </row>
    <row r="17" spans="2:17" ht="5.25" customHeight="1">
      <c r="C17" s="55"/>
      <c r="M17" s="55"/>
    </row>
    <row r="18" spans="2:17">
      <c r="C18" s="55"/>
      <c r="M18" s="55"/>
    </row>
    <row r="19" spans="2:17" ht="5.25" customHeight="1">
      <c r="C19" s="55"/>
      <c r="M19" s="55"/>
    </row>
    <row r="20" spans="2:17">
      <c r="C20" s="55"/>
      <c r="L20" s="55"/>
      <c r="M20" s="55"/>
    </row>
    <row r="21" spans="2:17">
      <c r="C21" s="55"/>
    </row>
    <row r="22" spans="2:17" ht="18.75">
      <c r="B22" s="161" t="s">
        <v>353</v>
      </c>
      <c r="C22" s="162"/>
      <c r="D22" s="162"/>
      <c r="E22" s="162"/>
      <c r="F22" s="163"/>
      <c r="G22" s="163"/>
      <c r="H22" s="163"/>
      <c r="I22" s="163"/>
      <c r="J22" s="163"/>
      <c r="K22" s="163"/>
      <c r="L22" s="163"/>
      <c r="M22" s="163"/>
      <c r="N22" s="163"/>
      <c r="O22" s="163"/>
      <c r="P22" s="163"/>
      <c r="Q22" s="163"/>
    </row>
    <row r="23" spans="2:17" ht="10.5" customHeight="1">
      <c r="O23" s="55"/>
      <c r="P23" s="55"/>
    </row>
    <row r="24" spans="2:17">
      <c r="C24" s="55"/>
      <c r="K24" s="55"/>
      <c r="P24" s="55"/>
    </row>
    <row r="25" spans="2:17" ht="3" customHeight="1">
      <c r="C25" s="55"/>
      <c r="K25" s="55"/>
      <c r="P25" s="55"/>
    </row>
    <row r="26" spans="2:17">
      <c r="C26" s="55"/>
      <c r="K26" s="55"/>
      <c r="P26" s="55"/>
    </row>
    <row r="27" spans="2:17" ht="3" customHeight="1">
      <c r="C27" s="55"/>
      <c r="K27" s="55"/>
    </row>
    <row r="28" spans="2:17">
      <c r="C28" s="55"/>
      <c r="K28" s="55"/>
      <c r="N28" s="270"/>
      <c r="O28" s="270"/>
      <c r="P28" s="270"/>
      <c r="Q28" s="270"/>
    </row>
    <row r="29" spans="2:17" ht="9.75" customHeight="1">
      <c r="C29" s="55"/>
      <c r="K29" s="55"/>
    </row>
    <row r="30" spans="2:17" ht="19.5" customHeight="1">
      <c r="B30" s="273" t="s">
        <v>554</v>
      </c>
      <c r="C30" s="273"/>
      <c r="D30" s="274"/>
      <c r="E30" s="274"/>
      <c r="F30" s="274"/>
      <c r="G30" s="274"/>
      <c r="H30" s="274"/>
      <c r="I30" s="274"/>
      <c r="J30" s="274"/>
      <c r="K30" s="274"/>
      <c r="L30" s="274"/>
      <c r="M30" s="274"/>
      <c r="N30" s="274"/>
      <c r="O30" s="274"/>
      <c r="P30" s="274"/>
      <c r="Q30" s="274"/>
    </row>
    <row r="31" spans="2:17" ht="19.5" customHeight="1">
      <c r="B31" s="273"/>
      <c r="C31" s="273"/>
      <c r="D31" s="274"/>
      <c r="E31" s="274"/>
      <c r="F31" s="274"/>
      <c r="G31" s="274"/>
      <c r="H31" s="274"/>
      <c r="I31" s="274"/>
      <c r="J31" s="274"/>
      <c r="K31" s="274"/>
      <c r="L31" s="274"/>
      <c r="M31" s="274"/>
      <c r="N31" s="274"/>
      <c r="O31" s="274"/>
      <c r="P31" s="274"/>
      <c r="Q31" s="274"/>
    </row>
    <row r="32" spans="2:17" ht="16.5" customHeight="1">
      <c r="B32" s="274"/>
      <c r="C32" s="274"/>
      <c r="D32" s="274"/>
      <c r="E32" s="274"/>
      <c r="F32" s="274"/>
      <c r="G32" s="274"/>
      <c r="H32" s="274"/>
      <c r="I32" s="274"/>
      <c r="J32" s="274"/>
      <c r="K32" s="274"/>
      <c r="L32" s="274"/>
      <c r="M32" s="274"/>
      <c r="N32" s="274"/>
      <c r="O32" s="274"/>
      <c r="P32" s="274"/>
      <c r="Q32" s="274"/>
    </row>
    <row r="33" spans="2:17"/>
    <row r="34" spans="2:17">
      <c r="B34" s="164"/>
      <c r="C34" s="55" t="s">
        <v>555</v>
      </c>
      <c r="G34" s="164">
        <v>1</v>
      </c>
      <c r="H34" s="58" t="s">
        <v>559</v>
      </c>
      <c r="I34" s="55"/>
      <c r="N34" s="164"/>
      <c r="O34" s="55" t="s">
        <v>563</v>
      </c>
    </row>
    <row r="35" spans="2:17" ht="5.25" customHeight="1">
      <c r="C35" s="55"/>
      <c r="I35" s="55"/>
      <c r="O35" s="55"/>
    </row>
    <row r="36" spans="2:17">
      <c r="B36" s="164"/>
      <c r="C36" s="55" t="s">
        <v>556</v>
      </c>
      <c r="G36" s="164"/>
      <c r="H36" s="58" t="s">
        <v>560</v>
      </c>
      <c r="I36" s="55"/>
      <c r="N36" s="164"/>
      <c r="O36" s="55" t="s">
        <v>564</v>
      </c>
    </row>
    <row r="37" spans="2:17" ht="5.25" customHeight="1">
      <c r="C37" s="55"/>
      <c r="I37" s="55"/>
      <c r="O37" s="55"/>
    </row>
    <row r="38" spans="2:17">
      <c r="B38" s="164"/>
      <c r="C38" s="55" t="s">
        <v>557</v>
      </c>
      <c r="G38" s="164"/>
      <c r="H38" s="58" t="s">
        <v>561</v>
      </c>
      <c r="I38" s="55"/>
      <c r="N38" s="164"/>
      <c r="O38" s="55" t="s">
        <v>565</v>
      </c>
    </row>
    <row r="39" spans="2:17" ht="5.25" customHeight="1">
      <c r="C39" s="55"/>
      <c r="I39" s="55"/>
      <c r="O39" s="55"/>
    </row>
    <row r="40" spans="2:17">
      <c r="B40" s="164"/>
      <c r="C40" s="55" t="s">
        <v>558</v>
      </c>
      <c r="G40" s="164">
        <v>2</v>
      </c>
      <c r="H40" s="58" t="s">
        <v>562</v>
      </c>
      <c r="I40" s="55"/>
      <c r="J40" s="275" t="s">
        <v>870</v>
      </c>
      <c r="K40" s="275"/>
      <c r="L40" s="275"/>
      <c r="M40" s="275"/>
      <c r="N40" s="275"/>
      <c r="O40" s="275"/>
      <c r="P40" s="275"/>
      <c r="Q40" s="275"/>
    </row>
    <row r="41" spans="2:17">
      <c r="C41" s="55"/>
      <c r="I41" s="55"/>
    </row>
    <row r="42" spans="2:17" ht="18.75">
      <c r="B42" s="269" t="s">
        <v>566</v>
      </c>
      <c r="C42" s="269"/>
      <c r="D42" s="269"/>
      <c r="E42" s="269"/>
      <c r="F42" s="269"/>
      <c r="G42" s="269"/>
      <c r="H42" s="269"/>
      <c r="I42" s="269"/>
      <c r="J42" s="269"/>
      <c r="K42" s="269"/>
      <c r="L42" s="269"/>
      <c r="M42" s="269"/>
      <c r="N42" s="269"/>
      <c r="O42" s="269"/>
      <c r="P42" s="269"/>
      <c r="Q42" s="269"/>
    </row>
    <row r="43" spans="2:17"/>
    <row r="44" spans="2:17">
      <c r="B44" s="134" t="s">
        <v>567</v>
      </c>
      <c r="C44" s="55"/>
      <c r="D44" s="276"/>
      <c r="E44" s="276"/>
      <c r="F44" s="276"/>
      <c r="G44" s="276"/>
      <c r="H44" s="276"/>
      <c r="I44" s="276"/>
      <c r="J44" s="276"/>
      <c r="K44" s="276"/>
      <c r="L44" s="276"/>
      <c r="M44" s="276"/>
      <c r="N44" s="276"/>
      <c r="O44" s="276"/>
      <c r="P44" s="276"/>
      <c r="Q44" s="276"/>
    </row>
    <row r="45" spans="2:17"/>
    <row r="46" spans="2:17">
      <c r="B46" s="134" t="s">
        <v>597</v>
      </c>
      <c r="C46" s="55"/>
      <c r="D46" s="55"/>
      <c r="E46" s="158"/>
      <c r="F46" s="134" t="s">
        <v>552</v>
      </c>
      <c r="G46" s="159"/>
      <c r="H46" s="134" t="s">
        <v>552</v>
      </c>
      <c r="I46" s="158"/>
      <c r="J46" s="141"/>
    </row>
    <row r="47" spans="2:17">
      <c r="F47" s="55"/>
      <c r="H47" s="55"/>
    </row>
    <row r="48" spans="2:17">
      <c r="C48" s="55"/>
      <c r="M48" s="55"/>
    </row>
    <row r="49" spans="2:17" ht="5.25" customHeight="1">
      <c r="C49" s="55"/>
      <c r="M49" s="55"/>
    </row>
    <row r="50" spans="2:17">
      <c r="C50" s="55"/>
      <c r="M50" s="55"/>
    </row>
    <row r="51" spans="2:17" ht="5.25" customHeight="1">
      <c r="C51" s="55"/>
      <c r="M51" s="55"/>
    </row>
    <row r="52" spans="2:17">
      <c r="C52" s="55"/>
      <c r="M52" s="55"/>
      <c r="N52" s="279" t="s">
        <v>582</v>
      </c>
      <c r="O52" s="279"/>
      <c r="P52" s="279"/>
      <c r="Q52" s="279"/>
    </row>
    <row r="53" spans="2:17" ht="5.25" customHeight="1">
      <c r="C53" s="55"/>
      <c r="M53" s="55"/>
    </row>
    <row r="54" spans="2:17">
      <c r="C54" s="55"/>
      <c r="L54" s="55"/>
      <c r="M54" s="55"/>
    </row>
    <row r="55" spans="2:17">
      <c r="F55" s="55"/>
      <c r="G55" s="55"/>
      <c r="H55" s="55"/>
      <c r="J55" s="55"/>
      <c r="K55" s="55"/>
      <c r="L55" s="55"/>
    </row>
    <row r="56" spans="2:17">
      <c r="B56" s="272" t="s">
        <v>568</v>
      </c>
      <c r="C56" s="272"/>
      <c r="D56" s="272"/>
      <c r="E56" s="272"/>
      <c r="F56" s="272"/>
      <c r="G56" s="272"/>
      <c r="H56" s="272"/>
      <c r="I56" s="272"/>
      <c r="J56" s="272"/>
      <c r="K56" s="272"/>
      <c r="L56" s="272"/>
    </row>
    <row r="57" spans="2:17"/>
    <row r="58" spans="2:17">
      <c r="C58" s="55"/>
      <c r="I58" s="55"/>
      <c r="O58" s="55"/>
    </row>
    <row r="59" spans="2:17" ht="5.25" customHeight="1">
      <c r="C59" s="55"/>
      <c r="I59" s="55"/>
      <c r="O59" s="55"/>
    </row>
    <row r="60" spans="2:17">
      <c r="C60" s="55"/>
      <c r="I60" s="55"/>
      <c r="O60" s="55"/>
    </row>
    <row r="61" spans="2:17" ht="5.25" customHeight="1">
      <c r="C61" s="55"/>
      <c r="I61" s="55"/>
      <c r="O61" s="55"/>
    </row>
    <row r="62" spans="2:17">
      <c r="C62" s="55"/>
      <c r="I62" s="55"/>
      <c r="O62" s="55"/>
    </row>
    <row r="63" spans="2:17" ht="5.25" customHeight="1">
      <c r="C63" s="55"/>
      <c r="I63" s="55"/>
      <c r="O63" s="55"/>
    </row>
    <row r="64" spans="2:17">
      <c r="C64" s="55"/>
      <c r="I64" s="55"/>
      <c r="O64" s="55"/>
    </row>
    <row r="65" spans="1:17">
      <c r="C65" s="55"/>
      <c r="I65" s="55"/>
    </row>
    <row r="66" spans="1:17">
      <c r="A66" s="55"/>
      <c r="B66" s="165"/>
      <c r="C66" s="165"/>
      <c r="D66" s="165"/>
      <c r="E66" s="165"/>
      <c r="F66" s="165"/>
      <c r="G66" s="165"/>
      <c r="H66" s="165"/>
      <c r="I66" s="165"/>
      <c r="J66" s="165"/>
      <c r="K66" s="165"/>
      <c r="L66" s="165"/>
      <c r="M66" s="165"/>
      <c r="N66" s="165"/>
      <c r="O66" s="165"/>
      <c r="P66" s="165"/>
      <c r="Q66" s="165"/>
    </row>
    <row r="67" spans="1:17">
      <c r="A67" s="55"/>
      <c r="B67" s="55"/>
      <c r="C67" s="55"/>
      <c r="D67" s="55"/>
      <c r="E67" s="55"/>
      <c r="F67" s="55"/>
      <c r="G67" s="55"/>
      <c r="H67" s="55"/>
      <c r="I67" s="55"/>
      <c r="J67" s="55"/>
      <c r="K67" s="55"/>
      <c r="L67" s="55"/>
      <c r="M67" s="55"/>
      <c r="N67" s="55"/>
      <c r="O67" s="55"/>
      <c r="P67" s="55"/>
      <c r="Q67" s="55"/>
    </row>
    <row r="68" spans="1:17">
      <c r="A68" s="55"/>
      <c r="B68" s="55"/>
      <c r="C68" s="55"/>
      <c r="D68" s="55"/>
      <c r="E68" s="55"/>
      <c r="F68" s="55"/>
      <c r="G68" s="55"/>
      <c r="H68" s="55"/>
      <c r="I68" s="55"/>
      <c r="J68" s="55"/>
      <c r="K68" s="55"/>
      <c r="L68" s="55"/>
      <c r="M68" s="55"/>
      <c r="N68" s="55"/>
      <c r="O68" s="55"/>
      <c r="P68" s="55"/>
      <c r="Q68" s="55"/>
    </row>
    <row r="69" spans="1:17">
      <c r="A69" s="55"/>
      <c r="B69" s="55"/>
      <c r="C69" s="55"/>
      <c r="D69" s="55"/>
      <c r="E69" s="55"/>
      <c r="F69" s="55"/>
      <c r="G69" s="55"/>
      <c r="H69" s="55"/>
      <c r="I69" s="55"/>
      <c r="J69" s="55"/>
      <c r="K69" s="55"/>
      <c r="L69" s="55"/>
      <c r="M69" s="55"/>
      <c r="N69" s="55"/>
      <c r="O69" s="55"/>
      <c r="P69" s="55"/>
      <c r="Q69" s="55"/>
    </row>
    <row r="70" spans="1:17">
      <c r="A70" s="55"/>
      <c r="B70" s="166" t="s">
        <v>602</v>
      </c>
      <c r="C70" s="55"/>
      <c r="D70" s="55"/>
      <c r="E70" s="55"/>
      <c r="F70" s="55"/>
      <c r="G70" s="55"/>
      <c r="H70" s="55"/>
      <c r="I70" s="55"/>
      <c r="J70" s="55"/>
      <c r="K70" s="55"/>
      <c r="L70" s="55"/>
      <c r="M70" s="55"/>
      <c r="N70" s="55"/>
      <c r="O70" s="55"/>
      <c r="P70" s="55"/>
      <c r="Q70" s="55"/>
    </row>
  </sheetData>
  <sheetProtection algorithmName="SHA-512" hashValue="vZpsJiEF/vSKPmISRoHDnxk8Zlx2iQKDVon7X36k/HFkXJALV79VZsWzChPlXMDnsOCDgrIjp6mo+OWd8Da3bA==" saltValue="3CJFbn4/yITAPtlTRCNVRA==" spinCount="100000" sheet="1" objects="1" scenarios="1"/>
  <mergeCells count="16">
    <mergeCell ref="B8:Q8"/>
    <mergeCell ref="N28:Q28"/>
    <mergeCell ref="B10:C10"/>
    <mergeCell ref="B12:D12"/>
    <mergeCell ref="B56:L56"/>
    <mergeCell ref="B30:Q32"/>
    <mergeCell ref="J40:Q40"/>
    <mergeCell ref="D10:M10"/>
    <mergeCell ref="N10:O10"/>
    <mergeCell ref="P10:Q10"/>
    <mergeCell ref="N12:O12"/>
    <mergeCell ref="J12:K12"/>
    <mergeCell ref="B42:Q42"/>
    <mergeCell ref="B14:Q14"/>
    <mergeCell ref="D44:Q44"/>
    <mergeCell ref="N52:Q5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Check Box 1">
              <controlPr defaultSize="0" autoFill="0" autoLine="0" autoPict="0">
                <anchor moveWithCells="1">
                  <from>
                    <xdr:col>16</xdr:col>
                    <xdr:colOff>9525</xdr:colOff>
                    <xdr:row>11</xdr:row>
                    <xdr:rowOff>0</xdr:rowOff>
                  </from>
                  <to>
                    <xdr:col>16</xdr:col>
                    <xdr:colOff>352425</xdr:colOff>
                    <xdr:row>12</xdr:row>
                    <xdr:rowOff>0</xdr:rowOff>
                  </to>
                </anchor>
              </controlPr>
            </control>
          </mc:Choice>
        </mc:AlternateContent>
        <mc:AlternateContent xmlns:mc="http://schemas.openxmlformats.org/markup-compatibility/2006">
          <mc:Choice Requires="x14">
            <control shapeId="8194" r:id="rId4" name="Check Box 2">
              <controlPr defaultSize="0" autoFill="0" autoLine="0" autoPict="0">
                <anchor moveWithCells="1">
                  <from>
                    <xdr:col>16</xdr:col>
                    <xdr:colOff>542925</xdr:colOff>
                    <xdr:row>11</xdr:row>
                    <xdr:rowOff>9525</xdr:rowOff>
                  </from>
                  <to>
                    <xdr:col>16</xdr:col>
                    <xdr:colOff>885825</xdr:colOff>
                    <xdr:row>12</xdr:row>
                    <xdr:rowOff>9525</xdr:rowOff>
                  </to>
                </anchor>
              </controlPr>
            </control>
          </mc:Choice>
        </mc:AlternateContent>
        <mc:AlternateContent xmlns:mc="http://schemas.openxmlformats.org/markup-compatibility/2006">
          <mc:Choice Requires="x14">
            <control shapeId="8199" r:id="rId5" name="Check Box 7">
              <controlPr defaultSize="0" autoFill="0" autoLine="0" autoPict="0">
                <anchor moveWithCells="1">
                  <from>
                    <xdr:col>1</xdr:col>
                    <xdr:colOff>114300</xdr:colOff>
                    <xdr:row>15</xdr:row>
                    <xdr:rowOff>0</xdr:rowOff>
                  </from>
                  <to>
                    <xdr:col>3</xdr:col>
                    <xdr:colOff>742950</xdr:colOff>
                    <xdr:row>16</xdr:row>
                    <xdr:rowOff>0</xdr:rowOff>
                  </to>
                </anchor>
              </controlPr>
            </control>
          </mc:Choice>
        </mc:AlternateContent>
        <mc:AlternateContent xmlns:mc="http://schemas.openxmlformats.org/markup-compatibility/2006">
          <mc:Choice Requires="x14">
            <control shapeId="8200" r:id="rId6" name="Check Box 8">
              <controlPr defaultSize="0" autoFill="0" autoLine="0" autoPict="0">
                <anchor moveWithCells="1">
                  <from>
                    <xdr:col>1</xdr:col>
                    <xdr:colOff>104775</xdr:colOff>
                    <xdr:row>16</xdr:row>
                    <xdr:rowOff>171450</xdr:rowOff>
                  </from>
                  <to>
                    <xdr:col>3</xdr:col>
                    <xdr:colOff>723900</xdr:colOff>
                    <xdr:row>17</xdr:row>
                    <xdr:rowOff>209550</xdr:rowOff>
                  </to>
                </anchor>
              </controlPr>
            </control>
          </mc:Choice>
        </mc:AlternateContent>
        <mc:AlternateContent xmlns:mc="http://schemas.openxmlformats.org/markup-compatibility/2006">
          <mc:Choice Requires="x14">
            <control shapeId="8201" r:id="rId7" name="Check Box 9">
              <controlPr defaultSize="0" autoFill="0" autoLine="0" autoPict="0">
                <anchor moveWithCells="1">
                  <from>
                    <xdr:col>1</xdr:col>
                    <xdr:colOff>104775</xdr:colOff>
                    <xdr:row>18</xdr:row>
                    <xdr:rowOff>66675</xdr:rowOff>
                  </from>
                  <to>
                    <xdr:col>3</xdr:col>
                    <xdr:colOff>723900</xdr:colOff>
                    <xdr:row>19</xdr:row>
                    <xdr:rowOff>209550</xdr:rowOff>
                  </to>
                </anchor>
              </controlPr>
            </control>
          </mc:Choice>
        </mc:AlternateContent>
        <mc:AlternateContent xmlns:mc="http://schemas.openxmlformats.org/markup-compatibility/2006">
          <mc:Choice Requires="x14">
            <control shapeId="8202" r:id="rId8" name="Check Box 10">
              <controlPr defaultSize="0" autoFill="0" autoLine="0" autoPict="0">
                <anchor moveWithCells="1">
                  <from>
                    <xdr:col>11</xdr:col>
                    <xdr:colOff>47625</xdr:colOff>
                    <xdr:row>14</xdr:row>
                    <xdr:rowOff>171450</xdr:rowOff>
                  </from>
                  <to>
                    <xdr:col>16</xdr:col>
                    <xdr:colOff>466725</xdr:colOff>
                    <xdr:row>16</xdr:row>
                    <xdr:rowOff>0</xdr:rowOff>
                  </to>
                </anchor>
              </controlPr>
            </control>
          </mc:Choice>
        </mc:AlternateContent>
        <mc:AlternateContent xmlns:mc="http://schemas.openxmlformats.org/markup-compatibility/2006">
          <mc:Choice Requires="x14">
            <control shapeId="8203" r:id="rId9" name="Check Box 11">
              <controlPr defaultSize="0" autoFill="0" autoLine="0" autoPict="0">
                <anchor moveWithCells="1">
                  <from>
                    <xdr:col>11</xdr:col>
                    <xdr:colOff>47625</xdr:colOff>
                    <xdr:row>16</xdr:row>
                    <xdr:rowOff>161925</xdr:rowOff>
                  </from>
                  <to>
                    <xdr:col>16</xdr:col>
                    <xdr:colOff>466725</xdr:colOff>
                    <xdr:row>17</xdr:row>
                    <xdr:rowOff>209550</xdr:rowOff>
                  </to>
                </anchor>
              </controlPr>
            </control>
          </mc:Choice>
        </mc:AlternateContent>
        <mc:AlternateContent xmlns:mc="http://schemas.openxmlformats.org/markup-compatibility/2006">
          <mc:Choice Requires="x14">
            <control shapeId="8204" r:id="rId10" name="Check Box 12">
              <controlPr defaultSize="0" autoFill="0" autoLine="0" autoPict="0">
                <anchor moveWithCells="1">
                  <from>
                    <xdr:col>1</xdr:col>
                    <xdr:colOff>76200</xdr:colOff>
                    <xdr:row>22</xdr:row>
                    <xdr:rowOff>171450</xdr:rowOff>
                  </from>
                  <to>
                    <xdr:col>3</xdr:col>
                    <xdr:colOff>695325</xdr:colOff>
                    <xdr:row>23</xdr:row>
                    <xdr:rowOff>209550</xdr:rowOff>
                  </to>
                </anchor>
              </controlPr>
            </control>
          </mc:Choice>
        </mc:AlternateContent>
        <mc:AlternateContent xmlns:mc="http://schemas.openxmlformats.org/markup-compatibility/2006">
          <mc:Choice Requires="x14">
            <control shapeId="8205" r:id="rId11" name="Check Box 13">
              <controlPr defaultSize="0" autoFill="0" autoLine="0" autoPict="0">
                <anchor moveWithCells="1">
                  <from>
                    <xdr:col>1</xdr:col>
                    <xdr:colOff>76200</xdr:colOff>
                    <xdr:row>25</xdr:row>
                    <xdr:rowOff>0</xdr:rowOff>
                  </from>
                  <to>
                    <xdr:col>3</xdr:col>
                    <xdr:colOff>695325</xdr:colOff>
                    <xdr:row>25</xdr:row>
                    <xdr:rowOff>209550</xdr:rowOff>
                  </to>
                </anchor>
              </controlPr>
            </control>
          </mc:Choice>
        </mc:AlternateContent>
        <mc:AlternateContent xmlns:mc="http://schemas.openxmlformats.org/markup-compatibility/2006">
          <mc:Choice Requires="x14">
            <control shapeId="8206" r:id="rId12" name="Check Box 14">
              <controlPr defaultSize="0" autoFill="0" autoLine="0" autoPict="0">
                <anchor moveWithCells="1">
                  <from>
                    <xdr:col>1</xdr:col>
                    <xdr:colOff>76200</xdr:colOff>
                    <xdr:row>27</xdr:row>
                    <xdr:rowOff>0</xdr:rowOff>
                  </from>
                  <to>
                    <xdr:col>4</xdr:col>
                    <xdr:colOff>238125</xdr:colOff>
                    <xdr:row>28</xdr:row>
                    <xdr:rowOff>0</xdr:rowOff>
                  </to>
                </anchor>
              </controlPr>
            </control>
          </mc:Choice>
        </mc:AlternateContent>
        <mc:AlternateContent xmlns:mc="http://schemas.openxmlformats.org/markup-compatibility/2006">
          <mc:Choice Requires="x14">
            <control shapeId="8207" r:id="rId13" name="Check Box 15">
              <controlPr defaultSize="0" autoFill="0" autoLine="0" autoPict="0">
                <anchor moveWithCells="1">
                  <from>
                    <xdr:col>8</xdr:col>
                    <xdr:colOff>247650</xdr:colOff>
                    <xdr:row>22</xdr:row>
                    <xdr:rowOff>171450</xdr:rowOff>
                  </from>
                  <to>
                    <xdr:col>12</xdr:col>
                    <xdr:colOff>333375</xdr:colOff>
                    <xdr:row>23</xdr:row>
                    <xdr:rowOff>209550</xdr:rowOff>
                  </to>
                </anchor>
              </controlPr>
            </control>
          </mc:Choice>
        </mc:AlternateContent>
        <mc:AlternateContent xmlns:mc="http://schemas.openxmlformats.org/markup-compatibility/2006">
          <mc:Choice Requires="x14">
            <control shapeId="8208" r:id="rId14" name="Check Box 16">
              <controlPr defaultSize="0" autoFill="0" autoLine="0" autoPict="0">
                <anchor moveWithCells="1">
                  <from>
                    <xdr:col>8</xdr:col>
                    <xdr:colOff>238125</xdr:colOff>
                    <xdr:row>25</xdr:row>
                    <xdr:rowOff>9525</xdr:rowOff>
                  </from>
                  <to>
                    <xdr:col>12</xdr:col>
                    <xdr:colOff>323850</xdr:colOff>
                    <xdr:row>26</xdr:row>
                    <xdr:rowOff>9525</xdr:rowOff>
                  </to>
                </anchor>
              </controlPr>
            </control>
          </mc:Choice>
        </mc:AlternateContent>
        <mc:AlternateContent xmlns:mc="http://schemas.openxmlformats.org/markup-compatibility/2006">
          <mc:Choice Requires="x14">
            <control shapeId="8209" r:id="rId15" name="Check Box 17">
              <controlPr defaultSize="0" autoFill="0" autoLine="0" autoPict="0">
                <anchor moveWithCells="1">
                  <from>
                    <xdr:col>13</xdr:col>
                    <xdr:colOff>304800</xdr:colOff>
                    <xdr:row>22</xdr:row>
                    <xdr:rowOff>171450</xdr:rowOff>
                  </from>
                  <to>
                    <xdr:col>16</xdr:col>
                    <xdr:colOff>542925</xdr:colOff>
                    <xdr:row>23</xdr:row>
                    <xdr:rowOff>209550</xdr:rowOff>
                  </to>
                </anchor>
              </controlPr>
            </control>
          </mc:Choice>
        </mc:AlternateContent>
        <mc:AlternateContent xmlns:mc="http://schemas.openxmlformats.org/markup-compatibility/2006">
          <mc:Choice Requires="x14">
            <control shapeId="8210" r:id="rId16" name="Check Box 18">
              <controlPr defaultSize="0" autoFill="0" autoLine="0" autoPict="0">
                <anchor moveWithCells="1">
                  <from>
                    <xdr:col>13</xdr:col>
                    <xdr:colOff>304800</xdr:colOff>
                    <xdr:row>24</xdr:row>
                    <xdr:rowOff>190500</xdr:rowOff>
                  </from>
                  <to>
                    <xdr:col>16</xdr:col>
                    <xdr:colOff>542925</xdr:colOff>
                    <xdr:row>25</xdr:row>
                    <xdr:rowOff>209550</xdr:rowOff>
                  </to>
                </anchor>
              </controlPr>
            </control>
          </mc:Choice>
        </mc:AlternateContent>
        <mc:AlternateContent xmlns:mc="http://schemas.openxmlformats.org/markup-compatibility/2006">
          <mc:Choice Requires="x14">
            <control shapeId="8211" r:id="rId17" name="Check Box 19">
              <controlPr defaultSize="0" autoFill="0" autoLine="0" autoPict="0">
                <anchor moveWithCells="1">
                  <from>
                    <xdr:col>8</xdr:col>
                    <xdr:colOff>238125</xdr:colOff>
                    <xdr:row>26</xdr:row>
                    <xdr:rowOff>66675</xdr:rowOff>
                  </from>
                  <to>
                    <xdr:col>12</xdr:col>
                    <xdr:colOff>57150</xdr:colOff>
                    <xdr:row>28</xdr:row>
                    <xdr:rowOff>0</xdr:rowOff>
                  </to>
                </anchor>
              </controlPr>
            </control>
          </mc:Choice>
        </mc:AlternateContent>
        <mc:AlternateContent xmlns:mc="http://schemas.openxmlformats.org/markup-compatibility/2006">
          <mc:Choice Requires="x14">
            <control shapeId="8212" r:id="rId18" name="Check Box 20">
              <controlPr defaultSize="0" autoFill="0" autoLine="0" autoPict="0">
                <anchor moveWithCells="1">
                  <from>
                    <xdr:col>1</xdr:col>
                    <xdr:colOff>57150</xdr:colOff>
                    <xdr:row>46</xdr:row>
                    <xdr:rowOff>180975</xdr:rowOff>
                  </from>
                  <to>
                    <xdr:col>8</xdr:col>
                    <xdr:colOff>28575</xdr:colOff>
                    <xdr:row>47</xdr:row>
                    <xdr:rowOff>171450</xdr:rowOff>
                  </to>
                </anchor>
              </controlPr>
            </control>
          </mc:Choice>
        </mc:AlternateContent>
        <mc:AlternateContent xmlns:mc="http://schemas.openxmlformats.org/markup-compatibility/2006">
          <mc:Choice Requires="x14">
            <control shapeId="8213" r:id="rId19" name="Check Box 21">
              <controlPr defaultSize="0" autoFill="0" autoLine="0" autoPict="0">
                <anchor moveWithCells="1">
                  <from>
                    <xdr:col>1</xdr:col>
                    <xdr:colOff>57150</xdr:colOff>
                    <xdr:row>48</xdr:row>
                    <xdr:rowOff>171450</xdr:rowOff>
                  </from>
                  <to>
                    <xdr:col>8</xdr:col>
                    <xdr:colOff>19050</xdr:colOff>
                    <xdr:row>49</xdr:row>
                    <xdr:rowOff>209550</xdr:rowOff>
                  </to>
                </anchor>
              </controlPr>
            </control>
          </mc:Choice>
        </mc:AlternateContent>
        <mc:AlternateContent xmlns:mc="http://schemas.openxmlformats.org/markup-compatibility/2006">
          <mc:Choice Requires="x14">
            <control shapeId="8214" r:id="rId20" name="Check Box 22">
              <controlPr defaultSize="0" autoFill="0" autoLine="0" autoPict="0">
                <anchor moveWithCells="1">
                  <from>
                    <xdr:col>1</xdr:col>
                    <xdr:colOff>57150</xdr:colOff>
                    <xdr:row>50</xdr:row>
                    <xdr:rowOff>180975</xdr:rowOff>
                  </from>
                  <to>
                    <xdr:col>8</xdr:col>
                    <xdr:colOff>19050</xdr:colOff>
                    <xdr:row>52</xdr:row>
                    <xdr:rowOff>0</xdr:rowOff>
                  </to>
                </anchor>
              </controlPr>
            </control>
          </mc:Choice>
        </mc:AlternateContent>
        <mc:AlternateContent xmlns:mc="http://schemas.openxmlformats.org/markup-compatibility/2006">
          <mc:Choice Requires="x14">
            <control shapeId="8215" r:id="rId21" name="Check Box 23">
              <controlPr defaultSize="0" autoFill="0" autoLine="0" autoPict="0">
                <anchor moveWithCells="1">
                  <from>
                    <xdr:col>1</xdr:col>
                    <xdr:colOff>57150</xdr:colOff>
                    <xdr:row>52</xdr:row>
                    <xdr:rowOff>190500</xdr:rowOff>
                  </from>
                  <to>
                    <xdr:col>8</xdr:col>
                    <xdr:colOff>19050</xdr:colOff>
                    <xdr:row>53</xdr:row>
                    <xdr:rowOff>209550</xdr:rowOff>
                  </to>
                </anchor>
              </controlPr>
            </control>
          </mc:Choice>
        </mc:AlternateContent>
        <mc:AlternateContent xmlns:mc="http://schemas.openxmlformats.org/markup-compatibility/2006">
          <mc:Choice Requires="x14">
            <control shapeId="8216" r:id="rId22" name="Check Box 24">
              <controlPr defaultSize="0" autoFill="0" autoLine="0" autoPict="0">
                <anchor moveWithCells="1">
                  <from>
                    <xdr:col>11</xdr:col>
                    <xdr:colOff>104775</xdr:colOff>
                    <xdr:row>46</xdr:row>
                    <xdr:rowOff>190500</xdr:rowOff>
                  </from>
                  <to>
                    <xdr:col>16</xdr:col>
                    <xdr:colOff>361950</xdr:colOff>
                    <xdr:row>47</xdr:row>
                    <xdr:rowOff>180975</xdr:rowOff>
                  </to>
                </anchor>
              </controlPr>
            </control>
          </mc:Choice>
        </mc:AlternateContent>
        <mc:AlternateContent xmlns:mc="http://schemas.openxmlformats.org/markup-compatibility/2006">
          <mc:Choice Requires="x14">
            <control shapeId="8217" r:id="rId23" name="Check Box 25">
              <controlPr defaultSize="0" autoFill="0" autoLine="0" autoPict="0">
                <anchor moveWithCells="1">
                  <from>
                    <xdr:col>11</xdr:col>
                    <xdr:colOff>104775</xdr:colOff>
                    <xdr:row>48</xdr:row>
                    <xdr:rowOff>171450</xdr:rowOff>
                  </from>
                  <to>
                    <xdr:col>16</xdr:col>
                    <xdr:colOff>361950</xdr:colOff>
                    <xdr:row>49</xdr:row>
                    <xdr:rowOff>209550</xdr:rowOff>
                  </to>
                </anchor>
              </controlPr>
            </control>
          </mc:Choice>
        </mc:AlternateContent>
        <mc:AlternateContent xmlns:mc="http://schemas.openxmlformats.org/markup-compatibility/2006">
          <mc:Choice Requires="x14">
            <control shapeId="8218" r:id="rId24" name="Check Box 26">
              <controlPr defaultSize="0" autoFill="0" autoLine="0" autoPict="0">
                <anchor moveWithCells="1">
                  <from>
                    <xdr:col>11</xdr:col>
                    <xdr:colOff>104775</xdr:colOff>
                    <xdr:row>50</xdr:row>
                    <xdr:rowOff>66675</xdr:rowOff>
                  </from>
                  <to>
                    <xdr:col>11</xdr:col>
                    <xdr:colOff>523875</xdr:colOff>
                    <xdr:row>52</xdr:row>
                    <xdr:rowOff>0</xdr:rowOff>
                  </to>
                </anchor>
              </controlPr>
            </control>
          </mc:Choice>
        </mc:AlternateContent>
        <mc:AlternateContent xmlns:mc="http://schemas.openxmlformats.org/markup-compatibility/2006">
          <mc:Choice Requires="x14">
            <control shapeId="8219" r:id="rId25" name="Check Box 27">
              <controlPr defaultSize="0" autoFill="0" autoLine="0" autoPict="0">
                <anchor moveWithCells="1">
                  <from>
                    <xdr:col>1</xdr:col>
                    <xdr:colOff>76200</xdr:colOff>
                    <xdr:row>56</xdr:row>
                    <xdr:rowOff>171450</xdr:rowOff>
                  </from>
                  <to>
                    <xdr:col>3</xdr:col>
                    <xdr:colOff>200025</xdr:colOff>
                    <xdr:row>57</xdr:row>
                    <xdr:rowOff>161925</xdr:rowOff>
                  </to>
                </anchor>
              </controlPr>
            </control>
          </mc:Choice>
        </mc:AlternateContent>
        <mc:AlternateContent xmlns:mc="http://schemas.openxmlformats.org/markup-compatibility/2006">
          <mc:Choice Requires="x14">
            <control shapeId="8220" r:id="rId26" name="Check Box 28">
              <controlPr defaultSize="0" autoFill="0" autoLine="0" autoPict="0">
                <anchor moveWithCells="1">
                  <from>
                    <xdr:col>1</xdr:col>
                    <xdr:colOff>76200</xdr:colOff>
                    <xdr:row>58</xdr:row>
                    <xdr:rowOff>66675</xdr:rowOff>
                  </from>
                  <to>
                    <xdr:col>3</xdr:col>
                    <xdr:colOff>200025</xdr:colOff>
                    <xdr:row>59</xdr:row>
                    <xdr:rowOff>209550</xdr:rowOff>
                  </to>
                </anchor>
              </controlPr>
            </control>
          </mc:Choice>
        </mc:AlternateContent>
        <mc:AlternateContent xmlns:mc="http://schemas.openxmlformats.org/markup-compatibility/2006">
          <mc:Choice Requires="x14">
            <control shapeId="8221" r:id="rId27" name="Check Box 29">
              <controlPr defaultSize="0" autoFill="0" autoLine="0" autoPict="0">
                <anchor moveWithCells="1">
                  <from>
                    <xdr:col>1</xdr:col>
                    <xdr:colOff>76200</xdr:colOff>
                    <xdr:row>60</xdr:row>
                    <xdr:rowOff>66675</xdr:rowOff>
                  </from>
                  <to>
                    <xdr:col>3</xdr:col>
                    <xdr:colOff>209550</xdr:colOff>
                    <xdr:row>61</xdr:row>
                    <xdr:rowOff>209550</xdr:rowOff>
                  </to>
                </anchor>
              </controlPr>
            </control>
          </mc:Choice>
        </mc:AlternateContent>
        <mc:AlternateContent xmlns:mc="http://schemas.openxmlformats.org/markup-compatibility/2006">
          <mc:Choice Requires="x14">
            <control shapeId="8222" r:id="rId28" name="Check Box 30">
              <controlPr defaultSize="0" autoFill="0" autoLine="0" autoPict="0">
                <anchor moveWithCells="1">
                  <from>
                    <xdr:col>1</xdr:col>
                    <xdr:colOff>76200</xdr:colOff>
                    <xdr:row>62</xdr:row>
                    <xdr:rowOff>66675</xdr:rowOff>
                  </from>
                  <to>
                    <xdr:col>3</xdr:col>
                    <xdr:colOff>209550</xdr:colOff>
                    <xdr:row>63</xdr:row>
                    <xdr:rowOff>209550</xdr:rowOff>
                  </to>
                </anchor>
              </controlPr>
            </control>
          </mc:Choice>
        </mc:AlternateContent>
        <mc:AlternateContent xmlns:mc="http://schemas.openxmlformats.org/markup-compatibility/2006">
          <mc:Choice Requires="x14">
            <control shapeId="8223" r:id="rId29" name="Check Box 31">
              <controlPr defaultSize="0" autoFill="0" autoLine="0" autoPict="0">
                <anchor moveWithCells="1">
                  <from>
                    <xdr:col>6</xdr:col>
                    <xdr:colOff>76200</xdr:colOff>
                    <xdr:row>56</xdr:row>
                    <xdr:rowOff>190500</xdr:rowOff>
                  </from>
                  <to>
                    <xdr:col>10</xdr:col>
                    <xdr:colOff>161925</xdr:colOff>
                    <xdr:row>57</xdr:row>
                    <xdr:rowOff>180975</xdr:rowOff>
                  </to>
                </anchor>
              </controlPr>
            </control>
          </mc:Choice>
        </mc:AlternateContent>
        <mc:AlternateContent xmlns:mc="http://schemas.openxmlformats.org/markup-compatibility/2006">
          <mc:Choice Requires="x14">
            <control shapeId="8224" r:id="rId30" name="Check Box 32">
              <controlPr defaultSize="0" autoFill="0" autoLine="0" autoPict="0">
                <anchor moveWithCells="1">
                  <from>
                    <xdr:col>6</xdr:col>
                    <xdr:colOff>76200</xdr:colOff>
                    <xdr:row>59</xdr:row>
                    <xdr:rowOff>0</xdr:rowOff>
                  </from>
                  <to>
                    <xdr:col>10</xdr:col>
                    <xdr:colOff>161925</xdr:colOff>
                    <xdr:row>59</xdr:row>
                    <xdr:rowOff>209550</xdr:rowOff>
                  </to>
                </anchor>
              </controlPr>
            </control>
          </mc:Choice>
        </mc:AlternateContent>
        <mc:AlternateContent xmlns:mc="http://schemas.openxmlformats.org/markup-compatibility/2006">
          <mc:Choice Requires="x14">
            <control shapeId="8225" r:id="rId31" name="Check Box 33">
              <controlPr defaultSize="0" autoFill="0" autoLine="0" autoPict="0">
                <anchor moveWithCells="1">
                  <from>
                    <xdr:col>6</xdr:col>
                    <xdr:colOff>76200</xdr:colOff>
                    <xdr:row>60</xdr:row>
                    <xdr:rowOff>66675</xdr:rowOff>
                  </from>
                  <to>
                    <xdr:col>10</xdr:col>
                    <xdr:colOff>161925</xdr:colOff>
                    <xdr:row>61</xdr:row>
                    <xdr:rowOff>209550</xdr:rowOff>
                  </to>
                </anchor>
              </controlPr>
            </control>
          </mc:Choice>
        </mc:AlternateContent>
        <mc:AlternateContent xmlns:mc="http://schemas.openxmlformats.org/markup-compatibility/2006">
          <mc:Choice Requires="x14">
            <control shapeId="8226" r:id="rId32" name="Check Box 34">
              <controlPr defaultSize="0" autoFill="0" autoLine="0" autoPict="0">
                <anchor moveWithCells="1">
                  <from>
                    <xdr:col>6</xdr:col>
                    <xdr:colOff>76200</xdr:colOff>
                    <xdr:row>63</xdr:row>
                    <xdr:rowOff>0</xdr:rowOff>
                  </from>
                  <to>
                    <xdr:col>10</xdr:col>
                    <xdr:colOff>161925</xdr:colOff>
                    <xdr:row>63</xdr:row>
                    <xdr:rowOff>209550</xdr:rowOff>
                  </to>
                </anchor>
              </controlPr>
            </control>
          </mc:Choice>
        </mc:AlternateContent>
        <mc:AlternateContent xmlns:mc="http://schemas.openxmlformats.org/markup-compatibility/2006">
          <mc:Choice Requires="x14">
            <control shapeId="8227" r:id="rId33" name="Check Box 35">
              <controlPr defaultSize="0" autoFill="0" autoLine="0" autoPict="0">
                <anchor moveWithCells="1">
                  <from>
                    <xdr:col>13</xdr:col>
                    <xdr:colOff>19050</xdr:colOff>
                    <xdr:row>56</xdr:row>
                    <xdr:rowOff>190500</xdr:rowOff>
                  </from>
                  <to>
                    <xdr:col>15</xdr:col>
                    <xdr:colOff>180975</xdr:colOff>
                    <xdr:row>57</xdr:row>
                    <xdr:rowOff>180975</xdr:rowOff>
                  </to>
                </anchor>
              </controlPr>
            </control>
          </mc:Choice>
        </mc:AlternateContent>
        <mc:AlternateContent xmlns:mc="http://schemas.openxmlformats.org/markup-compatibility/2006">
          <mc:Choice Requires="x14">
            <control shapeId="8228" r:id="rId34" name="Check Box 36">
              <controlPr defaultSize="0" autoFill="0" autoLine="0" autoPict="0">
                <anchor moveWithCells="1">
                  <from>
                    <xdr:col>13</xdr:col>
                    <xdr:colOff>19050</xdr:colOff>
                    <xdr:row>58</xdr:row>
                    <xdr:rowOff>66675</xdr:rowOff>
                  </from>
                  <to>
                    <xdr:col>15</xdr:col>
                    <xdr:colOff>180975</xdr:colOff>
                    <xdr:row>59</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6E5E7-A89A-4AB2-8B6C-38E9806B6519}">
  <sheetPr codeName="Hoja11"/>
  <dimension ref="A1:P43"/>
  <sheetViews>
    <sheetView showGridLines="0" zoomScaleNormal="100" workbookViewId="0">
      <selection activeCell="G28" sqref="G28"/>
    </sheetView>
  </sheetViews>
  <sheetFormatPr baseColWidth="10" defaultColWidth="0" defaultRowHeight="17.25" zeroHeight="1"/>
  <cols>
    <col min="1" max="1" width="8.140625" style="58" customWidth="1"/>
    <col min="2" max="2" width="24.28515625" style="58" customWidth="1"/>
    <col min="3" max="11" width="11.42578125" style="58" customWidth="1"/>
    <col min="12" max="12" width="10.28515625" style="58" customWidth="1"/>
    <col min="13" max="14" width="11.42578125" style="58" hidden="1" customWidth="1"/>
    <col min="15" max="15" width="40" style="58" hidden="1" customWidth="1"/>
    <col min="16" max="16" width="32.7109375" style="58" hidden="1" customWidth="1"/>
    <col min="17" max="16384" width="11.42578125" style="58" hidden="1"/>
  </cols>
  <sheetData>
    <row r="1" spans="1:16" ht="4.5" customHeight="1"/>
    <row r="2" spans="1:16" ht="3" customHeight="1">
      <c r="A2" s="58">
        <v>1</v>
      </c>
    </row>
    <row r="3" spans="1:16" ht="19.5" customHeight="1">
      <c r="B3" s="63"/>
      <c r="C3" s="62"/>
      <c r="D3" s="62"/>
      <c r="E3" s="62"/>
      <c r="F3" s="62"/>
      <c r="G3" s="62"/>
      <c r="H3" s="62"/>
      <c r="I3" s="62"/>
      <c r="J3" s="62"/>
      <c r="K3" s="62"/>
    </row>
    <row r="4" spans="1:16">
      <c r="B4" s="55"/>
      <c r="C4" s="55"/>
      <c r="D4" s="55"/>
      <c r="E4" s="55"/>
      <c r="F4" s="55"/>
      <c r="G4" s="55"/>
      <c r="H4" s="55"/>
      <c r="I4" s="55"/>
      <c r="J4" s="55"/>
      <c r="K4" s="55"/>
    </row>
    <row r="5" spans="1:16">
      <c r="B5" s="55"/>
      <c r="C5" s="55"/>
      <c r="D5" s="55"/>
      <c r="E5" s="55"/>
      <c r="F5" s="55"/>
      <c r="G5" s="55"/>
      <c r="H5" s="55"/>
      <c r="I5" s="55"/>
      <c r="J5" s="55"/>
      <c r="K5" s="55"/>
      <c r="O5" s="58" t="s">
        <v>598</v>
      </c>
      <c r="P5" s="58" t="s">
        <v>362</v>
      </c>
    </row>
    <row r="6" spans="1:16">
      <c r="B6" s="55"/>
      <c r="C6" s="55"/>
      <c r="D6" s="55"/>
      <c r="E6" s="55"/>
      <c r="F6" s="55"/>
      <c r="G6" s="55"/>
      <c r="H6" s="55"/>
      <c r="I6" s="55"/>
      <c r="J6" s="55"/>
      <c r="K6" s="55"/>
      <c r="O6" s="58" t="s">
        <v>599</v>
      </c>
      <c r="P6" s="58" t="s">
        <v>363</v>
      </c>
    </row>
    <row r="7" spans="1:16">
      <c r="B7" s="55"/>
      <c r="C7" s="55"/>
      <c r="D7" s="55"/>
      <c r="E7" s="55"/>
      <c r="F7" s="55"/>
      <c r="G7" s="55"/>
      <c r="H7" s="55"/>
      <c r="I7" s="55"/>
      <c r="J7" s="55"/>
      <c r="K7" s="55"/>
    </row>
    <row r="8" spans="1:16">
      <c r="B8" s="55"/>
      <c r="C8" s="55"/>
      <c r="D8" s="55"/>
      <c r="E8" s="55"/>
      <c r="F8" s="55"/>
      <c r="G8" s="55"/>
      <c r="H8" s="55"/>
      <c r="I8" s="55"/>
      <c r="J8" s="55"/>
      <c r="K8" s="55"/>
    </row>
    <row r="9" spans="1:16">
      <c r="B9" s="55"/>
      <c r="C9" s="55"/>
      <c r="D9" s="55"/>
      <c r="E9" s="55"/>
      <c r="F9" s="55"/>
      <c r="G9" s="55"/>
      <c r="H9" s="55"/>
      <c r="I9" s="55"/>
      <c r="J9" s="55"/>
      <c r="K9" s="55"/>
    </row>
    <row r="10" spans="1:16">
      <c r="B10" s="55"/>
      <c r="C10" s="55"/>
      <c r="D10" s="55"/>
      <c r="E10" s="55"/>
      <c r="F10" s="55"/>
      <c r="G10" s="55"/>
      <c r="H10" s="55"/>
      <c r="I10" s="55"/>
      <c r="J10" s="55"/>
      <c r="K10" s="55"/>
    </row>
    <row r="11" spans="1:16">
      <c r="B11" s="55"/>
      <c r="C11" s="55"/>
      <c r="D11" s="55"/>
      <c r="E11" s="55"/>
      <c r="F11" s="55"/>
      <c r="G11" s="55"/>
      <c r="H11" s="55"/>
      <c r="I11" s="55"/>
      <c r="J11" s="55"/>
      <c r="K11" s="55"/>
    </row>
    <row r="12" spans="1:16">
      <c r="B12" s="55"/>
      <c r="C12" s="55"/>
      <c r="D12" s="55"/>
      <c r="E12" s="55"/>
      <c r="F12" s="55"/>
      <c r="G12" s="55"/>
      <c r="H12" s="55"/>
      <c r="I12" s="55"/>
      <c r="J12" s="55"/>
      <c r="K12" s="55"/>
    </row>
    <row r="13" spans="1:16" hidden="1">
      <c r="B13" s="55"/>
      <c r="C13" s="55"/>
      <c r="D13" s="55"/>
      <c r="E13" s="55"/>
      <c r="F13" s="55"/>
      <c r="G13" s="55"/>
      <c r="H13" s="55"/>
      <c r="I13" s="55"/>
      <c r="J13" s="55"/>
      <c r="K13" s="55"/>
    </row>
    <row r="14" spans="1:16">
      <c r="B14" s="70" t="s">
        <v>344</v>
      </c>
      <c r="C14" s="55"/>
      <c r="D14" s="55"/>
      <c r="E14" s="55"/>
      <c r="F14" s="55"/>
      <c r="G14" s="55"/>
      <c r="H14" s="55"/>
      <c r="I14" s="55"/>
      <c r="J14" s="55"/>
      <c r="K14" s="55"/>
    </row>
    <row r="15" spans="1:16">
      <c r="B15" s="70" t="s">
        <v>345</v>
      </c>
      <c r="C15" s="55"/>
      <c r="D15" s="55"/>
      <c r="E15" s="55"/>
      <c r="F15" s="55"/>
      <c r="G15" s="55"/>
      <c r="H15" s="55"/>
      <c r="I15" s="55"/>
      <c r="J15" s="55"/>
      <c r="K15" s="55"/>
    </row>
    <row r="16" spans="1:16">
      <c r="B16" s="70" t="s">
        <v>346</v>
      </c>
      <c r="C16" s="55"/>
      <c r="D16" s="55"/>
      <c r="E16" s="55"/>
      <c r="F16" s="55"/>
      <c r="G16" s="55"/>
      <c r="H16" s="55"/>
      <c r="I16" s="55"/>
      <c r="J16" s="55"/>
      <c r="K16" s="55"/>
    </row>
    <row r="17" spans="1:11">
      <c r="B17" s="70" t="s">
        <v>347</v>
      </c>
      <c r="C17" s="55"/>
      <c r="D17" s="55"/>
      <c r="E17" s="55"/>
      <c r="F17" s="55"/>
      <c r="G17" s="55"/>
      <c r="H17" s="55"/>
      <c r="I17" s="55"/>
      <c r="J17" s="55"/>
      <c r="K17" s="55"/>
    </row>
    <row r="18" spans="1:11" ht="8.25" customHeight="1">
      <c r="B18" s="55"/>
      <c r="C18" s="55"/>
      <c r="D18" s="55"/>
      <c r="E18" s="55"/>
      <c r="F18" s="55"/>
      <c r="G18" s="55"/>
      <c r="H18" s="55"/>
      <c r="I18" s="55"/>
      <c r="J18" s="55"/>
      <c r="K18" s="55"/>
    </row>
    <row r="19" spans="1:11">
      <c r="B19" s="134" t="s">
        <v>348</v>
      </c>
      <c r="C19" s="70" t="str">
        <f>IF('Datos del Sujeto'!D10="","[Sin datos]",  'Datos del Sujeto'!D10)</f>
        <v>Asteria Asunta Catari Ledezma</v>
      </c>
      <c r="D19" s="55"/>
    </row>
    <row r="20" spans="1:11">
      <c r="B20" s="134" t="s">
        <v>355</v>
      </c>
      <c r="C20" s="70" t="str">
        <f>IF('Datos del Sujeto'!P10="","[Sin datos]",  'Datos del Sujeto'!P10)</f>
        <v>[Sin datos]</v>
      </c>
      <c r="D20" s="55"/>
    </row>
    <row r="21" spans="1:11">
      <c r="B21" s="134" t="s">
        <v>349</v>
      </c>
      <c r="C21" s="152">
        <f>IF('Datos del Sujeto'!N12="","[Sin datos]",  'Datos del Sujeto'!N12)</f>
        <v>32</v>
      </c>
      <c r="D21" s="55"/>
    </row>
    <row r="22" spans="1:11">
      <c r="B22" s="134" t="s">
        <v>350</v>
      </c>
      <c r="C22" s="70" t="str">
        <f>+'Datos del Sujeto'!U12</f>
        <v>Mujer</v>
      </c>
      <c r="D22" s="55"/>
    </row>
    <row r="23" spans="1:11">
      <c r="B23" s="134" t="s">
        <v>824</v>
      </c>
      <c r="C23" s="70" t="str">
        <f>IF('Datos del Sujeto'!AA8="","[Sin datos]",  'Datos del Sujeto'!AA8)</f>
        <v>Proceso Penal</v>
      </c>
      <c r="D23" s="55"/>
    </row>
    <row r="24" spans="1:11">
      <c r="B24" s="134" t="s">
        <v>351</v>
      </c>
      <c r="C24" s="153" t="str">
        <f>IF('Datos del Sujeto'!U6="","[Sin datos]",  'Datos del Sujeto'!U6)</f>
        <v>bachillerato superior o formación profesional</v>
      </c>
      <c r="D24" s="55"/>
    </row>
    <row r="25" spans="1:11">
      <c r="B25" s="134" t="s">
        <v>352</v>
      </c>
      <c r="C25" s="70" t="str">
        <f>IF('Datos del Sujeto'!L12="","[Sin datos]",  'Datos del Sujeto'!L12)</f>
        <v>Urbano</v>
      </c>
      <c r="D25" s="55"/>
    </row>
    <row r="26" spans="1:11">
      <c r="B26" s="134" t="s">
        <v>353</v>
      </c>
      <c r="C26" s="70" t="str">
        <f>IF('Datos del Sujeto'!W9="","[Sin datos]",  'Datos del Sujeto'!W9)</f>
        <v>Soltero</v>
      </c>
      <c r="D26" s="55"/>
    </row>
    <row r="27" spans="1:11">
      <c r="B27" s="134" t="s">
        <v>354</v>
      </c>
      <c r="C27" s="70" t="str">
        <f>IF('Datos del Sujeto'!U16="","[Sin datos]",  'Datos del Sujeto'!U16)</f>
        <v>15/8/93</v>
      </c>
      <c r="D27" s="55"/>
    </row>
    <row r="28" spans="1:11">
      <c r="B28" s="134" t="s">
        <v>356</v>
      </c>
      <c r="C28" s="280" t="str" cm="1">
        <f t="array" aca="1" ref="C28" ca="1">INDIRECT(ADDRESS(A2+4,15))</f>
        <v>Población Española</v>
      </c>
      <c r="D28" s="280"/>
      <c r="E28" s="96"/>
      <c r="F28" s="96"/>
    </row>
    <row r="29" spans="1:11">
      <c r="B29" s="55"/>
      <c r="C29" s="55"/>
      <c r="D29" s="55"/>
      <c r="E29" s="55"/>
      <c r="F29" s="55"/>
      <c r="G29" s="55"/>
      <c r="H29" s="55"/>
      <c r="I29" s="55"/>
      <c r="J29" s="55"/>
      <c r="K29" s="55"/>
    </row>
    <row r="30" spans="1:11">
      <c r="B30" s="55"/>
      <c r="C30" s="55"/>
      <c r="D30" s="55"/>
      <c r="E30" s="55"/>
      <c r="F30" s="55"/>
      <c r="G30" s="55"/>
      <c r="H30" s="55"/>
      <c r="I30" s="55"/>
      <c r="J30" s="55"/>
      <c r="K30" s="55"/>
    </row>
    <row r="31" spans="1:11">
      <c r="A31" s="55"/>
      <c r="B31" s="55"/>
      <c r="C31" s="55"/>
      <c r="D31" s="55"/>
      <c r="E31" s="55"/>
      <c r="F31" s="55"/>
      <c r="G31" s="55"/>
      <c r="H31" s="55"/>
      <c r="I31" s="55"/>
      <c r="J31" s="55"/>
      <c r="K31" s="55"/>
    </row>
    <row r="32" spans="1:11">
      <c r="A32" s="55"/>
      <c r="B32" s="55"/>
      <c r="C32" s="55"/>
      <c r="D32" s="55"/>
      <c r="E32" s="55"/>
      <c r="F32" s="55"/>
      <c r="G32" s="55"/>
      <c r="H32" s="55"/>
      <c r="I32" s="55"/>
      <c r="J32" s="55"/>
      <c r="K32" s="55"/>
    </row>
    <row r="33" spans="1:11">
      <c r="A33" s="55"/>
      <c r="B33" s="154" t="s">
        <v>357</v>
      </c>
      <c r="C33" s="55"/>
      <c r="D33" s="55"/>
      <c r="E33" s="55"/>
      <c r="F33" s="55"/>
      <c r="G33" s="55"/>
      <c r="H33" s="55"/>
      <c r="I33" s="55"/>
      <c r="J33" s="55"/>
      <c r="K33" s="55"/>
    </row>
    <row r="34" spans="1:11" s="156" customFormat="1" ht="16.5" customHeight="1">
      <c r="A34" s="146"/>
      <c r="B34" s="281" t="s">
        <v>699</v>
      </c>
      <c r="C34" s="281"/>
      <c r="D34" s="281"/>
      <c r="E34" s="281"/>
      <c r="F34" s="281"/>
      <c r="G34" s="281"/>
      <c r="H34" s="281"/>
      <c r="I34" s="281"/>
      <c r="J34" s="281"/>
      <c r="K34" s="281"/>
    </row>
    <row r="35" spans="1:11">
      <c r="A35" s="55"/>
      <c r="B35" s="154" t="s">
        <v>700</v>
      </c>
      <c r="C35" s="55"/>
      <c r="D35" s="55"/>
      <c r="E35" s="55"/>
      <c r="F35" s="55"/>
      <c r="G35" s="55"/>
      <c r="H35" s="55"/>
      <c r="I35" s="55"/>
      <c r="J35" s="55"/>
      <c r="K35" s="55"/>
    </row>
    <row r="36" spans="1:11">
      <c r="A36" s="55"/>
      <c r="B36" s="155" t="s">
        <v>358</v>
      </c>
      <c r="C36" s="55"/>
      <c r="D36" s="55"/>
      <c r="E36" s="55"/>
      <c r="F36" s="55"/>
      <c r="G36" s="55"/>
      <c r="H36" s="55"/>
      <c r="I36" s="55"/>
      <c r="J36" s="55"/>
      <c r="K36" s="55"/>
    </row>
    <row r="37" spans="1:11">
      <c r="A37" s="55"/>
      <c r="B37" s="154" t="s">
        <v>359</v>
      </c>
      <c r="C37" s="55"/>
      <c r="D37" s="55"/>
      <c r="E37" s="55"/>
      <c r="F37" s="55"/>
      <c r="G37" s="55"/>
      <c r="H37" s="55"/>
      <c r="I37" s="55"/>
      <c r="J37" s="55"/>
      <c r="K37" s="55"/>
    </row>
    <row r="38" spans="1:11">
      <c r="A38" s="55"/>
      <c r="B38" s="154" t="s">
        <v>360</v>
      </c>
      <c r="C38" s="55"/>
      <c r="D38" s="55"/>
      <c r="E38" s="55"/>
      <c r="F38" s="55"/>
      <c r="G38" s="55"/>
      <c r="H38" s="55"/>
      <c r="I38" s="55"/>
      <c r="J38" s="55"/>
      <c r="K38" s="55"/>
    </row>
    <row r="39" spans="1:11" ht="10.5" customHeight="1">
      <c r="A39" s="55"/>
      <c r="B39" s="55"/>
      <c r="C39" s="55"/>
      <c r="D39" s="55"/>
      <c r="E39" s="55"/>
      <c r="F39" s="55"/>
      <c r="G39" s="55"/>
      <c r="H39" s="55"/>
      <c r="I39" s="55"/>
      <c r="J39" s="55"/>
      <c r="K39" s="55"/>
    </row>
    <row r="40" spans="1:11">
      <c r="A40" s="55"/>
      <c r="B40" s="55"/>
      <c r="C40" s="55"/>
      <c r="D40" s="55"/>
      <c r="E40" s="55"/>
      <c r="F40" s="55"/>
      <c r="G40" s="55"/>
      <c r="H40" s="55"/>
      <c r="I40" s="55"/>
      <c r="J40" s="55"/>
      <c r="K40" s="55"/>
    </row>
    <row r="41" spans="1:11">
      <c r="A41" s="55"/>
      <c r="B41" s="55"/>
      <c r="C41" s="55"/>
      <c r="D41" s="55"/>
      <c r="E41" s="55"/>
      <c r="F41" s="55"/>
      <c r="G41" s="55"/>
      <c r="H41" s="55"/>
      <c r="I41" s="55"/>
      <c r="J41" s="55"/>
      <c r="K41" s="55"/>
    </row>
    <row r="42" spans="1:11">
      <c r="A42" s="55"/>
      <c r="B42" s="55"/>
      <c r="C42" s="55"/>
      <c r="D42" s="55"/>
      <c r="E42" s="55"/>
      <c r="F42" s="55"/>
      <c r="G42" s="55"/>
      <c r="H42" s="55"/>
      <c r="I42" s="55"/>
      <c r="J42" s="55"/>
      <c r="K42" s="55"/>
    </row>
    <row r="43" spans="1:11"/>
  </sheetData>
  <sheetProtection algorithmName="SHA-512" hashValue="8QEIkCiKF3eNYlYKrbV/I3vcOc1FcLZ0J57RDr1Q7Rf3wMrwSV36XW8ENKr1zMypHrCxyQKqgcufpDLkLsdnHw==" saltValue="7n7coqhAmxqc8dtozsKMbw==" spinCount="100000" sheet="1" objects="1" scenarios="1"/>
  <mergeCells count="2">
    <mergeCell ref="C28:D28"/>
    <mergeCell ref="B34:K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3" r:id="rId3" name="Drop Down 3">
              <controlPr defaultSize="0" print="0" autoLine="0" autoPict="0">
                <anchor>
                  <from>
                    <xdr:col>2</xdr:col>
                    <xdr:colOff>28575</xdr:colOff>
                    <xdr:row>26</xdr:row>
                    <xdr:rowOff>200025</xdr:rowOff>
                  </from>
                  <to>
                    <xdr:col>4</xdr:col>
                    <xdr:colOff>552450</xdr:colOff>
                    <xdr:row>27</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2573B-49DD-4C25-84CC-E522AF171E1D}">
  <sheetPr codeName="Hoja2"/>
  <dimension ref="B1:FV225"/>
  <sheetViews>
    <sheetView showGridLines="0" topLeftCell="C192" zoomScale="115" zoomScaleNormal="115" workbookViewId="0">
      <selection activeCell="D214" sqref="D214"/>
    </sheetView>
  </sheetViews>
  <sheetFormatPr baseColWidth="10" defaultColWidth="11.42578125" defaultRowHeight="14.25" zeroHeight="1"/>
  <cols>
    <col min="1" max="1" width="3.5703125" style="30" customWidth="1"/>
    <col min="2" max="2" width="5.5703125" style="30" bestFit="1" customWidth="1"/>
    <col min="3" max="3" width="123" style="41" customWidth="1"/>
    <col min="4" max="5" width="4.85546875" style="27" customWidth="1"/>
    <col min="6" max="6" width="5" style="30" customWidth="1"/>
    <col min="7" max="7" width="11.42578125" style="30" customWidth="1"/>
    <col min="8" max="8" width="6.85546875" style="27" hidden="1" customWidth="1"/>
    <col min="9" max="9" width="12.42578125" style="27" hidden="1" customWidth="1"/>
    <col min="10" max="10" width="6.85546875" style="30" hidden="1" customWidth="1"/>
    <col min="11" max="11" width="9.85546875" style="30" hidden="1" customWidth="1"/>
    <col min="12" max="12" width="6.85546875" style="30" hidden="1" customWidth="1"/>
    <col min="13" max="13" width="13.42578125" style="27" hidden="1" customWidth="1"/>
    <col min="14" max="14" width="6.85546875" style="30" hidden="1" customWidth="1"/>
    <col min="15" max="15" width="14.42578125" style="27" hidden="1" customWidth="1"/>
    <col min="16" max="16" width="6.85546875" style="30" hidden="1" customWidth="1"/>
    <col min="17" max="17" width="12.28515625" style="27" hidden="1" customWidth="1"/>
    <col min="18" max="18" width="6.85546875" style="30" hidden="1" customWidth="1"/>
    <col min="19" max="19" width="15.140625" style="27" hidden="1" customWidth="1"/>
    <col min="20" max="20" width="6.85546875" style="30" hidden="1" customWidth="1"/>
    <col min="21" max="21" width="11.28515625" style="27" hidden="1" customWidth="1"/>
    <col min="22" max="22" width="6.85546875" style="30" hidden="1" customWidth="1"/>
    <col min="23" max="23" width="11.28515625" style="27" hidden="1" customWidth="1"/>
    <col min="24" max="24" width="6.85546875" style="30" hidden="1" customWidth="1"/>
    <col min="25" max="25" width="8.140625" style="27" hidden="1" customWidth="1"/>
    <col min="26" max="26" width="6.85546875" style="30" hidden="1" customWidth="1"/>
    <col min="27" max="27" width="13.28515625" style="27" hidden="1" customWidth="1"/>
    <col min="28" max="28" width="6.85546875" style="30" hidden="1" customWidth="1"/>
    <col min="29" max="29" width="12.5703125" style="27" hidden="1" customWidth="1"/>
    <col min="30" max="30" width="6.85546875" style="30" hidden="1" customWidth="1"/>
    <col min="31" max="31" width="12.85546875" style="27" hidden="1" customWidth="1"/>
    <col min="32" max="32" width="11.42578125" style="30" hidden="1" customWidth="1"/>
    <col min="33" max="33" width="6.42578125" style="30" hidden="1" customWidth="1"/>
    <col min="34" max="34" width="14.7109375" style="30" hidden="1" customWidth="1"/>
    <col min="35" max="35" width="6.42578125" style="30" hidden="1" customWidth="1"/>
    <col min="36" max="36" width="7.140625" style="30" hidden="1" customWidth="1"/>
    <col min="37" max="37" width="6.42578125" style="30" hidden="1" customWidth="1"/>
    <col min="38" max="38" width="11.28515625" style="27" hidden="1" customWidth="1"/>
    <col min="39" max="39" width="11.42578125" style="27" hidden="1" customWidth="1"/>
    <col min="40" max="40" width="6.42578125" style="27" hidden="1" customWidth="1"/>
    <col min="41" max="41" width="24.140625" style="27" hidden="1" customWidth="1"/>
    <col min="42" max="42" width="6.42578125" style="27" hidden="1" customWidth="1"/>
    <col min="43" max="43" width="21.28515625" style="27" hidden="1" customWidth="1"/>
    <col min="44" max="44" width="6.42578125" style="27" hidden="1" customWidth="1"/>
    <col min="45" max="45" width="17.85546875" style="27" hidden="1" customWidth="1"/>
    <col min="46" max="46" width="6.42578125" style="27" hidden="1" customWidth="1"/>
    <col min="47" max="47" width="24" style="27" hidden="1" customWidth="1"/>
    <col min="48" max="48" width="6.42578125" style="27" hidden="1" customWidth="1"/>
    <col min="49" max="49" width="21.85546875" style="27" hidden="1" customWidth="1"/>
    <col min="50" max="50" width="6.42578125" style="27" hidden="1" customWidth="1"/>
    <col min="51" max="51" width="21.5703125" style="27" hidden="1" customWidth="1"/>
    <col min="52" max="52" width="6.42578125" style="27" hidden="1" customWidth="1"/>
    <col min="53" max="53" width="22.7109375" style="27" hidden="1" customWidth="1"/>
    <col min="54" max="54" width="11.42578125" style="27" hidden="1" customWidth="1"/>
    <col min="55" max="55" width="6.5703125" style="27" hidden="1" customWidth="1"/>
    <col min="56" max="56" width="26.140625" style="27" hidden="1" customWidth="1"/>
    <col min="57" max="57" width="6.5703125" style="27" hidden="1" customWidth="1"/>
    <col min="58" max="58" width="18.28515625" style="27" hidden="1" customWidth="1"/>
    <col min="59" max="59" width="6.5703125" style="27" hidden="1" customWidth="1"/>
    <col min="60" max="60" width="10.28515625" style="27" hidden="1" customWidth="1"/>
    <col min="61" max="62" width="11.42578125" style="30" hidden="1" customWidth="1"/>
    <col min="63" max="63" width="11.42578125" style="27" hidden="1" customWidth="1"/>
    <col min="64" max="64" width="16.5703125" style="27" hidden="1" customWidth="1"/>
    <col min="65" max="65" width="11.42578125" style="27" hidden="1" customWidth="1"/>
    <col min="66" max="66" width="20.7109375" style="27" hidden="1" customWidth="1"/>
    <col min="67" max="67" width="6.5703125" style="27" hidden="1" customWidth="1"/>
    <col min="68" max="68" width="13.5703125" style="27" hidden="1" customWidth="1"/>
    <col min="69" max="69" width="11.42578125" style="30" hidden="1" customWidth="1"/>
    <col min="70" max="70" width="6.5703125" style="30" hidden="1" customWidth="1"/>
    <col min="71" max="71" width="11.7109375" style="27" hidden="1" customWidth="1"/>
    <col min="72" max="72" width="10.7109375" style="27" hidden="1" customWidth="1"/>
    <col min="73" max="73" width="18.85546875" style="27" hidden="1" customWidth="1"/>
    <col min="74" max="74" width="11.42578125" style="30" customWidth="1"/>
    <col min="75" max="75" width="6.42578125" style="30" customWidth="1"/>
    <col min="76" max="76" width="4" style="30" customWidth="1"/>
    <col min="77" max="77" width="6.42578125" style="30" customWidth="1"/>
    <col min="78" max="78" width="4" style="30" customWidth="1"/>
    <col min="79" max="79" width="6.42578125" style="30" customWidth="1"/>
    <col min="80" max="80" width="4" style="30" customWidth="1"/>
    <col min="81" max="81" width="1.7109375" style="42" customWidth="1"/>
    <col min="82" max="82" width="6.42578125" style="30" customWidth="1"/>
    <col min="83" max="83" width="5.42578125" style="30" customWidth="1"/>
    <col min="84" max="84" width="6.42578125" style="30" customWidth="1"/>
    <col min="85" max="85" width="5.42578125" style="30" customWidth="1"/>
    <col min="86" max="86" width="6.42578125" style="30" customWidth="1"/>
    <col min="87" max="87" width="5.42578125" style="30" customWidth="1"/>
    <col min="88" max="88" width="1.7109375" style="42" customWidth="1"/>
    <col min="89" max="94" width="6.28515625" style="30" customWidth="1"/>
    <col min="95" max="95" width="1.7109375" style="30" customWidth="1"/>
    <col min="96" max="96" width="6.42578125" style="31" customWidth="1"/>
    <col min="97" max="97" width="5.42578125" style="31" customWidth="1"/>
    <col min="98" max="98" width="6.42578125" style="31" customWidth="1"/>
    <col min="99" max="99" width="5.42578125" style="31" customWidth="1"/>
    <col min="100" max="100" width="6.42578125" style="31" customWidth="1"/>
    <col min="101" max="101" width="5.42578125" style="31" customWidth="1"/>
    <col min="102" max="102" width="1.7109375" style="31" customWidth="1"/>
    <col min="103" max="103" width="6.42578125" style="31" customWidth="1"/>
    <col min="104" max="104" width="5.42578125" style="31" customWidth="1"/>
    <col min="105" max="105" width="6.42578125" style="31" customWidth="1"/>
    <col min="106" max="106" width="5.42578125" style="31" customWidth="1"/>
    <col min="107" max="107" width="6.42578125" style="31" customWidth="1"/>
    <col min="108" max="108" width="5.42578125" style="31" customWidth="1"/>
    <col min="109" max="109" width="1.7109375" style="31" customWidth="1"/>
    <col min="110" max="110" width="6.42578125" style="31" customWidth="1"/>
    <col min="111" max="111" width="5.42578125" style="31" customWidth="1"/>
    <col min="112" max="112" width="6.42578125" style="31" customWidth="1"/>
    <col min="113" max="113" width="5.42578125" style="31" customWidth="1"/>
    <col min="114" max="114" width="6.42578125" style="31" customWidth="1"/>
    <col min="115" max="115" width="5.42578125" style="31" customWidth="1"/>
    <col min="116" max="116" width="1.7109375" style="31" customWidth="1"/>
    <col min="117" max="117" width="6.42578125" style="31" customWidth="1"/>
    <col min="118" max="118" width="5.42578125" style="31" customWidth="1"/>
    <col min="119" max="119" width="6.42578125" style="31" customWidth="1"/>
    <col min="120" max="120" width="5.42578125" style="31" customWidth="1"/>
    <col min="121" max="121" width="6.42578125" style="31" customWidth="1"/>
    <col min="122" max="122" width="5.42578125" style="31" customWidth="1"/>
    <col min="123" max="123" width="1.7109375" style="31" customWidth="1"/>
    <col min="124" max="124" width="6.42578125" style="31" customWidth="1"/>
    <col min="125" max="125" width="5.42578125" style="31" customWidth="1"/>
    <col min="126" max="126" width="6.42578125" style="31" customWidth="1"/>
    <col min="127" max="127" width="5.42578125" style="31" customWidth="1"/>
    <col min="128" max="128" width="6.42578125" style="31" customWidth="1"/>
    <col min="129" max="129" width="5.42578125" style="31" customWidth="1"/>
    <col min="130" max="130" width="1.7109375" style="31" customWidth="1"/>
    <col min="131" max="131" width="6.42578125" style="31" customWidth="1"/>
    <col min="132" max="132" width="5.42578125" style="31" customWidth="1"/>
    <col min="133" max="133" width="6.42578125" style="31" customWidth="1"/>
    <col min="134" max="134" width="5.42578125" style="31" customWidth="1"/>
    <col min="135" max="135" width="6.42578125" style="31" customWidth="1"/>
    <col min="136" max="136" width="5.42578125" style="31" customWidth="1"/>
    <col min="137" max="137" width="1.7109375" style="31" customWidth="1"/>
    <col min="138" max="138" width="6.42578125" style="31" customWidth="1"/>
    <col min="139" max="139" width="5.42578125" style="31" customWidth="1"/>
    <col min="140" max="140" width="6.42578125" style="31" customWidth="1"/>
    <col min="141" max="141" width="5.42578125" style="31" customWidth="1"/>
    <col min="142" max="142" width="6.42578125" style="31" customWidth="1"/>
    <col min="143" max="143" width="5.42578125" style="31" customWidth="1"/>
    <col min="144" max="144" width="1.7109375" style="31" customWidth="1"/>
    <col min="145" max="145" width="6.42578125" style="31" customWidth="1"/>
    <col min="146" max="146" width="5.42578125" style="31" customWidth="1"/>
    <col min="147" max="147" width="6.42578125" style="31" customWidth="1"/>
    <col min="148" max="148" width="5.42578125" style="31" customWidth="1"/>
    <col min="149" max="149" width="6.42578125" style="31" customWidth="1"/>
    <col min="150" max="150" width="5.42578125" style="31" customWidth="1"/>
    <col min="151" max="151" width="1.7109375" style="31" customWidth="1"/>
    <col min="152" max="152" width="6.42578125" style="31" customWidth="1"/>
    <col min="153" max="153" width="5.42578125" style="31" customWidth="1"/>
    <col min="154" max="154" width="6.42578125" style="31" customWidth="1"/>
    <col min="155" max="155" width="5.42578125" style="31" customWidth="1"/>
    <col min="156" max="156" width="6.42578125" style="31" customWidth="1"/>
    <col min="157" max="157" width="5.42578125" style="31" customWidth="1"/>
    <col min="158" max="158" width="1.7109375" style="31" customWidth="1"/>
    <col min="159" max="159" width="6.42578125" style="31" customWidth="1"/>
    <col min="160" max="160" width="5.42578125" style="31" customWidth="1"/>
    <col min="161" max="161" width="6.42578125" style="31" customWidth="1"/>
    <col min="162" max="162" width="5.42578125" style="31" customWidth="1"/>
    <col min="163" max="163" width="6.42578125" style="31" customWidth="1"/>
    <col min="164" max="164" width="5.42578125" style="31" customWidth="1"/>
    <col min="165" max="165" width="1.7109375" style="31" customWidth="1"/>
    <col min="166" max="166" width="6.42578125" style="31" customWidth="1"/>
    <col min="167" max="167" width="4.28515625" style="31" customWidth="1"/>
    <col min="168" max="168" width="6.42578125" style="31" customWidth="1"/>
    <col min="169" max="169" width="4.28515625" style="31" customWidth="1"/>
    <col min="170" max="170" width="6.42578125" style="31" customWidth="1"/>
    <col min="171" max="171" width="4.28515625" style="31" customWidth="1"/>
    <col min="172" max="172" width="1.7109375" style="31" customWidth="1"/>
    <col min="173" max="173" width="6.42578125" style="31" customWidth="1"/>
    <col min="174" max="174" width="4.42578125" style="31" customWidth="1"/>
    <col min="175" max="175" width="6.42578125" style="31" customWidth="1"/>
    <col min="176" max="176" width="4.42578125" style="31" customWidth="1"/>
    <col min="177" max="177" width="6.42578125" style="31" customWidth="1"/>
    <col min="178" max="178" width="4.42578125" style="31" customWidth="1"/>
    <col min="179" max="16384" width="11.42578125" style="30"/>
  </cols>
  <sheetData>
    <row r="1" spans="2:6">
      <c r="B1" s="36"/>
      <c r="C1" s="44"/>
      <c r="D1" s="7"/>
      <c r="E1" s="7"/>
      <c r="F1" s="36"/>
    </row>
    <row r="2" spans="2:6">
      <c r="B2" s="36"/>
      <c r="C2" s="44"/>
      <c r="D2" s="7"/>
      <c r="E2" s="7"/>
      <c r="F2" s="36"/>
    </row>
    <row r="3" spans="2:6" ht="15">
      <c r="B3" s="36"/>
      <c r="C3" s="149"/>
      <c r="D3" s="7"/>
      <c r="E3" s="7"/>
      <c r="F3" s="36"/>
    </row>
    <row r="4" spans="2:6">
      <c r="B4" s="36"/>
      <c r="C4" s="44"/>
      <c r="D4" s="7"/>
      <c r="E4" s="7"/>
      <c r="F4" s="36"/>
    </row>
    <row r="5" spans="2:6">
      <c r="B5" s="36"/>
      <c r="C5" s="44"/>
      <c r="D5" s="7"/>
      <c r="E5" s="7"/>
      <c r="F5" s="36"/>
    </row>
    <row r="6" spans="2:6">
      <c r="B6" s="36"/>
      <c r="C6" s="44"/>
      <c r="D6" s="7"/>
      <c r="E6" s="7"/>
      <c r="F6" s="36"/>
    </row>
    <row r="7" spans="2:6">
      <c r="B7" s="36"/>
      <c r="C7" s="44"/>
      <c r="D7" s="7"/>
      <c r="E7" s="7"/>
      <c r="F7" s="36"/>
    </row>
    <row r="8" spans="2:6" ht="23.25">
      <c r="B8" s="36"/>
      <c r="C8" s="282" t="s">
        <v>548</v>
      </c>
      <c r="D8" s="282"/>
      <c r="E8" s="282"/>
      <c r="F8" s="282"/>
    </row>
    <row r="9" spans="2:6" ht="6.75" customHeight="1">
      <c r="B9" s="36"/>
      <c r="C9" s="61"/>
      <c r="D9" s="56"/>
      <c r="E9" s="56"/>
      <c r="F9" s="55"/>
    </row>
    <row r="10" spans="2:6" ht="17.25" customHeight="1">
      <c r="B10" s="36"/>
      <c r="C10" s="283" t="s">
        <v>549</v>
      </c>
      <c r="D10" s="283"/>
      <c r="E10" s="283"/>
      <c r="F10" s="283"/>
    </row>
    <row r="11" spans="2:6" ht="17.25" customHeight="1">
      <c r="B11" s="36"/>
      <c r="C11" s="283"/>
      <c r="D11" s="283"/>
      <c r="E11" s="283"/>
      <c r="F11" s="283"/>
    </row>
    <row r="12" spans="2:6" ht="21.75" customHeight="1">
      <c r="B12" s="36"/>
      <c r="C12" s="283"/>
      <c r="D12" s="283"/>
      <c r="E12" s="283"/>
      <c r="F12" s="283"/>
    </row>
    <row r="13" spans="2:6" ht="16.5" customHeight="1">
      <c r="B13" s="36"/>
      <c r="C13" s="283" t="s">
        <v>807</v>
      </c>
      <c r="D13" s="283"/>
      <c r="E13" s="283"/>
      <c r="F13" s="283"/>
    </row>
    <row r="14" spans="2:6" ht="16.5" customHeight="1">
      <c r="B14" s="36"/>
      <c r="C14" s="283"/>
      <c r="D14" s="283"/>
      <c r="E14" s="283"/>
      <c r="F14" s="283"/>
    </row>
    <row r="15" spans="2:6" ht="16.5" customHeight="1">
      <c r="B15" s="36"/>
      <c r="C15" s="283"/>
      <c r="D15" s="283"/>
      <c r="E15" s="283"/>
      <c r="F15" s="283"/>
    </row>
    <row r="16" spans="2:6" ht="21" customHeight="1">
      <c r="B16" s="36"/>
      <c r="C16" s="283"/>
      <c r="D16" s="283"/>
      <c r="E16" s="283"/>
      <c r="F16" s="283"/>
    </row>
    <row r="17" spans="2:178" ht="17.25">
      <c r="B17" s="36"/>
      <c r="C17" s="150" t="s">
        <v>550</v>
      </c>
      <c r="D17" s="56"/>
      <c r="E17" s="56"/>
      <c r="F17" s="55"/>
    </row>
    <row r="18" spans="2:178" s="32" customFormat="1" ht="9.75" customHeight="1">
      <c r="C18" s="151"/>
      <c r="D18" s="29"/>
      <c r="E18" s="29"/>
      <c r="H18" s="284">
        <v>1</v>
      </c>
      <c r="I18" s="284"/>
      <c r="J18" s="284" t="s">
        <v>199</v>
      </c>
      <c r="K18" s="284"/>
      <c r="L18" s="284" t="s">
        <v>200</v>
      </c>
      <c r="M18" s="284"/>
      <c r="N18" s="284">
        <v>3</v>
      </c>
      <c r="O18" s="284"/>
      <c r="P18" s="284" t="s">
        <v>201</v>
      </c>
      <c r="Q18" s="284"/>
      <c r="R18" s="284" t="s">
        <v>202</v>
      </c>
      <c r="S18" s="284"/>
      <c r="T18" s="284">
        <v>5</v>
      </c>
      <c r="U18" s="284"/>
      <c r="V18" s="284" t="s">
        <v>203</v>
      </c>
      <c r="W18" s="284"/>
      <c r="X18" s="284" t="s">
        <v>204</v>
      </c>
      <c r="Y18" s="284"/>
      <c r="Z18" s="284">
        <v>7</v>
      </c>
      <c r="AA18" s="284"/>
      <c r="AB18" s="284" t="s">
        <v>205</v>
      </c>
      <c r="AC18" s="284"/>
      <c r="AD18" s="284" t="s">
        <v>206</v>
      </c>
      <c r="AE18" s="284"/>
      <c r="AG18" s="285" t="s">
        <v>234</v>
      </c>
      <c r="AH18" s="285"/>
      <c r="AI18" s="285" t="s">
        <v>235</v>
      </c>
      <c r="AJ18" s="285"/>
      <c r="AK18" s="285" t="s">
        <v>236</v>
      </c>
      <c r="AL18" s="285"/>
      <c r="AM18" s="29"/>
      <c r="AN18" s="286" t="s">
        <v>248</v>
      </c>
      <c r="AO18" s="286"/>
      <c r="AP18" s="286" t="s">
        <v>249</v>
      </c>
      <c r="AQ18" s="286"/>
      <c r="AR18" s="286" t="s">
        <v>250</v>
      </c>
      <c r="AS18" s="286"/>
      <c r="AT18" s="286" t="s">
        <v>251</v>
      </c>
      <c r="AU18" s="286"/>
      <c r="AV18" s="286" t="s">
        <v>252</v>
      </c>
      <c r="AW18" s="286"/>
      <c r="AX18" s="286" t="s">
        <v>253</v>
      </c>
      <c r="AY18" s="286"/>
      <c r="AZ18" s="286" t="s">
        <v>254</v>
      </c>
      <c r="BA18" s="286"/>
      <c r="BB18" s="29"/>
      <c r="BC18" s="286" t="s">
        <v>255</v>
      </c>
      <c r="BD18" s="286"/>
      <c r="BE18" s="286" t="s">
        <v>256</v>
      </c>
      <c r="BF18" s="286"/>
      <c r="BG18" s="286" t="s">
        <v>257</v>
      </c>
      <c r="BH18" s="286"/>
      <c r="BK18" s="286" t="s">
        <v>222</v>
      </c>
      <c r="BL18" s="286"/>
      <c r="BM18" s="286" t="s">
        <v>223</v>
      </c>
      <c r="BN18" s="286"/>
      <c r="BO18" s="286" t="s">
        <v>224</v>
      </c>
      <c r="BP18" s="286"/>
      <c r="BR18" s="286" t="s">
        <v>184</v>
      </c>
      <c r="BS18" s="286"/>
      <c r="BT18" s="286" t="s">
        <v>266</v>
      </c>
      <c r="BU18" s="286"/>
      <c r="BW18" s="286" t="s">
        <v>186</v>
      </c>
      <c r="BX18" s="286"/>
      <c r="BY18" s="286"/>
      <c r="BZ18" s="286"/>
      <c r="CA18" s="286"/>
      <c r="CB18" s="286"/>
      <c r="CC18" s="45"/>
      <c r="CD18" s="286" t="s">
        <v>187</v>
      </c>
      <c r="CE18" s="286"/>
      <c r="CF18" s="286"/>
      <c r="CG18" s="286"/>
      <c r="CH18" s="286"/>
      <c r="CI18" s="286"/>
      <c r="CJ18" s="45"/>
      <c r="CK18" s="286" t="s">
        <v>188</v>
      </c>
      <c r="CL18" s="286"/>
      <c r="CM18" s="286"/>
      <c r="CN18" s="286"/>
      <c r="CO18" s="286"/>
      <c r="CP18" s="286"/>
      <c r="CR18" s="286" t="s">
        <v>189</v>
      </c>
      <c r="CS18" s="286"/>
      <c r="CT18" s="286"/>
      <c r="CU18" s="286"/>
      <c r="CV18" s="286"/>
      <c r="CW18" s="286"/>
      <c r="CX18" s="28"/>
      <c r="CY18" s="286" t="s">
        <v>374</v>
      </c>
      <c r="CZ18" s="286"/>
      <c r="DA18" s="286"/>
      <c r="DB18" s="286"/>
      <c r="DC18" s="286"/>
      <c r="DD18" s="286"/>
      <c r="DE18" s="28"/>
      <c r="DF18" s="286" t="s">
        <v>191</v>
      </c>
      <c r="DG18" s="286"/>
      <c r="DH18" s="286"/>
      <c r="DI18" s="286"/>
      <c r="DJ18" s="286"/>
      <c r="DK18" s="286"/>
      <c r="DL18" s="28"/>
      <c r="DM18" s="286" t="s">
        <v>192</v>
      </c>
      <c r="DN18" s="286"/>
      <c r="DO18" s="286"/>
      <c r="DP18" s="286"/>
      <c r="DQ18" s="286"/>
      <c r="DR18" s="286"/>
      <c r="DS18" s="28"/>
      <c r="DT18" s="286" t="s">
        <v>193</v>
      </c>
      <c r="DU18" s="286"/>
      <c r="DV18" s="286"/>
      <c r="DW18" s="286"/>
      <c r="DX18" s="286"/>
      <c r="DY18" s="286"/>
      <c r="DZ18" s="28"/>
      <c r="EA18" s="286" t="s">
        <v>194</v>
      </c>
      <c r="EB18" s="286"/>
      <c r="EC18" s="286"/>
      <c r="ED18" s="286"/>
      <c r="EE18" s="286"/>
      <c r="EF18" s="286"/>
      <c r="EG18" s="28"/>
      <c r="EH18" s="286" t="s">
        <v>195</v>
      </c>
      <c r="EI18" s="286"/>
      <c r="EJ18" s="286"/>
      <c r="EK18" s="286"/>
      <c r="EL18" s="286"/>
      <c r="EM18" s="286"/>
      <c r="EN18" s="28"/>
      <c r="EO18" s="286" t="s">
        <v>196</v>
      </c>
      <c r="EP18" s="286"/>
      <c r="EQ18" s="286"/>
      <c r="ER18" s="286"/>
      <c r="ES18" s="286"/>
      <c r="ET18" s="286"/>
      <c r="EU18" s="28"/>
      <c r="EV18" s="286" t="s">
        <v>197</v>
      </c>
      <c r="EW18" s="286"/>
      <c r="EX18" s="286"/>
      <c r="EY18" s="286"/>
      <c r="EZ18" s="286"/>
      <c r="FA18" s="286"/>
      <c r="FB18" s="28"/>
      <c r="FC18" s="286" t="s">
        <v>231</v>
      </c>
      <c r="FD18" s="286"/>
      <c r="FE18" s="286"/>
      <c r="FF18" s="286"/>
      <c r="FG18" s="286"/>
      <c r="FH18" s="286"/>
      <c r="FI18" s="28"/>
      <c r="FJ18" s="286" t="s">
        <v>232</v>
      </c>
      <c r="FK18" s="286"/>
      <c r="FL18" s="286"/>
      <c r="FM18" s="286"/>
      <c r="FN18" s="286"/>
      <c r="FO18" s="286"/>
      <c r="FP18" s="28"/>
      <c r="FQ18" s="286" t="s">
        <v>232</v>
      </c>
      <c r="FR18" s="286"/>
      <c r="FS18" s="286"/>
      <c r="FT18" s="286"/>
      <c r="FU18" s="286"/>
      <c r="FV18" s="286"/>
    </row>
    <row r="19" spans="2:178" ht="15">
      <c r="B19" s="36"/>
      <c r="C19" s="44"/>
      <c r="D19" s="35" t="s">
        <v>184</v>
      </c>
      <c r="E19" s="35" t="s">
        <v>185</v>
      </c>
      <c r="H19" s="46" t="s">
        <v>198</v>
      </c>
      <c r="I19" s="46" t="s">
        <v>186</v>
      </c>
      <c r="J19" s="46" t="s">
        <v>198</v>
      </c>
      <c r="K19" s="47" t="s">
        <v>187</v>
      </c>
      <c r="L19" s="46" t="s">
        <v>198</v>
      </c>
      <c r="M19" s="46" t="s">
        <v>188</v>
      </c>
      <c r="N19" s="46" t="s">
        <v>198</v>
      </c>
      <c r="O19" s="46" t="s">
        <v>189</v>
      </c>
      <c r="P19" s="46" t="s">
        <v>198</v>
      </c>
      <c r="Q19" s="46" t="s">
        <v>190</v>
      </c>
      <c r="R19" s="46" t="s">
        <v>198</v>
      </c>
      <c r="S19" s="46" t="s">
        <v>191</v>
      </c>
      <c r="T19" s="46" t="s">
        <v>198</v>
      </c>
      <c r="U19" s="46" t="s">
        <v>192</v>
      </c>
      <c r="V19" s="46" t="s">
        <v>198</v>
      </c>
      <c r="W19" s="46" t="s">
        <v>193</v>
      </c>
      <c r="X19" s="46" t="s">
        <v>198</v>
      </c>
      <c r="Y19" s="46" t="s">
        <v>194</v>
      </c>
      <c r="Z19" s="46" t="s">
        <v>198</v>
      </c>
      <c r="AA19" s="46" t="s">
        <v>195</v>
      </c>
      <c r="AB19" s="46" t="s">
        <v>198</v>
      </c>
      <c r="AC19" s="46" t="s">
        <v>196</v>
      </c>
      <c r="AD19" s="46" t="s">
        <v>198</v>
      </c>
      <c r="AE19" s="46" t="s">
        <v>197</v>
      </c>
      <c r="AG19" s="46" t="s">
        <v>198</v>
      </c>
      <c r="AH19" s="46" t="s">
        <v>231</v>
      </c>
      <c r="AI19" s="46" t="s">
        <v>198</v>
      </c>
      <c r="AJ19" s="46" t="s">
        <v>232</v>
      </c>
      <c r="AK19" s="46" t="s">
        <v>198</v>
      </c>
      <c r="AL19" s="46" t="s">
        <v>233</v>
      </c>
      <c r="AN19" s="46" t="s">
        <v>198</v>
      </c>
      <c r="AO19" s="46" t="s">
        <v>237</v>
      </c>
      <c r="AP19" s="46" t="s">
        <v>198</v>
      </c>
      <c r="AQ19" s="46" t="s">
        <v>238</v>
      </c>
      <c r="AR19" s="46" t="s">
        <v>198</v>
      </c>
      <c r="AS19" s="46" t="s">
        <v>239</v>
      </c>
      <c r="AT19" s="46" t="s">
        <v>198</v>
      </c>
      <c r="AU19" s="46" t="s">
        <v>240</v>
      </c>
      <c r="AV19" s="46" t="s">
        <v>198</v>
      </c>
      <c r="AW19" s="46" t="s">
        <v>241</v>
      </c>
      <c r="AX19" s="46" t="s">
        <v>198</v>
      </c>
      <c r="AY19" s="46" t="s">
        <v>242</v>
      </c>
      <c r="AZ19" s="46" t="s">
        <v>198</v>
      </c>
      <c r="BA19" s="46" t="s">
        <v>243</v>
      </c>
      <c r="BC19" s="46" t="s">
        <v>198</v>
      </c>
      <c r="BD19" s="46" t="s">
        <v>245</v>
      </c>
      <c r="BE19" s="46" t="s">
        <v>198</v>
      </c>
      <c r="BF19" s="46" t="s">
        <v>246</v>
      </c>
      <c r="BG19" s="46" t="s">
        <v>198</v>
      </c>
      <c r="BH19" s="46" t="s">
        <v>247</v>
      </c>
      <c r="BK19" s="46" t="s">
        <v>198</v>
      </c>
      <c r="BL19" s="46" t="s">
        <v>219</v>
      </c>
      <c r="BM19" s="46" t="s">
        <v>198</v>
      </c>
      <c r="BN19" s="46" t="s">
        <v>220</v>
      </c>
      <c r="BO19" s="46" t="s">
        <v>198</v>
      </c>
      <c r="BP19" s="46" t="s">
        <v>221</v>
      </c>
      <c r="BR19" s="46" t="s">
        <v>198</v>
      </c>
      <c r="BS19" s="46" t="s">
        <v>265</v>
      </c>
      <c r="BT19" s="46" t="s">
        <v>198</v>
      </c>
      <c r="BU19" s="46" t="s">
        <v>267</v>
      </c>
      <c r="BW19" s="46" t="s">
        <v>198</v>
      </c>
      <c r="BX19" s="46" t="s">
        <v>295</v>
      </c>
      <c r="BY19" s="46" t="s">
        <v>198</v>
      </c>
      <c r="BZ19" s="46" t="s">
        <v>296</v>
      </c>
      <c r="CA19" s="46" t="s">
        <v>198</v>
      </c>
      <c r="CB19" s="46" t="s">
        <v>297</v>
      </c>
      <c r="CC19" s="48"/>
      <c r="CD19" s="46" t="s">
        <v>198</v>
      </c>
      <c r="CE19" s="46" t="s">
        <v>298</v>
      </c>
      <c r="CF19" s="46" t="s">
        <v>198</v>
      </c>
      <c r="CG19" s="46" t="s">
        <v>299</v>
      </c>
      <c r="CH19" s="46" t="s">
        <v>198</v>
      </c>
      <c r="CI19" s="46" t="s">
        <v>300</v>
      </c>
      <c r="CJ19" s="48"/>
      <c r="CK19" s="46" t="s">
        <v>198</v>
      </c>
      <c r="CL19" s="46" t="s">
        <v>301</v>
      </c>
      <c r="CM19" s="46" t="s">
        <v>198</v>
      </c>
      <c r="CN19" s="46" t="s">
        <v>302</v>
      </c>
      <c r="CO19" s="46" t="s">
        <v>198</v>
      </c>
      <c r="CP19" s="46" t="s">
        <v>303</v>
      </c>
      <c r="CR19" s="46" t="s">
        <v>198</v>
      </c>
      <c r="CS19" s="46" t="s">
        <v>304</v>
      </c>
      <c r="CT19" s="46" t="s">
        <v>198</v>
      </c>
      <c r="CU19" s="46" t="s">
        <v>305</v>
      </c>
      <c r="CV19" s="46" t="s">
        <v>198</v>
      </c>
      <c r="CW19" s="46" t="s">
        <v>306</v>
      </c>
      <c r="CY19" s="46" t="s">
        <v>198</v>
      </c>
      <c r="CZ19" s="46" t="s">
        <v>307</v>
      </c>
      <c r="DA19" s="46" t="s">
        <v>198</v>
      </c>
      <c r="DB19" s="46" t="s">
        <v>308</v>
      </c>
      <c r="DC19" s="46" t="s">
        <v>198</v>
      </c>
      <c r="DD19" s="46" t="s">
        <v>309</v>
      </c>
      <c r="DF19" s="46" t="s">
        <v>198</v>
      </c>
      <c r="DG19" s="46" t="s">
        <v>310</v>
      </c>
      <c r="DH19" s="46" t="s">
        <v>198</v>
      </c>
      <c r="DI19" s="46" t="s">
        <v>311</v>
      </c>
      <c r="DJ19" s="46" t="s">
        <v>198</v>
      </c>
      <c r="DK19" s="46" t="s">
        <v>312</v>
      </c>
      <c r="DM19" s="46" t="s">
        <v>198</v>
      </c>
      <c r="DN19" s="46" t="s">
        <v>313</v>
      </c>
      <c r="DO19" s="46" t="s">
        <v>198</v>
      </c>
      <c r="DP19" s="46" t="s">
        <v>314</v>
      </c>
      <c r="DQ19" s="46" t="s">
        <v>198</v>
      </c>
      <c r="DR19" s="46" t="s">
        <v>315</v>
      </c>
      <c r="DT19" s="46" t="s">
        <v>198</v>
      </c>
      <c r="DU19" s="46" t="s">
        <v>316</v>
      </c>
      <c r="DV19" s="46" t="s">
        <v>198</v>
      </c>
      <c r="DW19" s="46" t="s">
        <v>317</v>
      </c>
      <c r="DX19" s="46" t="s">
        <v>198</v>
      </c>
      <c r="DY19" s="46" t="s">
        <v>318</v>
      </c>
      <c r="EA19" s="46" t="s">
        <v>198</v>
      </c>
      <c r="EB19" s="46" t="s">
        <v>319</v>
      </c>
      <c r="EC19" s="46" t="s">
        <v>198</v>
      </c>
      <c r="ED19" s="46" t="s">
        <v>319</v>
      </c>
      <c r="EE19" s="46" t="s">
        <v>198</v>
      </c>
      <c r="EF19" s="46" t="s">
        <v>321</v>
      </c>
      <c r="EH19" s="46" t="s">
        <v>198</v>
      </c>
      <c r="EI19" s="46" t="s">
        <v>322</v>
      </c>
      <c r="EJ19" s="46" t="s">
        <v>198</v>
      </c>
      <c r="EK19" s="46" t="s">
        <v>323</v>
      </c>
      <c r="EL19" s="46" t="s">
        <v>198</v>
      </c>
      <c r="EM19" s="46" t="s">
        <v>324</v>
      </c>
      <c r="EO19" s="46" t="s">
        <v>198</v>
      </c>
      <c r="EP19" s="46" t="s">
        <v>325</v>
      </c>
      <c r="EQ19" s="46" t="s">
        <v>198</v>
      </c>
      <c r="ER19" s="46" t="s">
        <v>326</v>
      </c>
      <c r="ES19" s="46" t="s">
        <v>198</v>
      </c>
      <c r="ET19" s="46" t="s">
        <v>327</v>
      </c>
      <c r="EV19" s="46" t="s">
        <v>198</v>
      </c>
      <c r="EW19" s="46" t="s">
        <v>328</v>
      </c>
      <c r="EX19" s="46" t="s">
        <v>198</v>
      </c>
      <c r="EY19" s="46" t="s">
        <v>329</v>
      </c>
      <c r="EZ19" s="46" t="s">
        <v>198</v>
      </c>
      <c r="FA19" s="46" t="s">
        <v>330</v>
      </c>
      <c r="FC19" s="46" t="s">
        <v>198</v>
      </c>
      <c r="FD19" s="46" t="s">
        <v>331</v>
      </c>
      <c r="FE19" s="46" t="s">
        <v>198</v>
      </c>
      <c r="FF19" s="46" t="s">
        <v>332</v>
      </c>
      <c r="FG19" s="46" t="s">
        <v>198</v>
      </c>
      <c r="FH19" s="46" t="s">
        <v>333</v>
      </c>
      <c r="FJ19" s="46" t="s">
        <v>198</v>
      </c>
      <c r="FK19" s="46" t="s">
        <v>334</v>
      </c>
      <c r="FL19" s="46" t="s">
        <v>198</v>
      </c>
      <c r="FM19" s="46" t="s">
        <v>335</v>
      </c>
      <c r="FN19" s="46" t="s">
        <v>198</v>
      </c>
      <c r="FO19" s="46" t="s">
        <v>336</v>
      </c>
      <c r="FQ19" s="46" t="s">
        <v>198</v>
      </c>
      <c r="FR19" s="46" t="s">
        <v>337</v>
      </c>
      <c r="FS19" s="46" t="s">
        <v>198</v>
      </c>
      <c r="FT19" s="46" t="s">
        <v>338</v>
      </c>
      <c r="FU19" s="46" t="s">
        <v>198</v>
      </c>
      <c r="FV19" s="46" t="s">
        <v>339</v>
      </c>
    </row>
    <row r="20" spans="2:178" ht="17.25">
      <c r="B20" s="147">
        <v>1</v>
      </c>
      <c r="C20" s="148" t="s">
        <v>0</v>
      </c>
      <c r="D20" s="49" t="s">
        <v>222</v>
      </c>
      <c r="E20" s="49"/>
      <c r="F20" s="53">
        <v>1</v>
      </c>
      <c r="H20" s="27">
        <v>6</v>
      </c>
      <c r="I20" s="27">
        <f>+IF(D25="X",2,0)</f>
        <v>2</v>
      </c>
      <c r="J20" s="41">
        <v>5</v>
      </c>
      <c r="K20" s="27">
        <f>+IF(D24="X",2,0)</f>
        <v>0</v>
      </c>
      <c r="L20" s="30">
        <v>23</v>
      </c>
      <c r="M20" s="27">
        <f>+IF(D42="X",2,0)</f>
        <v>2</v>
      </c>
      <c r="N20" s="30">
        <v>4</v>
      </c>
      <c r="O20" s="27">
        <f>+IF(D23="X",2,0)</f>
        <v>0</v>
      </c>
      <c r="P20" s="30">
        <v>10</v>
      </c>
      <c r="Q20" s="27">
        <f>+IF(D29="X",2,0)</f>
        <v>0</v>
      </c>
      <c r="R20" s="30">
        <v>8</v>
      </c>
      <c r="S20" s="27">
        <f>+IF(D27="X",2,0)</f>
        <v>0</v>
      </c>
      <c r="T20" s="30">
        <v>29</v>
      </c>
      <c r="U20" s="27">
        <f>+IF(D48="X",2,0)</f>
        <v>0</v>
      </c>
      <c r="V20" s="30">
        <v>11</v>
      </c>
      <c r="W20" s="27">
        <f>+IF(D30="X",2,0)</f>
        <v>0</v>
      </c>
      <c r="X20" s="30">
        <v>9</v>
      </c>
      <c r="Y20" s="27">
        <f>+IF(D28="X",2,0)</f>
        <v>0</v>
      </c>
      <c r="Z20" s="30">
        <v>2</v>
      </c>
      <c r="AA20" s="27">
        <f>+IF(D21="X",2,0)</f>
        <v>2</v>
      </c>
      <c r="AB20" s="30">
        <v>17</v>
      </c>
      <c r="AC20" s="27">
        <f>+IF(D36="X",2,0)</f>
        <v>2</v>
      </c>
      <c r="AD20" s="30">
        <v>39</v>
      </c>
      <c r="AE20" s="27">
        <f>+IF(D58="X",2,0)</f>
        <v>2</v>
      </c>
      <c r="AG20" s="30">
        <v>13</v>
      </c>
      <c r="AH20" s="27">
        <f>+IF(D32="X",2,0)</f>
        <v>0</v>
      </c>
      <c r="AI20" s="30">
        <v>16</v>
      </c>
      <c r="AJ20" s="27">
        <f>+IF(D35="X",2,0)</f>
        <v>0</v>
      </c>
      <c r="AK20" s="50">
        <v>21</v>
      </c>
      <c r="AL20" s="27">
        <f>+IF(D40="X",2,0)</f>
        <v>0</v>
      </c>
      <c r="AN20" s="27">
        <v>31</v>
      </c>
      <c r="AO20" s="27">
        <f>+IF(D50="X",2,0)</f>
        <v>2</v>
      </c>
      <c r="AP20" s="27">
        <v>7</v>
      </c>
      <c r="AQ20" s="27">
        <f>+IF(D26="X",2,0)</f>
        <v>2</v>
      </c>
      <c r="AR20" s="27">
        <v>3</v>
      </c>
      <c r="AS20" s="27">
        <f>+IF(D22="X",2,0)</f>
        <v>0</v>
      </c>
      <c r="AT20" s="27">
        <v>14</v>
      </c>
      <c r="AU20" s="27">
        <f>+IF(D33="X",2,0)</f>
        <v>2</v>
      </c>
      <c r="AV20" s="27">
        <v>25</v>
      </c>
      <c r="AW20" s="27">
        <f>+IF(D44="X",2,0)</f>
        <v>0</v>
      </c>
      <c r="AX20" s="27">
        <v>36</v>
      </c>
      <c r="AY20" s="27">
        <f>+IF(D55="X",2,0)</f>
        <v>0</v>
      </c>
      <c r="AZ20" s="27">
        <v>62</v>
      </c>
      <c r="BA20" s="27">
        <f>+IF(D81="X",2,0)</f>
        <v>2</v>
      </c>
      <c r="BC20" s="27">
        <v>33</v>
      </c>
      <c r="BD20" s="27">
        <f>+IF(D52="X",2,0)</f>
        <v>2</v>
      </c>
      <c r="BE20" s="27">
        <v>1</v>
      </c>
      <c r="BF20" s="27">
        <f>+IF(D20="X",2,0)</f>
        <v>2</v>
      </c>
      <c r="BG20" s="27">
        <v>68</v>
      </c>
      <c r="BH20" s="27">
        <f>+IF(D87="X",2,0)</f>
        <v>0</v>
      </c>
      <c r="BK20" s="27">
        <v>2</v>
      </c>
      <c r="BL20" s="27">
        <f>+IF(D21="X",1,0)</f>
        <v>1</v>
      </c>
      <c r="BM20" s="27">
        <v>2</v>
      </c>
      <c r="BN20" s="193">
        <f>+IF(D21="X",1,0)</f>
        <v>1</v>
      </c>
      <c r="BO20" s="27">
        <v>1</v>
      </c>
      <c r="BP20" s="27">
        <f>+IF(D20="X",1,0)</f>
        <v>1</v>
      </c>
      <c r="BR20" s="30">
        <v>49</v>
      </c>
      <c r="BS20" s="27">
        <f>+IF(D68="X",1,0)</f>
        <v>0</v>
      </c>
      <c r="BT20" s="27" t="s">
        <v>268</v>
      </c>
      <c r="BU20" s="27">
        <f>IF(D41&lt;&gt;D189,1,0)</f>
        <v>0</v>
      </c>
      <c r="BW20" s="30">
        <v>12</v>
      </c>
      <c r="BX20" s="30">
        <f>+IF(D31="X",1,0)</f>
        <v>0</v>
      </c>
      <c r="BY20" s="30">
        <v>26</v>
      </c>
      <c r="BZ20" s="30">
        <f>+IF(D45="X",1,0)</f>
        <v>1</v>
      </c>
      <c r="CA20" s="30">
        <v>6</v>
      </c>
      <c r="CB20" s="30">
        <f>+IF(D25="X",1,0)</f>
        <v>1</v>
      </c>
      <c r="CD20" s="30">
        <v>15</v>
      </c>
      <c r="CE20" s="30">
        <f>+IF(D34="X",1,0)</f>
        <v>1</v>
      </c>
      <c r="CF20" s="30">
        <v>23</v>
      </c>
      <c r="CG20" s="30">
        <f>+IF(D42="X",1,0)</f>
        <v>1</v>
      </c>
      <c r="CH20" s="30">
        <v>5</v>
      </c>
      <c r="CI20" s="30">
        <f>+IF(D24="X",1,0)</f>
        <v>0</v>
      </c>
      <c r="CK20" s="30">
        <v>17</v>
      </c>
      <c r="CL20" s="30">
        <f>+IF(D36="X",1,0)</f>
        <v>1</v>
      </c>
      <c r="CM20" s="30">
        <v>39</v>
      </c>
      <c r="CN20" s="30">
        <f>+IF(D58="X",1,0)</f>
        <v>1</v>
      </c>
      <c r="CO20" s="30">
        <v>22</v>
      </c>
      <c r="CP20" s="30">
        <f>+IF(D41="X",1,0)</f>
        <v>1</v>
      </c>
      <c r="CR20" s="31">
        <v>4</v>
      </c>
      <c r="CS20" s="31">
        <f>+IF(D23="X",1,0)</f>
        <v>0</v>
      </c>
      <c r="CT20" s="31">
        <v>26</v>
      </c>
      <c r="CU20" s="31">
        <f>+IF(D45="X",1,0)</f>
        <v>1</v>
      </c>
      <c r="CV20" s="31">
        <v>42</v>
      </c>
      <c r="CW20" s="31">
        <f>+IF(D61="X",1,0)</f>
        <v>1</v>
      </c>
      <c r="CY20" s="31">
        <v>10</v>
      </c>
      <c r="CZ20" s="31">
        <f>+IF(D29="X",1,0)</f>
        <v>0</v>
      </c>
      <c r="DA20" s="31">
        <v>30</v>
      </c>
      <c r="DB20" s="31">
        <f>+IF(D49="X",1,0)</f>
        <v>0</v>
      </c>
      <c r="DC20" s="31">
        <v>8</v>
      </c>
      <c r="DD20" s="31">
        <f>+IF(D27="X",1,0)</f>
        <v>0</v>
      </c>
      <c r="DF20" s="31">
        <v>8</v>
      </c>
      <c r="DG20" s="31">
        <f>+IF(D27="X",1,0)</f>
        <v>0</v>
      </c>
      <c r="DH20" s="51">
        <v>10</v>
      </c>
      <c r="DI20" s="31">
        <f>+IF(D29="X",1,0)</f>
        <v>0</v>
      </c>
      <c r="DJ20" s="51">
        <v>67</v>
      </c>
      <c r="DK20" s="31">
        <f>+IF(D86="X",1,0)</f>
        <v>1</v>
      </c>
      <c r="DM20" s="51">
        <v>10</v>
      </c>
      <c r="DN20" s="31">
        <f>+IF(D29="X",1,0)</f>
        <v>0</v>
      </c>
      <c r="DO20" s="51">
        <v>8</v>
      </c>
      <c r="DP20" s="31">
        <f>+IF(D27="X",1,0)</f>
        <v>0</v>
      </c>
      <c r="DQ20" s="51">
        <v>29</v>
      </c>
      <c r="DR20" s="31">
        <f>+IF(D48="X",1,0)</f>
        <v>0</v>
      </c>
      <c r="DT20" s="51">
        <v>10</v>
      </c>
      <c r="DU20" s="31">
        <f>+IF(D29="X",1,0)</f>
        <v>0</v>
      </c>
      <c r="DV20" s="51">
        <v>11</v>
      </c>
      <c r="DW20" s="31">
        <f>+IF(D30="X",1,0)</f>
        <v>0</v>
      </c>
      <c r="DX20" s="51">
        <v>25</v>
      </c>
      <c r="DY20" s="31">
        <f>+IF(D44="X",1,0)</f>
        <v>0</v>
      </c>
      <c r="EA20" s="51">
        <v>9</v>
      </c>
      <c r="EB20" s="31">
        <f>+IF(D28="X",1,0)</f>
        <v>0</v>
      </c>
      <c r="EC20" s="51">
        <v>19</v>
      </c>
      <c r="ED20" s="31">
        <f>+IF(D38="X",1,0)</f>
        <v>0</v>
      </c>
      <c r="EE20" s="51">
        <v>16</v>
      </c>
      <c r="EF20" s="31">
        <f>+IF(D35="X",1,0)</f>
        <v>0</v>
      </c>
      <c r="EH20" s="51">
        <v>2</v>
      </c>
      <c r="EI20" s="31">
        <f>+IF(D21="X",1,0)</f>
        <v>1</v>
      </c>
      <c r="EJ20" s="51">
        <v>23</v>
      </c>
      <c r="EK20" s="31">
        <f>+IF(D42="X",1,0)</f>
        <v>1</v>
      </c>
      <c r="EL20" s="51">
        <v>48</v>
      </c>
      <c r="EM20" s="31">
        <f>+IF(D67="X",1,0)</f>
        <v>1</v>
      </c>
      <c r="EO20" s="31">
        <v>21</v>
      </c>
      <c r="EP20" s="31">
        <f>+IF(D40="X",1,0)</f>
        <v>0</v>
      </c>
      <c r="EQ20" s="51">
        <v>12</v>
      </c>
      <c r="ER20" s="31">
        <f>+IF(D31="X",1,0)</f>
        <v>0</v>
      </c>
      <c r="ES20" s="51">
        <v>9</v>
      </c>
      <c r="ET20" s="31">
        <f>+IF(D28="X",1,0)</f>
        <v>0</v>
      </c>
      <c r="EV20" s="51">
        <v>4</v>
      </c>
      <c r="EW20" s="31">
        <f>+IF(D23="X",1,0)</f>
        <v>0</v>
      </c>
      <c r="EX20" s="51">
        <v>17</v>
      </c>
      <c r="EY20" s="31">
        <f>+IF(D36="X",1,0)</f>
        <v>1</v>
      </c>
      <c r="EZ20" s="51">
        <v>92</v>
      </c>
      <c r="FA20" s="31">
        <f>+IF(D111="X",1,0)</f>
        <v>1</v>
      </c>
      <c r="FC20" s="51">
        <v>18</v>
      </c>
      <c r="FD20" s="31">
        <f>+IF(D37="X",1,0)</f>
        <v>0</v>
      </c>
      <c r="FE20" s="51">
        <v>5</v>
      </c>
      <c r="FF20" s="31">
        <f>+IF(D24="X",1,0)</f>
        <v>0</v>
      </c>
      <c r="FG20" s="51">
        <v>13</v>
      </c>
      <c r="FH20" s="31">
        <f>+IF(D32="X",1,0)</f>
        <v>0</v>
      </c>
      <c r="FJ20" s="51">
        <v>14</v>
      </c>
      <c r="FK20" s="31">
        <f>+IF(D33="X",1,0)</f>
        <v>1</v>
      </c>
      <c r="FL20" s="51">
        <v>4</v>
      </c>
      <c r="FM20" s="31">
        <f>+IF(D23="X",1,0)</f>
        <v>0</v>
      </c>
      <c r="FN20" s="51">
        <v>16</v>
      </c>
      <c r="FO20" s="31">
        <f>+IF(D35="X",1,0)</f>
        <v>0</v>
      </c>
      <c r="FQ20" s="51">
        <v>12</v>
      </c>
      <c r="FR20" s="31">
        <f>+IF(D31="X",1,0)</f>
        <v>0</v>
      </c>
      <c r="FS20" s="51">
        <v>17</v>
      </c>
      <c r="FT20" s="31">
        <f>+IF(D36="X",1,0)</f>
        <v>1</v>
      </c>
      <c r="FU20" s="51">
        <v>13</v>
      </c>
      <c r="FV20" s="31">
        <f>+IF(D32="X",1,0)</f>
        <v>0</v>
      </c>
    </row>
    <row r="21" spans="2:178" ht="17.25">
      <c r="B21" s="147">
        <v>2</v>
      </c>
      <c r="C21" s="148" t="s">
        <v>1</v>
      </c>
      <c r="D21" s="49" t="s">
        <v>222</v>
      </c>
      <c r="E21" s="49"/>
      <c r="F21" s="53">
        <v>2</v>
      </c>
      <c r="H21" s="27">
        <v>15</v>
      </c>
      <c r="I21" s="27">
        <f>+IF(D34="X",2,0)</f>
        <v>2</v>
      </c>
      <c r="J21" s="41">
        <v>12</v>
      </c>
      <c r="K21" s="27">
        <f>+IF(D31="X",2,0)</f>
        <v>0</v>
      </c>
      <c r="L21" s="30">
        <v>51</v>
      </c>
      <c r="M21" s="27">
        <f>+IF(D70="X",2,0)</f>
        <v>2</v>
      </c>
      <c r="N21" s="30">
        <v>42</v>
      </c>
      <c r="O21" s="27">
        <f>+IF(D61="X",2,0)</f>
        <v>2</v>
      </c>
      <c r="P21" s="30">
        <v>30</v>
      </c>
      <c r="Q21" s="27">
        <f>+IF(D49="X",2,0)</f>
        <v>0</v>
      </c>
      <c r="R21" s="30">
        <v>20</v>
      </c>
      <c r="S21" s="27">
        <f>+IF(D39="X",2,0)</f>
        <v>0</v>
      </c>
      <c r="T21" s="30">
        <v>38</v>
      </c>
      <c r="U21" s="27">
        <f>+IF(D57="X",2,0)</f>
        <v>0</v>
      </c>
      <c r="V21" s="30">
        <v>19</v>
      </c>
      <c r="W21" s="27">
        <f>+IF(D38="X",2,0)</f>
        <v>0</v>
      </c>
      <c r="X21" s="30">
        <v>50</v>
      </c>
      <c r="Y21" s="27">
        <f>+IF(D69="X",2,0)</f>
        <v>0</v>
      </c>
      <c r="Z21" s="30">
        <v>35</v>
      </c>
      <c r="AA21" s="27">
        <f>+IF(D54="X",2,0)</f>
        <v>2</v>
      </c>
      <c r="AB21" s="30">
        <v>32</v>
      </c>
      <c r="AC21" s="27">
        <f>+IF(D51="X",2,0)</f>
        <v>0</v>
      </c>
      <c r="AD21" s="30">
        <v>59</v>
      </c>
      <c r="AE21" s="27">
        <f>+IF(D78="X",2,0)</f>
        <v>0</v>
      </c>
      <c r="AG21" s="30">
        <v>24</v>
      </c>
      <c r="AH21" s="27">
        <f>+IF(D43="X",2,0)</f>
        <v>2</v>
      </c>
      <c r="AI21" s="30">
        <v>18</v>
      </c>
      <c r="AJ21" s="27">
        <f>+IF(D37="X",2,0)</f>
        <v>0</v>
      </c>
      <c r="AK21" s="52">
        <v>52</v>
      </c>
      <c r="AL21" s="193">
        <f>+IF(D71="X",2,0)</f>
        <v>0</v>
      </c>
      <c r="AN21" s="27">
        <v>72</v>
      </c>
      <c r="AO21" s="27">
        <f>+IF(D91="X",2,0)</f>
        <v>0</v>
      </c>
      <c r="AP21" s="27">
        <v>28</v>
      </c>
      <c r="AQ21" s="27">
        <f>+IF(D47="X",2,0)</f>
        <v>2</v>
      </c>
      <c r="AR21" s="27">
        <v>27</v>
      </c>
      <c r="AS21" s="27">
        <f>+IF(D46="X",2,0)</f>
        <v>0</v>
      </c>
      <c r="AT21" s="27">
        <v>34</v>
      </c>
      <c r="AU21" s="27">
        <f>+IF(D53="X",2,0)</f>
        <v>2</v>
      </c>
      <c r="AV21" s="27">
        <v>45</v>
      </c>
      <c r="AW21" s="27">
        <f>+IF(D64="X",2,0)</f>
        <v>0</v>
      </c>
      <c r="AX21" s="27">
        <v>61</v>
      </c>
      <c r="AY21" s="27">
        <f>+IF(D80="X",2,0)</f>
        <v>0</v>
      </c>
      <c r="AZ21" s="27">
        <v>76</v>
      </c>
      <c r="BA21" s="27">
        <f>+IF(D95="X",2,0)</f>
        <v>2</v>
      </c>
      <c r="BC21" s="27">
        <v>58</v>
      </c>
      <c r="BD21" s="27">
        <f>+IF(D77="X",2,0)</f>
        <v>0</v>
      </c>
      <c r="BE21" s="27">
        <v>22</v>
      </c>
      <c r="BF21" s="27">
        <f>+IF(D41="X",2,0)</f>
        <v>2</v>
      </c>
      <c r="BG21" s="27">
        <v>95</v>
      </c>
      <c r="BH21" s="27">
        <f>+IF(D114="X",2,0)</f>
        <v>0</v>
      </c>
      <c r="BK21" s="27">
        <v>4</v>
      </c>
      <c r="BL21" s="27">
        <f>+IF(D23="X",1,0)</f>
        <v>0</v>
      </c>
      <c r="BM21" s="27">
        <v>3</v>
      </c>
      <c r="BN21" s="27">
        <f>+IF(D22="X",1,0)</f>
        <v>0</v>
      </c>
      <c r="BO21" s="27">
        <v>14</v>
      </c>
      <c r="BP21" s="27">
        <f>+IF(D33="X",1,0)</f>
        <v>1</v>
      </c>
      <c r="BR21" s="30">
        <v>98</v>
      </c>
      <c r="BS21" s="27">
        <f>+IF(D117="X",1,0)</f>
        <v>0</v>
      </c>
      <c r="BT21" s="27" t="s">
        <v>269</v>
      </c>
      <c r="BU21" s="27">
        <f>IF(D144&lt;&gt;D162,1,0)</f>
        <v>0</v>
      </c>
      <c r="BW21" s="30">
        <v>15</v>
      </c>
      <c r="BX21" s="30">
        <f>+IF(D34="X",1,0)</f>
        <v>1</v>
      </c>
      <c r="BY21" s="30">
        <v>99</v>
      </c>
      <c r="BZ21" s="30">
        <f>+IF(D118="X",1,0)</f>
        <v>1</v>
      </c>
      <c r="CA21" s="30">
        <v>17</v>
      </c>
      <c r="CB21" s="30">
        <f>+IF(D36="X",1,0)</f>
        <v>1</v>
      </c>
      <c r="CD21" s="30">
        <v>26</v>
      </c>
      <c r="CE21" s="30">
        <f>+IF(D45="X",1,0)</f>
        <v>1</v>
      </c>
      <c r="CF21" s="30">
        <v>58</v>
      </c>
      <c r="CG21" s="30">
        <f>+IF(D77="X",1,0)</f>
        <v>0</v>
      </c>
      <c r="CH21" s="30">
        <v>12</v>
      </c>
      <c r="CI21" s="30">
        <f>+IF(D31="X",1,0)</f>
        <v>0</v>
      </c>
      <c r="CK21" s="30">
        <v>23</v>
      </c>
      <c r="CL21" s="30">
        <f>+IF(D42="X",1,0)</f>
        <v>1</v>
      </c>
      <c r="CM21" s="30">
        <v>59</v>
      </c>
      <c r="CN21" s="30">
        <f>+IF(D78="X",1,0)</f>
        <v>0</v>
      </c>
      <c r="CO21" s="30">
        <v>70</v>
      </c>
      <c r="CP21" s="30">
        <f>+IF(D89="X",1,0)</f>
        <v>1</v>
      </c>
      <c r="CR21" s="31">
        <v>5</v>
      </c>
      <c r="CS21" s="31">
        <f>+IF(D24="X",1,0)</f>
        <v>0</v>
      </c>
      <c r="CT21" s="31">
        <v>60</v>
      </c>
      <c r="CU21" s="31">
        <f>+IF(D79="X",1,0)</f>
        <v>1</v>
      </c>
      <c r="CV21" s="31">
        <v>77</v>
      </c>
      <c r="CW21" s="31">
        <f>+IF(D96="X",1,0)</f>
        <v>1</v>
      </c>
      <c r="CY21" s="31">
        <v>38</v>
      </c>
      <c r="CZ21" s="31">
        <f>+IF(D57="X",1,0)</f>
        <v>0</v>
      </c>
      <c r="DA21" s="31">
        <v>46</v>
      </c>
      <c r="DB21" s="31">
        <f>+IF(D65="X",1,0)</f>
        <v>0</v>
      </c>
      <c r="DC21" s="31">
        <v>20</v>
      </c>
      <c r="DD21" s="31">
        <f>+IF(D39="X",1,0)</f>
        <v>0</v>
      </c>
      <c r="DF21" s="31">
        <v>20</v>
      </c>
      <c r="DG21" s="31">
        <f>+IF(D39="X",1,0)</f>
        <v>0</v>
      </c>
      <c r="DH21" s="51">
        <v>30</v>
      </c>
      <c r="DI21" s="31">
        <f>+IF(D49="X",1,0)</f>
        <v>0</v>
      </c>
      <c r="DJ21" s="51">
        <v>142</v>
      </c>
      <c r="DK21" s="31">
        <f>+IF(D161="X",1,0)</f>
        <v>0</v>
      </c>
      <c r="DM21" s="51">
        <v>19</v>
      </c>
      <c r="DN21" s="31">
        <f>+IF(D38="X",1,0)</f>
        <v>0</v>
      </c>
      <c r="DO21" s="51">
        <v>67</v>
      </c>
      <c r="DP21" s="31">
        <f>+IF(D86="X",1,0)</f>
        <v>1</v>
      </c>
      <c r="DQ21" s="51">
        <v>54</v>
      </c>
      <c r="DR21" s="31">
        <f>+IF(D73="X",1,0)</f>
        <v>0</v>
      </c>
      <c r="DT21" s="51">
        <v>38</v>
      </c>
      <c r="DU21" s="31">
        <f>+IF(D57="X",1,0)</f>
        <v>0</v>
      </c>
      <c r="DV21" s="51">
        <v>19</v>
      </c>
      <c r="DW21" s="31">
        <f>+IF(D38="X",1,0)</f>
        <v>0</v>
      </c>
      <c r="DX21" s="51">
        <v>36</v>
      </c>
      <c r="DY21" s="31">
        <f>+IF(D55="X",1,0)</f>
        <v>0</v>
      </c>
      <c r="EA21" s="51">
        <v>11</v>
      </c>
      <c r="EB21" s="31">
        <f>+IF(D30="X",1,0)</f>
        <v>0</v>
      </c>
      <c r="EC21" s="51">
        <v>21</v>
      </c>
      <c r="ED21" s="31">
        <f>+IF(D40="X",1,0)</f>
        <v>0</v>
      </c>
      <c r="EE21" s="51">
        <v>37</v>
      </c>
      <c r="EF21" s="31">
        <f>+IF(D56="X",1,0)</f>
        <v>1</v>
      </c>
      <c r="EH21" s="51">
        <v>20</v>
      </c>
      <c r="EI21" s="31">
        <f>+IF(D39="X",1,0)</f>
        <v>0</v>
      </c>
      <c r="EJ21" s="51">
        <v>44</v>
      </c>
      <c r="EK21" s="31">
        <f>+IF(D63="X",1,0)</f>
        <v>1</v>
      </c>
      <c r="EL21" s="51">
        <v>73</v>
      </c>
      <c r="EM21" s="31">
        <f>+IF(D92="X",1,0)</f>
        <v>1</v>
      </c>
      <c r="EO21" s="31">
        <v>32</v>
      </c>
      <c r="EP21" s="31">
        <f>+IF(D51="X",1,0)</f>
        <v>0</v>
      </c>
      <c r="EQ21" s="51">
        <v>17</v>
      </c>
      <c r="ER21" s="31">
        <f>+IF(D36="X",1,0)</f>
        <v>1</v>
      </c>
      <c r="ES21" s="51">
        <v>37</v>
      </c>
      <c r="ET21" s="31">
        <f>+IF(D56="X",1,0)</f>
        <v>1</v>
      </c>
      <c r="EV21" s="51">
        <v>12</v>
      </c>
      <c r="EW21" s="31">
        <f>+IF(D31="X",1,0)</f>
        <v>0</v>
      </c>
      <c r="EX21" s="51">
        <v>40</v>
      </c>
      <c r="EY21" s="31">
        <f>+IF(D59="X",1,0)</f>
        <v>0</v>
      </c>
      <c r="EZ21" s="51">
        <v>107</v>
      </c>
      <c r="FA21" s="31">
        <f>+IF(D126="X",1,0)</f>
        <v>0</v>
      </c>
      <c r="FC21" s="51">
        <v>33</v>
      </c>
      <c r="FD21" s="31">
        <f>+IF(D52="X",1,0)</f>
        <v>1</v>
      </c>
      <c r="FE21" s="51">
        <v>58</v>
      </c>
      <c r="FF21" s="31">
        <f>+IF(D77="X",1,0)</f>
        <v>0</v>
      </c>
      <c r="FG21" s="51">
        <v>24</v>
      </c>
      <c r="FH21" s="31">
        <f>+IF(D43="X",1,0)</f>
        <v>1</v>
      </c>
      <c r="FJ21" s="51">
        <v>70</v>
      </c>
      <c r="FK21" s="31">
        <f>+IF(D89="X",1,0)</f>
        <v>1</v>
      </c>
      <c r="FL21" s="51">
        <v>17</v>
      </c>
      <c r="FM21" s="31">
        <f>+IF(D36="X",1,0)</f>
        <v>1</v>
      </c>
      <c r="FN21" s="51">
        <v>18</v>
      </c>
      <c r="FO21" s="31">
        <f>+IF(D37="X",1,0)</f>
        <v>0</v>
      </c>
      <c r="FQ21" s="51">
        <v>15</v>
      </c>
      <c r="FR21" s="31">
        <f>+IF(D34="X",1,0)</f>
        <v>1</v>
      </c>
      <c r="FS21" s="51">
        <v>52</v>
      </c>
      <c r="FT21" s="31">
        <f>+IF(D71="X",1,0)</f>
        <v>0</v>
      </c>
      <c r="FU21" s="51">
        <v>32</v>
      </c>
      <c r="FV21" s="31">
        <f>+IF(D51="X",1,0)</f>
        <v>0</v>
      </c>
    </row>
    <row r="22" spans="2:178" ht="17.25">
      <c r="B22" s="147">
        <v>3</v>
      </c>
      <c r="C22" s="148" t="s">
        <v>2</v>
      </c>
      <c r="D22" s="49"/>
      <c r="E22" s="49" t="s">
        <v>222</v>
      </c>
      <c r="F22" s="53">
        <v>3</v>
      </c>
      <c r="H22" s="27">
        <v>43</v>
      </c>
      <c r="I22" s="27">
        <f>+IF(D62="X",2,0)</f>
        <v>2</v>
      </c>
      <c r="J22" s="30">
        <v>26</v>
      </c>
      <c r="K22" s="27">
        <f>+IF(D45="X",2,0)</f>
        <v>2</v>
      </c>
      <c r="L22" s="30">
        <v>71</v>
      </c>
      <c r="M22" s="27">
        <f>+IF(D90="X",2,0)</f>
        <v>2</v>
      </c>
      <c r="N22" s="30">
        <v>60</v>
      </c>
      <c r="O22" s="27">
        <f>+IF(D79="X",2,0)</f>
        <v>2</v>
      </c>
      <c r="P22" s="30">
        <v>46</v>
      </c>
      <c r="Q22" s="27">
        <f>+IF(D65="X",2,0)</f>
        <v>0</v>
      </c>
      <c r="R22" s="30">
        <v>53</v>
      </c>
      <c r="S22" s="27">
        <f>+IF(D72="X",2,0)</f>
        <v>0</v>
      </c>
      <c r="T22" s="30">
        <v>54</v>
      </c>
      <c r="U22" s="27">
        <f>+IF(D73="X",2,0)</f>
        <v>0</v>
      </c>
      <c r="V22" s="30">
        <v>65</v>
      </c>
      <c r="W22" s="27">
        <f>+IF(D84="X",2,0)</f>
        <v>0</v>
      </c>
      <c r="X22" s="30">
        <v>66</v>
      </c>
      <c r="Y22" s="27">
        <f>+IF(D85="X",2,0)</f>
        <v>0</v>
      </c>
      <c r="Z22" s="30">
        <v>48</v>
      </c>
      <c r="AA22" s="27">
        <f>+IF(D67="X",2,0)</f>
        <v>2</v>
      </c>
      <c r="AB22" s="30">
        <v>82</v>
      </c>
      <c r="AC22" s="27">
        <f>+IF(D101="X",2,0)</f>
        <v>0</v>
      </c>
      <c r="AD22" s="30">
        <v>85</v>
      </c>
      <c r="AE22" s="27">
        <f>+IF(D104="X",2,0)</f>
        <v>2</v>
      </c>
      <c r="AG22" s="30">
        <v>44</v>
      </c>
      <c r="AH22" s="27">
        <f>+IF(D63="X",2,0)</f>
        <v>2</v>
      </c>
      <c r="AI22" s="30">
        <v>37</v>
      </c>
      <c r="AJ22" s="27">
        <f>+IF(D56="X",2,0)</f>
        <v>2</v>
      </c>
      <c r="AK22" s="52">
        <v>79</v>
      </c>
      <c r="AL22" s="27">
        <f>+IF(D98="X",2,0)</f>
        <v>0</v>
      </c>
      <c r="AN22" s="27">
        <v>89</v>
      </c>
      <c r="AO22" s="27">
        <f>+IF(D108="X",2,0)</f>
        <v>2</v>
      </c>
      <c r="AP22" s="27">
        <v>41</v>
      </c>
      <c r="AQ22" s="27">
        <f>+IF(D60="X",2,0)</f>
        <v>2</v>
      </c>
      <c r="AR22" s="27">
        <v>56</v>
      </c>
      <c r="AS22" s="27">
        <f>+IF(D75="X",2,0)</f>
        <v>2</v>
      </c>
      <c r="AT22" s="27">
        <v>64</v>
      </c>
      <c r="AU22" s="27">
        <f>+IF(D83="X",2,0)</f>
        <v>2</v>
      </c>
      <c r="AV22" s="27">
        <v>94</v>
      </c>
      <c r="AW22" s="27">
        <f>+IF(D113="X",2,0)</f>
        <v>0</v>
      </c>
      <c r="AX22" s="27">
        <v>81</v>
      </c>
      <c r="AY22" s="27">
        <f>+IF(D100="X",2,0)</f>
        <v>0</v>
      </c>
      <c r="AZ22" s="27">
        <v>91</v>
      </c>
      <c r="BA22" s="27">
        <f>+IF(D110="X",2,0)</f>
        <v>2</v>
      </c>
      <c r="BC22" s="27">
        <v>80</v>
      </c>
      <c r="BD22" s="27">
        <f>+IF(D99="X",2,0)</f>
        <v>0</v>
      </c>
      <c r="BE22" s="27">
        <v>57</v>
      </c>
      <c r="BF22" s="27">
        <f>+IF(D76="X",2,0)</f>
        <v>2</v>
      </c>
      <c r="BG22" s="27">
        <v>127</v>
      </c>
      <c r="BH22" s="27">
        <f>+IF(D146="X",2,0)</f>
        <v>0</v>
      </c>
      <c r="BK22" s="27">
        <v>5</v>
      </c>
      <c r="BL22" s="27">
        <f>+IF(D24="X",1,0)</f>
        <v>0</v>
      </c>
      <c r="BM22" s="27">
        <v>8</v>
      </c>
      <c r="BN22" s="193">
        <f>+IF(D27="X",1,0)</f>
        <v>0</v>
      </c>
      <c r="BO22" s="27">
        <v>16</v>
      </c>
      <c r="BP22" s="27">
        <f>+IF(D35="X",1,0)</f>
        <v>0</v>
      </c>
      <c r="BR22" s="30">
        <v>160</v>
      </c>
      <c r="BS22" s="27">
        <f>+IF(D179="X",1,0)</f>
        <v>0</v>
      </c>
      <c r="BT22" s="27" t="s">
        <v>270</v>
      </c>
      <c r="BU22" s="27">
        <f>IF(D66&lt;&gt;D176,1,0)</f>
        <v>1</v>
      </c>
      <c r="BW22" s="30">
        <v>24</v>
      </c>
      <c r="BX22" s="30">
        <f>+IF(D43="X",1,0)</f>
        <v>1</v>
      </c>
      <c r="BY22" s="30">
        <v>139</v>
      </c>
      <c r="BZ22" s="30">
        <f>+IF(D158="X",1,0)</f>
        <v>1</v>
      </c>
      <c r="CA22" s="30">
        <v>43</v>
      </c>
      <c r="CB22" s="30">
        <f>+IF(D62="X",1,0)</f>
        <v>1</v>
      </c>
      <c r="CD22" s="30">
        <v>99</v>
      </c>
      <c r="CE22" s="30">
        <f>+IF(D118="X",1,0)</f>
        <v>1</v>
      </c>
      <c r="CF22" s="30">
        <v>111</v>
      </c>
      <c r="CG22" s="30">
        <f>+IF(D130="X",1,0)</f>
        <v>0</v>
      </c>
      <c r="CH22" s="30">
        <v>24</v>
      </c>
      <c r="CI22" s="30">
        <f>+IF(D43="X",1,0)</f>
        <v>1</v>
      </c>
      <c r="CK22" s="30">
        <v>33</v>
      </c>
      <c r="CL22" s="30">
        <f>+IF(D52="X",1,0)</f>
        <v>1</v>
      </c>
      <c r="CM22" s="30">
        <v>93</v>
      </c>
      <c r="CN22" s="30">
        <f>+IF(D112="X",1,0)</f>
        <v>0</v>
      </c>
      <c r="CO22" s="30">
        <v>90</v>
      </c>
      <c r="CP22" s="30">
        <f>+IF(D109="X",1,0)</f>
        <v>1</v>
      </c>
      <c r="CR22" s="31">
        <v>23</v>
      </c>
      <c r="CS22" s="31">
        <f>+IF(D42="X",1,0)</f>
        <v>1</v>
      </c>
      <c r="CT22" s="31">
        <v>162</v>
      </c>
      <c r="CU22" s="31">
        <f>+IF(D181="X",1,0)</f>
        <v>1</v>
      </c>
      <c r="CV22" s="31">
        <v>85</v>
      </c>
      <c r="CW22" s="31">
        <f>+IF(D104="X",1,0)</f>
        <v>1</v>
      </c>
      <c r="CY22" s="31">
        <v>83</v>
      </c>
      <c r="CZ22" s="31">
        <f>+IF(D102="X",1,0)</f>
        <v>0</v>
      </c>
      <c r="DA22" s="31">
        <v>84</v>
      </c>
      <c r="DB22" s="31">
        <f>+IF(D103="X",1,0)</f>
        <v>1</v>
      </c>
      <c r="DC22" s="31">
        <v>27</v>
      </c>
      <c r="DD22" s="31">
        <f>+IF(D46="X",1,0)</f>
        <v>0</v>
      </c>
      <c r="DF22" s="31">
        <v>53</v>
      </c>
      <c r="DG22" s="31">
        <f>+IF(D72="X",1,0)</f>
        <v>0</v>
      </c>
      <c r="DH22" s="51">
        <v>46</v>
      </c>
      <c r="DI22" s="31">
        <f>+IF(D65="X",1,0)</f>
        <v>0</v>
      </c>
      <c r="DJ22" s="51">
        <v>14</v>
      </c>
      <c r="DK22" s="31">
        <f>+IF(E33="X",1,0)</f>
        <v>0</v>
      </c>
      <c r="DM22" s="51">
        <v>38</v>
      </c>
      <c r="DN22" s="31">
        <f>+IF(D57="X",1,0)</f>
        <v>0</v>
      </c>
      <c r="DO22" s="51">
        <v>75</v>
      </c>
      <c r="DP22" s="31">
        <f>+IF(D94="X",1,0)</f>
        <v>0</v>
      </c>
      <c r="DQ22" s="51">
        <v>79</v>
      </c>
      <c r="DR22" s="31">
        <f>+IF(D98="X",1,0)</f>
        <v>0</v>
      </c>
      <c r="DT22" s="51">
        <v>83</v>
      </c>
      <c r="DU22" s="31">
        <f>+IF(D102="X",1,0)</f>
        <v>0</v>
      </c>
      <c r="DV22" s="51">
        <v>147</v>
      </c>
      <c r="DW22" s="31">
        <f>+IF(D166="X",1,0)</f>
        <v>0</v>
      </c>
      <c r="DX22" s="51">
        <v>61</v>
      </c>
      <c r="DY22" s="31">
        <f>+IF(D80="X",1,0)</f>
        <v>0</v>
      </c>
      <c r="EA22" s="51">
        <v>65</v>
      </c>
      <c r="EB22" s="31">
        <f>+IF(D84="X",1,0)</f>
        <v>0</v>
      </c>
      <c r="EC22" s="51">
        <v>50</v>
      </c>
      <c r="ED22" s="31">
        <f>+IF(D69="X",1,0)</f>
        <v>0</v>
      </c>
      <c r="EE22" s="51">
        <v>74</v>
      </c>
      <c r="EF22" s="31">
        <f>+IF(D93="X",1,0)</f>
        <v>0</v>
      </c>
      <c r="EH22" s="51">
        <v>35</v>
      </c>
      <c r="EI22" s="31">
        <f>+IF(D54="X",1,0)</f>
        <v>1</v>
      </c>
      <c r="EJ22" s="51">
        <v>51</v>
      </c>
      <c r="EK22" s="31">
        <f>+IF(D70="X",1,0)</f>
        <v>1</v>
      </c>
      <c r="EL22" s="51">
        <v>158</v>
      </c>
      <c r="EM22" s="31">
        <f>+IF(D177="X",1,0)</f>
        <v>1</v>
      </c>
      <c r="EO22" s="31">
        <v>79</v>
      </c>
      <c r="EP22" s="31">
        <f>+IF(D98="X",1,0)</f>
        <v>0</v>
      </c>
      <c r="EQ22" s="51">
        <v>24</v>
      </c>
      <c r="ER22" s="31">
        <f>+IF(D43="X",1,0)</f>
        <v>1</v>
      </c>
      <c r="ES22" s="51">
        <v>74</v>
      </c>
      <c r="ET22" s="31">
        <f>+IF(D93="X",1,0)</f>
        <v>0</v>
      </c>
      <c r="EV22" s="51">
        <v>23</v>
      </c>
      <c r="EW22" s="31">
        <f>+IF(D42="X",1,0)</f>
        <v>1</v>
      </c>
      <c r="EX22" s="51">
        <v>85</v>
      </c>
      <c r="EY22" s="31">
        <f>+IF(D104="X",1,0)</f>
        <v>1</v>
      </c>
      <c r="EZ22" s="51">
        <v>170</v>
      </c>
      <c r="FA22" s="31">
        <f>+IF(D189="X",1,0)</f>
        <v>1</v>
      </c>
      <c r="FC22" s="51">
        <v>44</v>
      </c>
      <c r="FD22" s="31">
        <f>+IF(D63="X",1,0)</f>
        <v>1</v>
      </c>
      <c r="FE22" s="51">
        <v>70</v>
      </c>
      <c r="FF22" s="31">
        <f>+IF(D89="X",1,0)</f>
        <v>1</v>
      </c>
      <c r="FG22" s="51">
        <v>68</v>
      </c>
      <c r="FH22" s="31">
        <f>+IF(D87="X",1,0)</f>
        <v>0</v>
      </c>
      <c r="FJ22" s="51">
        <v>101</v>
      </c>
      <c r="FK22" s="31">
        <f>+IF(D120="X",1,0)</f>
        <v>1</v>
      </c>
      <c r="FL22" s="51">
        <v>39</v>
      </c>
      <c r="FM22" s="31">
        <f>+IF(D58="X",1,0)</f>
        <v>1</v>
      </c>
      <c r="FN22" s="51">
        <v>37</v>
      </c>
      <c r="FO22" s="31">
        <f>+IF(D56="X",1,0)</f>
        <v>1</v>
      </c>
      <c r="FQ22" s="51">
        <v>21</v>
      </c>
      <c r="FR22" s="31">
        <f>+IF(D40="X",1,0)</f>
        <v>0</v>
      </c>
      <c r="FS22" s="51">
        <v>79</v>
      </c>
      <c r="FT22" s="31">
        <f>+IF(D98="X",1,0)</f>
        <v>0</v>
      </c>
      <c r="FU22" s="51">
        <v>68</v>
      </c>
      <c r="FV22" s="31">
        <f>+IF(D87="X",1,0)</f>
        <v>0</v>
      </c>
    </row>
    <row r="23" spans="2:178" ht="17.25">
      <c r="B23" s="147">
        <v>4</v>
      </c>
      <c r="C23" s="148" t="s">
        <v>3</v>
      </c>
      <c r="D23" s="49"/>
      <c r="E23" s="49" t="s">
        <v>222</v>
      </c>
      <c r="F23" s="53">
        <v>4</v>
      </c>
      <c r="H23" s="27">
        <v>90</v>
      </c>
      <c r="I23" s="27">
        <f>+IF(D109="X",2,0)</f>
        <v>2</v>
      </c>
      <c r="J23" s="30">
        <v>99</v>
      </c>
      <c r="K23" s="27">
        <f>+IF(D118="X",2,0)</f>
        <v>2</v>
      </c>
      <c r="L23" s="30">
        <v>93</v>
      </c>
      <c r="M23" s="27">
        <f>+IF(D112="X",2,0)</f>
        <v>0</v>
      </c>
      <c r="N23" s="30">
        <v>77</v>
      </c>
      <c r="O23" s="27">
        <f>+IF(D96="X",2,0)</f>
        <v>2</v>
      </c>
      <c r="P23" s="30">
        <v>84</v>
      </c>
      <c r="Q23" s="27">
        <f>+IF(D103="X",2,0)</f>
        <v>2</v>
      </c>
      <c r="R23" s="30">
        <v>75</v>
      </c>
      <c r="S23" s="27">
        <f>+IF(D94="X",2,0)</f>
        <v>0</v>
      </c>
      <c r="T23" s="30">
        <v>67</v>
      </c>
      <c r="U23" s="27">
        <f>+IF(D86="X",2,0)</f>
        <v>2</v>
      </c>
      <c r="V23" s="30">
        <v>83</v>
      </c>
      <c r="W23" s="27">
        <f>+IF(D102="X",2,0)</f>
        <v>0</v>
      </c>
      <c r="X23" s="30">
        <v>97</v>
      </c>
      <c r="Y23" s="27">
        <f>+IF(D116="X",2,0)</f>
        <v>0</v>
      </c>
      <c r="Z23" s="30">
        <v>63</v>
      </c>
      <c r="AA23" s="27">
        <f>+IF(D82="X",2,0)</f>
        <v>2</v>
      </c>
      <c r="AB23" s="30">
        <v>96</v>
      </c>
      <c r="AC23" s="27">
        <f>+IF(D115="X",2,0)</f>
        <v>0</v>
      </c>
      <c r="AD23" s="30">
        <v>100</v>
      </c>
      <c r="AE23" s="27">
        <f>+IF(D119="X",2,0)</f>
        <v>2</v>
      </c>
      <c r="AG23" s="30">
        <v>92</v>
      </c>
      <c r="AH23" s="27">
        <f>+IF(D111="X",2,0)</f>
        <v>2</v>
      </c>
      <c r="AI23" s="30">
        <v>70</v>
      </c>
      <c r="AJ23" s="27">
        <f>+IF(D89="X",2,0)</f>
        <v>2</v>
      </c>
      <c r="AK23" s="52">
        <v>88</v>
      </c>
      <c r="AL23" s="193">
        <f>+IF(D107="X",2,0)</f>
        <v>0</v>
      </c>
      <c r="AN23" s="27">
        <v>113</v>
      </c>
      <c r="AO23" s="27">
        <f>+IF(D132="X",2,0)</f>
        <v>2</v>
      </c>
      <c r="AP23" s="27">
        <v>120</v>
      </c>
      <c r="AQ23" s="27">
        <f>+IF(D139="X",2,0)</f>
        <v>2</v>
      </c>
      <c r="AR23" s="27">
        <v>108</v>
      </c>
      <c r="AS23" s="27">
        <f>+IF(D127="X",2,0)</f>
        <v>0</v>
      </c>
      <c r="AT23" s="27">
        <v>118</v>
      </c>
      <c r="AU23" s="27">
        <f>+IF(D137="X",2,0)</f>
        <v>2</v>
      </c>
      <c r="AV23" s="27">
        <v>130</v>
      </c>
      <c r="AW23" s="27">
        <f>+IF(D149="X",2,0)</f>
        <v>0</v>
      </c>
      <c r="AX23" s="27">
        <v>105</v>
      </c>
      <c r="AY23" s="27">
        <f>+IF(D124="X",2,0)</f>
        <v>0</v>
      </c>
      <c r="AZ23" s="27">
        <v>125</v>
      </c>
      <c r="BA23" s="27">
        <f>+IF(D144="X",2,0)</f>
        <v>2</v>
      </c>
      <c r="BC23" s="27">
        <v>121</v>
      </c>
      <c r="BD23" s="27">
        <f>+IF(D140="X",2,0)</f>
        <v>2</v>
      </c>
      <c r="BE23" s="27">
        <v>78</v>
      </c>
      <c r="BF23" s="27">
        <f>+IF(D97="X",2,0)</f>
        <v>0</v>
      </c>
      <c r="BG23" s="27">
        <v>148</v>
      </c>
      <c r="BH23" s="27">
        <f>+IF(D167="X",2,0)</f>
        <v>0</v>
      </c>
      <c r="BK23" s="27">
        <v>6</v>
      </c>
      <c r="BL23" s="27">
        <f>+IF(D25="X",1,0)</f>
        <v>1</v>
      </c>
      <c r="BM23" s="27">
        <v>20</v>
      </c>
      <c r="BN23" s="27">
        <f>+IF(D39="X",1,0)</f>
        <v>0</v>
      </c>
      <c r="BO23" s="27">
        <v>17</v>
      </c>
      <c r="BP23" s="27">
        <f>+IF(D36="X",1,0)</f>
        <v>1</v>
      </c>
      <c r="BS23" s="29">
        <f>SUM(BS20:BS22)</f>
        <v>0</v>
      </c>
      <c r="BT23" s="27" t="s">
        <v>271</v>
      </c>
      <c r="BU23" s="27">
        <f>IF(D59&lt;&gt;D200,1,0)</f>
        <v>0</v>
      </c>
      <c r="BW23" s="30">
        <v>104</v>
      </c>
      <c r="BX23" s="30">
        <f>+IF(D123="X",1,0)</f>
        <v>1</v>
      </c>
      <c r="BY23" s="30">
        <v>175</v>
      </c>
      <c r="BZ23" s="30">
        <f>+IF(D194="X",1,0)</f>
        <v>1</v>
      </c>
      <c r="CA23" s="30">
        <v>70</v>
      </c>
      <c r="CB23" s="30">
        <f>+IF(D89="X",1,0)</f>
        <v>1</v>
      </c>
      <c r="CD23" s="30">
        <v>139</v>
      </c>
      <c r="CE23" s="30">
        <f>+IF(D158="X",1,0)</f>
        <v>1</v>
      </c>
      <c r="CF23" s="30">
        <v>135</v>
      </c>
      <c r="CG23" s="30">
        <f>+IF(D154="X",1,0)</f>
        <v>1</v>
      </c>
      <c r="CH23" s="30">
        <v>52</v>
      </c>
      <c r="CI23" s="30">
        <f>+IF(D71="X",1,0)</f>
        <v>0</v>
      </c>
      <c r="CK23" s="30">
        <v>51</v>
      </c>
      <c r="CL23" s="30">
        <f>+IF(D70="X",1,0)</f>
        <v>1</v>
      </c>
      <c r="CM23" s="30">
        <v>112</v>
      </c>
      <c r="CN23" s="30">
        <f>+IF(D131="X",1,0)</f>
        <v>0</v>
      </c>
      <c r="CO23" s="30">
        <v>101</v>
      </c>
      <c r="CP23" s="30">
        <f>+IF(D120="X",1,0)</f>
        <v>1</v>
      </c>
      <c r="CR23" s="31">
        <v>51</v>
      </c>
      <c r="CS23" s="31">
        <f>+IF(D70="X",1,0)</f>
        <v>1</v>
      </c>
      <c r="CT23" s="31">
        <v>169</v>
      </c>
      <c r="CU23" s="31">
        <f>+IF(D188="X",1,0)</f>
        <v>0</v>
      </c>
      <c r="CV23" s="31">
        <v>93</v>
      </c>
      <c r="CW23" s="31">
        <f>+IF(D112="X",1,0)</f>
        <v>0</v>
      </c>
      <c r="CY23" s="31">
        <v>117</v>
      </c>
      <c r="CZ23" s="31">
        <f>+IF(D136="X",1,0)</f>
        <v>0</v>
      </c>
      <c r="DA23" s="31">
        <v>154</v>
      </c>
      <c r="DB23" s="31">
        <f>+IF(D173="X",1,0)</f>
        <v>0</v>
      </c>
      <c r="DC23" s="31">
        <v>53</v>
      </c>
      <c r="DD23" s="31">
        <f>+IF(D72="X",1,0)</f>
        <v>0</v>
      </c>
      <c r="DF23" s="31">
        <v>75</v>
      </c>
      <c r="DG23" s="31">
        <f>+IF(D94="X",1,0)</f>
        <v>0</v>
      </c>
      <c r="DH23" s="51">
        <v>84</v>
      </c>
      <c r="DI23" s="31">
        <f>+IF(D103="X",1,0)</f>
        <v>1</v>
      </c>
      <c r="DJ23" s="51">
        <v>93</v>
      </c>
      <c r="DK23" s="31">
        <f>+IF(E112="X",1,0)</f>
        <v>1</v>
      </c>
      <c r="DM23" s="51">
        <v>83</v>
      </c>
      <c r="DN23" s="31">
        <f>+IF(D102="X",1,0)</f>
        <v>0</v>
      </c>
      <c r="DO23" s="51">
        <v>142</v>
      </c>
      <c r="DP23" s="31">
        <f>+IF(D161="X",1,0)</f>
        <v>0</v>
      </c>
      <c r="DQ23" s="51">
        <v>87</v>
      </c>
      <c r="DR23" s="31">
        <f>+IF(D106="X",1,0)</f>
        <v>0</v>
      </c>
      <c r="DT23" s="51">
        <v>103</v>
      </c>
      <c r="DU23" s="31">
        <f>+IF(D122="X",1,0)</f>
        <v>0</v>
      </c>
      <c r="DV23" s="51">
        <v>152</v>
      </c>
      <c r="DW23" s="31">
        <f>+IF(D171="X",1,0)</f>
        <v>0</v>
      </c>
      <c r="DX23" s="51">
        <v>65</v>
      </c>
      <c r="DY23" s="31">
        <f>+IF(D84="X",1,0)</f>
        <v>0</v>
      </c>
      <c r="EA23" s="51">
        <v>66</v>
      </c>
      <c r="EB23" s="31">
        <f>+IF(D85="X",1,0)</f>
        <v>0</v>
      </c>
      <c r="EC23" s="51">
        <v>97</v>
      </c>
      <c r="ED23" s="31">
        <f>+IF(D116="X",1,0)</f>
        <v>0</v>
      </c>
      <c r="EE23" s="51">
        <v>115</v>
      </c>
      <c r="EF23" s="31">
        <f>+IF(D134="X",1,0)</f>
        <v>0</v>
      </c>
      <c r="EH23" s="51">
        <v>63</v>
      </c>
      <c r="EI23" s="31">
        <f>+IF(D82="X",1,0)</f>
        <v>1</v>
      </c>
      <c r="EJ23" s="51">
        <v>52</v>
      </c>
      <c r="EK23" s="31">
        <f>+IF(D71="X",1,0)</f>
        <v>0</v>
      </c>
      <c r="EL23" s="51">
        <v>19</v>
      </c>
      <c r="EM23" s="31">
        <f>+IF(E38="X",1,0)</f>
        <v>1</v>
      </c>
      <c r="EO23" s="31">
        <v>88</v>
      </c>
      <c r="EP23" s="31">
        <f>+IF(D107="X",1,0)</f>
        <v>0</v>
      </c>
      <c r="EQ23" s="51">
        <v>34</v>
      </c>
      <c r="ER23" s="31">
        <f>+IF(D53="X",1,0)</f>
        <v>1</v>
      </c>
      <c r="ES23" s="51">
        <v>82</v>
      </c>
      <c r="ET23" s="31">
        <f>+IF(D101="X",1,0)</f>
        <v>0</v>
      </c>
      <c r="EV23" s="51">
        <v>39</v>
      </c>
      <c r="EW23" s="31">
        <f>+IF(D58="X",1,0)</f>
        <v>1</v>
      </c>
      <c r="EX23" s="51">
        <v>100</v>
      </c>
      <c r="EY23" s="31">
        <f>+IF(D119="X",1,0)</f>
        <v>1</v>
      </c>
      <c r="EZ23" s="51">
        <v>20</v>
      </c>
      <c r="FA23" s="31">
        <f>+IF(E39="X",1,0)</f>
        <v>1</v>
      </c>
      <c r="FC23" s="51">
        <v>89</v>
      </c>
      <c r="FD23" s="31">
        <f>+IF(D108="X",1,0)</f>
        <v>1</v>
      </c>
      <c r="FE23" s="51">
        <v>90</v>
      </c>
      <c r="FF23" s="31">
        <f>+IF(D109="X",1,0)</f>
        <v>1</v>
      </c>
      <c r="FG23" s="51">
        <v>79</v>
      </c>
      <c r="FH23" s="31">
        <f>+IF(D98="X",1,0)</f>
        <v>0</v>
      </c>
      <c r="FJ23" s="51">
        <v>111</v>
      </c>
      <c r="FK23" s="31">
        <f>+IF(D130="X",1,0)</f>
        <v>0</v>
      </c>
      <c r="FL23" s="51">
        <v>59</v>
      </c>
      <c r="FM23" s="31">
        <f>+IF(D78="X",1,0)</f>
        <v>0</v>
      </c>
      <c r="FN23" s="51">
        <v>74</v>
      </c>
      <c r="FO23" s="31">
        <f>+IF(D93="X",1,0)</f>
        <v>0</v>
      </c>
      <c r="FQ23" s="51">
        <v>24</v>
      </c>
      <c r="FR23" s="31">
        <f>+IF(D43="X",1,0)</f>
        <v>1</v>
      </c>
      <c r="FS23" s="51">
        <v>88</v>
      </c>
      <c r="FT23" s="31">
        <f>+IF(D107="X",1,0)</f>
        <v>0</v>
      </c>
      <c r="FU23" s="51">
        <v>96</v>
      </c>
      <c r="FV23" s="31">
        <f>+IF(D115="X",1,0)</f>
        <v>0</v>
      </c>
    </row>
    <row r="24" spans="2:178" ht="17.25">
      <c r="B24" s="147">
        <v>5</v>
      </c>
      <c r="C24" s="148" t="s">
        <v>4</v>
      </c>
      <c r="D24" s="49"/>
      <c r="E24" s="49" t="s">
        <v>222</v>
      </c>
      <c r="F24" s="53">
        <v>5</v>
      </c>
      <c r="H24" s="27">
        <v>119</v>
      </c>
      <c r="I24" s="27">
        <f>+IF(D138="X",2,0)</f>
        <v>2</v>
      </c>
      <c r="J24" s="30">
        <v>135</v>
      </c>
      <c r="K24" s="27">
        <f>+IF(D154="X",2,0)</f>
        <v>2</v>
      </c>
      <c r="L24" s="30">
        <v>111</v>
      </c>
      <c r="M24" s="27">
        <f>+IF(D130="X",2,0)</f>
        <v>0</v>
      </c>
      <c r="N24" s="30">
        <v>109</v>
      </c>
      <c r="O24" s="27">
        <f>+IF(D128="X",2,0)</f>
        <v>0</v>
      </c>
      <c r="P24" s="30">
        <v>117</v>
      </c>
      <c r="Q24" s="27">
        <f>+IF(D136="X",2,0)</f>
        <v>0</v>
      </c>
      <c r="R24" s="30">
        <v>129</v>
      </c>
      <c r="S24" s="27">
        <f>+IF(D148="X",2,0)</f>
        <v>0</v>
      </c>
      <c r="T24" s="30">
        <v>87</v>
      </c>
      <c r="U24" s="27">
        <f>+IF(D106="X",2,0)</f>
        <v>0</v>
      </c>
      <c r="V24" s="30">
        <v>147</v>
      </c>
      <c r="W24" s="27">
        <f>+IF(D166="X",2,0)</f>
        <v>0</v>
      </c>
      <c r="X24" s="30">
        <v>103</v>
      </c>
      <c r="Y24" s="27">
        <f>+IF(D122="X",2,0)</f>
        <v>0</v>
      </c>
      <c r="Z24" s="30">
        <v>73</v>
      </c>
      <c r="AA24" s="27">
        <f>+IF(D92="X",2,0)</f>
        <v>2</v>
      </c>
      <c r="AB24" s="30">
        <v>122</v>
      </c>
      <c r="AC24" s="27">
        <f>+IF(D141="X",2,0)</f>
        <v>2</v>
      </c>
      <c r="AD24" s="30">
        <v>126</v>
      </c>
      <c r="AE24" s="27">
        <f>+IF(D145="X",2,0)</f>
        <v>2</v>
      </c>
      <c r="AG24" s="30">
        <v>112</v>
      </c>
      <c r="AH24" s="27">
        <f>+IF(D131="X",2,0)</f>
        <v>0</v>
      </c>
      <c r="AI24" s="30">
        <v>134</v>
      </c>
      <c r="AJ24" s="27">
        <f>+IF(D153="X",2,0)</f>
        <v>0</v>
      </c>
      <c r="AK24" s="52">
        <v>104</v>
      </c>
      <c r="AL24" s="27">
        <f>+IF(D123="X",2,0)</f>
        <v>2</v>
      </c>
      <c r="AN24" s="27">
        <v>123</v>
      </c>
      <c r="AO24" s="27">
        <f>+IF(D142="X",2,0)</f>
        <v>2</v>
      </c>
      <c r="AP24" s="27">
        <v>146</v>
      </c>
      <c r="AQ24" s="27">
        <f>+IF(D165="X",2,0)</f>
        <v>2</v>
      </c>
      <c r="AR24" s="27">
        <v>163</v>
      </c>
      <c r="AS24" s="27">
        <f>+IF(D182="X",2,0)</f>
        <v>2</v>
      </c>
      <c r="AT24" s="27">
        <v>151</v>
      </c>
      <c r="AU24" s="27">
        <f>+IF(D170="X",2,0)</f>
        <v>2</v>
      </c>
      <c r="AV24" s="27">
        <v>161</v>
      </c>
      <c r="AW24" s="27">
        <f>+IF(D180="X",2,0)</f>
        <v>0</v>
      </c>
      <c r="AX24" s="27">
        <v>116</v>
      </c>
      <c r="AY24" s="27">
        <f>+IF(D135="X",2,0)</f>
        <v>0</v>
      </c>
      <c r="AZ24" s="27">
        <v>150</v>
      </c>
      <c r="BA24" s="27">
        <f>+IF(D169="X",2,0)</f>
        <v>2</v>
      </c>
      <c r="BC24" s="27">
        <v>131</v>
      </c>
      <c r="BD24" s="27">
        <f>+IF(D150="X",2,0)</f>
        <v>2</v>
      </c>
      <c r="BE24" s="27">
        <v>101</v>
      </c>
      <c r="BF24" s="27">
        <f>+IF(D120="X",2,0)</f>
        <v>2</v>
      </c>
      <c r="BG24" s="27">
        <v>182</v>
      </c>
      <c r="BH24" s="27">
        <f>+IF(D201="X",2,0)</f>
        <v>0</v>
      </c>
      <c r="BK24" s="27">
        <v>8</v>
      </c>
      <c r="BL24" s="27">
        <f>+IF(D27="X",1,0)</f>
        <v>0</v>
      </c>
      <c r="BM24" s="27">
        <v>30</v>
      </c>
      <c r="BN24" s="27">
        <f>+IF(D49="X",1,0)</f>
        <v>0</v>
      </c>
      <c r="BO24" s="27">
        <v>18</v>
      </c>
      <c r="BP24" s="27">
        <f>+IF(D37="X",1,0)</f>
        <v>0</v>
      </c>
      <c r="BT24" s="27" t="s">
        <v>272</v>
      </c>
      <c r="BU24" s="27">
        <f>IF(D100&lt;&gt;D135,1,0)</f>
        <v>0</v>
      </c>
      <c r="BW24" s="30">
        <v>149</v>
      </c>
      <c r="BX24" s="30">
        <f>+IF(D168="X",1,0)</f>
        <v>1</v>
      </c>
      <c r="BY24" s="30">
        <v>178</v>
      </c>
      <c r="BZ24" s="30">
        <f>+IF(D197="X",1,0)</f>
        <v>1</v>
      </c>
      <c r="CA24" s="30">
        <v>90</v>
      </c>
      <c r="CB24" s="30">
        <f>+IF(D109="X",1,0)</f>
        <v>1</v>
      </c>
      <c r="CD24" s="30">
        <v>30</v>
      </c>
      <c r="CE24" s="30">
        <f>+IF(E49="X",1,0)</f>
        <v>1</v>
      </c>
      <c r="CF24" s="30">
        <v>156</v>
      </c>
      <c r="CG24" s="30">
        <f>+IF(D175="X",1,0)</f>
        <v>0</v>
      </c>
      <c r="CH24" s="30">
        <v>92</v>
      </c>
      <c r="CI24" s="30">
        <f>+IF(D111="X",1,0)</f>
        <v>1</v>
      </c>
      <c r="CK24" s="30">
        <v>52</v>
      </c>
      <c r="CL24" s="30">
        <f>+IF(D71="X",1,0)</f>
        <v>0</v>
      </c>
      <c r="CM24" s="30">
        <v>169</v>
      </c>
      <c r="CN24" s="30">
        <f>+IF(D188="X",1,0)</f>
        <v>0</v>
      </c>
      <c r="CO24" s="30">
        <v>107</v>
      </c>
      <c r="CP24" s="30">
        <f>+IF(D126="X",1,0)</f>
        <v>0</v>
      </c>
      <c r="CR24" s="31">
        <v>72</v>
      </c>
      <c r="CS24" s="31">
        <f>+IF(D91="X",1,0)</f>
        <v>0</v>
      </c>
      <c r="CT24" s="31">
        <v>173</v>
      </c>
      <c r="CU24" s="31">
        <f>+IF(D192="X",1,0)</f>
        <v>1</v>
      </c>
      <c r="CV24" s="31">
        <v>133</v>
      </c>
      <c r="CW24" s="31">
        <f>+IF(D152="X",1,0)</f>
        <v>0</v>
      </c>
      <c r="CY24" s="31">
        <v>132</v>
      </c>
      <c r="CZ24" s="31">
        <f>+IF(D151="X",1,0)</f>
        <v>0</v>
      </c>
      <c r="DA24" s="31">
        <v>6</v>
      </c>
      <c r="DB24" s="31">
        <f>+IF(E25="X",1,0)</f>
        <v>0</v>
      </c>
      <c r="DC24" s="31">
        <v>67</v>
      </c>
      <c r="DD24" s="31">
        <f>+IF(D86="X",1,0)</f>
        <v>1</v>
      </c>
      <c r="DF24" s="31">
        <v>129</v>
      </c>
      <c r="DG24" s="31">
        <f>+IF(D148="X",1,0)</f>
        <v>0</v>
      </c>
      <c r="DH24" s="51">
        <v>117</v>
      </c>
      <c r="DI24" s="31">
        <f>+IF(D136="X",1,0)</f>
        <v>0</v>
      </c>
      <c r="DJ24" s="51">
        <v>120</v>
      </c>
      <c r="DK24" s="31">
        <f>+IF(E139="X",1,0)</f>
        <v>0</v>
      </c>
      <c r="DM24" s="51">
        <v>117</v>
      </c>
      <c r="DN24" s="31">
        <f>+IF(D136="X",1,0)</f>
        <v>0</v>
      </c>
      <c r="DO24" s="51">
        <v>154</v>
      </c>
      <c r="DP24" s="31">
        <f>+IF(D173="X",1,0)</f>
        <v>0</v>
      </c>
      <c r="DQ24" s="51">
        <v>106</v>
      </c>
      <c r="DR24" s="31">
        <f>+IF(D125="X",1,0)</f>
        <v>0</v>
      </c>
      <c r="DT24" s="51">
        <v>159</v>
      </c>
      <c r="DU24" s="31">
        <f>+IF(D178="X",1,0)</f>
        <v>0</v>
      </c>
      <c r="DV24" s="51">
        <v>153</v>
      </c>
      <c r="DW24" s="31">
        <f>+IF(D172="X",1,0)</f>
        <v>0</v>
      </c>
      <c r="DX24" s="51">
        <v>85</v>
      </c>
      <c r="DY24" s="31">
        <f>+IF(D104="X",1,0)</f>
        <v>1</v>
      </c>
      <c r="EA24" s="51">
        <v>88</v>
      </c>
      <c r="EB24" s="31">
        <f>+IF(D107="X",1,0)</f>
        <v>0</v>
      </c>
      <c r="EC24" s="51">
        <v>141</v>
      </c>
      <c r="ED24" s="31">
        <f>+IF(D160="X",1,0)</f>
        <v>0</v>
      </c>
      <c r="EE24" s="51">
        <v>137</v>
      </c>
      <c r="EF24" s="31">
        <f>+IF(D156="X",1,0)</f>
        <v>1</v>
      </c>
      <c r="EH24" s="51">
        <v>174</v>
      </c>
      <c r="EI24" s="31">
        <f>+IF(D193="X",1,0)</f>
        <v>0</v>
      </c>
      <c r="EJ24" s="51">
        <v>99</v>
      </c>
      <c r="EK24" s="31">
        <f>+IF(D118="X",1,0)</f>
        <v>1</v>
      </c>
      <c r="EL24" s="51">
        <v>83</v>
      </c>
      <c r="EM24" s="31">
        <f>+IF(E102="X",1,0)</f>
        <v>1</v>
      </c>
      <c r="EO24" s="31">
        <v>96</v>
      </c>
      <c r="EP24" s="31">
        <f>+IF(D115="X",1,0)</f>
        <v>0</v>
      </c>
      <c r="EQ24" s="51">
        <v>39</v>
      </c>
      <c r="ER24" s="31">
        <f>+IF(D58="X",1,0)</f>
        <v>1</v>
      </c>
      <c r="ES24" s="51">
        <v>97</v>
      </c>
      <c r="ET24" s="31">
        <f>+IF(D116="X",1,0)</f>
        <v>0</v>
      </c>
      <c r="EV24" s="51">
        <v>52</v>
      </c>
      <c r="EW24" s="31">
        <f>+IF(D71="X",1,0)</f>
        <v>0</v>
      </c>
      <c r="EX24" s="51">
        <v>126</v>
      </c>
      <c r="EY24" s="31">
        <f>+IF(D145="X",1,0)</f>
        <v>1</v>
      </c>
      <c r="EZ24" s="51">
        <v>53</v>
      </c>
      <c r="FA24" s="31">
        <f>+IF(E72="X",1,0)</f>
        <v>1</v>
      </c>
      <c r="FC24" s="51">
        <v>92</v>
      </c>
      <c r="FD24" s="31">
        <f>+IF(D111="X",1,0)</f>
        <v>1</v>
      </c>
      <c r="FE24" s="51">
        <v>93</v>
      </c>
      <c r="FF24" s="31">
        <f>+IF(D112="X",1,0)</f>
        <v>0</v>
      </c>
      <c r="FG24" s="51">
        <v>88</v>
      </c>
      <c r="FH24" s="31">
        <f>+IF(D107="X",1,0)</f>
        <v>0</v>
      </c>
      <c r="FJ24" s="51">
        <v>151</v>
      </c>
      <c r="FK24" s="31">
        <f>+IF(D170="X",1,0)</f>
        <v>1</v>
      </c>
      <c r="FL24" s="51">
        <v>93</v>
      </c>
      <c r="FM24" s="31">
        <f>+IF(D112="X",1,0)</f>
        <v>0</v>
      </c>
      <c r="FN24" s="51">
        <v>80</v>
      </c>
      <c r="FO24" s="31">
        <f>+IF(D99="X",1,0)</f>
        <v>0</v>
      </c>
      <c r="FQ24" s="51">
        <v>104</v>
      </c>
      <c r="FR24" s="31">
        <f>+IF(D123="X",1,0)</f>
        <v>1</v>
      </c>
      <c r="FS24" s="51">
        <v>172</v>
      </c>
      <c r="FT24" s="31">
        <f>+IF(D191="X",1,0)</f>
        <v>0</v>
      </c>
      <c r="FU24" s="51">
        <v>106</v>
      </c>
      <c r="FV24" s="31">
        <f>+IF(D125="X",1,0)</f>
        <v>0</v>
      </c>
    </row>
    <row r="25" spans="2:178" ht="17.25">
      <c r="B25" s="147">
        <v>6</v>
      </c>
      <c r="C25" s="148" t="s">
        <v>5</v>
      </c>
      <c r="D25" s="49" t="s">
        <v>222</v>
      </c>
      <c r="E25" s="49"/>
      <c r="F25" s="53">
        <v>6</v>
      </c>
      <c r="H25" s="27">
        <v>139</v>
      </c>
      <c r="I25" s="27">
        <f>+IF(D158="X",2,0)</f>
        <v>2</v>
      </c>
      <c r="J25" s="30">
        <v>195</v>
      </c>
      <c r="K25" s="27">
        <f>+IF(D214="X",2,0)</f>
        <v>2</v>
      </c>
      <c r="L25" s="30">
        <v>169</v>
      </c>
      <c r="M25" s="27">
        <f>+IF(D188="X",2,0)</f>
        <v>0</v>
      </c>
      <c r="N25" s="30">
        <v>133</v>
      </c>
      <c r="O25" s="27">
        <f>+IF(D152="X",2,0)</f>
        <v>0</v>
      </c>
      <c r="P25" s="30">
        <v>154</v>
      </c>
      <c r="Q25" s="27">
        <f>+IF(D173="X",2,0)</f>
        <v>0</v>
      </c>
      <c r="R25" s="30">
        <v>155</v>
      </c>
      <c r="S25" s="27">
        <f>+IF(D174="X",2,0)</f>
        <v>0</v>
      </c>
      <c r="T25" s="30">
        <v>106</v>
      </c>
      <c r="U25" s="27">
        <f>+IF(D125="X",2,0)</f>
        <v>0</v>
      </c>
      <c r="V25" s="30">
        <v>183</v>
      </c>
      <c r="W25" s="27">
        <f>+IF(D202="X",2,0)</f>
        <v>0</v>
      </c>
      <c r="X25" s="30">
        <v>115</v>
      </c>
      <c r="Y25" s="27">
        <f>+IF(D134="X",2,0)</f>
        <v>0</v>
      </c>
      <c r="Z25" s="30">
        <v>128</v>
      </c>
      <c r="AA25" s="27">
        <f>+IF(D147="X",2,0)</f>
        <v>2</v>
      </c>
      <c r="AB25" s="30">
        <v>137</v>
      </c>
      <c r="AC25" s="27">
        <f>+IF(D156="X",2,0)</f>
        <v>2</v>
      </c>
      <c r="AD25" s="30">
        <v>166</v>
      </c>
      <c r="AE25" s="27">
        <f>+IF(D185="X",2,0)</f>
        <v>0</v>
      </c>
      <c r="AG25" s="30">
        <v>156</v>
      </c>
      <c r="AH25" s="27">
        <f>+IF(D175="X",2,0)</f>
        <v>0</v>
      </c>
      <c r="AI25" s="30">
        <v>164</v>
      </c>
      <c r="AJ25" s="27">
        <f>+IF(D183="X",2,0)</f>
        <v>0</v>
      </c>
      <c r="AK25" s="52">
        <v>136</v>
      </c>
      <c r="AL25" s="27">
        <f>+IF(D155="X",2,0)</f>
        <v>0</v>
      </c>
      <c r="AN25" s="27">
        <v>143</v>
      </c>
      <c r="AO25" s="27">
        <f>+IF(D162="X",2,0)</f>
        <v>2</v>
      </c>
      <c r="AP25" s="27">
        <v>1</v>
      </c>
      <c r="AQ25" s="27">
        <f>+IF(D20="X",1,0)</f>
        <v>1</v>
      </c>
      <c r="AR25" s="27">
        <v>177</v>
      </c>
      <c r="AS25" s="27">
        <f>+IF(D196="X",2,0)</f>
        <v>2</v>
      </c>
      <c r="AT25" s="27">
        <v>170</v>
      </c>
      <c r="AU25" s="27">
        <f>+IF(D189="X",2,0)</f>
        <v>2</v>
      </c>
      <c r="AV25" s="27">
        <v>65</v>
      </c>
      <c r="AW25" s="27">
        <f>+IF(D84="X",1,0)</f>
        <v>0</v>
      </c>
      <c r="AX25" s="27">
        <v>124</v>
      </c>
      <c r="AY25" s="27">
        <f>+IF(D143="X",2,0)</f>
        <v>0</v>
      </c>
      <c r="AZ25" s="27">
        <v>44</v>
      </c>
      <c r="BA25" s="27">
        <f>+IF(D63="X",1,0)</f>
        <v>1</v>
      </c>
      <c r="BC25" s="27">
        <v>138</v>
      </c>
      <c r="BD25" s="27">
        <f>+IF(D157="X",2,0)</f>
        <v>0</v>
      </c>
      <c r="BE25" s="27">
        <v>107</v>
      </c>
      <c r="BF25" s="27">
        <f>+IF(D126="X",2,0)</f>
        <v>0</v>
      </c>
      <c r="BG25" s="27">
        <v>13</v>
      </c>
      <c r="BH25" s="27">
        <f>+IF(D32="X",1,0)</f>
        <v>0</v>
      </c>
      <c r="BK25" s="27">
        <v>9</v>
      </c>
      <c r="BL25" s="27">
        <f>+IF(D28="X",1,0)</f>
        <v>0</v>
      </c>
      <c r="BM25" s="27">
        <v>46</v>
      </c>
      <c r="BN25" s="27">
        <f>+IF(D65="X",1,0)</f>
        <v>0</v>
      </c>
      <c r="BO25" s="27">
        <v>22</v>
      </c>
      <c r="BP25" s="27">
        <f>+IF(D41="X",1,0)</f>
        <v>1</v>
      </c>
      <c r="BT25" s="27" t="s">
        <v>273</v>
      </c>
      <c r="BU25" s="27">
        <f>IF(D104&lt;&gt;D145,1,0)</f>
        <v>0</v>
      </c>
      <c r="BW25" s="30">
        <v>180</v>
      </c>
      <c r="BX25" s="30">
        <f>+IF(D199="X",1,0)</f>
        <v>0</v>
      </c>
      <c r="BY25" s="30">
        <v>195</v>
      </c>
      <c r="BZ25" s="30">
        <f>+IF(D214="X",1,0)</f>
        <v>1</v>
      </c>
      <c r="CA25" s="30">
        <v>92</v>
      </c>
      <c r="CB25" s="30">
        <f>+IF(D111="X",1,0)</f>
        <v>1</v>
      </c>
      <c r="CD25" s="30">
        <v>46</v>
      </c>
      <c r="CE25" s="30">
        <f>+IF(E65="X",1,0)</f>
        <v>1</v>
      </c>
      <c r="CF25" s="30">
        <v>178</v>
      </c>
      <c r="CG25" s="30">
        <f>+IF(D197="X",1,0)</f>
        <v>1</v>
      </c>
      <c r="CH25" s="30">
        <v>93</v>
      </c>
      <c r="CI25" s="30">
        <f>+IF(D112="X",1,0)</f>
        <v>0</v>
      </c>
      <c r="CK25" s="30">
        <v>71</v>
      </c>
      <c r="CL25" s="30">
        <f>+IF(D90="X",1,0)</f>
        <v>1</v>
      </c>
      <c r="CM25" s="30">
        <v>175</v>
      </c>
      <c r="CN25" s="30">
        <f>+IF(D194="X",1,0)</f>
        <v>1</v>
      </c>
      <c r="CO25" s="30">
        <v>111</v>
      </c>
      <c r="CP25" s="30">
        <f>+IF(D130="X",1,0)</f>
        <v>0</v>
      </c>
      <c r="CR25" s="31">
        <v>99</v>
      </c>
      <c r="CS25" s="31">
        <f>+IF(D118="X",1,0)</f>
        <v>1</v>
      </c>
      <c r="CT25" s="31">
        <v>194</v>
      </c>
      <c r="CU25" s="31">
        <f>+IF(D213="X",1,0)</f>
        <v>1</v>
      </c>
      <c r="CV25" s="31">
        <v>151</v>
      </c>
      <c r="CW25" s="31">
        <f>+IF(D170="X",1,0)</f>
        <v>1</v>
      </c>
      <c r="CY25" s="31">
        <v>142</v>
      </c>
      <c r="CZ25" s="31">
        <f>+IF(D161="X",1,0)</f>
        <v>0</v>
      </c>
      <c r="DA25" s="31">
        <v>15</v>
      </c>
      <c r="DB25" s="31">
        <f>+IF(E34="X",1,0)</f>
        <v>0</v>
      </c>
      <c r="DC25" s="31">
        <v>75</v>
      </c>
      <c r="DD25" s="31">
        <f>+IF(D94="X",1,0)</f>
        <v>0</v>
      </c>
      <c r="DF25" s="31">
        <v>155</v>
      </c>
      <c r="DG25" s="31">
        <f>+IF(D174="X",1,0)</f>
        <v>0</v>
      </c>
      <c r="DH25" s="51">
        <v>154</v>
      </c>
      <c r="DI25" s="31">
        <f>+IF(D173="X",1,0)</f>
        <v>0</v>
      </c>
      <c r="DJ25" s="51">
        <v>156</v>
      </c>
      <c r="DK25" s="31">
        <f>+IF(E175="X",1,0)</f>
        <v>1</v>
      </c>
      <c r="DM25" s="51">
        <v>132</v>
      </c>
      <c r="DN25" s="31">
        <f>+IF(D151="X",1,0)</f>
        <v>0</v>
      </c>
      <c r="DO25" s="51">
        <v>155</v>
      </c>
      <c r="DP25" s="31">
        <f>+IF(D174="X",1,0)</f>
        <v>0</v>
      </c>
      <c r="DQ25" s="51">
        <v>180</v>
      </c>
      <c r="DR25" s="31">
        <f>+IF(D199="X",1,0)</f>
        <v>0</v>
      </c>
      <c r="DT25" s="51">
        <v>171</v>
      </c>
      <c r="DU25" s="31">
        <f>+IF(D190="X",1,0)</f>
        <v>0</v>
      </c>
      <c r="DV25" s="51">
        <v>168</v>
      </c>
      <c r="DW25" s="31">
        <f>+IF(D187="X",1,0)</f>
        <v>0</v>
      </c>
      <c r="DX25" s="31">
        <v>105</v>
      </c>
      <c r="DY25" s="31">
        <f>+IF(D124="X",1,0)</f>
        <v>0</v>
      </c>
      <c r="EA25" s="51">
        <v>103</v>
      </c>
      <c r="EB25" s="31">
        <f>+IF(D122="X",1,0)</f>
        <v>0</v>
      </c>
      <c r="EC25" s="51">
        <v>166</v>
      </c>
      <c r="ED25" s="31">
        <f>+IF(D185="X",1,0)</f>
        <v>0</v>
      </c>
      <c r="EE25" s="51">
        <v>145</v>
      </c>
      <c r="EF25" s="31">
        <f>+IF(D164="X",1,0)</f>
        <v>0</v>
      </c>
      <c r="EH25" s="51">
        <v>188</v>
      </c>
      <c r="EI25" s="31">
        <f>+IF(D207="X",1,0)</f>
        <v>0</v>
      </c>
      <c r="EJ25" s="51">
        <v>128</v>
      </c>
      <c r="EK25" s="31">
        <f>+IF(D147="X",1,0)</f>
        <v>1</v>
      </c>
      <c r="EL25" s="51">
        <v>147</v>
      </c>
      <c r="EM25" s="31">
        <f>+IF(E166="X",1,0)</f>
        <v>1</v>
      </c>
      <c r="EO25" s="31">
        <v>100</v>
      </c>
      <c r="EP25" s="31">
        <f>+IF(D119="X",1,0)</f>
        <v>1</v>
      </c>
      <c r="EQ25" s="51">
        <v>51</v>
      </c>
      <c r="ER25" s="31">
        <f>+IF(D70="X",1,0)</f>
        <v>1</v>
      </c>
      <c r="ES25" s="51">
        <v>115</v>
      </c>
      <c r="ET25" s="31">
        <f>+IF(D134="X",1,0)</f>
        <v>0</v>
      </c>
      <c r="EV25" s="51">
        <v>59</v>
      </c>
      <c r="EW25" s="31">
        <f>+IF(D78="X",1,0)</f>
        <v>0</v>
      </c>
      <c r="EX25" s="51">
        <v>156</v>
      </c>
      <c r="EY25" s="31">
        <f>+IF(D175="X",1,0)</f>
        <v>0</v>
      </c>
      <c r="EZ25" s="51">
        <v>67</v>
      </c>
      <c r="FA25" s="31">
        <f>+IF(E86="X",1,0)</f>
        <v>0</v>
      </c>
      <c r="FC25" s="51">
        <v>121</v>
      </c>
      <c r="FD25" s="31">
        <f>+IF(D140="X",1,0)</f>
        <v>1</v>
      </c>
      <c r="FE25" s="51">
        <v>111</v>
      </c>
      <c r="FF25" s="31">
        <f>+IF(D130="X",1,0)</f>
        <v>0</v>
      </c>
      <c r="FG25" s="51">
        <v>106</v>
      </c>
      <c r="FH25" s="31">
        <f>+IF(D125="X",1,0)</f>
        <v>0</v>
      </c>
      <c r="FJ25" s="51">
        <v>156</v>
      </c>
      <c r="FK25" s="31">
        <f>+IF(D175="X",1,0)</f>
        <v>0</v>
      </c>
      <c r="FL25" s="51">
        <v>100</v>
      </c>
      <c r="FM25" s="31">
        <f>+IF(D119="X",1,0)</f>
        <v>1</v>
      </c>
      <c r="FN25" s="51">
        <v>82</v>
      </c>
      <c r="FO25" s="31">
        <f>+IF(D101="X",1,0)</f>
        <v>0</v>
      </c>
      <c r="FQ25" s="51">
        <v>149</v>
      </c>
      <c r="FR25" s="31">
        <f>+IF(D168="X",1,0)</f>
        <v>1</v>
      </c>
      <c r="FS25" s="51">
        <v>182</v>
      </c>
      <c r="FT25" s="31">
        <f>+IF(D201="X",1,0)</f>
        <v>0</v>
      </c>
      <c r="FU25" s="51">
        <v>112</v>
      </c>
      <c r="FV25" s="31">
        <f>+IF(D131="X",1,0)</f>
        <v>0</v>
      </c>
    </row>
    <row r="26" spans="2:178" ht="17.25">
      <c r="B26" s="147">
        <v>7</v>
      </c>
      <c r="C26" s="148" t="s">
        <v>6</v>
      </c>
      <c r="D26" s="49" t="s">
        <v>222</v>
      </c>
      <c r="E26" s="49"/>
      <c r="F26" s="53">
        <v>7</v>
      </c>
      <c r="H26" s="27">
        <v>149</v>
      </c>
      <c r="I26" s="27">
        <f>+IF(D168="X",2,0)</f>
        <v>2</v>
      </c>
      <c r="J26" s="30">
        <v>23</v>
      </c>
      <c r="K26" s="27">
        <f>+IF(D42="X",1,0)</f>
        <v>1</v>
      </c>
      <c r="L26" s="30">
        <v>175</v>
      </c>
      <c r="M26" s="27">
        <f>+IF(D194="X",2,0)</f>
        <v>2</v>
      </c>
      <c r="N26" s="30">
        <v>162</v>
      </c>
      <c r="O26" s="27">
        <f>+IF(D181="X",2,0)</f>
        <v>2</v>
      </c>
      <c r="P26" s="30">
        <v>171</v>
      </c>
      <c r="Q26" s="27">
        <f>+IF(D190="X",2,0)</f>
        <v>0</v>
      </c>
      <c r="R26" s="30">
        <v>174</v>
      </c>
      <c r="S26" s="27">
        <f>+IF(D193="X",2,0)</f>
        <v>0</v>
      </c>
      <c r="T26" s="30">
        <v>132</v>
      </c>
      <c r="U26" s="27">
        <f>+IF(D151="X",2,0)</f>
        <v>0</v>
      </c>
      <c r="V26" s="30">
        <v>191</v>
      </c>
      <c r="W26" s="27">
        <f>+IF(D210="X",2,0)</f>
        <v>0</v>
      </c>
      <c r="X26" s="30">
        <v>141</v>
      </c>
      <c r="Y26" s="27">
        <f>+IF(D160="X",2,0)</f>
        <v>0</v>
      </c>
      <c r="Z26" s="30">
        <v>140</v>
      </c>
      <c r="AA26" s="27">
        <f>+IF(D159="X",2,0)</f>
        <v>2</v>
      </c>
      <c r="AB26" s="30">
        <v>167</v>
      </c>
      <c r="AC26" s="27">
        <f>+IF(D186="X",2,0)</f>
        <v>2</v>
      </c>
      <c r="AD26" s="30">
        <v>192</v>
      </c>
      <c r="AE26" s="27">
        <f>+IF(D211="X",2,0)</f>
        <v>0</v>
      </c>
      <c r="AG26" s="30">
        <v>165</v>
      </c>
      <c r="AH26" s="27">
        <f>+IF(D184="X",2,0)</f>
        <v>0</v>
      </c>
      <c r="AI26" s="30">
        <v>178</v>
      </c>
      <c r="AJ26" s="27">
        <f>+IF(D197="X",2,0)</f>
        <v>2</v>
      </c>
      <c r="AK26" s="52">
        <v>153</v>
      </c>
      <c r="AL26" s="27">
        <f>+IF(D172="X",2,0)</f>
        <v>0</v>
      </c>
      <c r="AN26" s="27">
        <v>33</v>
      </c>
      <c r="AO26" s="27">
        <f>+IF(D52="X",1,0)</f>
        <v>1</v>
      </c>
      <c r="AP26" s="27">
        <v>57</v>
      </c>
      <c r="AQ26" s="27">
        <f>+IF(D76="X",1,0)</f>
        <v>1</v>
      </c>
      <c r="AR26" s="27">
        <v>37</v>
      </c>
      <c r="AS26" s="27">
        <f>+IF(D56="X",1,0)</f>
        <v>1</v>
      </c>
      <c r="AT26" s="27">
        <v>17</v>
      </c>
      <c r="AU26" s="27">
        <f>+IF(D36="X",1,0)</f>
        <v>1</v>
      </c>
      <c r="AV26" s="27">
        <v>83</v>
      </c>
      <c r="AW26" s="27">
        <f>+IF(D102="X",1,0)</f>
        <v>0</v>
      </c>
      <c r="AX26" s="27">
        <v>144</v>
      </c>
      <c r="AY26" s="27">
        <f>+IF(D163="X",2,0)</f>
        <v>0</v>
      </c>
      <c r="AZ26" s="27">
        <v>47</v>
      </c>
      <c r="BA26" s="27">
        <f>+IF(D66="X",1,0)</f>
        <v>1</v>
      </c>
      <c r="BC26" s="27">
        <v>18</v>
      </c>
      <c r="BD26" s="27">
        <f>+IF(D37="X",1,0)</f>
        <v>0</v>
      </c>
      <c r="BE26" s="27">
        <v>114</v>
      </c>
      <c r="BF26" s="27">
        <f>+IF(D133="X",2,0)</f>
        <v>2</v>
      </c>
      <c r="BG26" s="27">
        <v>54</v>
      </c>
      <c r="BH26" s="27">
        <f>+IF(D73="X",1,0)</f>
        <v>0</v>
      </c>
      <c r="BK26" s="27">
        <v>10</v>
      </c>
      <c r="BL26" s="27">
        <f>+IF(D29="X",1,0)</f>
        <v>0</v>
      </c>
      <c r="BM26" s="27">
        <v>67</v>
      </c>
      <c r="BN26" s="27">
        <f>+IF(D86="X",1,0)</f>
        <v>1</v>
      </c>
      <c r="BO26" s="27">
        <v>28</v>
      </c>
      <c r="BP26" s="27">
        <f>+IF(D47="X",1,0)</f>
        <v>1</v>
      </c>
      <c r="BT26" s="27" t="s">
        <v>274</v>
      </c>
      <c r="BU26" s="27">
        <f>IF(D95&lt;&gt;D169,1,0)</f>
        <v>0</v>
      </c>
      <c r="BW26" s="30">
        <v>190</v>
      </c>
      <c r="BX26" s="30">
        <f>+IF(D209="X",1,0)</f>
        <v>0</v>
      </c>
      <c r="BY26" s="30">
        <v>30</v>
      </c>
      <c r="BZ26" s="30">
        <f>+IF(E49="X",1,0)</f>
        <v>1</v>
      </c>
      <c r="CA26" s="30">
        <v>111</v>
      </c>
      <c r="CB26" s="30">
        <f>+IF(D130="X",1,0)</f>
        <v>0</v>
      </c>
      <c r="CD26" s="30">
        <v>84</v>
      </c>
      <c r="CE26" s="30">
        <f>+IF(E103="X",1,0)</f>
        <v>0</v>
      </c>
      <c r="CF26" s="30">
        <v>192</v>
      </c>
      <c r="CG26" s="30">
        <f>+IF(D211="X",1,0)</f>
        <v>0</v>
      </c>
      <c r="CH26" s="30">
        <v>112</v>
      </c>
      <c r="CI26" s="30">
        <f>+IF(D131="X",1,0)</f>
        <v>0</v>
      </c>
      <c r="CK26" s="30">
        <v>89</v>
      </c>
      <c r="CL26" s="30">
        <f>+IF(D108="X",1,0)</f>
        <v>1</v>
      </c>
      <c r="CM26" s="30">
        <v>178</v>
      </c>
      <c r="CN26" s="30">
        <f>+IF(D197="X",1,0)</f>
        <v>1</v>
      </c>
      <c r="CO26" s="30">
        <v>170</v>
      </c>
      <c r="CP26" s="30">
        <f>+IF(D189="X",1,0)</f>
        <v>1</v>
      </c>
      <c r="CR26" s="31">
        <v>109</v>
      </c>
      <c r="CS26" s="31">
        <f>+IF(D128="X",1,0)</f>
        <v>0</v>
      </c>
      <c r="CT26" s="31">
        <v>185</v>
      </c>
      <c r="CU26" s="31">
        <f>+IF(E204="X",1,0)</f>
        <v>1</v>
      </c>
      <c r="CV26" s="31">
        <v>175</v>
      </c>
      <c r="CW26" s="31">
        <f>+IF(D194="X",1,0)</f>
        <v>1</v>
      </c>
      <c r="CY26" s="31">
        <v>171</v>
      </c>
      <c r="CZ26" s="31">
        <f>+IF(D190="X",1,0)</f>
        <v>0</v>
      </c>
      <c r="DA26" s="31">
        <v>24</v>
      </c>
      <c r="DB26" s="31">
        <f>+IF(E43="X",1,0)</f>
        <v>0</v>
      </c>
      <c r="DC26" s="31">
        <v>155</v>
      </c>
      <c r="DD26" s="31">
        <f>+IF(D174="X",1,0)</f>
        <v>0</v>
      </c>
      <c r="DF26" s="31">
        <v>174</v>
      </c>
      <c r="DG26" s="31">
        <f>+IF(D193="X",1,0)</f>
        <v>0</v>
      </c>
      <c r="DH26" s="51">
        <v>5</v>
      </c>
      <c r="DI26" s="31">
        <f>+IF(E24="X",1,0)</f>
        <v>1</v>
      </c>
      <c r="DJ26" s="51">
        <v>175</v>
      </c>
      <c r="DK26" s="31">
        <f>+IF(E194="X",1,0)</f>
        <v>0</v>
      </c>
      <c r="DM26" s="51">
        <v>159</v>
      </c>
      <c r="DN26" s="31">
        <f>+IF(D178="X",1,0)</f>
        <v>0</v>
      </c>
      <c r="DO26" s="51">
        <v>174</v>
      </c>
      <c r="DP26" s="31">
        <f>+IF(D193="X",1,0)</f>
        <v>0</v>
      </c>
      <c r="DQ26" s="51">
        <v>189</v>
      </c>
      <c r="DR26" s="31">
        <f>+IF(D208="X",1,0)</f>
        <v>0</v>
      </c>
      <c r="DT26" s="51">
        <v>183</v>
      </c>
      <c r="DU26" s="31">
        <f>+IF(D202="X",1,0)</f>
        <v>0</v>
      </c>
      <c r="DV26" s="51">
        <v>191</v>
      </c>
      <c r="DW26" s="31">
        <f>+IF(D210="X",1,0)</f>
        <v>0</v>
      </c>
      <c r="DX26" s="31">
        <v>126</v>
      </c>
      <c r="DY26" s="31">
        <f>+IF(D145="X",1,0)</f>
        <v>1</v>
      </c>
      <c r="EA26" s="51">
        <v>152</v>
      </c>
      <c r="EB26" s="31">
        <f>+IF(D171="X",1,0)</f>
        <v>0</v>
      </c>
      <c r="EC26" s="51">
        <v>187</v>
      </c>
      <c r="ED26" s="31">
        <f>+IF(D206="X",1,0)</f>
        <v>1</v>
      </c>
      <c r="EE26" s="51">
        <v>168</v>
      </c>
      <c r="EF26" s="31">
        <f>+IF(D187="X",1,0)</f>
        <v>0</v>
      </c>
      <c r="EH26" s="51">
        <v>85</v>
      </c>
      <c r="EI26" s="31">
        <f>+IF(E104="X",1,0)</f>
        <v>0</v>
      </c>
      <c r="EJ26" s="51">
        <v>131</v>
      </c>
      <c r="EK26" s="31">
        <f>+IF(D150="X",1,0)</f>
        <v>1</v>
      </c>
      <c r="EL26" s="51">
        <v>152</v>
      </c>
      <c r="EM26" s="31">
        <f>+IF(E171="X",1,0)</f>
        <v>1</v>
      </c>
      <c r="EO26" s="31">
        <v>122</v>
      </c>
      <c r="EP26" s="31">
        <f>+IF(D141="X",1,0)</f>
        <v>1</v>
      </c>
      <c r="EQ26" s="51">
        <v>52</v>
      </c>
      <c r="ER26" s="31">
        <f>+IF(D71="X",1,0)</f>
        <v>0</v>
      </c>
      <c r="ES26" s="51">
        <v>137</v>
      </c>
      <c r="ET26" s="31">
        <f>+IF(D156="X",1,0)</f>
        <v>1</v>
      </c>
      <c r="EV26" s="51">
        <v>70</v>
      </c>
      <c r="EW26" s="31">
        <f>+IF(D89="X",1,0)</f>
        <v>1</v>
      </c>
      <c r="EX26" s="51">
        <v>166</v>
      </c>
      <c r="EY26" s="31">
        <f>+IF(D185="X",1,0)</f>
        <v>0</v>
      </c>
      <c r="EZ26" s="51">
        <v>75</v>
      </c>
      <c r="FA26" s="31">
        <f>+IF(E94="X",1,0)</f>
        <v>1</v>
      </c>
      <c r="FC26" s="51">
        <v>123</v>
      </c>
      <c r="FD26" s="31">
        <f>+IF(D142="X",1,0)</f>
        <v>1</v>
      </c>
      <c r="FE26" s="51">
        <v>126</v>
      </c>
      <c r="FF26" s="31">
        <f>+IF(D145="X",1,0)</f>
        <v>1</v>
      </c>
      <c r="FG26" s="51">
        <v>112</v>
      </c>
      <c r="FH26" s="31">
        <f>+IF(D131="X",1,0)</f>
        <v>0</v>
      </c>
      <c r="FJ26" s="51">
        <v>170</v>
      </c>
      <c r="FK26" s="31">
        <f>+IF(D189="X",1,0)</f>
        <v>1</v>
      </c>
      <c r="FL26" s="51">
        <v>126</v>
      </c>
      <c r="FM26" s="31">
        <f>+IF(D145="X",1,0)</f>
        <v>1</v>
      </c>
      <c r="FN26" s="51">
        <v>115</v>
      </c>
      <c r="FO26" s="31">
        <f>+IF(D134="X",1,0)</f>
        <v>0</v>
      </c>
      <c r="FQ26" s="51">
        <v>153</v>
      </c>
      <c r="FR26" s="31">
        <f>+IF(D172="X",1,0)</f>
        <v>0</v>
      </c>
      <c r="FS26" s="51">
        <v>184</v>
      </c>
      <c r="FT26" s="31">
        <f>+IF(D203="X",1,0)</f>
        <v>1</v>
      </c>
      <c r="FU26" s="51">
        <v>122</v>
      </c>
      <c r="FV26" s="31">
        <f>+IF(D141="X",1,0)</f>
        <v>1</v>
      </c>
    </row>
    <row r="27" spans="2:178" ht="17.25">
      <c r="B27" s="147">
        <v>8</v>
      </c>
      <c r="C27" s="148" t="s">
        <v>7</v>
      </c>
      <c r="D27" s="49"/>
      <c r="E27" s="49" t="s">
        <v>222</v>
      </c>
      <c r="F27" s="53">
        <v>8</v>
      </c>
      <c r="H27" s="27">
        <v>180</v>
      </c>
      <c r="I27" s="27">
        <f>+IF(D199="X",2,0)</f>
        <v>0</v>
      </c>
      <c r="J27" s="30">
        <v>24</v>
      </c>
      <c r="K27" s="27">
        <f>+IF(D43="X",1,0)</f>
        <v>1</v>
      </c>
      <c r="L27" s="30">
        <v>184</v>
      </c>
      <c r="M27" s="27">
        <f>+IF(D203="X",2,0)</f>
        <v>2</v>
      </c>
      <c r="N27" s="30">
        <v>173</v>
      </c>
      <c r="O27" s="27">
        <f>+IF(D192="X",2,0)</f>
        <v>2</v>
      </c>
      <c r="P27" s="30">
        <v>8</v>
      </c>
      <c r="Q27" s="27">
        <f>+IF(D27="X",1,0)</f>
        <v>0</v>
      </c>
      <c r="R27" s="30">
        <v>185</v>
      </c>
      <c r="S27" s="27">
        <f>+IF(D204="X",2,0)</f>
        <v>0</v>
      </c>
      <c r="T27" s="30">
        <v>142</v>
      </c>
      <c r="U27" s="27">
        <f>+IF(D161="X",2,0)</f>
        <v>0</v>
      </c>
      <c r="V27" s="30">
        <v>36</v>
      </c>
      <c r="W27" s="27">
        <f>+IF(D55="X",1,0)</f>
        <v>0</v>
      </c>
      <c r="X27" s="30">
        <v>152</v>
      </c>
      <c r="Y27" s="27">
        <f>+IF(D171="X",2,0)</f>
        <v>0</v>
      </c>
      <c r="Z27" s="30">
        <v>158</v>
      </c>
      <c r="AA27" s="27">
        <f>+IF(D177="X",2,0)</f>
        <v>2</v>
      </c>
      <c r="AB27" s="30">
        <v>187</v>
      </c>
      <c r="AC27" s="27">
        <f>+IF(D206="X",2,0)</f>
        <v>2</v>
      </c>
      <c r="AD27" s="30">
        <v>4</v>
      </c>
      <c r="AE27" s="27">
        <f>+IF(D23="X",1,0)</f>
        <v>0</v>
      </c>
      <c r="AG27" s="30">
        <v>190</v>
      </c>
      <c r="AH27" s="27">
        <f>+IF(D209="X",2,0)</f>
        <v>0</v>
      </c>
      <c r="AI27" s="30">
        <v>4</v>
      </c>
      <c r="AJ27" s="27">
        <f>+IF(D23="X",1,0)</f>
        <v>0</v>
      </c>
      <c r="AK27" s="52">
        <v>172</v>
      </c>
      <c r="AL27" s="27">
        <f>+IF(D191="X",2,0)</f>
        <v>0</v>
      </c>
      <c r="AN27" s="27">
        <v>41</v>
      </c>
      <c r="AO27" s="27">
        <f>+IF(D60="X",1,0)</f>
        <v>1</v>
      </c>
      <c r="AP27" s="27">
        <v>113</v>
      </c>
      <c r="AQ27" s="27">
        <f>+IF(D132="X",1,0)</f>
        <v>1</v>
      </c>
      <c r="AR27" s="27">
        <v>50</v>
      </c>
      <c r="AS27" s="27">
        <f>+IF(D69="X",1,0)</f>
        <v>0</v>
      </c>
      <c r="AT27" s="27">
        <v>28</v>
      </c>
      <c r="AU27" s="27">
        <f>+IF(D47="X",1,0)</f>
        <v>1</v>
      </c>
      <c r="AV27" s="27">
        <v>126</v>
      </c>
      <c r="AW27" s="27">
        <f>+IF(D145="X",1,0)</f>
        <v>1</v>
      </c>
      <c r="AX27" s="27">
        <v>11</v>
      </c>
      <c r="AY27" s="27">
        <f>+IF(D30="X",1,0)</f>
        <v>0</v>
      </c>
      <c r="AZ27" s="27">
        <v>57</v>
      </c>
      <c r="BA27" s="27">
        <f>+IF(D76="X",1,0)</f>
        <v>1</v>
      </c>
      <c r="BC27" s="27">
        <v>24</v>
      </c>
      <c r="BD27" s="27">
        <f>+IF(D43="X",1,0)</f>
        <v>1</v>
      </c>
      <c r="BE27" s="27">
        <v>28</v>
      </c>
      <c r="BF27" s="27">
        <f>+IF(D47="X",1,0)</f>
        <v>1</v>
      </c>
      <c r="BG27" s="27">
        <v>79</v>
      </c>
      <c r="BH27" s="27">
        <f>+IF(D98="X",1,0)</f>
        <v>0</v>
      </c>
      <c r="BK27" s="27">
        <v>11</v>
      </c>
      <c r="BL27" s="27">
        <f>+IF(D30="X",1,0)</f>
        <v>0</v>
      </c>
      <c r="BM27" s="27">
        <v>73</v>
      </c>
      <c r="BN27" s="27">
        <f>+IF(D92="X",1,0)</f>
        <v>1</v>
      </c>
      <c r="BO27" s="27">
        <v>31</v>
      </c>
      <c r="BP27" s="27">
        <f>+IF(D50="X",1,0)</f>
        <v>1</v>
      </c>
      <c r="BT27" s="27" t="s">
        <v>275</v>
      </c>
      <c r="BU27" s="27">
        <f>IF(D44&lt;&gt;D113,1,0)</f>
        <v>0</v>
      </c>
      <c r="BW27" s="30">
        <v>154</v>
      </c>
      <c r="BX27" s="30">
        <f>+IF(E173="X",1,0)</f>
        <v>1</v>
      </c>
      <c r="BY27" s="30">
        <v>46</v>
      </c>
      <c r="BZ27" s="30">
        <f>+IF(E65="X",1,0)</f>
        <v>1</v>
      </c>
      <c r="CA27" s="30">
        <v>118</v>
      </c>
      <c r="CB27" s="30">
        <f>+IF(D137="X",1,0)</f>
        <v>1</v>
      </c>
      <c r="CD27" s="30">
        <v>154</v>
      </c>
      <c r="CE27" s="30">
        <f>+IF(E173="X",1,0)</f>
        <v>1</v>
      </c>
      <c r="CF27" s="30">
        <v>193</v>
      </c>
      <c r="CG27" s="30">
        <f>+IF(D212="X",1,0)</f>
        <v>0</v>
      </c>
      <c r="CH27" s="30">
        <v>184</v>
      </c>
      <c r="CI27" s="30">
        <f>+IF(D203="X",1,0)</f>
        <v>1</v>
      </c>
      <c r="CK27" s="30">
        <v>126</v>
      </c>
      <c r="CL27" s="30">
        <f>+IF(D145="X",1,0)</f>
        <v>1</v>
      </c>
      <c r="CM27" s="30">
        <v>192</v>
      </c>
      <c r="CN27" s="30">
        <f>+IF(D211="X",1,0)</f>
        <v>0</v>
      </c>
      <c r="CO27" s="30">
        <v>193</v>
      </c>
      <c r="CP27" s="30">
        <f>+IF(D212="X",1,0)</f>
        <v>0</v>
      </c>
      <c r="CR27" s="31">
        <v>135</v>
      </c>
      <c r="CS27" s="31">
        <f>+IF(D154="X",1,0)</f>
        <v>1</v>
      </c>
      <c r="CU27" s="28">
        <f>SUM(CU20:CU26)</f>
        <v>6</v>
      </c>
      <c r="CV27" s="31">
        <v>53</v>
      </c>
      <c r="CW27" s="31">
        <f>+IF(E72="X",1,0)</f>
        <v>1</v>
      </c>
      <c r="CZ27" s="28">
        <f>SUM(CZ20:CZ26)</f>
        <v>0</v>
      </c>
      <c r="DA27" s="31">
        <v>26</v>
      </c>
      <c r="DB27" s="31">
        <f>+IF(E45="X",1,0)</f>
        <v>0</v>
      </c>
      <c r="DC27" s="31">
        <v>174</v>
      </c>
      <c r="DD27" s="31">
        <f>+IF(D193="X",1,0)</f>
        <v>0</v>
      </c>
      <c r="DF27" s="31">
        <v>185</v>
      </c>
      <c r="DG27" s="31">
        <f>+IF(D204="X",1,0)</f>
        <v>0</v>
      </c>
      <c r="DH27" s="51">
        <v>26</v>
      </c>
      <c r="DI27" s="31">
        <f>+IF(E45="X",1,0)</f>
        <v>0</v>
      </c>
      <c r="DJ27" s="51">
        <v>178</v>
      </c>
      <c r="DK27" s="31">
        <f>+IF(E197="X",1,0)</f>
        <v>0</v>
      </c>
      <c r="DM27" s="51">
        <v>171</v>
      </c>
      <c r="DN27" s="31">
        <f>+IF(D190="X",1,0)</f>
        <v>0</v>
      </c>
      <c r="DO27" s="51">
        <v>185</v>
      </c>
      <c r="DP27" s="31">
        <f>+IF(D204="X",1,0)</f>
        <v>0</v>
      </c>
      <c r="DQ27" s="51">
        <v>191</v>
      </c>
      <c r="DR27" s="31">
        <f>+IF(D210="X",1,0)</f>
        <v>0</v>
      </c>
      <c r="DT27" s="51">
        <v>188</v>
      </c>
      <c r="DU27" s="31">
        <f>+IF(E207="X",1,0)</f>
        <v>1</v>
      </c>
      <c r="DV27" s="51">
        <v>48</v>
      </c>
      <c r="DW27" s="31">
        <f>+IF(E67="X",1,0)</f>
        <v>0</v>
      </c>
      <c r="DX27" s="31">
        <v>130</v>
      </c>
      <c r="DY27" s="31">
        <f>+IF(D149="X",1,0)</f>
        <v>0</v>
      </c>
      <c r="EA27" s="51">
        <v>153</v>
      </c>
      <c r="EB27" s="31">
        <f>+IF(D172="X",1,0)</f>
        <v>0</v>
      </c>
      <c r="ED27" s="28">
        <f>SUM(ED20:ED26)</f>
        <v>1</v>
      </c>
      <c r="EF27" s="28">
        <f>SUM(EF20:EF26)</f>
        <v>2</v>
      </c>
      <c r="EH27" s="51">
        <v>118</v>
      </c>
      <c r="EI27" s="31">
        <f>+IF(E137="X",1,0)</f>
        <v>0</v>
      </c>
      <c r="EJ27" s="51">
        <v>135</v>
      </c>
      <c r="EK27" s="31">
        <f>+IF(D154="X",1,0)</f>
        <v>1</v>
      </c>
      <c r="EL27" s="51">
        <v>183</v>
      </c>
      <c r="EM27" s="31">
        <f>+IF(E202="X",1,0)</f>
        <v>1</v>
      </c>
      <c r="EO27" s="31">
        <v>167</v>
      </c>
      <c r="EP27" s="31">
        <f>+IF(D186="X",1,0)</f>
        <v>1</v>
      </c>
      <c r="EQ27" s="51">
        <v>59</v>
      </c>
      <c r="ER27" s="31">
        <f>+IF(D78="X",1,0)</f>
        <v>0</v>
      </c>
      <c r="ES27" s="51">
        <v>145</v>
      </c>
      <c r="ET27" s="31">
        <f>+IF(D164="X",1,0)</f>
        <v>0</v>
      </c>
      <c r="EV27" s="51">
        <v>93</v>
      </c>
      <c r="EW27" s="31">
        <f>+IF(D112="X",1,0)</f>
        <v>0</v>
      </c>
      <c r="EX27" s="51">
        <v>167</v>
      </c>
      <c r="EY27" s="31">
        <f>+IF(D186="X",1,0)</f>
        <v>1</v>
      </c>
      <c r="EZ27" s="51">
        <v>154</v>
      </c>
      <c r="FA27" s="31">
        <f>+IF(E173="X",1,0)</f>
        <v>1</v>
      </c>
      <c r="FC27" s="51">
        <v>131</v>
      </c>
      <c r="FD27" s="31">
        <f>+IF(D150="X",1,0)</f>
        <v>1</v>
      </c>
      <c r="FE27" s="51">
        <v>156</v>
      </c>
      <c r="FF27" s="31">
        <f>+IF(D175="X",1,0)</f>
        <v>0</v>
      </c>
      <c r="FG27" s="51">
        <v>148</v>
      </c>
      <c r="FH27" s="31">
        <f>+IF(D167="X",1,0)</f>
        <v>0</v>
      </c>
      <c r="FJ27" s="51">
        <v>178</v>
      </c>
      <c r="FK27" s="31">
        <f>+IF(D197="X",1,0)</f>
        <v>1</v>
      </c>
      <c r="FL27" s="51">
        <v>134</v>
      </c>
      <c r="FM27" s="31">
        <f>+IF(D153="X",1,0)</f>
        <v>0</v>
      </c>
      <c r="FN27" s="51">
        <v>137</v>
      </c>
      <c r="FO27" s="31">
        <f>+IF(D156="X",1,0)</f>
        <v>1</v>
      </c>
      <c r="FQ27" s="51">
        <v>180</v>
      </c>
      <c r="FR27" s="31">
        <f>+IF(D199="X",1,0)</f>
        <v>0</v>
      </c>
      <c r="FT27" s="28">
        <f>SUM(FT20:FT26)</f>
        <v>2</v>
      </c>
      <c r="FU27" s="51">
        <v>136</v>
      </c>
      <c r="FV27" s="31">
        <f>+IF(D155="X",1,0)</f>
        <v>0</v>
      </c>
    </row>
    <row r="28" spans="2:178" ht="17.25">
      <c r="B28" s="147">
        <v>9</v>
      </c>
      <c r="C28" s="148" t="s">
        <v>808</v>
      </c>
      <c r="D28" s="49"/>
      <c r="E28" s="49" t="s">
        <v>222</v>
      </c>
      <c r="F28" s="53">
        <v>9</v>
      </c>
      <c r="H28" s="27">
        <v>17</v>
      </c>
      <c r="I28" s="27">
        <f>+IF(D36="X",1,0)</f>
        <v>1</v>
      </c>
      <c r="J28" s="30">
        <v>52</v>
      </c>
      <c r="K28" s="27">
        <f>+IF(D71="X",1,0)</f>
        <v>0</v>
      </c>
      <c r="L28" s="30">
        <v>193</v>
      </c>
      <c r="M28" s="27">
        <f>+IF(D212="X",2,0)</f>
        <v>0</v>
      </c>
      <c r="N28" s="30">
        <v>194</v>
      </c>
      <c r="O28" s="27">
        <f>+IF(D213="X",2,0)</f>
        <v>2</v>
      </c>
      <c r="P28" s="30">
        <v>75</v>
      </c>
      <c r="Q28" s="27">
        <f>+IF(D94="X",1,0)</f>
        <v>0</v>
      </c>
      <c r="R28" s="30">
        <v>30</v>
      </c>
      <c r="S28" s="27">
        <f>+IF(D49="X",1,0)</f>
        <v>0</v>
      </c>
      <c r="T28" s="30">
        <v>159</v>
      </c>
      <c r="U28" s="27">
        <f>+IF(D178="X",2,0)</f>
        <v>0</v>
      </c>
      <c r="V28" s="30">
        <v>38</v>
      </c>
      <c r="W28" s="27">
        <f>+IF(D57="X",1,0)</f>
        <v>0</v>
      </c>
      <c r="X28" s="30">
        <v>11</v>
      </c>
      <c r="Y28" s="27">
        <f>+IF(D30="X",1,0)</f>
        <v>0</v>
      </c>
      <c r="Z28" s="30">
        <v>179</v>
      </c>
      <c r="AA28" s="27">
        <f>+IF(D198="X",2,0)</f>
        <v>2</v>
      </c>
      <c r="AB28" s="30">
        <v>21</v>
      </c>
      <c r="AC28" s="27">
        <f>+IF(D40="X",1,0)</f>
        <v>0</v>
      </c>
      <c r="AD28" s="30">
        <v>12</v>
      </c>
      <c r="AE28" s="27">
        <f>+IF(D31="X",1,0)</f>
        <v>0</v>
      </c>
      <c r="AG28" s="30">
        <v>18</v>
      </c>
      <c r="AH28" s="27">
        <f>+IF(D37="X",1,0)</f>
        <v>0</v>
      </c>
      <c r="AI28" s="30">
        <v>59</v>
      </c>
      <c r="AJ28" s="27">
        <f>+IF(D78="X",1,0)</f>
        <v>0</v>
      </c>
      <c r="AK28" s="52">
        <v>13</v>
      </c>
      <c r="AL28" s="27">
        <f>+IF(D32="X",1,0)</f>
        <v>0</v>
      </c>
      <c r="AN28" s="27">
        <v>44</v>
      </c>
      <c r="AO28" s="27">
        <f>+IF(D63="X",1,0)</f>
        <v>1</v>
      </c>
      <c r="AP28" s="27">
        <v>118</v>
      </c>
      <c r="AQ28" s="27">
        <f>+IF(D137="X",1,0)</f>
        <v>1</v>
      </c>
      <c r="AR28" s="27">
        <v>54</v>
      </c>
      <c r="AS28" s="27">
        <f>+IF(D73="X",1,0)</f>
        <v>0</v>
      </c>
      <c r="AT28" s="27">
        <v>39</v>
      </c>
      <c r="AU28" s="27">
        <f>+IF(D58="X",1,0)</f>
        <v>1</v>
      </c>
      <c r="AW28" s="167">
        <f>SUM(AW20:AW27)</f>
        <v>1</v>
      </c>
      <c r="AX28" s="27">
        <v>65</v>
      </c>
      <c r="AY28" s="27">
        <f>+IF(D84="X",1,0)</f>
        <v>0</v>
      </c>
      <c r="AZ28" s="27">
        <v>74</v>
      </c>
      <c r="BA28" s="27">
        <f>+IF(D93="X",1,0)</f>
        <v>0</v>
      </c>
      <c r="BC28" s="27">
        <v>52</v>
      </c>
      <c r="BD28" s="27">
        <f>+IF(D71="X",1,0)</f>
        <v>0</v>
      </c>
      <c r="BE28" s="27">
        <v>41</v>
      </c>
      <c r="BF28" s="27">
        <f>+IF(D60="X",1,0)</f>
        <v>1</v>
      </c>
      <c r="BG28" s="27">
        <v>88</v>
      </c>
      <c r="BH28" s="27">
        <f>+IF(D107="X",1,0)</f>
        <v>0</v>
      </c>
      <c r="BK28" s="27">
        <v>12</v>
      </c>
      <c r="BL28" s="27">
        <f>+IF(D31="X",1,0)</f>
        <v>0</v>
      </c>
      <c r="BM28" s="27">
        <v>75</v>
      </c>
      <c r="BN28" s="27">
        <f>+IF(D94="X",1,0)</f>
        <v>0</v>
      </c>
      <c r="BO28" s="27">
        <v>32</v>
      </c>
      <c r="BP28" s="27">
        <f>+IF(D51="X",1,0)</f>
        <v>0</v>
      </c>
      <c r="BT28" s="27" t="s">
        <v>276</v>
      </c>
      <c r="BU28" s="27">
        <f>IF(D63&lt;&gt;D140,1,0)</f>
        <v>0</v>
      </c>
      <c r="BW28" s="30">
        <v>185</v>
      </c>
      <c r="BX28" s="30">
        <f>+IF(E204="X",1,0)</f>
        <v>1</v>
      </c>
      <c r="BY28" s="30">
        <v>67</v>
      </c>
      <c r="BZ28" s="30">
        <f>+IF(E86="X",1,0)</f>
        <v>0</v>
      </c>
      <c r="CA28" s="30">
        <v>119</v>
      </c>
      <c r="CB28" s="30">
        <f>+IF(D138="X",1,0)</f>
        <v>1</v>
      </c>
      <c r="CE28" s="32">
        <f>SUM(CE20:CE27)</f>
        <v>7</v>
      </c>
      <c r="CF28" s="30">
        <v>67</v>
      </c>
      <c r="CG28" s="30">
        <f>+IF(E86="X",1,0)</f>
        <v>0</v>
      </c>
      <c r="CH28" s="30">
        <v>195</v>
      </c>
      <c r="CI28" s="30">
        <f>+IF(D214="X",1,0)</f>
        <v>1</v>
      </c>
      <c r="CK28" s="30">
        <v>184</v>
      </c>
      <c r="CL28" s="30">
        <f>+IF(D203="X",1,0)</f>
        <v>1</v>
      </c>
      <c r="CM28" s="30">
        <v>195</v>
      </c>
      <c r="CN28" s="30">
        <f>+IF(D214="X",1,0)</f>
        <v>1</v>
      </c>
      <c r="CO28" s="30">
        <v>53</v>
      </c>
      <c r="CP28" s="30">
        <f>+IF(E72="X",1,0)</f>
        <v>1</v>
      </c>
      <c r="CR28" s="31">
        <v>184</v>
      </c>
      <c r="CS28" s="31">
        <f>+IF(D203="X",1,0)</f>
        <v>1</v>
      </c>
      <c r="CV28" s="31">
        <v>67</v>
      </c>
      <c r="CW28" s="31">
        <f>+IF(E86="X",1,0)</f>
        <v>0</v>
      </c>
      <c r="DA28" s="31">
        <v>139</v>
      </c>
      <c r="DB28" s="31">
        <f>+IF(E158="X",1,0)</f>
        <v>0</v>
      </c>
      <c r="DC28" s="31">
        <v>185</v>
      </c>
      <c r="DD28" s="31">
        <f>+IF(D204="X",1,0)</f>
        <v>0</v>
      </c>
      <c r="DG28" s="28">
        <f>SUM(DG20:DG27)</f>
        <v>0</v>
      </c>
      <c r="DH28" s="51">
        <v>149</v>
      </c>
      <c r="DI28" s="31">
        <f>+IF(E168="X",1,0)</f>
        <v>0</v>
      </c>
      <c r="DK28" s="28">
        <f>SUM(DK20:DK27)</f>
        <v>3</v>
      </c>
      <c r="DM28" s="51">
        <v>183</v>
      </c>
      <c r="DN28" s="31">
        <f>+IF(D202="X",1,0)</f>
        <v>0</v>
      </c>
      <c r="DO28" s="51">
        <v>93</v>
      </c>
      <c r="DP28" s="31">
        <f>+IF(E112="X",1,0)</f>
        <v>1</v>
      </c>
      <c r="DR28" s="28">
        <f>SUM(DR20:DR27)</f>
        <v>0</v>
      </c>
      <c r="DU28" s="28">
        <f>SUM(DU20:DU27)</f>
        <v>1</v>
      </c>
      <c r="DV28" s="51">
        <v>73</v>
      </c>
      <c r="DW28" s="31">
        <f>+IF(E92="X",1,0)</f>
        <v>0</v>
      </c>
      <c r="DX28" s="31">
        <v>144</v>
      </c>
      <c r="DY28" s="31">
        <f>+IF(D163="X",1,0)</f>
        <v>0</v>
      </c>
      <c r="EA28" s="51">
        <v>159</v>
      </c>
      <c r="EB28" s="31">
        <f>+IF(D178="X",1,0)</f>
        <v>0</v>
      </c>
      <c r="EI28" s="28">
        <f>SUM(EI20:EI27)</f>
        <v>3</v>
      </c>
      <c r="EJ28" s="51">
        <v>137</v>
      </c>
      <c r="EK28" s="31">
        <f>+IF(D156="X",1,0)</f>
        <v>1</v>
      </c>
      <c r="EL28" s="51">
        <v>191</v>
      </c>
      <c r="EM28" s="31">
        <f>+IF(E210="X",1,0)</f>
        <v>1</v>
      </c>
      <c r="EO28" s="31">
        <v>172</v>
      </c>
      <c r="EP28" s="31">
        <f>+IF(D191="X",1,0)</f>
        <v>0</v>
      </c>
      <c r="EQ28" s="51">
        <v>153</v>
      </c>
      <c r="ER28" s="31">
        <f>+IF(D172="X",1,0)</f>
        <v>0</v>
      </c>
      <c r="ES28" s="51">
        <v>168</v>
      </c>
      <c r="ET28" s="31">
        <f>+IF(D187="X",1,0)</f>
        <v>0</v>
      </c>
      <c r="EV28" s="51">
        <v>164</v>
      </c>
      <c r="EW28" s="31">
        <f>+IF(D183="X",1,0)</f>
        <v>0</v>
      </c>
      <c r="EX28" s="51">
        <v>184</v>
      </c>
      <c r="EY28" s="31">
        <f>+IF(D203="X",1,0)</f>
        <v>1</v>
      </c>
      <c r="EZ28" s="51">
        <v>155</v>
      </c>
      <c r="FA28" s="31">
        <f>+IF(E174="X",1,0)</f>
        <v>1</v>
      </c>
      <c r="FC28" s="51">
        <v>163</v>
      </c>
      <c r="FD28" s="31">
        <f>+IF(D182="X",1,0)</f>
        <v>1</v>
      </c>
      <c r="FE28" s="51">
        <v>165</v>
      </c>
      <c r="FF28" s="31">
        <f>+IF(D184="X",1,0)</f>
        <v>0</v>
      </c>
      <c r="FG28" s="51">
        <v>167</v>
      </c>
      <c r="FH28" s="31">
        <f>+IF(D186="X",1,0)</f>
        <v>1</v>
      </c>
      <c r="FK28" s="28">
        <f>SUM(FK20:FK27)</f>
        <v>6</v>
      </c>
      <c r="FL28" s="51">
        <v>166</v>
      </c>
      <c r="FM28" s="31">
        <f>+IF(D185="X",1,0)</f>
        <v>0</v>
      </c>
      <c r="FN28" s="51">
        <v>164</v>
      </c>
      <c r="FO28" s="31">
        <f>+IF(D183="X",1,0)</f>
        <v>0</v>
      </c>
      <c r="FQ28" s="51">
        <v>195</v>
      </c>
      <c r="FR28" s="31">
        <f>+IF(D214="X",1,0)</f>
        <v>1</v>
      </c>
      <c r="FU28" s="51">
        <v>148</v>
      </c>
      <c r="FV28" s="31">
        <f>+IF(D167="X",1,0)</f>
        <v>0</v>
      </c>
    </row>
    <row r="29" spans="2:178" ht="17.25">
      <c r="B29" s="147">
        <v>10</v>
      </c>
      <c r="C29" s="148" t="s">
        <v>8</v>
      </c>
      <c r="D29" s="49"/>
      <c r="E29" s="49" t="s">
        <v>222</v>
      </c>
      <c r="F29" s="53">
        <v>10</v>
      </c>
      <c r="H29" s="27">
        <v>24</v>
      </c>
      <c r="I29" s="27">
        <f>+IF(D43="X",1,0)</f>
        <v>1</v>
      </c>
      <c r="J29" s="30">
        <v>92</v>
      </c>
      <c r="K29" s="27">
        <f>+IF(D111="X",1,0)</f>
        <v>1</v>
      </c>
      <c r="L29" s="30">
        <v>17</v>
      </c>
      <c r="M29" s="27">
        <f>+IF(D36="X",1,0)</f>
        <v>1</v>
      </c>
      <c r="N29" s="30">
        <v>5</v>
      </c>
      <c r="O29" s="27">
        <f>+IF(D24="X",1,0)</f>
        <v>0</v>
      </c>
      <c r="P29" s="30">
        <v>155</v>
      </c>
      <c r="Q29" s="27">
        <f>+IF(D174="X",1,0)</f>
        <v>0</v>
      </c>
      <c r="R29" s="30">
        <v>46</v>
      </c>
      <c r="S29" s="27">
        <f>+IF(D65="X",1,0)</f>
        <v>0</v>
      </c>
      <c r="T29" s="30">
        <v>189</v>
      </c>
      <c r="U29" s="27">
        <f>+IF(D208="X",2,0)</f>
        <v>0</v>
      </c>
      <c r="V29" s="30">
        <v>105</v>
      </c>
      <c r="W29" s="27">
        <f>+IF(D124="X",1,0)</f>
        <v>0</v>
      </c>
      <c r="X29" s="30">
        <v>16</v>
      </c>
      <c r="Y29" s="27">
        <f>+IF(D35="X",1,0)</f>
        <v>0</v>
      </c>
      <c r="Z29" s="30">
        <v>188</v>
      </c>
      <c r="AA29" s="27">
        <f>+IF(D207="X",2,0)</f>
        <v>0</v>
      </c>
      <c r="AB29" s="30">
        <v>37</v>
      </c>
      <c r="AC29" s="27">
        <f>+IF(D56="X",1,0)</f>
        <v>1</v>
      </c>
      <c r="AD29" s="30">
        <v>23</v>
      </c>
      <c r="AE29" s="27">
        <f>+IF(D42="X",1,0)</f>
        <v>1</v>
      </c>
      <c r="AG29" s="30">
        <v>58</v>
      </c>
      <c r="AH29" s="27">
        <f>+IF(D77="X",1,0)</f>
        <v>0</v>
      </c>
      <c r="AI29" s="30">
        <v>80</v>
      </c>
      <c r="AJ29" s="27">
        <f>+IF(D99="X",1,0)</f>
        <v>0</v>
      </c>
      <c r="AK29" s="52">
        <v>24</v>
      </c>
      <c r="AL29" s="27">
        <f>+IF(D43="X",1,0)</f>
        <v>1</v>
      </c>
      <c r="AN29" s="27">
        <v>51</v>
      </c>
      <c r="AO29" s="27">
        <f>+IF(D70="X",1,0)</f>
        <v>1</v>
      </c>
      <c r="AP29" s="27">
        <v>20</v>
      </c>
      <c r="AQ29" s="27">
        <f>+IF(E39="X",1,0)</f>
        <v>1</v>
      </c>
      <c r="AR29" s="27">
        <v>82</v>
      </c>
      <c r="AS29" s="27">
        <f>+IF(D101="X",1,0)</f>
        <v>0</v>
      </c>
      <c r="AT29" s="27">
        <v>51</v>
      </c>
      <c r="AU29" s="27">
        <f>+IF(D70="X",1,0)</f>
        <v>1</v>
      </c>
      <c r="AX29" s="27">
        <v>152</v>
      </c>
      <c r="AY29" s="27">
        <f>+IF(D171="X",1,0)</f>
        <v>0</v>
      </c>
      <c r="AZ29" s="27">
        <v>89</v>
      </c>
      <c r="BA29" s="27">
        <f>+IF(D108="X",1,0)</f>
        <v>1</v>
      </c>
      <c r="BC29" s="27">
        <v>82</v>
      </c>
      <c r="BD29" s="27">
        <f>+IF(D101="X",1,0)</f>
        <v>0</v>
      </c>
      <c r="BE29" s="27">
        <v>59</v>
      </c>
      <c r="BF29" s="27">
        <f>+IF(D78="X",1,0)</f>
        <v>0</v>
      </c>
      <c r="BG29" s="27">
        <v>112</v>
      </c>
      <c r="BH29" s="27">
        <f>+IF(D131="X",1,0)</f>
        <v>0</v>
      </c>
      <c r="BK29" s="27">
        <v>15</v>
      </c>
      <c r="BL29" s="27">
        <f>+IF(D34="X",1,0)</f>
        <v>1</v>
      </c>
      <c r="BM29" s="27">
        <v>84</v>
      </c>
      <c r="BN29" s="27">
        <f>+IF(D103="X",1,0)</f>
        <v>1</v>
      </c>
      <c r="BO29" s="27">
        <v>34</v>
      </c>
      <c r="BP29" s="27">
        <f>+IF(D53="X",1,0)</f>
        <v>1</v>
      </c>
      <c r="BT29" s="27" t="s">
        <v>277</v>
      </c>
      <c r="BU29" s="27">
        <f>IF(D58&lt;&gt;D78,1,0)</f>
        <v>1</v>
      </c>
      <c r="BX29" s="32">
        <f>SUM(BX20:BX28)</f>
        <v>6</v>
      </c>
      <c r="BZ29" s="32">
        <f>SUM(BZ20:BZ28)</f>
        <v>8</v>
      </c>
      <c r="CB29" s="32">
        <f>SUM(CB20:CB28)</f>
        <v>8</v>
      </c>
      <c r="CG29" s="32">
        <f>SUM(CG20:CG28)</f>
        <v>3</v>
      </c>
      <c r="CI29" s="32">
        <f>SUM(CI20:CI28)</f>
        <v>4</v>
      </c>
      <c r="CL29" s="32">
        <f>SUM(CL20:CL28)</f>
        <v>8</v>
      </c>
      <c r="CN29" s="32">
        <f>SUM(CN20:CN28)</f>
        <v>4</v>
      </c>
      <c r="CP29" s="32">
        <f>SUM(CP20:CP28)</f>
        <v>6</v>
      </c>
      <c r="CS29" s="28">
        <f>SUM(CS20:CS28)</f>
        <v>5</v>
      </c>
      <c r="CW29" s="28">
        <f>SUM(CW20:CW28)</f>
        <v>6</v>
      </c>
      <c r="DA29" s="31">
        <v>195</v>
      </c>
      <c r="DB29" s="31">
        <f>+IF(E214="X",1,0)</f>
        <v>0</v>
      </c>
      <c r="DC29" s="31">
        <v>135</v>
      </c>
      <c r="DD29" s="31">
        <f>+IF(E154="X",1,0)</f>
        <v>0</v>
      </c>
      <c r="DI29" s="28">
        <f>SUM(DI20:DI28)</f>
        <v>2</v>
      </c>
      <c r="DN29" s="28">
        <f>SUM(DN20:DN28)</f>
        <v>0</v>
      </c>
      <c r="DO29" s="51">
        <v>178</v>
      </c>
      <c r="DP29" s="31">
        <f>+IF(E197="X",1,0)</f>
        <v>0</v>
      </c>
      <c r="DV29" s="51">
        <v>158</v>
      </c>
      <c r="DW29" s="31">
        <f>+IF(E177="X",1,0)</f>
        <v>0</v>
      </c>
      <c r="DX29" s="51">
        <v>63</v>
      </c>
      <c r="DY29" s="31">
        <f>+IF(E82="X",1,0)</f>
        <v>0</v>
      </c>
      <c r="EA29" s="51">
        <v>172</v>
      </c>
      <c r="EB29" s="31">
        <f>+IF(D191="X",1,0)</f>
        <v>0</v>
      </c>
      <c r="EJ29" s="51">
        <v>140</v>
      </c>
      <c r="EK29" s="31">
        <f>+IF(D159="X",1,0)</f>
        <v>1</v>
      </c>
      <c r="EM29" s="28">
        <f>SUM(EM20:EM28)</f>
        <v>9</v>
      </c>
      <c r="EP29" s="28">
        <f>SUM(EP20:EP28)</f>
        <v>3</v>
      </c>
      <c r="EQ29" s="51">
        <v>184</v>
      </c>
      <c r="ER29" s="31">
        <f>+IF(D203="X",1,0)</f>
        <v>1</v>
      </c>
      <c r="ES29" s="51">
        <v>187</v>
      </c>
      <c r="ET29" s="31">
        <f>+IF(D206="X",1,0)</f>
        <v>1</v>
      </c>
      <c r="EV29" s="51">
        <v>178</v>
      </c>
      <c r="EW29" s="31">
        <f>+IF(D197="X",1,0)</f>
        <v>1</v>
      </c>
      <c r="EY29" s="28">
        <f>SUM(EY20:EY28)</f>
        <v>6</v>
      </c>
      <c r="FA29" s="28">
        <f>SUM(FA20:FA28)</f>
        <v>7</v>
      </c>
      <c r="FD29" s="28">
        <f>SUM(FD20:FD28)</f>
        <v>8</v>
      </c>
      <c r="FE29" s="51">
        <v>195</v>
      </c>
      <c r="FF29" s="31">
        <f>+IF(D214="X",1,0)</f>
        <v>1</v>
      </c>
      <c r="FG29" s="51">
        <v>172</v>
      </c>
      <c r="FH29" s="31">
        <f>+IF(D191="X",1,0)</f>
        <v>0</v>
      </c>
      <c r="FL29" s="51">
        <v>192</v>
      </c>
      <c r="FM29" s="31">
        <f>+IF(D211="X",1,0)</f>
        <v>0</v>
      </c>
      <c r="FN29" s="51">
        <v>187</v>
      </c>
      <c r="FO29" s="31">
        <f>+IF(D206="X",1,0)</f>
        <v>1</v>
      </c>
      <c r="FR29" s="28">
        <f>SUM(FR20:FR28)</f>
        <v>5</v>
      </c>
      <c r="FU29" s="51">
        <v>167</v>
      </c>
      <c r="FV29" s="31">
        <f>+IF(D186="X",1,0)</f>
        <v>1</v>
      </c>
    </row>
    <row r="30" spans="2:178" ht="17.25">
      <c r="B30" s="147">
        <v>11</v>
      </c>
      <c r="C30" s="148" t="s">
        <v>9</v>
      </c>
      <c r="D30" s="49"/>
      <c r="E30" s="49" t="s">
        <v>222</v>
      </c>
      <c r="F30" s="53">
        <v>11</v>
      </c>
      <c r="H30" s="27">
        <v>70</v>
      </c>
      <c r="I30" s="27">
        <f>+IF(D89="X",1,0)</f>
        <v>1</v>
      </c>
      <c r="J30" s="30">
        <v>93</v>
      </c>
      <c r="K30" s="27">
        <f>+IF(D112="X",1,0)</f>
        <v>0</v>
      </c>
      <c r="L30" s="30">
        <v>22</v>
      </c>
      <c r="M30" s="27">
        <f>+IF(D41="X",1,0)</f>
        <v>1</v>
      </c>
      <c r="N30" s="30">
        <v>23</v>
      </c>
      <c r="O30" s="27">
        <f>+IF(D42="X",1,0)</f>
        <v>1</v>
      </c>
      <c r="P30" s="30">
        <v>6</v>
      </c>
      <c r="Q30" s="27">
        <f>+IF(E25="X",1,0)</f>
        <v>0</v>
      </c>
      <c r="R30" s="30">
        <v>67</v>
      </c>
      <c r="S30" s="27">
        <f>+IF(D86="X",1,0)</f>
        <v>1</v>
      </c>
      <c r="T30" s="30">
        <v>10</v>
      </c>
      <c r="U30" s="27">
        <f>+IF(D29="X",1,0)</f>
        <v>0</v>
      </c>
      <c r="V30" s="30">
        <v>152</v>
      </c>
      <c r="W30" s="27">
        <f>+IF(D171="X",1,0)</f>
        <v>0</v>
      </c>
      <c r="X30" s="30">
        <v>21</v>
      </c>
      <c r="Y30" s="27">
        <f>+IF(D40="X",1,0)</f>
        <v>0</v>
      </c>
      <c r="Z30" s="30">
        <v>83</v>
      </c>
      <c r="AA30" s="27">
        <f>+IF(E102="X",1,0)</f>
        <v>1</v>
      </c>
      <c r="AB30" s="30">
        <v>52</v>
      </c>
      <c r="AC30" s="27">
        <f>+IF(D71="X",1,0)</f>
        <v>0</v>
      </c>
      <c r="AD30" s="30">
        <v>70</v>
      </c>
      <c r="AE30" s="27">
        <f>+IF(D89="X",1,0)</f>
        <v>1</v>
      </c>
      <c r="AG30" s="30">
        <v>70</v>
      </c>
      <c r="AH30" s="27">
        <f>+IF(D89="X",1,0)</f>
        <v>1</v>
      </c>
      <c r="AI30" s="30">
        <v>82</v>
      </c>
      <c r="AJ30" s="27">
        <f>+IF(D101="X",1,0)</f>
        <v>0</v>
      </c>
      <c r="AK30" s="52">
        <v>68</v>
      </c>
      <c r="AL30" s="27">
        <f>+IF(D87="X",1,0)</f>
        <v>0</v>
      </c>
      <c r="AN30" s="27">
        <v>91</v>
      </c>
      <c r="AO30" s="27">
        <f>+IF(D110="X",1,0)</f>
        <v>1</v>
      </c>
      <c r="AQ30" s="167">
        <f>SUM(AQ20:AQ29)</f>
        <v>15</v>
      </c>
      <c r="AR30" s="27">
        <v>83</v>
      </c>
      <c r="AS30" s="27">
        <f>+IF(D102="X",1,0)</f>
        <v>0</v>
      </c>
      <c r="AT30" s="27">
        <v>71</v>
      </c>
      <c r="AU30" s="27">
        <f>+IF(D90="X",1,0)</f>
        <v>1</v>
      </c>
      <c r="AX30" s="27">
        <v>158</v>
      </c>
      <c r="AY30" s="27">
        <f>+IF(E177="X",1,0)</f>
        <v>0</v>
      </c>
      <c r="AZ30" s="27">
        <v>110</v>
      </c>
      <c r="BA30" s="27">
        <f>+IF(D129="X",1,0)</f>
        <v>0</v>
      </c>
      <c r="BC30" s="27">
        <v>89</v>
      </c>
      <c r="BD30" s="27">
        <f>+IF(D108="X",1,0)</f>
        <v>1</v>
      </c>
      <c r="BE30" s="27">
        <v>64</v>
      </c>
      <c r="BF30" s="27">
        <f>+IF(D83="X",1,0)</f>
        <v>1</v>
      </c>
      <c r="BG30" s="27">
        <v>121</v>
      </c>
      <c r="BH30" s="27">
        <f>+IF(D140="X",1,0)</f>
        <v>1</v>
      </c>
      <c r="BK30" s="27">
        <v>16</v>
      </c>
      <c r="BL30" s="27">
        <f>+IF(D35="X",1,0)</f>
        <v>0</v>
      </c>
      <c r="BM30" s="27">
        <v>154</v>
      </c>
      <c r="BN30" s="27">
        <f>+IF(D173="X",1,0)</f>
        <v>0</v>
      </c>
      <c r="BO30" s="27">
        <v>37</v>
      </c>
      <c r="BP30" s="27">
        <f>+IF(D56="X",1,0)</f>
        <v>1</v>
      </c>
      <c r="BT30" s="27" t="s">
        <v>278</v>
      </c>
      <c r="BU30" s="27">
        <f>IF(D36&lt;&gt;D203,1,0)</f>
        <v>0</v>
      </c>
      <c r="DB30" s="28">
        <f>SUM(DB20:DB29)</f>
        <v>1</v>
      </c>
      <c r="DC30" s="31">
        <v>170</v>
      </c>
      <c r="DD30" s="31">
        <f>+IF(E189="X",1,0)</f>
        <v>0</v>
      </c>
      <c r="DP30" s="28">
        <f>SUM(DP20:DP29)</f>
        <v>2</v>
      </c>
      <c r="DW30" s="28">
        <f>SUM(DW20:DW29)</f>
        <v>0</v>
      </c>
      <c r="DY30" s="28">
        <f>SUM(DY20:DY29)</f>
        <v>2</v>
      </c>
      <c r="EA30" s="51">
        <v>191</v>
      </c>
      <c r="EB30" s="31">
        <f>+IF(D210="X",1,0)</f>
        <v>0</v>
      </c>
      <c r="EJ30" s="51">
        <v>169</v>
      </c>
      <c r="EK30" s="31">
        <f>+IF(D188="X",1,0)</f>
        <v>0</v>
      </c>
      <c r="EQ30" s="51">
        <v>75</v>
      </c>
      <c r="ER30" s="31">
        <f>+IF(E94="X",1,0)</f>
        <v>1</v>
      </c>
      <c r="ET30" s="28">
        <f>SUM(ET20:ET29)</f>
        <v>3</v>
      </c>
      <c r="EV30" s="51">
        <v>192</v>
      </c>
      <c r="EW30" s="31">
        <f>+IF(D211="X",1,0)</f>
        <v>0</v>
      </c>
      <c r="FE30" s="51">
        <v>154</v>
      </c>
      <c r="FF30" s="31">
        <f>+IF(E173="X",1,0)</f>
        <v>1</v>
      </c>
      <c r="FG30" s="51">
        <v>190</v>
      </c>
      <c r="FH30" s="31">
        <f>+IF(D209="X",1,0)</f>
        <v>0</v>
      </c>
      <c r="FL30" s="51">
        <v>193</v>
      </c>
      <c r="FM30" s="31">
        <f>+IF(D212="X",1,0)</f>
        <v>0</v>
      </c>
      <c r="FO30" s="28">
        <f>SUM(FO20:FO29)</f>
        <v>3</v>
      </c>
      <c r="FV30" s="28">
        <f>SUM(FV20:FV29)</f>
        <v>2</v>
      </c>
    </row>
    <row r="31" spans="2:178" ht="17.25">
      <c r="B31" s="147">
        <v>12</v>
      </c>
      <c r="C31" s="148" t="s">
        <v>809</v>
      </c>
      <c r="D31" s="49"/>
      <c r="E31" s="49" t="s">
        <v>222</v>
      </c>
      <c r="F31" s="53">
        <v>12</v>
      </c>
      <c r="H31" s="27">
        <v>92</v>
      </c>
      <c r="I31" s="27">
        <f>+IF(D111="X",1,0)</f>
        <v>1</v>
      </c>
      <c r="J31" s="30">
        <v>112</v>
      </c>
      <c r="K31" s="27">
        <f>+IF(D131="X",1,0)</f>
        <v>0</v>
      </c>
      <c r="L31" s="30">
        <v>39</v>
      </c>
      <c r="M31" s="27">
        <f>+IF(D58="X",1,0)</f>
        <v>1</v>
      </c>
      <c r="N31" s="30">
        <v>72</v>
      </c>
      <c r="O31" s="27">
        <f>+IF(D91="X",1,0)</f>
        <v>0</v>
      </c>
      <c r="P31" s="30">
        <v>15</v>
      </c>
      <c r="Q31" s="27">
        <f>+IF(E34="X",1,0)</f>
        <v>0</v>
      </c>
      <c r="R31" s="30">
        <v>84</v>
      </c>
      <c r="S31" s="27">
        <f>+IF(D103="X",1,0)</f>
        <v>1</v>
      </c>
      <c r="T31" s="30">
        <v>19</v>
      </c>
      <c r="U31" s="27">
        <f>+IF(D38="X",1,0)</f>
        <v>0</v>
      </c>
      <c r="V31" s="30">
        <v>159</v>
      </c>
      <c r="W31" s="27">
        <f>+IF(D178="X",1,0)</f>
        <v>0</v>
      </c>
      <c r="X31" s="30">
        <v>74</v>
      </c>
      <c r="Y31" s="27">
        <f>+IF(D93="X",1,0)</f>
        <v>0</v>
      </c>
      <c r="Z31" s="30">
        <v>147</v>
      </c>
      <c r="AA31" s="27">
        <f>+IF(E166="X",1,0)</f>
        <v>1</v>
      </c>
      <c r="AB31" s="30">
        <v>79</v>
      </c>
      <c r="AC31" s="27">
        <f>+IF(D98="X",1,0)</f>
        <v>0</v>
      </c>
      <c r="AD31" s="30">
        <v>93</v>
      </c>
      <c r="AE31" s="27">
        <f>+IF(D112="X",1,0)</f>
        <v>0</v>
      </c>
      <c r="AG31" s="30">
        <v>90</v>
      </c>
      <c r="AH31" s="27">
        <f>+IF(D109="X",1,0)</f>
        <v>1</v>
      </c>
      <c r="AI31" s="30">
        <v>93</v>
      </c>
      <c r="AJ31" s="27">
        <f>+IF(D112="X",1,0)</f>
        <v>0</v>
      </c>
      <c r="AK31" s="52">
        <v>96</v>
      </c>
      <c r="AL31" s="27">
        <f>+IF(D115="X",1,0)</f>
        <v>0</v>
      </c>
      <c r="AN31" s="27">
        <v>108</v>
      </c>
      <c r="AO31" s="27">
        <f>+IF(D127="X",1,0)</f>
        <v>0</v>
      </c>
      <c r="AR31" s="27">
        <v>105</v>
      </c>
      <c r="AS31" s="27">
        <f>+IF(D124="X",1,0)</f>
        <v>0</v>
      </c>
      <c r="AT31" s="27">
        <v>77</v>
      </c>
      <c r="AU31" s="27">
        <f>+IF(D96="X",1,0)</f>
        <v>1</v>
      </c>
      <c r="AY31" s="167">
        <f>SUM(AY20:AY30)</f>
        <v>0</v>
      </c>
      <c r="AZ31" s="27">
        <v>113</v>
      </c>
      <c r="BA31" s="27">
        <f>+IF(D132="X",1,0)</f>
        <v>1</v>
      </c>
      <c r="BC31" s="27">
        <v>92</v>
      </c>
      <c r="BD31" s="27">
        <f>+IF(D111="X",1,0)</f>
        <v>1</v>
      </c>
      <c r="BE31" s="27">
        <v>70</v>
      </c>
      <c r="BF31" s="27">
        <f>+IF(D89="X",1,0)</f>
        <v>1</v>
      </c>
      <c r="BG31" s="27">
        <v>136</v>
      </c>
      <c r="BH31" s="27">
        <f>+IF(D155="X",1,0)</f>
        <v>0</v>
      </c>
      <c r="BK31" s="27">
        <v>17</v>
      </c>
      <c r="BL31" s="27">
        <f>+IF(D36="X",1,0)</f>
        <v>1</v>
      </c>
      <c r="BM31" s="27">
        <v>155</v>
      </c>
      <c r="BN31" s="27">
        <f>+IF(D174="X",1,0)</f>
        <v>0</v>
      </c>
      <c r="BO31" s="27">
        <v>39</v>
      </c>
      <c r="BP31" s="27">
        <f>+IF(D58="X",1,0)</f>
        <v>1</v>
      </c>
      <c r="BT31" s="27" t="s">
        <v>279</v>
      </c>
      <c r="BU31" s="27">
        <f>IF(D52&lt;&gt;D108,1,0)</f>
        <v>0</v>
      </c>
      <c r="DC31" s="31">
        <v>178</v>
      </c>
      <c r="DD31" s="31">
        <f>+IF(E197="X",1,0)</f>
        <v>0</v>
      </c>
      <c r="EB31" s="28">
        <f>SUM(EB20:EB30)</f>
        <v>0</v>
      </c>
      <c r="EJ31" s="51">
        <v>179</v>
      </c>
      <c r="EK31" s="31">
        <f>+IF(D198="X",1,0)</f>
        <v>1</v>
      </c>
      <c r="ER31" s="28">
        <f>SUM(ER20:ER30)</f>
        <v>7</v>
      </c>
      <c r="EV31" s="51">
        <v>195</v>
      </c>
      <c r="EW31" s="31">
        <f>+IF(D214="X",1,0)</f>
        <v>1</v>
      </c>
      <c r="FF31" s="28">
        <f>SUM(FF20:FF30)</f>
        <v>5</v>
      </c>
      <c r="FH31" s="28">
        <f>SUM(FH20:FH30)</f>
        <v>2</v>
      </c>
      <c r="FM31" s="28">
        <f>SUM(FM20:FM30)</f>
        <v>4</v>
      </c>
    </row>
    <row r="32" spans="2:178" ht="17.25">
      <c r="B32" s="147">
        <v>13</v>
      </c>
      <c r="C32" s="148" t="s">
        <v>10</v>
      </c>
      <c r="D32" s="49"/>
      <c r="E32" s="49" t="s">
        <v>222</v>
      </c>
      <c r="F32" s="53">
        <v>13</v>
      </c>
      <c r="H32" s="27">
        <v>190</v>
      </c>
      <c r="I32" s="27">
        <f>+IF(D209="X",1,0)</f>
        <v>0</v>
      </c>
      <c r="J32" s="30">
        <v>178</v>
      </c>
      <c r="K32" s="27">
        <f>+IF(D197="X",1,0)</f>
        <v>1</v>
      </c>
      <c r="L32" s="30">
        <v>59</v>
      </c>
      <c r="M32" s="27">
        <f>+IF(D78="X",1,0)</f>
        <v>0</v>
      </c>
      <c r="N32" s="30">
        <v>175</v>
      </c>
      <c r="O32" s="27">
        <f>+IF(D194="X",1,0)</f>
        <v>1</v>
      </c>
      <c r="P32" s="30">
        <v>24</v>
      </c>
      <c r="Q32" s="27">
        <f>+IF(E43="X",1,0)</f>
        <v>0</v>
      </c>
      <c r="R32" s="30">
        <v>142</v>
      </c>
      <c r="S32" s="27">
        <f>+IF(D161="X",1,0)</f>
        <v>0</v>
      </c>
      <c r="T32" s="30">
        <v>83</v>
      </c>
      <c r="U32" s="27">
        <f>+IF(D102="X",1,0)</f>
        <v>0</v>
      </c>
      <c r="V32" s="30">
        <v>48</v>
      </c>
      <c r="W32" s="27">
        <f>+IF(E67="X",1,0)</f>
        <v>0</v>
      </c>
      <c r="X32" s="30">
        <v>145</v>
      </c>
      <c r="Y32" s="27">
        <f>+IF(D164="X",1,0)</f>
        <v>0</v>
      </c>
      <c r="Z32" s="30">
        <v>152</v>
      </c>
      <c r="AA32" s="27">
        <f>+IF(E171="X",1,0)</f>
        <v>1</v>
      </c>
      <c r="AB32" s="30">
        <v>88</v>
      </c>
      <c r="AC32" s="27">
        <f>+IF(D107="X",1,0)</f>
        <v>0</v>
      </c>
      <c r="AD32" s="30">
        <v>156</v>
      </c>
      <c r="AE32" s="27">
        <f>+IF(D175="X",1,0)</f>
        <v>0</v>
      </c>
      <c r="AG32" s="41">
        <v>93</v>
      </c>
      <c r="AH32" s="27">
        <f>+IF(D112="X",1,0)</f>
        <v>0</v>
      </c>
      <c r="AI32" s="30">
        <v>100</v>
      </c>
      <c r="AJ32" s="27">
        <f>+IF(D119="X",1,0)</f>
        <v>1</v>
      </c>
      <c r="AK32" s="52">
        <v>148</v>
      </c>
      <c r="AL32" s="27">
        <f>+IF(D167="X",1,0)</f>
        <v>0</v>
      </c>
      <c r="AN32" s="27">
        <v>109</v>
      </c>
      <c r="AO32" s="27">
        <f>+IF(D128="X",1,0)</f>
        <v>0</v>
      </c>
      <c r="AR32" s="27">
        <v>155</v>
      </c>
      <c r="AS32" s="27">
        <f>+IF(D174="X",1,0)</f>
        <v>0</v>
      </c>
      <c r="AT32" s="27">
        <v>85</v>
      </c>
      <c r="AU32" s="27">
        <f>+IF(D104="X",1,0)</f>
        <v>1</v>
      </c>
      <c r="AZ32" s="27">
        <v>143</v>
      </c>
      <c r="BA32" s="27">
        <f>+IF(D162="X",1,0)</f>
        <v>1</v>
      </c>
      <c r="BC32" s="27">
        <v>95</v>
      </c>
      <c r="BD32" s="27">
        <f>+IF(D114="X",1,0)</f>
        <v>0</v>
      </c>
      <c r="BE32" s="27">
        <v>80</v>
      </c>
      <c r="BF32" s="27">
        <f>+IF(D99="X",1,0)</f>
        <v>0</v>
      </c>
      <c r="BG32" s="27">
        <v>172</v>
      </c>
      <c r="BH32" s="27">
        <f>+IF(D191="X",1,0)</f>
        <v>0</v>
      </c>
      <c r="BK32" s="27">
        <v>19</v>
      </c>
      <c r="BL32" s="27">
        <f t="shared" ref="BL32:BL37" si="0">+IF(D38="X",1,0)</f>
        <v>0</v>
      </c>
      <c r="BM32" s="27">
        <v>158</v>
      </c>
      <c r="BN32" s="27">
        <f>+IF(D177="X",1,0)</f>
        <v>1</v>
      </c>
      <c r="BO32" s="27">
        <v>41</v>
      </c>
      <c r="BP32" s="27">
        <f>+IF(D60="X",1,0)</f>
        <v>1</v>
      </c>
      <c r="BT32" s="27" t="s">
        <v>280</v>
      </c>
      <c r="BU32" s="27">
        <f>IF(D97&lt;&gt;D183,1,0)</f>
        <v>0</v>
      </c>
      <c r="DD32" s="28">
        <f>SUM(DD20:DD31)</f>
        <v>1</v>
      </c>
      <c r="EK32" s="28">
        <f>SUM(EK20:EK31)</f>
        <v>10</v>
      </c>
      <c r="EW32" s="28">
        <f>SUM(EW20:EW31)</f>
        <v>5</v>
      </c>
    </row>
    <row r="33" spans="2:73" ht="17.25">
      <c r="B33" s="147">
        <v>14</v>
      </c>
      <c r="C33" s="148" t="s">
        <v>810</v>
      </c>
      <c r="D33" s="49" t="s">
        <v>222</v>
      </c>
      <c r="E33" s="49"/>
      <c r="F33" s="53">
        <v>14</v>
      </c>
      <c r="H33" s="27">
        <v>30</v>
      </c>
      <c r="I33" s="27">
        <f>+IF(E49="X",1,0)</f>
        <v>1</v>
      </c>
      <c r="J33" s="30">
        <v>184</v>
      </c>
      <c r="K33" s="27">
        <f>+IF(D203="X",1,0)</f>
        <v>1</v>
      </c>
      <c r="L33" s="30">
        <v>70</v>
      </c>
      <c r="M33" s="27">
        <f>+IF(D89="X",1,0)</f>
        <v>1</v>
      </c>
      <c r="N33" s="30">
        <v>67</v>
      </c>
      <c r="O33" s="27">
        <f>+IF(E86="X",1,0)</f>
        <v>0</v>
      </c>
      <c r="P33" s="30">
        <v>26</v>
      </c>
      <c r="Q33" s="27">
        <f>+IF(E45="X",1,0)</f>
        <v>0</v>
      </c>
      <c r="R33" s="30">
        <v>154</v>
      </c>
      <c r="S33" s="27">
        <f>+IF(D173="X",1,0)</f>
        <v>0</v>
      </c>
      <c r="T33" s="30">
        <v>117</v>
      </c>
      <c r="U33" s="27">
        <f>+IF(D136="X",1,0)</f>
        <v>0</v>
      </c>
      <c r="V33" s="30">
        <v>158</v>
      </c>
      <c r="W33" s="27">
        <f>+IF(E177="X",1,0)</f>
        <v>0</v>
      </c>
      <c r="X33" s="30">
        <v>172</v>
      </c>
      <c r="Y33" s="27">
        <f>+IF(D191="X",1,0)</f>
        <v>0</v>
      </c>
      <c r="AA33" s="167">
        <f>SUM(AA20:AA32)</f>
        <v>21</v>
      </c>
      <c r="AB33" s="30">
        <v>97</v>
      </c>
      <c r="AC33" s="27">
        <f>+IF(D116="X",1,0)</f>
        <v>0</v>
      </c>
      <c r="AD33" s="30">
        <v>164</v>
      </c>
      <c r="AE33" s="27">
        <f>+IF(D183="X",1,0)</f>
        <v>0</v>
      </c>
      <c r="AG33" s="30">
        <v>121</v>
      </c>
      <c r="AH33" s="27">
        <f>+IF(D140="X",1,0)</f>
        <v>1</v>
      </c>
      <c r="AI33" s="30">
        <v>111</v>
      </c>
      <c r="AJ33" s="27">
        <f>+IF(D130="X",1,0)</f>
        <v>0</v>
      </c>
      <c r="AK33" s="52">
        <v>167</v>
      </c>
      <c r="AL33" s="27">
        <f>+IF(D186="X",1,0)</f>
        <v>1</v>
      </c>
      <c r="AO33" s="167">
        <f>SUM(AO20:AO32)</f>
        <v>15</v>
      </c>
      <c r="AS33" s="167">
        <f>SUM(AS20:AS32)</f>
        <v>7</v>
      </c>
      <c r="AT33" s="27">
        <v>93</v>
      </c>
      <c r="AU33" s="27">
        <f>+IF(D112="X",1,0)</f>
        <v>0</v>
      </c>
      <c r="AZ33" s="27">
        <v>157</v>
      </c>
      <c r="BA33" s="27">
        <f>+IF(D176="X",1,0)</f>
        <v>0</v>
      </c>
      <c r="BC33" s="27">
        <v>104</v>
      </c>
      <c r="BD33" s="27">
        <f>+IF(D123="X",1,0)</f>
        <v>1</v>
      </c>
      <c r="BE33" s="27">
        <v>111</v>
      </c>
      <c r="BF33" s="27">
        <f>+IF(D130="X",1,0)</f>
        <v>0</v>
      </c>
      <c r="BG33" s="27">
        <v>189</v>
      </c>
      <c r="BH33" s="27">
        <f>+IF(D208="X",1,0)</f>
        <v>0</v>
      </c>
      <c r="BK33" s="27">
        <v>20</v>
      </c>
      <c r="BL33" s="27">
        <f t="shared" si="0"/>
        <v>0</v>
      </c>
      <c r="BM33" s="27">
        <v>173</v>
      </c>
      <c r="BN33" s="27">
        <f>+IF(D192="X",1,0)</f>
        <v>1</v>
      </c>
      <c r="BO33" s="27">
        <v>44</v>
      </c>
      <c r="BP33" s="27">
        <f>+IF(D63="X",1,0)</f>
        <v>1</v>
      </c>
      <c r="BT33" s="27" t="s">
        <v>281</v>
      </c>
      <c r="BU33" s="27">
        <f>IF(D57&lt;&gt;D190,1,0)</f>
        <v>0</v>
      </c>
    </row>
    <row r="34" spans="2:73" ht="17.25">
      <c r="B34" s="147">
        <v>15</v>
      </c>
      <c r="C34" s="148" t="s">
        <v>11</v>
      </c>
      <c r="D34" s="49" t="s">
        <v>222</v>
      </c>
      <c r="E34" s="49"/>
      <c r="F34" s="53">
        <v>15</v>
      </c>
      <c r="H34" s="27">
        <v>154</v>
      </c>
      <c r="I34" s="27">
        <f>+IF(E173="X",1,0)</f>
        <v>1</v>
      </c>
      <c r="J34" s="30">
        <v>193</v>
      </c>
      <c r="K34" s="27">
        <f>+IF(D212="X",1,0)</f>
        <v>0</v>
      </c>
      <c r="L34" s="30">
        <v>90</v>
      </c>
      <c r="M34" s="27">
        <f>+IF(D109="X",1,0)</f>
        <v>1</v>
      </c>
      <c r="O34" s="167">
        <f>SUM(O20:O33)</f>
        <v>14</v>
      </c>
      <c r="P34" s="30">
        <v>139</v>
      </c>
      <c r="Q34" s="27">
        <f>+IF(E158="X",1,0)</f>
        <v>0</v>
      </c>
      <c r="R34" s="30">
        <v>26</v>
      </c>
      <c r="S34" s="27">
        <f>+IF(E45="X",1,0)</f>
        <v>0</v>
      </c>
      <c r="T34" s="30">
        <v>171</v>
      </c>
      <c r="U34" s="27">
        <f>+IF(D190="X",1,0)</f>
        <v>0</v>
      </c>
      <c r="W34" s="167">
        <f>SUM(W20:W33)</f>
        <v>0</v>
      </c>
      <c r="Y34" s="167">
        <f>SUM(Y20:Y33)</f>
        <v>0</v>
      </c>
      <c r="AB34" s="30">
        <v>100</v>
      </c>
      <c r="AC34" s="27">
        <f>+IF(D119="X",1,0)</f>
        <v>1</v>
      </c>
      <c r="AD34" s="30">
        <v>178</v>
      </c>
      <c r="AE34" s="27">
        <f>+IF(D197="X",1,0)</f>
        <v>1</v>
      </c>
      <c r="AG34" s="30">
        <v>123</v>
      </c>
      <c r="AH34" s="27">
        <f>+IF(D142="X",1,0)</f>
        <v>1</v>
      </c>
      <c r="AI34" s="30">
        <v>126</v>
      </c>
      <c r="AJ34" s="27">
        <f>+IF(D145="X",1,0)</f>
        <v>1</v>
      </c>
      <c r="AK34" s="52">
        <v>180</v>
      </c>
      <c r="AL34" s="27">
        <f>+IF(D199="X",1,0)</f>
        <v>0</v>
      </c>
      <c r="AT34" s="27">
        <v>101</v>
      </c>
      <c r="AU34" s="27">
        <f>+IF(D120="X",1,0)</f>
        <v>1</v>
      </c>
      <c r="BA34" s="167">
        <f>SUM(BA20:BA33)</f>
        <v>16</v>
      </c>
      <c r="BC34" s="27">
        <v>123</v>
      </c>
      <c r="BD34" s="27">
        <f>+IF(D142="X",1,0)</f>
        <v>1</v>
      </c>
      <c r="BE34" s="27">
        <v>118</v>
      </c>
      <c r="BF34" s="27">
        <f>+IF(D137="X",1,0)</f>
        <v>1</v>
      </c>
      <c r="BH34" s="167">
        <f>SUM(BH20:BH33)</f>
        <v>1</v>
      </c>
      <c r="BK34" s="27">
        <v>21</v>
      </c>
      <c r="BL34" s="27">
        <f t="shared" si="0"/>
        <v>0</v>
      </c>
      <c r="BM34" s="27">
        <v>174</v>
      </c>
      <c r="BN34" s="27">
        <f>+IF(D193="X",1,0)</f>
        <v>0</v>
      </c>
      <c r="BO34" s="27">
        <v>51</v>
      </c>
      <c r="BP34" s="27">
        <f>+IF(D70="X",1,0)</f>
        <v>1</v>
      </c>
      <c r="BT34" s="27" t="s">
        <v>282</v>
      </c>
      <c r="BU34" s="27">
        <f>IF(D93&lt;&gt;D134,1,0)</f>
        <v>0</v>
      </c>
    </row>
    <row r="35" spans="2:73" ht="17.25">
      <c r="B35" s="147">
        <v>16</v>
      </c>
      <c r="C35" s="148" t="s">
        <v>12</v>
      </c>
      <c r="D35" s="49"/>
      <c r="E35" s="49" t="s">
        <v>222</v>
      </c>
      <c r="F35" s="53">
        <v>16</v>
      </c>
      <c r="I35" s="167">
        <f>SUM(I20:I34)</f>
        <v>20</v>
      </c>
      <c r="J35" s="30">
        <v>46</v>
      </c>
      <c r="K35" s="27">
        <f>+IF(E65="X",1,0)</f>
        <v>1</v>
      </c>
      <c r="L35" s="30">
        <v>126</v>
      </c>
      <c r="M35" s="27">
        <f>+IF(D145="X",1,0)</f>
        <v>1</v>
      </c>
      <c r="P35" s="30">
        <v>178</v>
      </c>
      <c r="Q35" s="27">
        <f>+IF(E197="X",1,0)</f>
        <v>0</v>
      </c>
      <c r="R35" s="30">
        <v>120</v>
      </c>
      <c r="S35" s="27">
        <f>+IF(E139="X",1,0)</f>
        <v>0</v>
      </c>
      <c r="T35" s="30">
        <v>191</v>
      </c>
      <c r="U35" s="27">
        <f>+IF(D210="X",1,0)</f>
        <v>0</v>
      </c>
      <c r="AB35" s="30">
        <v>168</v>
      </c>
      <c r="AC35" s="27">
        <f>+IF(D187="X",1,0)</f>
        <v>0</v>
      </c>
      <c r="AD35" s="30">
        <v>195</v>
      </c>
      <c r="AE35" s="27">
        <f>+IF(D214="X",1,0)</f>
        <v>1</v>
      </c>
      <c r="AG35" s="30">
        <v>126</v>
      </c>
      <c r="AH35" s="27">
        <f>+IF(D145="X",1,0)</f>
        <v>1</v>
      </c>
      <c r="AI35" s="30">
        <v>137</v>
      </c>
      <c r="AJ35" s="27">
        <f>+IF(D156="X",1,0)</f>
        <v>1</v>
      </c>
      <c r="AK35" s="52">
        <v>195</v>
      </c>
      <c r="AL35" s="27">
        <f>+IF(D214="X",1,0)</f>
        <v>1</v>
      </c>
      <c r="AT35" s="27">
        <v>111</v>
      </c>
      <c r="AU35" s="27">
        <f>+IF(D130="X",1,0)</f>
        <v>0</v>
      </c>
      <c r="BC35" s="27">
        <v>136</v>
      </c>
      <c r="BD35" s="27">
        <f>+IF(D155="X",1,0)</f>
        <v>0</v>
      </c>
      <c r="BE35" s="27">
        <v>120</v>
      </c>
      <c r="BF35" s="27">
        <f>+IF(D139="X",1,0)</f>
        <v>1</v>
      </c>
      <c r="BK35" s="27">
        <v>22</v>
      </c>
      <c r="BL35" s="27">
        <f t="shared" si="0"/>
        <v>1</v>
      </c>
      <c r="BM35" s="27">
        <v>185</v>
      </c>
      <c r="BN35" s="27">
        <f>+IF(D204="X",1,0)</f>
        <v>0</v>
      </c>
      <c r="BO35" s="27">
        <v>64</v>
      </c>
      <c r="BP35" s="27">
        <f>+IF(D83="X",1,0)</f>
        <v>1</v>
      </c>
      <c r="BT35" s="27" t="s">
        <v>283</v>
      </c>
      <c r="BU35" s="27">
        <f>IF(D65&lt;&gt;D173,1,0)</f>
        <v>0</v>
      </c>
    </row>
    <row r="36" spans="2:73" ht="17.25">
      <c r="B36" s="147">
        <v>17</v>
      </c>
      <c r="C36" s="148" t="s">
        <v>13</v>
      </c>
      <c r="D36" s="49" t="s">
        <v>222</v>
      </c>
      <c r="E36" s="49"/>
      <c r="F36" s="53">
        <v>17</v>
      </c>
      <c r="J36" s="30">
        <v>67</v>
      </c>
      <c r="K36" s="27">
        <f>+IF(E86="X",1,0)</f>
        <v>0</v>
      </c>
      <c r="L36" s="30">
        <v>170</v>
      </c>
      <c r="M36" s="27">
        <f>+IF(D189="X",1,0)</f>
        <v>1</v>
      </c>
      <c r="P36" s="30">
        <v>195</v>
      </c>
      <c r="Q36" s="27">
        <f>+IF(E214="X",1,0)</f>
        <v>0</v>
      </c>
      <c r="R36" s="30">
        <v>178</v>
      </c>
      <c r="S36" s="27">
        <f>+IF(E197="X",1,0)</f>
        <v>0</v>
      </c>
      <c r="U36" s="167">
        <f>SUM(U20:U35)</f>
        <v>2</v>
      </c>
      <c r="AB36" s="30">
        <v>172</v>
      </c>
      <c r="AC36" s="27">
        <f>+IF(D191="X",1,0)</f>
        <v>0</v>
      </c>
      <c r="AD36" s="30">
        <v>20</v>
      </c>
      <c r="AE36" s="27">
        <f>+IF(E39="X",1,0)</f>
        <v>1</v>
      </c>
      <c r="AG36" s="30">
        <v>148</v>
      </c>
      <c r="AH36" s="27">
        <f>+IF(D167="X",1,0)</f>
        <v>0</v>
      </c>
      <c r="AI36" s="30">
        <v>156</v>
      </c>
      <c r="AJ36" s="27">
        <f>+IF(D175="X",1,0)</f>
        <v>0</v>
      </c>
      <c r="AL36" s="167">
        <f>SUM(AL20:AL35)</f>
        <v>5</v>
      </c>
      <c r="AT36" s="27">
        <v>114</v>
      </c>
      <c r="AU36" s="27">
        <f>+IF(D133="X",1,0)</f>
        <v>1</v>
      </c>
      <c r="BC36" s="27">
        <v>148</v>
      </c>
      <c r="BD36" s="27">
        <f>+IF(D167="X",1,0)</f>
        <v>0</v>
      </c>
      <c r="BE36" s="27">
        <v>170</v>
      </c>
      <c r="BF36" s="27">
        <f>+IF(D189="X",1,0)</f>
        <v>1</v>
      </c>
      <c r="BK36" s="27">
        <v>23</v>
      </c>
      <c r="BL36" s="27">
        <f t="shared" si="0"/>
        <v>1</v>
      </c>
      <c r="BM36" s="27">
        <v>188</v>
      </c>
      <c r="BN36" s="27">
        <f>+IF(D207="X",1,0)</f>
        <v>0</v>
      </c>
      <c r="BO36" s="27">
        <v>74</v>
      </c>
      <c r="BP36" s="27">
        <f>+IF(D93="X",1,0)</f>
        <v>0</v>
      </c>
      <c r="BT36" s="27" t="s">
        <v>284</v>
      </c>
      <c r="BU36" s="27">
        <f>IF(D45&lt;&gt;D118,1,0)</f>
        <v>0</v>
      </c>
    </row>
    <row r="37" spans="2:73" ht="17.25">
      <c r="B37" s="147">
        <v>18</v>
      </c>
      <c r="C37" s="148" t="s">
        <v>14</v>
      </c>
      <c r="D37" s="49"/>
      <c r="E37" s="49" t="s">
        <v>222</v>
      </c>
      <c r="F37" s="53">
        <v>18</v>
      </c>
      <c r="J37" s="30">
        <v>154</v>
      </c>
      <c r="K37" s="27">
        <f>+IF(E173="X",1,0)</f>
        <v>1</v>
      </c>
      <c r="L37" s="30">
        <v>178</v>
      </c>
      <c r="M37" s="27">
        <f>+IF(D197="X",1,0)</f>
        <v>1</v>
      </c>
      <c r="Q37" s="167">
        <f>SUM(Q20:Q36)</f>
        <v>2</v>
      </c>
      <c r="S37" s="167">
        <f>SUM(S20:S36)</f>
        <v>2</v>
      </c>
      <c r="AB37" s="30">
        <v>184</v>
      </c>
      <c r="AC37" s="27">
        <f>+IF(D203="X",1,0)</f>
        <v>1</v>
      </c>
      <c r="AD37" s="30">
        <v>75</v>
      </c>
      <c r="AE37" s="27">
        <f>+IF(E94="X",1,0)</f>
        <v>1</v>
      </c>
      <c r="AG37" s="30">
        <v>163</v>
      </c>
      <c r="AH37" s="27">
        <f>+IF(D182="X",1,0)</f>
        <v>1</v>
      </c>
      <c r="AI37" s="30">
        <v>166</v>
      </c>
      <c r="AJ37" s="27">
        <f>+IF(D185="X",1,0)</f>
        <v>0</v>
      </c>
      <c r="AT37" s="27">
        <v>120</v>
      </c>
      <c r="AU37" s="27">
        <f>+IF(D139="X",1,0)</f>
        <v>1</v>
      </c>
      <c r="BC37" s="27">
        <v>156</v>
      </c>
      <c r="BD37" s="27">
        <f>+IF(D175="X",1,0)</f>
        <v>0</v>
      </c>
      <c r="BF37" s="167">
        <f>SUM(BF20:BF36)</f>
        <v>17</v>
      </c>
      <c r="BK37" s="27">
        <v>24</v>
      </c>
      <c r="BL37" s="27">
        <f t="shared" si="0"/>
        <v>1</v>
      </c>
      <c r="BM37" s="27">
        <v>65</v>
      </c>
      <c r="BN37" s="27">
        <f>+IF(E84="X",1,0)</f>
        <v>1</v>
      </c>
      <c r="BO37" s="27">
        <v>78</v>
      </c>
      <c r="BP37" s="27">
        <f>+IF(D97="X",1,0)</f>
        <v>0</v>
      </c>
      <c r="BT37" s="27" t="s">
        <v>285</v>
      </c>
      <c r="BU37" s="27">
        <f>IF(D39&lt;&gt;D193,1,0)</f>
        <v>0</v>
      </c>
    </row>
    <row r="38" spans="2:73" ht="17.25">
      <c r="B38" s="147">
        <v>19</v>
      </c>
      <c r="C38" s="148" t="s">
        <v>15</v>
      </c>
      <c r="D38" s="49"/>
      <c r="E38" s="49" t="s">
        <v>222</v>
      </c>
      <c r="F38" s="53">
        <v>19</v>
      </c>
      <c r="K38" s="167">
        <f>SUM(K20:K37)</f>
        <v>15</v>
      </c>
      <c r="L38" s="30">
        <v>53</v>
      </c>
      <c r="M38" s="27">
        <f>+IF(E72="X",1,0)</f>
        <v>1</v>
      </c>
      <c r="AC38" s="167">
        <f>SUM(AC20:AC37)</f>
        <v>13</v>
      </c>
      <c r="AE38" s="167">
        <f>SUM(AE20:AE37)</f>
        <v>14</v>
      </c>
      <c r="AG38" s="30">
        <v>167</v>
      </c>
      <c r="AH38" s="27">
        <f>+IF(D186="X",1,0)</f>
        <v>1</v>
      </c>
      <c r="AI38" s="30">
        <v>192</v>
      </c>
      <c r="AJ38" s="27">
        <f>+IF(D211="X",1,0)</f>
        <v>0</v>
      </c>
      <c r="AT38" s="27">
        <v>178</v>
      </c>
      <c r="AU38" s="27">
        <f>+IF(D197="X",1,0)</f>
        <v>1</v>
      </c>
      <c r="BC38" s="27">
        <v>165</v>
      </c>
      <c r="BD38" s="27">
        <f>+IF(D184="X",1,0)</f>
        <v>0</v>
      </c>
      <c r="BK38" s="27">
        <v>26</v>
      </c>
      <c r="BL38" s="27">
        <f>+IF(D45="X",1,0)</f>
        <v>1</v>
      </c>
      <c r="BM38" s="27">
        <v>71</v>
      </c>
      <c r="BN38" s="27">
        <f>+IF(E90="X",1,0)</f>
        <v>0</v>
      </c>
      <c r="BO38" s="27">
        <v>80</v>
      </c>
      <c r="BP38" s="27">
        <f>+IF(D99="X",1,0)</f>
        <v>0</v>
      </c>
      <c r="BT38" s="27" t="s">
        <v>286</v>
      </c>
      <c r="BU38" s="27">
        <f>IF(D51&lt;&gt;D141,1,0)</f>
        <v>1</v>
      </c>
    </row>
    <row r="39" spans="2:73" ht="17.25">
      <c r="B39" s="147">
        <v>20</v>
      </c>
      <c r="C39" s="148" t="s">
        <v>16</v>
      </c>
      <c r="D39" s="49"/>
      <c r="E39" s="49" t="s">
        <v>222</v>
      </c>
      <c r="F39" s="53">
        <v>20</v>
      </c>
      <c r="M39" s="167">
        <f>SUM(M20:M38)</f>
        <v>19</v>
      </c>
      <c r="AG39" s="30">
        <v>172</v>
      </c>
      <c r="AH39" s="27">
        <f>+IF(D191="X",1,0)</f>
        <v>0</v>
      </c>
      <c r="AI39" s="30">
        <v>193</v>
      </c>
      <c r="AJ39" s="27">
        <f>+IF(D212="X",1,0)</f>
        <v>0</v>
      </c>
      <c r="AT39" s="27">
        <v>193</v>
      </c>
      <c r="AU39" s="27">
        <f>+IF(D212="X",1,0)</f>
        <v>0</v>
      </c>
      <c r="BC39" s="27">
        <v>172</v>
      </c>
      <c r="BD39" s="27">
        <f>+IF(D191="X",1,0)</f>
        <v>0</v>
      </c>
      <c r="BK39" s="27">
        <v>29</v>
      </c>
      <c r="BL39" s="27">
        <f>+IF(D48="X",1,0)</f>
        <v>0</v>
      </c>
      <c r="BM39" s="27">
        <v>90</v>
      </c>
      <c r="BN39" s="27">
        <f>+IF(E109="X",1,0)</f>
        <v>0</v>
      </c>
      <c r="BO39" s="27">
        <v>101</v>
      </c>
      <c r="BP39" s="27">
        <f>+IF(D120="X",1,0)</f>
        <v>1</v>
      </c>
      <c r="BT39" s="27" t="s">
        <v>287</v>
      </c>
      <c r="BU39" s="27">
        <f>IF(D32&lt;&gt;D131,1,0)</f>
        <v>0</v>
      </c>
    </row>
    <row r="40" spans="2:73" ht="17.25">
      <c r="B40" s="147">
        <v>21</v>
      </c>
      <c r="C40" s="148" t="s">
        <v>17</v>
      </c>
      <c r="D40" s="49"/>
      <c r="E40" s="49" t="s">
        <v>222</v>
      </c>
      <c r="F40" s="53">
        <v>21</v>
      </c>
      <c r="AG40" s="30">
        <v>195</v>
      </c>
      <c r="AH40" s="27">
        <f>+IF(D214="X",1,0)</f>
        <v>1</v>
      </c>
      <c r="AJ40" s="167">
        <f>SUM(AJ20:AJ39)</f>
        <v>9</v>
      </c>
      <c r="AT40" s="27">
        <v>75</v>
      </c>
      <c r="AU40" s="27">
        <f>+IF(E94="X",1,0)</f>
        <v>1</v>
      </c>
      <c r="BC40" s="27">
        <v>182</v>
      </c>
      <c r="BD40" s="27">
        <f>+IF(D201="X",1,0)</f>
        <v>0</v>
      </c>
      <c r="BK40" s="27">
        <v>30</v>
      </c>
      <c r="BL40" s="27">
        <f>+IF(D49="X",1,0)</f>
        <v>0</v>
      </c>
      <c r="BM40" s="27">
        <v>99</v>
      </c>
      <c r="BN40" s="27">
        <f>+IF(E118="X",1,0)</f>
        <v>0</v>
      </c>
      <c r="BO40" s="27">
        <v>107</v>
      </c>
      <c r="BP40" s="27">
        <f>+IF(D126="X",1,0)</f>
        <v>0</v>
      </c>
      <c r="BT40" s="27" t="s">
        <v>288</v>
      </c>
      <c r="BU40" s="27">
        <f>IF(D74&lt;&gt;D129,1,0)</f>
        <v>0</v>
      </c>
    </row>
    <row r="41" spans="2:73" ht="17.25">
      <c r="B41" s="147">
        <v>22</v>
      </c>
      <c r="C41" s="148" t="s">
        <v>18</v>
      </c>
      <c r="D41" s="49" t="s">
        <v>222</v>
      </c>
      <c r="E41" s="49"/>
      <c r="F41" s="53">
        <v>22</v>
      </c>
      <c r="AH41" s="29">
        <f>SUM(AH20:AH40)</f>
        <v>14</v>
      </c>
      <c r="AU41" s="167">
        <f>SUM(AU20:AU40)</f>
        <v>24</v>
      </c>
      <c r="BD41" s="167">
        <f>SUM(BD20:BD40)</f>
        <v>11</v>
      </c>
      <c r="BK41" s="27">
        <v>32</v>
      </c>
      <c r="BL41" s="27">
        <f>+IF(D51="X",1,0)</f>
        <v>0</v>
      </c>
      <c r="BM41" s="27">
        <v>159</v>
      </c>
      <c r="BN41" s="27">
        <f>+IF(E178="X",1,0)</f>
        <v>1</v>
      </c>
      <c r="BO41" s="27">
        <v>109</v>
      </c>
      <c r="BP41" s="27">
        <f>+IF(D128="X",1,0)</f>
        <v>0</v>
      </c>
      <c r="BT41" s="27" t="s">
        <v>289</v>
      </c>
      <c r="BU41" s="27">
        <f>IF(D213&lt;&gt;D192,1,0)</f>
        <v>0</v>
      </c>
    </row>
    <row r="42" spans="2:73" ht="17.25">
      <c r="B42" s="147">
        <v>23</v>
      </c>
      <c r="C42" s="148" t="s">
        <v>19</v>
      </c>
      <c r="D42" s="49" t="s">
        <v>222</v>
      </c>
      <c r="E42" s="49"/>
      <c r="F42" s="53">
        <v>23</v>
      </c>
      <c r="BK42" s="27">
        <v>35</v>
      </c>
      <c r="BL42" s="27">
        <f>+IF(D54="X",1,0)</f>
        <v>1</v>
      </c>
      <c r="BM42" s="27">
        <v>162</v>
      </c>
      <c r="BN42" s="27">
        <f>+IF(E181="X",1,0)</f>
        <v>0</v>
      </c>
      <c r="BO42" s="27">
        <v>112</v>
      </c>
      <c r="BP42" s="27">
        <f>+IF(D131="X",1,0)</f>
        <v>0</v>
      </c>
      <c r="BT42" s="27" t="s">
        <v>290</v>
      </c>
      <c r="BU42" s="27">
        <f>IF(D114&lt;&gt;D146,1,0)</f>
        <v>0</v>
      </c>
    </row>
    <row r="43" spans="2:73" ht="17.25">
      <c r="B43" s="147">
        <v>24</v>
      </c>
      <c r="C43" s="148" t="s">
        <v>20</v>
      </c>
      <c r="D43" s="49" t="s">
        <v>222</v>
      </c>
      <c r="E43" s="49"/>
      <c r="F43" s="53">
        <v>24</v>
      </c>
      <c r="H43" s="29" t="s">
        <v>198</v>
      </c>
      <c r="I43" s="29" t="s">
        <v>538</v>
      </c>
      <c r="J43" s="29" t="s">
        <v>198</v>
      </c>
      <c r="K43" s="28" t="s">
        <v>539</v>
      </c>
      <c r="L43" s="32" t="s">
        <v>198</v>
      </c>
      <c r="M43" s="28" t="s">
        <v>540</v>
      </c>
      <c r="N43" s="29" t="s">
        <v>198</v>
      </c>
      <c r="O43" s="32" t="s">
        <v>541</v>
      </c>
      <c r="P43" s="29" t="s">
        <v>198</v>
      </c>
      <c r="Q43" s="29" t="s">
        <v>542</v>
      </c>
      <c r="R43" s="29" t="s">
        <v>198</v>
      </c>
      <c r="S43" s="32" t="s">
        <v>543</v>
      </c>
      <c r="T43" s="29" t="s">
        <v>198</v>
      </c>
      <c r="U43" s="29" t="s">
        <v>544</v>
      </c>
      <c r="V43" s="29" t="s">
        <v>198</v>
      </c>
      <c r="W43" s="29" t="s">
        <v>545</v>
      </c>
      <c r="X43" s="29" t="s">
        <v>198</v>
      </c>
      <c r="Y43" s="29" t="s">
        <v>546</v>
      </c>
      <c r="Z43" s="29" t="s">
        <v>198</v>
      </c>
      <c r="AA43" s="29" t="s">
        <v>547</v>
      </c>
      <c r="AB43" s="32" t="s">
        <v>198</v>
      </c>
      <c r="AC43" s="29" t="s">
        <v>215</v>
      </c>
      <c r="AD43" s="32" t="s">
        <v>198</v>
      </c>
      <c r="AE43" s="29" t="s">
        <v>600</v>
      </c>
      <c r="BK43" s="27">
        <v>36</v>
      </c>
      <c r="BL43" s="27">
        <f>+IF(D55="X",1,0)</f>
        <v>0</v>
      </c>
      <c r="BM43" s="27">
        <v>187</v>
      </c>
      <c r="BN43" s="27">
        <f>+IF(E206="X",1,0)</f>
        <v>0</v>
      </c>
      <c r="BO43" s="27">
        <v>113</v>
      </c>
      <c r="BP43" s="27">
        <f>+IF(D132="X",1,0)</f>
        <v>1</v>
      </c>
      <c r="BT43" s="27" t="s">
        <v>291</v>
      </c>
      <c r="BU43" s="27">
        <f>IF(D79&lt;&gt;D181,1,0)</f>
        <v>0</v>
      </c>
    </row>
    <row r="44" spans="2:73" ht="17.25">
      <c r="B44" s="147">
        <v>25</v>
      </c>
      <c r="C44" s="148" t="s">
        <v>21</v>
      </c>
      <c r="D44" s="49"/>
      <c r="E44" s="49" t="s">
        <v>222</v>
      </c>
      <c r="F44" s="53">
        <v>25</v>
      </c>
      <c r="H44" s="52">
        <v>7</v>
      </c>
      <c r="I44" s="27" t="str">
        <f>+IF(D26="X",C26," ")</f>
        <v>Me cuesta mantener el equilibrio cuando camino.</v>
      </c>
      <c r="J44" s="52">
        <v>4</v>
      </c>
      <c r="K44" s="30" t="str">
        <f>+IF(D23="X",C23," ")</f>
        <v xml:space="preserve"> </v>
      </c>
      <c r="L44" s="52">
        <v>27</v>
      </c>
      <c r="M44" s="30" t="str">
        <f>+IF(D46="X",C46," ")</f>
        <v xml:space="preserve"> </v>
      </c>
      <c r="N44" s="52">
        <v>14</v>
      </c>
      <c r="O44" s="30" t="str">
        <f>+IF(D33="X",C33," ")</f>
        <v>Hace unos años comencé a sentirme un fracasado.</v>
      </c>
      <c r="P44" s="30">
        <v>47</v>
      </c>
      <c r="Q44" s="30" t="str">
        <f>+IF(D66="X",C66," ")</f>
        <v>Me da vergüenza el maltrato que sufrí cuando era joven.</v>
      </c>
      <c r="R44" s="52">
        <v>69</v>
      </c>
      <c r="S44" s="30" t="str">
        <f>+IF(D88="X",C88," ")</f>
        <v>Me doy atracones de comida un par de veces en la semana.</v>
      </c>
      <c r="T44" s="52">
        <v>22</v>
      </c>
      <c r="U44" s="30" t="str">
        <f>+IF(D41="X",C41," ")</f>
        <v>Me siento extremadamente deprimido y triste gran parte del tiempo.</v>
      </c>
      <c r="V44" s="52">
        <v>11</v>
      </c>
      <c r="W44" s="30" t="str">
        <f>+IF(D30="X",C30," ")</f>
        <v xml:space="preserve"> </v>
      </c>
      <c r="X44" s="52">
        <v>56</v>
      </c>
      <c r="Y44" s="30" t="str">
        <f>+IF(D75="X",C75," ")</f>
        <v>Antes la gente decía que me interesaba y me entusiasmaba demasiado por muchas cosas.</v>
      </c>
      <c r="Z44" s="52">
        <v>92</v>
      </c>
      <c r="AA44" s="30" t="str">
        <f>+IF(D111="X",C111," ")</f>
        <v>A menudo me pierdo en mis pensamientos y me olvido de lo que está pasando a mi alrededor.</v>
      </c>
      <c r="AB44" s="30">
        <v>124</v>
      </c>
      <c r="AC44" s="27" t="str">
        <f>+IF(D143="X",C143," ")</f>
        <v xml:space="preserve"> </v>
      </c>
      <c r="AD44" s="27">
        <v>40</v>
      </c>
      <c r="AE44" s="27" t="str">
        <f>+IF(D59="X",C59," ")</f>
        <v xml:space="preserve"> </v>
      </c>
      <c r="BK44" s="27">
        <v>37</v>
      </c>
      <c r="BL44" s="27">
        <f>+IF(D56="X",1,0)</f>
        <v>1</v>
      </c>
      <c r="BN44" s="167">
        <f>SUM(BN20:BN43)</f>
        <v>8</v>
      </c>
      <c r="BO44" s="27">
        <v>120</v>
      </c>
      <c r="BP44" s="27">
        <f>+IF(D139="X",1,0)</f>
        <v>1</v>
      </c>
      <c r="BT44" s="27" t="s">
        <v>292</v>
      </c>
      <c r="BU44" s="27">
        <f>IF(D34&lt;&gt;D168,1,0)</f>
        <v>0</v>
      </c>
    </row>
    <row r="45" spans="2:73" ht="17.25">
      <c r="B45" s="147">
        <v>26</v>
      </c>
      <c r="C45" s="148" t="s">
        <v>22</v>
      </c>
      <c r="D45" s="49" t="s">
        <v>222</v>
      </c>
      <c r="E45" s="49"/>
      <c r="F45" s="53">
        <v>26</v>
      </c>
      <c r="H45" s="52">
        <v>41</v>
      </c>
      <c r="I45" s="27" t="str">
        <f>+IF(D60="X",C60," ")</f>
        <v>Tengo la sensación de que no duermo, y me levanto tan cansado como al acostarme.</v>
      </c>
      <c r="J45" s="52">
        <v>104</v>
      </c>
      <c r="K45" s="30" t="str">
        <f>+IF(D123="X",C123," ")</f>
        <v>Tengo mucho cuidado en mantener mi vida como algo privado, para que nadie pueda aprovecharse de mí.</v>
      </c>
      <c r="L45" s="52">
        <v>36</v>
      </c>
      <c r="M45" s="30" t="str">
        <f>+IF(D55="X",C55," ")</f>
        <v xml:space="preserve"> </v>
      </c>
      <c r="N45" s="52">
        <v>32</v>
      </c>
      <c r="O45" s="30" t="str">
        <f>+IF(D51="X",C51," ")</f>
        <v xml:space="preserve"> </v>
      </c>
      <c r="P45" s="30">
        <v>157</v>
      </c>
      <c r="Q45" s="30" t="str">
        <f>+IF(D176="X",C176," ")</f>
        <v xml:space="preserve"> </v>
      </c>
      <c r="R45" s="52">
        <v>86</v>
      </c>
      <c r="S45" s="30" t="str">
        <f>+IF(D105="X",C105," ")</f>
        <v xml:space="preserve"> </v>
      </c>
      <c r="T45" s="52">
        <v>37</v>
      </c>
      <c r="U45" s="30" t="str">
        <f>+IF(D56="X",C56," ")</f>
        <v>Mi estado de ánimo varía mucho de un día para otro.</v>
      </c>
      <c r="V45" s="52">
        <v>74</v>
      </c>
      <c r="W45" s="30" t="str">
        <f>+IF(D93="X",C93," ")</f>
        <v xml:space="preserve"> </v>
      </c>
      <c r="X45" s="52">
        <v>77</v>
      </c>
      <c r="Y45" s="30" t="str">
        <f>+IF(D96="X",C96," ")</f>
        <v>Me parece que necesito que alguien me oriente para hacer las cosas.</v>
      </c>
      <c r="Z45" s="52">
        <v>119</v>
      </c>
      <c r="AA45" s="30" t="str">
        <f>+IF(D138="X",C138," ")</f>
        <v>Mis emociones no parecen ser tan intensas como las del resto de la gente.</v>
      </c>
      <c r="AB45" s="30">
        <v>176</v>
      </c>
      <c r="AC45" s="27" t="str">
        <f>+IF(D195="X",C195," ")</f>
        <v xml:space="preserve"> </v>
      </c>
      <c r="AD45" s="27">
        <v>181</v>
      </c>
      <c r="AE45" s="27" t="str">
        <f>+IF(D200="X",C200," ")</f>
        <v xml:space="preserve"> </v>
      </c>
      <c r="BK45" s="27">
        <v>38</v>
      </c>
      <c r="BL45" s="27">
        <f>+IF(D57="X",1,0)</f>
        <v>0</v>
      </c>
      <c r="BO45" s="27">
        <v>151</v>
      </c>
      <c r="BP45" s="27">
        <f>+IF(D170="X",1,0)</f>
        <v>1</v>
      </c>
      <c r="BU45" s="29">
        <f>SUM(BU20:BU44)</f>
        <v>3</v>
      </c>
    </row>
    <row r="46" spans="2:73" ht="17.25">
      <c r="B46" s="147">
        <v>27</v>
      </c>
      <c r="C46" s="148" t="s">
        <v>23</v>
      </c>
      <c r="D46" s="49"/>
      <c r="E46" s="49" t="s">
        <v>222</v>
      </c>
      <c r="F46" s="53">
        <v>27</v>
      </c>
      <c r="H46" s="52">
        <v>57</v>
      </c>
      <c r="I46" s="27" t="str">
        <f>+IF(D76="X",C76," ")</f>
        <v>He perdido el apetito por completo, y la mayoría de las noches tengo problemas para dormir.</v>
      </c>
      <c r="J46" s="52">
        <v>182</v>
      </c>
      <c r="K46" s="30" t="str">
        <f>+IF(D201="X",C201," ")</f>
        <v xml:space="preserve"> </v>
      </c>
      <c r="L46" s="52">
        <v>45</v>
      </c>
      <c r="M46" s="30" t="str">
        <f>+IF(D64="X",C64," ")</f>
        <v xml:space="preserve"> </v>
      </c>
      <c r="N46" s="52">
        <v>34</v>
      </c>
      <c r="O46" s="30" t="str">
        <f>+IF(D53="X",C53," ")</f>
        <v>Desde hace uno o dos años, al pensar sobre la vida, me siento muy triste y desanimado.</v>
      </c>
      <c r="R46" s="52">
        <v>102</v>
      </c>
      <c r="S46" s="30" t="str">
        <f>+IF(D121="X",C121," ")</f>
        <v xml:space="preserve"> </v>
      </c>
      <c r="T46" s="52">
        <v>100</v>
      </c>
      <c r="U46" s="30" t="str">
        <f>+IF(D119="X",C119," ")</f>
        <v>Creo que provoco situaciones en las que resulto herido o me siento rechazado.</v>
      </c>
      <c r="V46" s="52">
        <v>115</v>
      </c>
      <c r="W46" s="30" t="str">
        <f>+IF(D134="X",C134," ")</f>
        <v xml:space="preserve"> </v>
      </c>
      <c r="X46" s="52">
        <v>82</v>
      </c>
      <c r="Y46" s="30" t="str">
        <f>+IF(D101="X",C101," ")</f>
        <v xml:space="preserve"> </v>
      </c>
      <c r="Z46" s="52">
        <v>138</v>
      </c>
      <c r="AA46" s="30" t="str">
        <f>+IF(D157="X",C157," ")</f>
        <v xml:space="preserve"> </v>
      </c>
      <c r="BK46" s="27">
        <v>39</v>
      </c>
      <c r="BL46" s="27">
        <f>+IF(D58="X",1,0)</f>
        <v>1</v>
      </c>
      <c r="BO46" s="27">
        <v>164</v>
      </c>
      <c r="BP46" s="27">
        <f>+IF(D183="X",1,0)</f>
        <v>0</v>
      </c>
    </row>
    <row r="47" spans="2:73" ht="17.25">
      <c r="B47" s="147">
        <v>28</v>
      </c>
      <c r="C47" s="148" t="s">
        <v>24</v>
      </c>
      <c r="D47" s="49" t="s">
        <v>222</v>
      </c>
      <c r="E47" s="49"/>
      <c r="F47" s="53">
        <v>28</v>
      </c>
      <c r="H47" s="52">
        <v>113</v>
      </c>
      <c r="I47" s="27" t="str">
        <f>+IF(D132="X",C132," ")</f>
        <v>Últimamente sudo mucho y me siento muy tenso.</v>
      </c>
      <c r="J47" s="52">
        <v>190</v>
      </c>
      <c r="K47" s="30" t="str">
        <f>+IF(D209="X",C209," ")</f>
        <v xml:space="preserve"> </v>
      </c>
      <c r="L47" s="52">
        <v>56</v>
      </c>
      <c r="M47" s="30" t="str">
        <f>+IF(D75="X",C75," ")</f>
        <v>Antes la gente decía que me interesaba y me entusiasmaba demasiado por muchas cosas.</v>
      </c>
      <c r="N47" s="52">
        <v>39</v>
      </c>
      <c r="O47" s="30" t="str">
        <f>+IF(D58="X",C58," ")</f>
        <v>A menudo pienso que no merezco las cosas buenas que me pasan.</v>
      </c>
      <c r="R47" s="52">
        <v>186</v>
      </c>
      <c r="S47" s="30" t="str">
        <f>+IF(D205="X",C205," ")</f>
        <v xml:space="preserve"> </v>
      </c>
      <c r="T47" s="52">
        <v>103</v>
      </c>
      <c r="U47" s="30" t="str">
        <f>+IF(D122="X",C122," ")</f>
        <v xml:space="preserve"> </v>
      </c>
      <c r="V47" s="52">
        <v>145</v>
      </c>
      <c r="W47" s="30" t="str">
        <f>+IF(D164="X",C164," ")</f>
        <v xml:space="preserve"> </v>
      </c>
      <c r="X47" s="52">
        <v>92</v>
      </c>
      <c r="Y47" s="30" t="str">
        <f>+IF(D111="X",C111," ")</f>
        <v>A menudo me pierdo en mis pensamientos y me olvido de lo que está pasando a mi alrededor.</v>
      </c>
      <c r="Z47" s="52">
        <v>163</v>
      </c>
      <c r="AA47" s="30" t="str">
        <f>+IF(D182="X",C182," ")</f>
        <v>A menudo me vienen ideas a la mente mucho más rápido de lo que puedo expresarlas.</v>
      </c>
      <c r="BK47" s="27">
        <v>42</v>
      </c>
      <c r="BL47" s="27">
        <f>+IF(D61="X",1,0)</f>
        <v>1</v>
      </c>
      <c r="BO47" s="27">
        <v>170</v>
      </c>
      <c r="BP47" s="27">
        <f>+IF(D189="X",1,0)</f>
        <v>1</v>
      </c>
    </row>
    <row r="48" spans="2:73" ht="17.25">
      <c r="B48" s="147">
        <v>29</v>
      </c>
      <c r="C48" s="148" t="s">
        <v>25</v>
      </c>
      <c r="D48" s="49"/>
      <c r="E48" s="49" t="s">
        <v>222</v>
      </c>
      <c r="F48" s="53">
        <v>29</v>
      </c>
      <c r="H48" s="52">
        <v>120</v>
      </c>
      <c r="I48" s="27" t="str">
        <f>+IF(D139="X",C139," ")</f>
        <v>Me siento débil y cansado la mayor parte del tiempo.</v>
      </c>
      <c r="L48" s="52">
        <v>72</v>
      </c>
      <c r="M48" s="30" t="str">
        <f>+IF(D91="X",C91," ")</f>
        <v xml:space="preserve"> </v>
      </c>
      <c r="N48" s="52">
        <v>59</v>
      </c>
      <c r="O48" s="30" t="str">
        <f>+IF(D78="X",C78," ")</f>
        <v xml:space="preserve"> </v>
      </c>
      <c r="T48" s="52">
        <v>111</v>
      </c>
      <c r="U48" s="30" t="str">
        <f>+IF(D130="X",C130," ")</f>
        <v xml:space="preserve"> </v>
      </c>
      <c r="V48" s="52">
        <v>168</v>
      </c>
      <c r="W48" s="30" t="str">
        <f>+IF(D187="X",C187," ")</f>
        <v xml:space="preserve"> </v>
      </c>
      <c r="X48" s="52">
        <v>108</v>
      </c>
      <c r="Y48" s="30" t="str">
        <f>+IF(D127="X",C127," ")</f>
        <v xml:space="preserve"> </v>
      </c>
      <c r="Z48" s="52">
        <v>165</v>
      </c>
      <c r="AA48" s="30" t="str">
        <f>+IF(D184="X",C184," ")</f>
        <v xml:space="preserve"> </v>
      </c>
      <c r="BK48" s="27">
        <v>43</v>
      </c>
      <c r="BL48" s="27">
        <f>+IF(D62="X",1,0)</f>
        <v>1</v>
      </c>
      <c r="BO48" s="27">
        <v>178</v>
      </c>
      <c r="BP48" s="27">
        <f>+IF(D197="X",1,0)</f>
        <v>1</v>
      </c>
    </row>
    <row r="49" spans="2:68" ht="17.25">
      <c r="B49" s="147">
        <v>30</v>
      </c>
      <c r="C49" s="148" t="s">
        <v>26</v>
      </c>
      <c r="D49" s="49"/>
      <c r="E49" s="49" t="s">
        <v>222</v>
      </c>
      <c r="F49" s="53">
        <v>30</v>
      </c>
      <c r="H49" s="52">
        <v>146</v>
      </c>
      <c r="I49" s="27" t="str">
        <f>+IF(D165="X",C165," ")</f>
        <v>Me preocupa que mi cuerpo se desgaste rápidamente.</v>
      </c>
      <c r="L49" s="52">
        <v>80</v>
      </c>
      <c r="M49" s="30" t="str">
        <f>+IF(D99="X",C99," ")</f>
        <v xml:space="preserve"> </v>
      </c>
      <c r="N49" s="52">
        <v>78</v>
      </c>
      <c r="O49" s="30" t="str">
        <f>+IF(D97="X",C97," ")</f>
        <v xml:space="preserve"> </v>
      </c>
      <c r="T49" s="52">
        <v>136</v>
      </c>
      <c r="U49" s="30" t="str">
        <f>+IF(D155="X",C155," ")</f>
        <v xml:space="preserve"> </v>
      </c>
      <c r="V49" s="52">
        <v>191</v>
      </c>
      <c r="W49" s="30" t="str">
        <f>+IF(D210="X",C210," ")</f>
        <v xml:space="preserve"> </v>
      </c>
      <c r="X49" s="30">
        <v>63</v>
      </c>
      <c r="Y49" s="30" t="str">
        <f>+IF(E82="X",C82," ")</f>
        <v xml:space="preserve"> </v>
      </c>
      <c r="Z49" s="52">
        <v>179</v>
      </c>
      <c r="AA49" s="30" t="str">
        <f>+IF(D198="X",C198," ")</f>
        <v>No me gusta cambiar mi rutina.</v>
      </c>
      <c r="BK49" s="27">
        <v>46</v>
      </c>
      <c r="BL49" s="27">
        <f>+IF(D65="X",1,0)</f>
        <v>0</v>
      </c>
      <c r="BO49" s="27">
        <v>193</v>
      </c>
      <c r="BP49" s="27">
        <f>+IF(D212="X",1,0)</f>
        <v>0</v>
      </c>
    </row>
    <row r="50" spans="2:68" ht="17.25">
      <c r="B50" s="147">
        <v>31</v>
      </c>
      <c r="C50" s="148" t="s">
        <v>27</v>
      </c>
      <c r="D50" s="49" t="s">
        <v>222</v>
      </c>
      <c r="E50" s="49"/>
      <c r="F50" s="53">
        <v>31</v>
      </c>
      <c r="I50" s="43"/>
      <c r="L50" s="52">
        <v>127</v>
      </c>
      <c r="M50" s="30" t="str">
        <f>+IF(D146="X",C146," ")</f>
        <v xml:space="preserve"> </v>
      </c>
      <c r="N50" s="52">
        <v>101</v>
      </c>
      <c r="O50" s="30" t="str">
        <f>+IF(D120="X",C120," ")</f>
        <v>Me siento profundamente deprimido sin saber por qué.</v>
      </c>
      <c r="T50" s="52">
        <v>167</v>
      </c>
      <c r="U50" s="30" t="str">
        <f>+IF(D186="X",C186," ")</f>
        <v>A menudo creo que me han tratado injustamente.</v>
      </c>
      <c r="Z50" s="52">
        <v>190</v>
      </c>
      <c r="AA50" s="30" t="str">
        <f>+IF(D209="X",C209," ")</f>
        <v xml:space="preserve"> </v>
      </c>
      <c r="BK50" s="27">
        <v>48</v>
      </c>
      <c r="BL50" s="27">
        <f>+IF(D67="X",1,0)</f>
        <v>1</v>
      </c>
      <c r="BP50" s="167">
        <f>SUM(BP20:BP49)</f>
        <v>19</v>
      </c>
    </row>
    <row r="51" spans="2:68" ht="17.25">
      <c r="B51" s="147">
        <v>32</v>
      </c>
      <c r="C51" s="148" t="s">
        <v>28</v>
      </c>
      <c r="D51" s="49"/>
      <c r="E51" s="49" t="s">
        <v>222</v>
      </c>
      <c r="F51" s="53">
        <v>32</v>
      </c>
      <c r="L51" s="52">
        <v>177</v>
      </c>
      <c r="M51" s="30" t="str">
        <f>+IF(D196="X",C196," ")</f>
        <v>En muchos periodos de mi vida he estado tan animado y he consumido tanta energía que luego me he sentido muy bajo de ánimo.</v>
      </c>
      <c r="N51" s="52">
        <v>107</v>
      </c>
      <c r="O51" s="30" t="str">
        <f>+IF(D126="X",C126," ")</f>
        <v xml:space="preserve"> </v>
      </c>
      <c r="T51" s="52">
        <v>178</v>
      </c>
      <c r="U51" s="30" t="str">
        <f>+IF(D197="X",C197," ")</f>
        <v>A menudo me siento muy infeliz conmigo mismo.</v>
      </c>
      <c r="BK51" s="27">
        <v>50</v>
      </c>
      <c r="BL51" s="27">
        <f>+IF(D69="X",1,0)</f>
        <v>0</v>
      </c>
    </row>
    <row r="52" spans="2:68" ht="17.25">
      <c r="B52" s="147">
        <v>33</v>
      </c>
      <c r="C52" s="148" t="s">
        <v>29</v>
      </c>
      <c r="D52" s="49" t="s">
        <v>222</v>
      </c>
      <c r="E52" s="49"/>
      <c r="F52" s="53">
        <v>33</v>
      </c>
      <c r="N52" s="52">
        <v>114</v>
      </c>
      <c r="O52" s="30" t="str">
        <f>+IF(D133="X",C133," ")</f>
        <v>Estas últimas semanas me he sentido cada vez más triste.</v>
      </c>
      <c r="T52" s="52">
        <v>192</v>
      </c>
      <c r="U52" s="30" t="str">
        <f>+IF(D211="X",C211," ")</f>
        <v xml:space="preserve"> </v>
      </c>
      <c r="BK52" s="27">
        <v>51</v>
      </c>
      <c r="BL52" s="27">
        <f>+IF(D70="X",1,0)</f>
        <v>1</v>
      </c>
    </row>
    <row r="53" spans="2:68" ht="17.25">
      <c r="B53" s="147">
        <v>34</v>
      </c>
      <c r="C53" s="148" t="s">
        <v>30</v>
      </c>
      <c r="D53" s="49" t="s">
        <v>222</v>
      </c>
      <c r="E53" s="49"/>
      <c r="F53" s="53">
        <v>34</v>
      </c>
      <c r="N53" s="52">
        <v>126</v>
      </c>
      <c r="O53" s="30" t="str">
        <f>+IF(D145="X",C145," ")</f>
        <v>A menudo echo a perder las cosas buenas que me ocurren.</v>
      </c>
      <c r="BK53" s="27">
        <v>52</v>
      </c>
      <c r="BL53" s="27">
        <f>+IF(D71="X",1,0)</f>
        <v>0</v>
      </c>
    </row>
    <row r="54" spans="2:68" ht="17.25">
      <c r="B54" s="147">
        <v>35</v>
      </c>
      <c r="C54" s="148" t="s">
        <v>31</v>
      </c>
      <c r="D54" s="49" t="s">
        <v>222</v>
      </c>
      <c r="E54" s="49"/>
      <c r="F54" s="53">
        <v>35</v>
      </c>
      <c r="N54" s="52">
        <v>151</v>
      </c>
      <c r="O54" s="30" t="str">
        <f>+IF(D170="X",C170," ")</f>
        <v>Últimamente me he sentido muy culpable porque ya no soy capaz de hacer nada bien.</v>
      </c>
      <c r="BK54" s="27">
        <v>53</v>
      </c>
      <c r="BL54" s="27">
        <f>+IF(D72="X",1,0)</f>
        <v>0</v>
      </c>
    </row>
    <row r="55" spans="2:68" ht="17.25">
      <c r="B55" s="147">
        <v>36</v>
      </c>
      <c r="C55" s="148" t="s">
        <v>32</v>
      </c>
      <c r="D55" s="49"/>
      <c r="E55" s="49" t="s">
        <v>222</v>
      </c>
      <c r="F55" s="53">
        <v>36</v>
      </c>
      <c r="N55" s="52">
        <v>164</v>
      </c>
      <c r="O55" s="30" t="str">
        <f>+IF(D183="X",C183," ")</f>
        <v xml:space="preserve"> </v>
      </c>
      <c r="BK55" s="27">
        <v>54</v>
      </c>
      <c r="BL55" s="27">
        <f>+IF(D73="X",1,0)</f>
        <v>0</v>
      </c>
    </row>
    <row r="56" spans="2:68" ht="17.25">
      <c r="B56" s="147">
        <v>37</v>
      </c>
      <c r="C56" s="148" t="s">
        <v>33</v>
      </c>
      <c r="D56" s="49" t="s">
        <v>222</v>
      </c>
      <c r="E56" s="49"/>
      <c r="F56" s="53">
        <v>37</v>
      </c>
      <c r="BK56" s="27">
        <v>59</v>
      </c>
      <c r="BL56" s="27">
        <f>+IF(D78="X",1,0)</f>
        <v>0</v>
      </c>
    </row>
    <row r="57" spans="2:68" ht="17.25">
      <c r="B57" s="147">
        <v>38</v>
      </c>
      <c r="C57" s="148" t="s">
        <v>34</v>
      </c>
      <c r="D57" s="49"/>
      <c r="E57" s="49" t="s">
        <v>222</v>
      </c>
      <c r="F57" s="53">
        <v>38</v>
      </c>
      <c r="BK57" s="27">
        <v>60</v>
      </c>
      <c r="BL57" s="27">
        <f>+IF(D79="X",1,0)</f>
        <v>1</v>
      </c>
    </row>
    <row r="58" spans="2:68" ht="17.25">
      <c r="B58" s="147">
        <v>39</v>
      </c>
      <c r="C58" s="148" t="s">
        <v>35</v>
      </c>
      <c r="D58" s="49" t="s">
        <v>222</v>
      </c>
      <c r="E58" s="49"/>
      <c r="F58" s="53">
        <v>39</v>
      </c>
      <c r="BK58" s="27">
        <v>63</v>
      </c>
      <c r="BL58" s="27">
        <f>+IF(D82="X",1,0)</f>
        <v>1</v>
      </c>
    </row>
    <row r="59" spans="2:68" ht="17.25">
      <c r="B59" s="147">
        <v>40</v>
      </c>
      <c r="C59" s="148" t="s">
        <v>811</v>
      </c>
      <c r="D59" s="49"/>
      <c r="E59" s="49" t="s">
        <v>222</v>
      </c>
      <c r="F59" s="53">
        <v>40</v>
      </c>
      <c r="BK59" s="27">
        <v>65</v>
      </c>
      <c r="BL59" s="27">
        <f>+IF(D84="X",1,0)</f>
        <v>0</v>
      </c>
    </row>
    <row r="60" spans="2:68" ht="17.25">
      <c r="B60" s="147">
        <v>41</v>
      </c>
      <c r="C60" s="148" t="s">
        <v>36</v>
      </c>
      <c r="D60" s="49" t="s">
        <v>222</v>
      </c>
      <c r="E60" s="49"/>
      <c r="F60" s="53">
        <v>41</v>
      </c>
      <c r="BK60" s="27">
        <v>66</v>
      </c>
      <c r="BL60" s="27">
        <f>+IF(D85="X",1,0)</f>
        <v>0</v>
      </c>
    </row>
    <row r="61" spans="2:68" ht="17.25">
      <c r="B61" s="147">
        <v>42</v>
      </c>
      <c r="C61" s="148" t="s">
        <v>812</v>
      </c>
      <c r="D61" s="49" t="s">
        <v>222</v>
      </c>
      <c r="E61" s="49"/>
      <c r="F61" s="53">
        <v>42</v>
      </c>
      <c r="BK61" s="27">
        <v>67</v>
      </c>
      <c r="BL61" s="27">
        <f>+IF(D86="X",1,0)</f>
        <v>1</v>
      </c>
    </row>
    <row r="62" spans="2:68" ht="17.25">
      <c r="B62" s="147">
        <v>43</v>
      </c>
      <c r="C62" s="148" t="s">
        <v>37</v>
      </c>
      <c r="D62" s="49" t="s">
        <v>222</v>
      </c>
      <c r="E62" s="49"/>
      <c r="F62" s="53">
        <v>43</v>
      </c>
      <c r="BK62" s="27">
        <v>70</v>
      </c>
      <c r="BL62" s="27">
        <f t="shared" ref="BL62:BL67" si="1">+IF(D89="X",1,0)</f>
        <v>1</v>
      </c>
    </row>
    <row r="63" spans="2:68" ht="17.25">
      <c r="B63" s="147">
        <v>44</v>
      </c>
      <c r="C63" s="148" t="s">
        <v>38</v>
      </c>
      <c r="D63" s="49" t="s">
        <v>222</v>
      </c>
      <c r="E63" s="49"/>
      <c r="F63" s="53">
        <v>44</v>
      </c>
      <c r="BK63" s="27">
        <v>71</v>
      </c>
      <c r="BL63" s="27">
        <f t="shared" si="1"/>
        <v>1</v>
      </c>
    </row>
    <row r="64" spans="2:68" ht="17.25">
      <c r="B64" s="147">
        <v>45</v>
      </c>
      <c r="C64" s="148" t="s">
        <v>39</v>
      </c>
      <c r="D64" s="49"/>
      <c r="E64" s="49" t="s">
        <v>222</v>
      </c>
      <c r="F64" s="53">
        <v>45</v>
      </c>
      <c r="BK64" s="27">
        <v>72</v>
      </c>
      <c r="BL64" s="27">
        <f t="shared" si="1"/>
        <v>0</v>
      </c>
    </row>
    <row r="65" spans="2:64" ht="17.25">
      <c r="B65" s="147">
        <v>46</v>
      </c>
      <c r="C65" s="148" t="s">
        <v>40</v>
      </c>
      <c r="D65" s="49"/>
      <c r="E65" s="49" t="s">
        <v>222</v>
      </c>
      <c r="F65" s="53">
        <v>46</v>
      </c>
      <c r="BK65" s="27">
        <v>73</v>
      </c>
      <c r="BL65" s="27">
        <f t="shared" si="1"/>
        <v>1</v>
      </c>
    </row>
    <row r="66" spans="2:64" ht="17.25">
      <c r="B66" s="147">
        <v>47</v>
      </c>
      <c r="C66" s="148" t="s">
        <v>41</v>
      </c>
      <c r="D66" s="49" t="s">
        <v>222</v>
      </c>
      <c r="E66" s="49"/>
      <c r="F66" s="53">
        <v>47</v>
      </c>
      <c r="BK66" s="27">
        <v>74</v>
      </c>
      <c r="BL66" s="27">
        <f t="shared" si="1"/>
        <v>0</v>
      </c>
    </row>
    <row r="67" spans="2:64" ht="17.25">
      <c r="B67" s="147">
        <v>48</v>
      </c>
      <c r="C67" s="148" t="s">
        <v>42</v>
      </c>
      <c r="D67" s="49" t="s">
        <v>222</v>
      </c>
      <c r="E67" s="49"/>
      <c r="F67" s="53">
        <v>48</v>
      </c>
      <c r="BK67" s="27">
        <v>75</v>
      </c>
      <c r="BL67" s="27">
        <f t="shared" si="1"/>
        <v>0</v>
      </c>
    </row>
    <row r="68" spans="2:64" ht="17.25">
      <c r="B68" s="147">
        <v>49</v>
      </c>
      <c r="C68" s="148" t="s">
        <v>43</v>
      </c>
      <c r="D68" s="49"/>
      <c r="E68" s="49" t="s">
        <v>222</v>
      </c>
      <c r="F68" s="53">
        <v>49</v>
      </c>
      <c r="BK68" s="27">
        <v>77</v>
      </c>
      <c r="BL68" s="27">
        <f>+IF(D96="X",1,0)</f>
        <v>1</v>
      </c>
    </row>
    <row r="69" spans="2:64" ht="17.25">
      <c r="B69" s="147">
        <v>50</v>
      </c>
      <c r="C69" s="148" t="s">
        <v>44</v>
      </c>
      <c r="D69" s="49"/>
      <c r="E69" s="49" t="s">
        <v>222</v>
      </c>
      <c r="F69" s="53">
        <v>50</v>
      </c>
      <c r="BK69" s="27">
        <v>79</v>
      </c>
      <c r="BL69" s="27">
        <f>+IF(D98="X",1,0)</f>
        <v>0</v>
      </c>
    </row>
    <row r="70" spans="2:64" ht="17.25">
      <c r="B70" s="147">
        <v>51</v>
      </c>
      <c r="C70" s="148" t="s">
        <v>45</v>
      </c>
      <c r="D70" s="49" t="s">
        <v>222</v>
      </c>
      <c r="E70" s="49"/>
      <c r="F70" s="53">
        <v>51</v>
      </c>
      <c r="BK70" s="27">
        <v>82</v>
      </c>
      <c r="BL70" s="27">
        <f>+IF(D101="X",1,0)</f>
        <v>0</v>
      </c>
    </row>
    <row r="71" spans="2:64" ht="17.25">
      <c r="B71" s="147">
        <v>52</v>
      </c>
      <c r="C71" s="148" t="s">
        <v>46</v>
      </c>
      <c r="D71" s="49"/>
      <c r="E71" s="49" t="s">
        <v>222</v>
      </c>
      <c r="F71" s="53">
        <v>52</v>
      </c>
      <c r="BK71" s="27">
        <v>83</v>
      </c>
      <c r="BL71" s="27">
        <f>+IF(D102="X",1,0)</f>
        <v>0</v>
      </c>
    </row>
    <row r="72" spans="2:64" ht="17.25">
      <c r="B72" s="147">
        <v>53</v>
      </c>
      <c r="C72" s="148" t="s">
        <v>47</v>
      </c>
      <c r="D72" s="49"/>
      <c r="E72" s="49" t="s">
        <v>222</v>
      </c>
      <c r="F72" s="53">
        <v>53</v>
      </c>
      <c r="BK72" s="27">
        <v>84</v>
      </c>
      <c r="BL72" s="27">
        <f>+IF(D103="X",1,0)</f>
        <v>1</v>
      </c>
    </row>
    <row r="73" spans="2:64" ht="17.25">
      <c r="B73" s="147">
        <v>54</v>
      </c>
      <c r="C73" s="148" t="s">
        <v>48</v>
      </c>
      <c r="D73" s="49"/>
      <c r="E73" s="49" t="s">
        <v>222</v>
      </c>
      <c r="F73" s="53">
        <v>54</v>
      </c>
      <c r="BK73" s="27">
        <v>85</v>
      </c>
      <c r="BL73" s="27">
        <f>+IF(D104="X",1,0)</f>
        <v>1</v>
      </c>
    </row>
    <row r="74" spans="2:64" ht="17.25">
      <c r="B74" s="147">
        <v>55</v>
      </c>
      <c r="C74" s="148" t="s">
        <v>49</v>
      </c>
      <c r="D74" s="49"/>
      <c r="E74" s="49" t="s">
        <v>222</v>
      </c>
      <c r="F74" s="53">
        <v>55</v>
      </c>
      <c r="BK74" s="27">
        <v>87</v>
      </c>
      <c r="BL74" s="27">
        <f>+IF(D106="X",1,0)</f>
        <v>0</v>
      </c>
    </row>
    <row r="75" spans="2:64" ht="17.25">
      <c r="B75" s="147">
        <v>56</v>
      </c>
      <c r="C75" s="148" t="s">
        <v>817</v>
      </c>
      <c r="D75" s="49" t="s">
        <v>222</v>
      </c>
      <c r="E75" s="49"/>
      <c r="F75" s="53">
        <v>56</v>
      </c>
      <c r="BK75" s="27">
        <v>88</v>
      </c>
      <c r="BL75" s="27">
        <f>+IF(D107="X",1,0)</f>
        <v>0</v>
      </c>
    </row>
    <row r="76" spans="2:64" ht="17.25">
      <c r="B76" s="147">
        <v>57</v>
      </c>
      <c r="C76" s="148" t="s">
        <v>50</v>
      </c>
      <c r="D76" s="49" t="s">
        <v>222</v>
      </c>
      <c r="E76" s="49"/>
      <c r="F76" s="53">
        <v>57</v>
      </c>
      <c r="BK76" s="27">
        <v>90</v>
      </c>
      <c r="BL76" s="27">
        <f>+IF(D109="X",1,0)</f>
        <v>1</v>
      </c>
    </row>
    <row r="77" spans="2:64" ht="17.25">
      <c r="B77" s="147">
        <v>58</v>
      </c>
      <c r="C77" s="148" t="s">
        <v>51</v>
      </c>
      <c r="D77" s="49"/>
      <c r="E77" s="49" t="s">
        <v>222</v>
      </c>
      <c r="F77" s="53">
        <v>58</v>
      </c>
      <c r="BK77" s="27">
        <v>92</v>
      </c>
      <c r="BL77" s="27">
        <f>+IF(D111="X",1,0)</f>
        <v>1</v>
      </c>
    </row>
    <row r="78" spans="2:64" ht="17.25">
      <c r="B78" s="147">
        <v>59</v>
      </c>
      <c r="C78" s="148" t="s">
        <v>52</v>
      </c>
      <c r="D78" s="49"/>
      <c r="E78" s="49" t="s">
        <v>222</v>
      </c>
      <c r="F78" s="53">
        <v>59</v>
      </c>
      <c r="BK78" s="27">
        <v>93</v>
      </c>
      <c r="BL78" s="27">
        <f>+IF(D112="X",1,0)</f>
        <v>0</v>
      </c>
    </row>
    <row r="79" spans="2:64" ht="17.25">
      <c r="B79" s="147">
        <v>60</v>
      </c>
      <c r="C79" s="148" t="s">
        <v>53</v>
      </c>
      <c r="D79" s="49" t="s">
        <v>222</v>
      </c>
      <c r="E79" s="49"/>
      <c r="F79" s="53">
        <v>60</v>
      </c>
      <c r="BK79" s="27">
        <v>96</v>
      </c>
      <c r="BL79" s="27">
        <f>+IF(D115="X",1,0)</f>
        <v>0</v>
      </c>
    </row>
    <row r="80" spans="2:64" ht="17.25">
      <c r="B80" s="147">
        <v>61</v>
      </c>
      <c r="C80" s="148" t="s">
        <v>54</v>
      </c>
      <c r="D80" s="49"/>
      <c r="E80" s="49" t="s">
        <v>222</v>
      </c>
      <c r="F80" s="53">
        <v>61</v>
      </c>
      <c r="BK80" s="27">
        <v>97</v>
      </c>
      <c r="BL80" s="27">
        <f>+IF(D116="X",1,0)</f>
        <v>0</v>
      </c>
    </row>
    <row r="81" spans="2:64" ht="17.25">
      <c r="B81" s="147">
        <v>62</v>
      </c>
      <c r="C81" s="148" t="s">
        <v>55</v>
      </c>
      <c r="D81" s="49" t="s">
        <v>222</v>
      </c>
      <c r="E81" s="49"/>
      <c r="F81" s="53">
        <v>62</v>
      </c>
      <c r="BK81" s="27">
        <v>99</v>
      </c>
      <c r="BL81" s="27">
        <f>+IF(D118="X",1,0)</f>
        <v>1</v>
      </c>
    </row>
    <row r="82" spans="2:64" ht="17.25">
      <c r="B82" s="147">
        <v>63</v>
      </c>
      <c r="C82" s="148" t="s">
        <v>56</v>
      </c>
      <c r="D82" s="49" t="s">
        <v>222</v>
      </c>
      <c r="E82" s="49"/>
      <c r="F82" s="53">
        <v>63</v>
      </c>
      <c r="BK82" s="27">
        <v>100</v>
      </c>
      <c r="BL82" s="27">
        <f>+IF(D119="X",1,0)</f>
        <v>1</v>
      </c>
    </row>
    <row r="83" spans="2:64" ht="17.25">
      <c r="B83" s="147">
        <v>64</v>
      </c>
      <c r="C83" s="148" t="s">
        <v>57</v>
      </c>
      <c r="D83" s="49" t="s">
        <v>222</v>
      </c>
      <c r="E83" s="49"/>
      <c r="F83" s="53">
        <v>64</v>
      </c>
      <c r="BK83" s="27">
        <v>103</v>
      </c>
      <c r="BL83" s="27">
        <f>+IF(D122="X",1,0)</f>
        <v>0</v>
      </c>
    </row>
    <row r="84" spans="2:64" ht="17.25">
      <c r="B84" s="147">
        <v>65</v>
      </c>
      <c r="C84" s="148" t="s">
        <v>58</v>
      </c>
      <c r="D84" s="49"/>
      <c r="E84" s="49" t="s">
        <v>222</v>
      </c>
      <c r="F84" s="53">
        <v>65</v>
      </c>
      <c r="BK84" s="27">
        <v>105</v>
      </c>
      <c r="BL84" s="27">
        <f>+IF(D124="X",1,0)</f>
        <v>0</v>
      </c>
    </row>
    <row r="85" spans="2:64" ht="17.25">
      <c r="B85" s="147">
        <v>66</v>
      </c>
      <c r="C85" s="148" t="s">
        <v>59</v>
      </c>
      <c r="D85" s="49"/>
      <c r="E85" s="49" t="s">
        <v>222</v>
      </c>
      <c r="F85" s="53">
        <v>66</v>
      </c>
      <c r="BK85" s="27">
        <v>106</v>
      </c>
      <c r="BL85" s="27">
        <f>+IF(D125="X",1,0)</f>
        <v>0</v>
      </c>
    </row>
    <row r="86" spans="2:64" ht="17.25">
      <c r="B86" s="147">
        <v>67</v>
      </c>
      <c r="C86" s="148" t="s">
        <v>60</v>
      </c>
      <c r="D86" s="49" t="s">
        <v>222</v>
      </c>
      <c r="E86" s="49"/>
      <c r="F86" s="53">
        <v>67</v>
      </c>
      <c r="BK86" s="27">
        <v>109</v>
      </c>
      <c r="BL86" s="27">
        <f>+IF(D128="X",1,0)</f>
        <v>0</v>
      </c>
    </row>
    <row r="87" spans="2:64" ht="17.25">
      <c r="B87" s="147">
        <v>68</v>
      </c>
      <c r="C87" s="148" t="s">
        <v>61</v>
      </c>
      <c r="D87" s="49"/>
      <c r="E87" s="49" t="s">
        <v>222</v>
      </c>
      <c r="F87" s="53">
        <v>68</v>
      </c>
      <c r="BK87" s="27">
        <v>111</v>
      </c>
      <c r="BL87" s="27">
        <f>+IF(D130="X",1,0)</f>
        <v>0</v>
      </c>
    </row>
    <row r="88" spans="2:64" ht="17.25">
      <c r="B88" s="147">
        <v>69</v>
      </c>
      <c r="C88" s="148" t="s">
        <v>62</v>
      </c>
      <c r="D88" s="49" t="s">
        <v>222</v>
      </c>
      <c r="E88" s="49"/>
      <c r="F88" s="53">
        <v>69</v>
      </c>
      <c r="BK88" s="27">
        <v>112</v>
      </c>
      <c r="BL88" s="27">
        <f>+IF(D131="X",1,0)</f>
        <v>0</v>
      </c>
    </row>
    <row r="89" spans="2:64" ht="17.25">
      <c r="B89" s="147">
        <v>70</v>
      </c>
      <c r="C89" s="148" t="s">
        <v>63</v>
      </c>
      <c r="D89" s="49" t="s">
        <v>222</v>
      </c>
      <c r="E89" s="49"/>
      <c r="F89" s="53">
        <v>70</v>
      </c>
      <c r="BK89" s="27">
        <v>115</v>
      </c>
      <c r="BL89" s="27">
        <f>+IF(D134="X",1,0)</f>
        <v>0</v>
      </c>
    </row>
    <row r="90" spans="2:64" ht="17.25">
      <c r="B90" s="147">
        <v>71</v>
      </c>
      <c r="C90" s="148" t="s">
        <v>64</v>
      </c>
      <c r="D90" s="49" t="s">
        <v>222</v>
      </c>
      <c r="E90" s="49"/>
      <c r="F90" s="53">
        <v>71</v>
      </c>
      <c r="BK90" s="27">
        <v>117</v>
      </c>
      <c r="BL90" s="27">
        <f>+IF(D136="X",1,0)</f>
        <v>0</v>
      </c>
    </row>
    <row r="91" spans="2:64" ht="17.25">
      <c r="B91" s="147">
        <v>72</v>
      </c>
      <c r="C91" s="148" t="s">
        <v>65</v>
      </c>
      <c r="D91" s="49"/>
      <c r="E91" s="49" t="s">
        <v>222</v>
      </c>
      <c r="F91" s="53">
        <v>72</v>
      </c>
      <c r="BK91" s="27">
        <v>119</v>
      </c>
      <c r="BL91" s="27">
        <f>+IF(D138="X",1,0)</f>
        <v>1</v>
      </c>
    </row>
    <row r="92" spans="2:64" ht="17.25">
      <c r="B92" s="147">
        <v>73</v>
      </c>
      <c r="C92" s="148" t="s">
        <v>66</v>
      </c>
      <c r="D92" s="49" t="s">
        <v>222</v>
      </c>
      <c r="E92" s="49"/>
      <c r="F92" s="53">
        <v>73</v>
      </c>
      <c r="BK92" s="27">
        <v>120</v>
      </c>
      <c r="BL92" s="27">
        <f>+IF(D139="X",1,0)</f>
        <v>1</v>
      </c>
    </row>
    <row r="93" spans="2:64" ht="17.25">
      <c r="B93" s="147">
        <v>74</v>
      </c>
      <c r="C93" s="148" t="s">
        <v>67</v>
      </c>
      <c r="D93" s="49"/>
      <c r="E93" s="49" t="s">
        <v>222</v>
      </c>
      <c r="F93" s="53">
        <v>74</v>
      </c>
      <c r="BK93" s="27">
        <v>122</v>
      </c>
      <c r="BL93" s="27">
        <f>+IF(D141="X",1,0)</f>
        <v>1</v>
      </c>
    </row>
    <row r="94" spans="2:64" ht="17.25">
      <c r="B94" s="147">
        <v>75</v>
      </c>
      <c r="C94" s="148" t="s">
        <v>68</v>
      </c>
      <c r="D94" s="49"/>
      <c r="E94" s="49" t="s">
        <v>222</v>
      </c>
      <c r="F94" s="53">
        <v>75</v>
      </c>
      <c r="BK94" s="27">
        <v>126</v>
      </c>
      <c r="BL94" s="27">
        <f>+IF(D145="X",1,0)</f>
        <v>1</v>
      </c>
    </row>
    <row r="95" spans="2:64" ht="17.25">
      <c r="B95" s="147">
        <v>76</v>
      </c>
      <c r="C95" s="148" t="s">
        <v>69</v>
      </c>
      <c r="D95" s="49" t="s">
        <v>222</v>
      </c>
      <c r="E95" s="49"/>
      <c r="F95" s="53">
        <v>76</v>
      </c>
      <c r="BK95" s="27">
        <v>128</v>
      </c>
      <c r="BL95" s="27">
        <f>+IF(D147="X",1,0)</f>
        <v>1</v>
      </c>
    </row>
    <row r="96" spans="2:64" ht="17.25">
      <c r="B96" s="147">
        <v>77</v>
      </c>
      <c r="C96" s="148" t="s">
        <v>70</v>
      </c>
      <c r="D96" s="49" t="s">
        <v>222</v>
      </c>
      <c r="E96" s="49"/>
      <c r="F96" s="53">
        <v>77</v>
      </c>
      <c r="BK96" s="27">
        <v>129</v>
      </c>
      <c r="BL96" s="27">
        <f>+IF(D148="X",1,0)</f>
        <v>0</v>
      </c>
    </row>
    <row r="97" spans="2:64" ht="17.25">
      <c r="B97" s="147">
        <v>78</v>
      </c>
      <c r="C97" s="148" t="s">
        <v>71</v>
      </c>
      <c r="D97" s="49"/>
      <c r="E97" s="49" t="s">
        <v>222</v>
      </c>
      <c r="F97" s="53">
        <v>78</v>
      </c>
      <c r="BK97" s="27">
        <v>132</v>
      </c>
      <c r="BL97" s="27">
        <f>+IF(D151="X",1,0)</f>
        <v>0</v>
      </c>
    </row>
    <row r="98" spans="2:64" ht="17.25">
      <c r="B98" s="147">
        <v>79</v>
      </c>
      <c r="C98" s="148" t="s">
        <v>72</v>
      </c>
      <c r="D98" s="49"/>
      <c r="E98" s="49" t="s">
        <v>222</v>
      </c>
      <c r="F98" s="53">
        <v>79</v>
      </c>
      <c r="BK98" s="27">
        <v>133</v>
      </c>
      <c r="BL98" s="27">
        <f>+IF(D152="X",1,0)</f>
        <v>0</v>
      </c>
    </row>
    <row r="99" spans="2:64" ht="17.25">
      <c r="B99" s="147">
        <v>80</v>
      </c>
      <c r="C99" s="148" t="s">
        <v>73</v>
      </c>
      <c r="D99" s="49"/>
      <c r="E99" s="49" t="s">
        <v>222</v>
      </c>
      <c r="F99" s="53">
        <v>80</v>
      </c>
      <c r="BK99" s="27">
        <v>135</v>
      </c>
      <c r="BL99" s="27">
        <f>+IF(D154="X",1,0)</f>
        <v>1</v>
      </c>
    </row>
    <row r="100" spans="2:64" ht="17.25">
      <c r="B100" s="147">
        <v>81</v>
      </c>
      <c r="C100" s="148" t="s">
        <v>74</v>
      </c>
      <c r="D100" s="49"/>
      <c r="E100" s="49" t="s">
        <v>222</v>
      </c>
      <c r="F100" s="53">
        <v>81</v>
      </c>
      <c r="BK100" s="27">
        <v>137</v>
      </c>
      <c r="BL100" s="27">
        <f>+IF(D156="X",1,0)</f>
        <v>1</v>
      </c>
    </row>
    <row r="101" spans="2:64" ht="17.25">
      <c r="B101" s="147">
        <v>82</v>
      </c>
      <c r="C101" s="148" t="s">
        <v>75</v>
      </c>
      <c r="D101" s="49"/>
      <c r="E101" s="49" t="s">
        <v>222</v>
      </c>
      <c r="F101" s="53">
        <v>82</v>
      </c>
      <c r="BK101" s="27">
        <v>139</v>
      </c>
      <c r="BL101" s="27">
        <f>+IF(D158="X",1,0)</f>
        <v>1</v>
      </c>
    </row>
    <row r="102" spans="2:64" ht="17.25">
      <c r="B102" s="147">
        <v>83</v>
      </c>
      <c r="C102" s="148" t="s">
        <v>76</v>
      </c>
      <c r="D102" s="49"/>
      <c r="E102" s="49" t="s">
        <v>222</v>
      </c>
      <c r="F102" s="53">
        <v>83</v>
      </c>
      <c r="BK102" s="27">
        <v>140</v>
      </c>
      <c r="BL102" s="27">
        <f>+IF(D159="X",1,0)</f>
        <v>1</v>
      </c>
    </row>
    <row r="103" spans="2:64" ht="17.25">
      <c r="B103" s="147">
        <v>84</v>
      </c>
      <c r="C103" s="148" t="s">
        <v>77</v>
      </c>
      <c r="D103" s="49" t="s">
        <v>222</v>
      </c>
      <c r="E103" s="49"/>
      <c r="F103" s="53">
        <v>84</v>
      </c>
      <c r="BK103" s="27">
        <v>141</v>
      </c>
      <c r="BL103" s="27">
        <f>+IF(D160="X",1,0)</f>
        <v>0</v>
      </c>
    </row>
    <row r="104" spans="2:64" ht="17.25">
      <c r="B104" s="147">
        <v>85</v>
      </c>
      <c r="C104" s="148" t="s">
        <v>78</v>
      </c>
      <c r="D104" s="49" t="s">
        <v>222</v>
      </c>
      <c r="E104" s="49"/>
      <c r="F104" s="53">
        <v>85</v>
      </c>
      <c r="BK104" s="27">
        <v>142</v>
      </c>
      <c r="BL104" s="27">
        <f>+IF(D161="X",1,0)</f>
        <v>0</v>
      </c>
    </row>
    <row r="105" spans="2:64" ht="17.25">
      <c r="B105" s="147">
        <v>86</v>
      </c>
      <c r="C105" s="148" t="s">
        <v>79</v>
      </c>
      <c r="D105" s="49"/>
      <c r="E105" s="49" t="s">
        <v>222</v>
      </c>
      <c r="F105" s="53">
        <v>86</v>
      </c>
      <c r="BK105" s="27">
        <v>145</v>
      </c>
      <c r="BL105" s="27">
        <f>+IF(D164="X",1,0)</f>
        <v>0</v>
      </c>
    </row>
    <row r="106" spans="2:64" ht="17.25">
      <c r="B106" s="147">
        <v>87</v>
      </c>
      <c r="C106" s="148" t="s">
        <v>80</v>
      </c>
      <c r="D106" s="49"/>
      <c r="E106" s="49" t="s">
        <v>222</v>
      </c>
      <c r="F106" s="53">
        <v>87</v>
      </c>
      <c r="BK106" s="27">
        <v>147</v>
      </c>
      <c r="BL106" s="27">
        <f>+IF(D166="X",1,0)</f>
        <v>0</v>
      </c>
    </row>
    <row r="107" spans="2:64" ht="17.25">
      <c r="B107" s="147">
        <v>88</v>
      </c>
      <c r="C107" s="148" t="s">
        <v>813</v>
      </c>
      <c r="D107" s="49"/>
      <c r="E107" s="49" t="s">
        <v>222</v>
      </c>
      <c r="F107" s="53">
        <v>88</v>
      </c>
      <c r="BK107" s="27">
        <v>149</v>
      </c>
      <c r="BL107" s="27">
        <f>+IF(D168="X",1,0)</f>
        <v>1</v>
      </c>
    </row>
    <row r="108" spans="2:64" ht="17.25">
      <c r="B108" s="147">
        <v>89</v>
      </c>
      <c r="C108" s="148" t="s">
        <v>81</v>
      </c>
      <c r="D108" s="49" t="s">
        <v>222</v>
      </c>
      <c r="E108" s="49"/>
      <c r="F108" s="53">
        <v>89</v>
      </c>
      <c r="BK108" s="27">
        <v>152</v>
      </c>
      <c r="BL108" s="27">
        <f>+IF(D171="X",1,0)</f>
        <v>0</v>
      </c>
    </row>
    <row r="109" spans="2:64" ht="17.25">
      <c r="B109" s="147">
        <v>90</v>
      </c>
      <c r="C109" s="148" t="s">
        <v>82</v>
      </c>
      <c r="D109" s="49" t="s">
        <v>222</v>
      </c>
      <c r="E109" s="49"/>
      <c r="F109" s="53">
        <v>90</v>
      </c>
      <c r="BK109" s="27">
        <v>154</v>
      </c>
      <c r="BL109" s="27">
        <f>+IF(D173="X",1,0)</f>
        <v>0</v>
      </c>
    </row>
    <row r="110" spans="2:64" ht="17.25">
      <c r="B110" s="147">
        <v>91</v>
      </c>
      <c r="C110" s="148" t="s">
        <v>83</v>
      </c>
      <c r="D110" s="49" t="s">
        <v>222</v>
      </c>
      <c r="E110" s="49"/>
      <c r="F110" s="53">
        <v>91</v>
      </c>
      <c r="BK110" s="27">
        <v>155</v>
      </c>
      <c r="BL110" s="27">
        <f>+IF(D174="X",1,0)</f>
        <v>0</v>
      </c>
    </row>
    <row r="111" spans="2:64" ht="17.25">
      <c r="B111" s="147">
        <v>92</v>
      </c>
      <c r="C111" s="148" t="s">
        <v>84</v>
      </c>
      <c r="D111" s="49" t="s">
        <v>222</v>
      </c>
      <c r="E111" s="49"/>
      <c r="F111" s="53">
        <v>92</v>
      </c>
      <c r="BK111" s="27">
        <v>156</v>
      </c>
      <c r="BL111" s="27">
        <f>+IF(D175="X",1,0)</f>
        <v>0</v>
      </c>
    </row>
    <row r="112" spans="2:64" ht="17.25">
      <c r="B112" s="147">
        <v>93</v>
      </c>
      <c r="C112" s="148" t="s">
        <v>85</v>
      </c>
      <c r="D112" s="49"/>
      <c r="E112" s="49" t="s">
        <v>222</v>
      </c>
      <c r="F112" s="53">
        <v>93</v>
      </c>
      <c r="BK112" s="27">
        <v>158</v>
      </c>
      <c r="BL112" s="27">
        <f>+IF(D177="X",1,0)</f>
        <v>1</v>
      </c>
    </row>
    <row r="113" spans="2:64" ht="17.25">
      <c r="B113" s="147">
        <v>94</v>
      </c>
      <c r="C113" s="148" t="s">
        <v>86</v>
      </c>
      <c r="D113" s="49"/>
      <c r="E113" s="49" t="s">
        <v>222</v>
      </c>
      <c r="F113" s="53">
        <v>94</v>
      </c>
      <c r="BK113" s="27">
        <v>159</v>
      </c>
      <c r="BL113" s="27">
        <f>+IF(D178="X",1,0)</f>
        <v>0</v>
      </c>
    </row>
    <row r="114" spans="2:64" ht="17.25">
      <c r="B114" s="147">
        <v>95</v>
      </c>
      <c r="C114" s="148" t="s">
        <v>87</v>
      </c>
      <c r="D114" s="49"/>
      <c r="E114" s="49" t="s">
        <v>222</v>
      </c>
      <c r="F114" s="53">
        <v>95</v>
      </c>
      <c r="BK114" s="27">
        <v>162</v>
      </c>
      <c r="BL114" s="27">
        <f>+IF(D181="X",1,0)</f>
        <v>1</v>
      </c>
    </row>
    <row r="115" spans="2:64" ht="17.25">
      <c r="B115" s="147">
        <v>96</v>
      </c>
      <c r="C115" s="148" t="s">
        <v>88</v>
      </c>
      <c r="D115" s="49"/>
      <c r="E115" s="49" t="s">
        <v>222</v>
      </c>
      <c r="F115" s="53">
        <v>96</v>
      </c>
      <c r="BK115" s="27">
        <v>164</v>
      </c>
      <c r="BL115" s="27">
        <f>+IF(D183="X",1,0)</f>
        <v>0</v>
      </c>
    </row>
    <row r="116" spans="2:64" ht="17.25">
      <c r="B116" s="147">
        <v>97</v>
      </c>
      <c r="C116" s="148" t="s">
        <v>89</v>
      </c>
      <c r="D116" s="49"/>
      <c r="E116" s="49" t="s">
        <v>222</v>
      </c>
      <c r="F116" s="53">
        <v>97</v>
      </c>
      <c r="BK116" s="27">
        <v>166</v>
      </c>
      <c r="BL116" s="27">
        <f t="shared" ref="BL116:BL125" si="2">+IF(D185="X",1,0)</f>
        <v>0</v>
      </c>
    </row>
    <row r="117" spans="2:64" ht="17.25">
      <c r="B117" s="147">
        <v>98</v>
      </c>
      <c r="C117" s="148" t="s">
        <v>90</v>
      </c>
      <c r="D117" s="49"/>
      <c r="E117" s="49" t="s">
        <v>222</v>
      </c>
      <c r="F117" s="53">
        <v>98</v>
      </c>
      <c r="BK117" s="27">
        <v>167</v>
      </c>
      <c r="BL117" s="27">
        <f t="shared" si="2"/>
        <v>1</v>
      </c>
    </row>
    <row r="118" spans="2:64" ht="17.25">
      <c r="B118" s="147">
        <v>99</v>
      </c>
      <c r="C118" s="148" t="s">
        <v>91</v>
      </c>
      <c r="D118" s="49" t="s">
        <v>222</v>
      </c>
      <c r="E118" s="49"/>
      <c r="F118" s="53">
        <v>99</v>
      </c>
      <c r="BK118" s="27">
        <v>168</v>
      </c>
      <c r="BL118" s="27">
        <f t="shared" si="2"/>
        <v>0</v>
      </c>
    </row>
    <row r="119" spans="2:64" ht="17.25">
      <c r="B119" s="147">
        <v>100</v>
      </c>
      <c r="C119" s="148" t="s">
        <v>92</v>
      </c>
      <c r="D119" s="49" t="s">
        <v>222</v>
      </c>
      <c r="E119" s="49"/>
      <c r="F119" s="53">
        <v>100</v>
      </c>
      <c r="BK119" s="27">
        <v>169</v>
      </c>
      <c r="BL119" s="27">
        <f t="shared" si="2"/>
        <v>0</v>
      </c>
    </row>
    <row r="120" spans="2:64" ht="17.25">
      <c r="B120" s="147">
        <v>101</v>
      </c>
      <c r="C120" s="148" t="s">
        <v>93</v>
      </c>
      <c r="D120" s="49" t="s">
        <v>222</v>
      </c>
      <c r="E120" s="49"/>
      <c r="F120" s="53">
        <v>101</v>
      </c>
      <c r="BK120" s="27">
        <v>170</v>
      </c>
      <c r="BL120" s="27">
        <f t="shared" si="2"/>
        <v>1</v>
      </c>
    </row>
    <row r="121" spans="2:64" ht="17.25">
      <c r="B121" s="147">
        <v>102</v>
      </c>
      <c r="C121" s="148" t="s">
        <v>94</v>
      </c>
      <c r="D121" s="49"/>
      <c r="E121" s="49" t="s">
        <v>222</v>
      </c>
      <c r="F121" s="53">
        <v>102</v>
      </c>
      <c r="BK121" s="27">
        <v>171</v>
      </c>
      <c r="BL121" s="27">
        <f t="shared" si="2"/>
        <v>0</v>
      </c>
    </row>
    <row r="122" spans="2:64" ht="17.25">
      <c r="B122" s="147">
        <v>103</v>
      </c>
      <c r="C122" s="148" t="s">
        <v>95</v>
      </c>
      <c r="D122" s="49"/>
      <c r="E122" s="49" t="s">
        <v>222</v>
      </c>
      <c r="F122" s="53">
        <v>103</v>
      </c>
      <c r="BK122" s="27">
        <v>172</v>
      </c>
      <c r="BL122" s="27">
        <f t="shared" si="2"/>
        <v>0</v>
      </c>
    </row>
    <row r="123" spans="2:64" ht="17.25">
      <c r="B123" s="147">
        <v>104</v>
      </c>
      <c r="C123" s="148" t="s">
        <v>96</v>
      </c>
      <c r="D123" s="49" t="s">
        <v>222</v>
      </c>
      <c r="E123" s="49"/>
      <c r="F123" s="53">
        <v>104</v>
      </c>
      <c r="BK123" s="27">
        <v>173</v>
      </c>
      <c r="BL123" s="27">
        <f t="shared" si="2"/>
        <v>1</v>
      </c>
    </row>
    <row r="124" spans="2:64" ht="17.25">
      <c r="B124" s="147">
        <v>105</v>
      </c>
      <c r="C124" s="148" t="s">
        <v>97</v>
      </c>
      <c r="D124" s="49"/>
      <c r="E124" s="49" t="s">
        <v>222</v>
      </c>
      <c r="F124" s="53">
        <v>105</v>
      </c>
      <c r="BK124" s="27">
        <v>174</v>
      </c>
      <c r="BL124" s="27">
        <f t="shared" si="2"/>
        <v>0</v>
      </c>
    </row>
    <row r="125" spans="2:64" ht="17.25">
      <c r="B125" s="147">
        <v>106</v>
      </c>
      <c r="C125" s="148" t="s">
        <v>98</v>
      </c>
      <c r="D125" s="49"/>
      <c r="E125" s="49" t="s">
        <v>222</v>
      </c>
      <c r="F125" s="53">
        <v>106</v>
      </c>
      <c r="BK125" s="27">
        <v>175</v>
      </c>
      <c r="BL125" s="27">
        <f t="shared" si="2"/>
        <v>1</v>
      </c>
    </row>
    <row r="126" spans="2:64" ht="17.25">
      <c r="B126" s="147">
        <v>107</v>
      </c>
      <c r="C126" s="148" t="s">
        <v>99</v>
      </c>
      <c r="D126" s="49"/>
      <c r="E126" s="49" t="s">
        <v>222</v>
      </c>
      <c r="F126" s="53">
        <v>107</v>
      </c>
      <c r="BK126" s="27">
        <v>178</v>
      </c>
      <c r="BL126" s="27">
        <f>+IF(D197="X",1,0)</f>
        <v>1</v>
      </c>
    </row>
    <row r="127" spans="2:64" ht="17.25">
      <c r="B127" s="147">
        <v>108</v>
      </c>
      <c r="C127" s="148" t="s">
        <v>100</v>
      </c>
      <c r="D127" s="49"/>
      <c r="E127" s="49" t="s">
        <v>222</v>
      </c>
      <c r="F127" s="53">
        <v>108</v>
      </c>
      <c r="BK127" s="27">
        <v>179</v>
      </c>
      <c r="BL127" s="27">
        <f>+IF(D198="X",1,0)</f>
        <v>1</v>
      </c>
    </row>
    <row r="128" spans="2:64" ht="17.25">
      <c r="B128" s="147">
        <v>109</v>
      </c>
      <c r="C128" s="148" t="s">
        <v>101</v>
      </c>
      <c r="D128" s="49"/>
      <c r="E128" s="49" t="s">
        <v>222</v>
      </c>
      <c r="F128" s="53">
        <v>109</v>
      </c>
      <c r="BK128" s="27">
        <v>180</v>
      </c>
      <c r="BL128" s="27">
        <f>+IF(D199="X",1,0)</f>
        <v>0</v>
      </c>
    </row>
    <row r="129" spans="2:64" ht="17.25">
      <c r="B129" s="147">
        <v>110</v>
      </c>
      <c r="C129" s="148" t="s">
        <v>102</v>
      </c>
      <c r="D129" s="49"/>
      <c r="E129" s="49" t="s">
        <v>222</v>
      </c>
      <c r="F129" s="53">
        <v>110</v>
      </c>
      <c r="BK129" s="27">
        <v>183</v>
      </c>
      <c r="BL129" s="27">
        <f>+IF(D202="X",1,0)</f>
        <v>0</v>
      </c>
    </row>
    <row r="130" spans="2:64" ht="17.25">
      <c r="B130" s="147">
        <v>111</v>
      </c>
      <c r="C130" s="148" t="s">
        <v>103</v>
      </c>
      <c r="D130" s="49"/>
      <c r="E130" s="49" t="s">
        <v>222</v>
      </c>
      <c r="F130" s="53">
        <v>111</v>
      </c>
      <c r="BK130" s="27">
        <v>184</v>
      </c>
      <c r="BL130" s="27">
        <f>+IF(D203="X",1,0)</f>
        <v>1</v>
      </c>
    </row>
    <row r="131" spans="2:64" ht="17.25">
      <c r="B131" s="147">
        <v>112</v>
      </c>
      <c r="C131" s="148" t="s">
        <v>104</v>
      </c>
      <c r="D131" s="49"/>
      <c r="E131" s="49" t="s">
        <v>222</v>
      </c>
      <c r="F131" s="53">
        <v>112</v>
      </c>
      <c r="BK131" s="27">
        <v>185</v>
      </c>
      <c r="BL131" s="27">
        <f>+IF(D204="X",1,0)</f>
        <v>0</v>
      </c>
    </row>
    <row r="132" spans="2:64" ht="17.25">
      <c r="B132" s="147">
        <v>113</v>
      </c>
      <c r="C132" s="148" t="s">
        <v>105</v>
      </c>
      <c r="D132" s="49" t="s">
        <v>222</v>
      </c>
      <c r="E132" s="49"/>
      <c r="F132" s="53">
        <v>113</v>
      </c>
      <c r="BK132" s="27">
        <v>187</v>
      </c>
      <c r="BL132" s="27">
        <f t="shared" ref="BL132:BL140" si="3">+IF(D206="X",1,0)</f>
        <v>1</v>
      </c>
    </row>
    <row r="133" spans="2:64" ht="17.25">
      <c r="B133" s="147">
        <v>114</v>
      </c>
      <c r="C133" s="194" t="s">
        <v>806</v>
      </c>
      <c r="D133" s="49" t="s">
        <v>222</v>
      </c>
      <c r="E133" s="49"/>
      <c r="F133" s="53">
        <v>114</v>
      </c>
      <c r="BK133" s="27">
        <v>188</v>
      </c>
      <c r="BL133" s="27">
        <f t="shared" si="3"/>
        <v>0</v>
      </c>
    </row>
    <row r="134" spans="2:64" ht="17.25">
      <c r="B134" s="147">
        <v>115</v>
      </c>
      <c r="C134" s="148" t="s">
        <v>106</v>
      </c>
      <c r="D134" s="49"/>
      <c r="E134" s="49" t="s">
        <v>222</v>
      </c>
      <c r="F134" s="53">
        <v>115</v>
      </c>
      <c r="BK134" s="27">
        <v>189</v>
      </c>
      <c r="BL134" s="27">
        <f t="shared" si="3"/>
        <v>0</v>
      </c>
    </row>
    <row r="135" spans="2:64" ht="17.25">
      <c r="B135" s="147">
        <v>116</v>
      </c>
      <c r="C135" s="148" t="s">
        <v>107</v>
      </c>
      <c r="D135" s="49"/>
      <c r="E135" s="49" t="s">
        <v>222</v>
      </c>
      <c r="F135" s="53">
        <v>116</v>
      </c>
      <c r="BK135" s="27">
        <v>190</v>
      </c>
      <c r="BL135" s="27">
        <f t="shared" si="3"/>
        <v>0</v>
      </c>
    </row>
    <row r="136" spans="2:64" ht="17.25">
      <c r="B136" s="147">
        <v>117</v>
      </c>
      <c r="C136" s="148" t="s">
        <v>108</v>
      </c>
      <c r="D136" s="49"/>
      <c r="E136" s="49" t="s">
        <v>222</v>
      </c>
      <c r="F136" s="53">
        <v>117</v>
      </c>
      <c r="BK136" s="27">
        <v>191</v>
      </c>
      <c r="BL136" s="27">
        <f t="shared" si="3"/>
        <v>0</v>
      </c>
    </row>
    <row r="137" spans="2:64" ht="17.25">
      <c r="B137" s="147">
        <v>118</v>
      </c>
      <c r="C137" s="148" t="s">
        <v>109</v>
      </c>
      <c r="D137" s="49" t="s">
        <v>222</v>
      </c>
      <c r="E137" s="49"/>
      <c r="F137" s="53">
        <v>118</v>
      </c>
      <c r="BK137" s="27">
        <v>192</v>
      </c>
      <c r="BL137" s="27">
        <f t="shared" si="3"/>
        <v>0</v>
      </c>
    </row>
    <row r="138" spans="2:64" ht="17.25">
      <c r="B138" s="147">
        <v>119</v>
      </c>
      <c r="C138" s="148" t="s">
        <v>110</v>
      </c>
      <c r="D138" s="49" t="s">
        <v>222</v>
      </c>
      <c r="E138" s="49"/>
      <c r="F138" s="53">
        <v>119</v>
      </c>
      <c r="BK138" s="27">
        <v>193</v>
      </c>
      <c r="BL138" s="27">
        <f t="shared" si="3"/>
        <v>0</v>
      </c>
    </row>
    <row r="139" spans="2:64" ht="17.25">
      <c r="B139" s="147">
        <v>120</v>
      </c>
      <c r="C139" s="148" t="s">
        <v>111</v>
      </c>
      <c r="D139" s="49" t="s">
        <v>222</v>
      </c>
      <c r="E139" s="49"/>
      <c r="F139" s="53">
        <v>120</v>
      </c>
      <c r="BK139" s="27">
        <v>194</v>
      </c>
      <c r="BL139" s="27">
        <f t="shared" si="3"/>
        <v>1</v>
      </c>
    </row>
    <row r="140" spans="2:64" ht="17.25">
      <c r="B140" s="147">
        <v>121</v>
      </c>
      <c r="C140" s="148" t="s">
        <v>112</v>
      </c>
      <c r="D140" s="49" t="s">
        <v>222</v>
      </c>
      <c r="E140" s="49"/>
      <c r="F140" s="53">
        <v>121</v>
      </c>
      <c r="BK140" s="27">
        <v>195</v>
      </c>
      <c r="BL140" s="27">
        <f t="shared" si="3"/>
        <v>1</v>
      </c>
    </row>
    <row r="141" spans="2:64" ht="17.25">
      <c r="B141" s="147">
        <v>122</v>
      </c>
      <c r="C141" s="148" t="s">
        <v>113</v>
      </c>
      <c r="D141" s="49" t="s">
        <v>222</v>
      </c>
      <c r="E141" s="49"/>
      <c r="F141" s="53">
        <v>122</v>
      </c>
      <c r="BL141" s="29">
        <f>SUM(BL20:BL140)</f>
        <v>50</v>
      </c>
    </row>
    <row r="142" spans="2:64" ht="34.5">
      <c r="B142" s="147">
        <v>123</v>
      </c>
      <c r="C142" s="148" t="s">
        <v>814</v>
      </c>
      <c r="D142" s="49" t="s">
        <v>222</v>
      </c>
      <c r="E142" s="49"/>
      <c r="F142" s="53">
        <v>123</v>
      </c>
    </row>
    <row r="143" spans="2:64" ht="17.25">
      <c r="B143" s="147">
        <v>124</v>
      </c>
      <c r="C143" s="148" t="s">
        <v>114</v>
      </c>
      <c r="D143" s="49"/>
      <c r="E143" s="49" t="s">
        <v>222</v>
      </c>
      <c r="F143" s="53">
        <v>124</v>
      </c>
    </row>
    <row r="144" spans="2:64" ht="17.25">
      <c r="B144" s="147">
        <v>125</v>
      </c>
      <c r="C144" s="148" t="s">
        <v>115</v>
      </c>
      <c r="D144" s="49" t="s">
        <v>222</v>
      </c>
      <c r="E144" s="49"/>
      <c r="F144" s="53">
        <v>125</v>
      </c>
    </row>
    <row r="145" spans="2:6" ht="17.25">
      <c r="B145" s="147">
        <v>126</v>
      </c>
      <c r="C145" s="148" t="s">
        <v>116</v>
      </c>
      <c r="D145" s="49" t="s">
        <v>222</v>
      </c>
      <c r="E145" s="49"/>
      <c r="F145" s="53">
        <v>126</v>
      </c>
    </row>
    <row r="146" spans="2:6" ht="17.25">
      <c r="B146" s="147">
        <v>127</v>
      </c>
      <c r="C146" s="148" t="s">
        <v>117</v>
      </c>
      <c r="D146" s="49"/>
      <c r="E146" s="49" t="s">
        <v>222</v>
      </c>
      <c r="F146" s="53">
        <v>127</v>
      </c>
    </row>
    <row r="147" spans="2:6" ht="17.25">
      <c r="B147" s="147">
        <v>128</v>
      </c>
      <c r="C147" s="148" t="s">
        <v>118</v>
      </c>
      <c r="D147" s="49" t="s">
        <v>222</v>
      </c>
      <c r="E147" s="49"/>
      <c r="F147" s="53">
        <v>128</v>
      </c>
    </row>
    <row r="148" spans="2:6" ht="17.25">
      <c r="B148" s="147">
        <v>129</v>
      </c>
      <c r="C148" s="148" t="s">
        <v>119</v>
      </c>
      <c r="D148" s="49"/>
      <c r="E148" s="49" t="s">
        <v>222</v>
      </c>
      <c r="F148" s="53">
        <v>129</v>
      </c>
    </row>
    <row r="149" spans="2:6" ht="17.25">
      <c r="B149" s="147">
        <v>130</v>
      </c>
      <c r="C149" s="148" t="s">
        <v>120</v>
      </c>
      <c r="D149" s="49"/>
      <c r="E149" s="49" t="s">
        <v>222</v>
      </c>
      <c r="F149" s="53">
        <v>130</v>
      </c>
    </row>
    <row r="150" spans="2:6" ht="17.25">
      <c r="B150" s="147">
        <v>131</v>
      </c>
      <c r="C150" s="148" t="s">
        <v>121</v>
      </c>
      <c r="D150" s="49" t="s">
        <v>222</v>
      </c>
      <c r="E150" s="49"/>
      <c r="F150" s="53">
        <v>131</v>
      </c>
    </row>
    <row r="151" spans="2:6" ht="17.25">
      <c r="B151" s="147">
        <v>132</v>
      </c>
      <c r="C151" s="148" t="s">
        <v>122</v>
      </c>
      <c r="D151" s="49"/>
      <c r="E151" s="49" t="s">
        <v>222</v>
      </c>
      <c r="F151" s="53">
        <v>132</v>
      </c>
    </row>
    <row r="152" spans="2:6" ht="17.25">
      <c r="B152" s="147">
        <v>133</v>
      </c>
      <c r="C152" s="148" t="s">
        <v>123</v>
      </c>
      <c r="D152" s="49"/>
      <c r="E152" s="49" t="s">
        <v>222</v>
      </c>
      <c r="F152" s="53">
        <v>133</v>
      </c>
    </row>
    <row r="153" spans="2:6" ht="17.25">
      <c r="B153" s="147">
        <v>134</v>
      </c>
      <c r="C153" s="148" t="s">
        <v>124</v>
      </c>
      <c r="D153" s="49"/>
      <c r="E153" s="49" t="s">
        <v>222</v>
      </c>
      <c r="F153" s="53">
        <v>134</v>
      </c>
    </row>
    <row r="154" spans="2:6" ht="17.25">
      <c r="B154" s="147">
        <v>135</v>
      </c>
      <c r="C154" s="148" t="s">
        <v>125</v>
      </c>
      <c r="D154" s="49" t="s">
        <v>222</v>
      </c>
      <c r="E154" s="49"/>
      <c r="F154" s="53">
        <v>135</v>
      </c>
    </row>
    <row r="155" spans="2:6" ht="17.25">
      <c r="B155" s="147">
        <v>136</v>
      </c>
      <c r="C155" s="148" t="s">
        <v>126</v>
      </c>
      <c r="D155" s="49"/>
      <c r="E155" s="49" t="s">
        <v>222</v>
      </c>
      <c r="F155" s="53">
        <v>136</v>
      </c>
    </row>
    <row r="156" spans="2:6" ht="17.25">
      <c r="B156" s="147">
        <v>137</v>
      </c>
      <c r="C156" s="148" t="s">
        <v>127</v>
      </c>
      <c r="D156" s="49" t="s">
        <v>222</v>
      </c>
      <c r="E156" s="49"/>
      <c r="F156" s="53">
        <v>137</v>
      </c>
    </row>
    <row r="157" spans="2:6" ht="17.25">
      <c r="B157" s="147">
        <v>138</v>
      </c>
      <c r="C157" s="148" t="s">
        <v>128</v>
      </c>
      <c r="D157" s="49"/>
      <c r="E157" s="49" t="s">
        <v>222</v>
      </c>
      <c r="F157" s="53">
        <v>138</v>
      </c>
    </row>
    <row r="158" spans="2:6" ht="17.25">
      <c r="B158" s="147">
        <v>139</v>
      </c>
      <c r="C158" s="148" t="s">
        <v>129</v>
      </c>
      <c r="D158" s="49" t="s">
        <v>222</v>
      </c>
      <c r="E158" s="49"/>
      <c r="F158" s="53">
        <v>139</v>
      </c>
    </row>
    <row r="159" spans="2:6" ht="17.25">
      <c r="B159" s="147">
        <v>140</v>
      </c>
      <c r="C159" s="148" t="s">
        <v>130</v>
      </c>
      <c r="D159" s="49" t="s">
        <v>222</v>
      </c>
      <c r="E159" s="49"/>
      <c r="F159" s="53">
        <v>140</v>
      </c>
    </row>
    <row r="160" spans="2:6" ht="17.25">
      <c r="B160" s="147">
        <v>141</v>
      </c>
      <c r="C160" s="148" t="s">
        <v>131</v>
      </c>
      <c r="D160" s="49"/>
      <c r="E160" s="49" t="s">
        <v>222</v>
      </c>
      <c r="F160" s="53">
        <v>141</v>
      </c>
    </row>
    <row r="161" spans="2:6" ht="17.25">
      <c r="B161" s="147">
        <v>142</v>
      </c>
      <c r="C161" s="148" t="s">
        <v>132</v>
      </c>
      <c r="D161" s="49"/>
      <c r="E161" s="49" t="s">
        <v>222</v>
      </c>
      <c r="F161" s="53">
        <v>142</v>
      </c>
    </row>
    <row r="162" spans="2:6" ht="17.25">
      <c r="B162" s="147">
        <v>143</v>
      </c>
      <c r="C162" s="148" t="s">
        <v>133</v>
      </c>
      <c r="D162" s="49" t="s">
        <v>222</v>
      </c>
      <c r="E162" s="49"/>
      <c r="F162" s="53">
        <v>143</v>
      </c>
    </row>
    <row r="163" spans="2:6" ht="17.25">
      <c r="B163" s="147">
        <v>144</v>
      </c>
      <c r="C163" s="148" t="s">
        <v>134</v>
      </c>
      <c r="D163" s="49"/>
      <c r="E163" s="49" t="s">
        <v>222</v>
      </c>
      <c r="F163" s="53">
        <v>144</v>
      </c>
    </row>
    <row r="164" spans="2:6" ht="17.25">
      <c r="B164" s="147">
        <v>145</v>
      </c>
      <c r="C164" s="148" t="s">
        <v>135</v>
      </c>
      <c r="D164" s="49"/>
      <c r="E164" s="49" t="s">
        <v>222</v>
      </c>
      <c r="F164" s="53">
        <v>145</v>
      </c>
    </row>
    <row r="165" spans="2:6" ht="17.25">
      <c r="B165" s="147">
        <v>146</v>
      </c>
      <c r="C165" s="148" t="s">
        <v>136</v>
      </c>
      <c r="D165" s="49" t="s">
        <v>222</v>
      </c>
      <c r="E165" s="49"/>
      <c r="F165" s="53">
        <v>146</v>
      </c>
    </row>
    <row r="166" spans="2:6" ht="17.25">
      <c r="B166" s="147">
        <v>147</v>
      </c>
      <c r="C166" s="148" t="s">
        <v>137</v>
      </c>
      <c r="D166" s="49"/>
      <c r="E166" s="49" t="s">
        <v>222</v>
      </c>
      <c r="F166" s="53">
        <v>147</v>
      </c>
    </row>
    <row r="167" spans="2:6" ht="17.25">
      <c r="B167" s="147">
        <v>148</v>
      </c>
      <c r="C167" s="148" t="s">
        <v>138</v>
      </c>
      <c r="D167" s="49"/>
      <c r="E167" s="49" t="s">
        <v>222</v>
      </c>
      <c r="F167" s="53">
        <v>148</v>
      </c>
    </row>
    <row r="168" spans="2:6" ht="17.25">
      <c r="B168" s="147">
        <v>149</v>
      </c>
      <c r="C168" s="148" t="s">
        <v>139</v>
      </c>
      <c r="D168" s="49" t="s">
        <v>222</v>
      </c>
      <c r="E168" s="49"/>
      <c r="F168" s="53">
        <v>149</v>
      </c>
    </row>
    <row r="169" spans="2:6" ht="17.25">
      <c r="B169" s="147">
        <v>150</v>
      </c>
      <c r="C169" s="148" t="s">
        <v>140</v>
      </c>
      <c r="D169" s="49" t="s">
        <v>222</v>
      </c>
      <c r="E169" s="49"/>
      <c r="F169" s="53">
        <v>150</v>
      </c>
    </row>
    <row r="170" spans="2:6" ht="17.25">
      <c r="B170" s="147">
        <v>151</v>
      </c>
      <c r="C170" s="148" t="s">
        <v>141</v>
      </c>
      <c r="D170" s="49" t="s">
        <v>222</v>
      </c>
      <c r="E170" s="49"/>
      <c r="F170" s="53">
        <v>151</v>
      </c>
    </row>
    <row r="171" spans="2:6" ht="17.25">
      <c r="B171" s="147">
        <v>152</v>
      </c>
      <c r="C171" s="148" t="s">
        <v>142</v>
      </c>
      <c r="D171" s="49"/>
      <c r="E171" s="49" t="s">
        <v>222</v>
      </c>
      <c r="F171" s="53">
        <v>152</v>
      </c>
    </row>
    <row r="172" spans="2:6" ht="17.25">
      <c r="B172" s="147">
        <v>153</v>
      </c>
      <c r="C172" s="148" t="s">
        <v>143</v>
      </c>
      <c r="D172" s="49"/>
      <c r="E172" s="49" t="s">
        <v>222</v>
      </c>
      <c r="F172" s="53">
        <v>153</v>
      </c>
    </row>
    <row r="173" spans="2:6" ht="17.25">
      <c r="B173" s="147">
        <v>154</v>
      </c>
      <c r="C173" s="148" t="s">
        <v>144</v>
      </c>
      <c r="D173" s="49"/>
      <c r="E173" s="49" t="s">
        <v>222</v>
      </c>
      <c r="F173" s="53">
        <v>154</v>
      </c>
    </row>
    <row r="174" spans="2:6" ht="17.25">
      <c r="B174" s="147">
        <v>155</v>
      </c>
      <c r="C174" s="148" t="s">
        <v>145</v>
      </c>
      <c r="D174" s="49"/>
      <c r="E174" s="49" t="s">
        <v>222</v>
      </c>
      <c r="F174" s="53">
        <v>155</v>
      </c>
    </row>
    <row r="175" spans="2:6" ht="17.25">
      <c r="B175" s="147">
        <v>156</v>
      </c>
      <c r="C175" s="148" t="s">
        <v>146</v>
      </c>
      <c r="D175" s="49"/>
      <c r="E175" s="49" t="s">
        <v>222</v>
      </c>
      <c r="F175" s="53">
        <v>156</v>
      </c>
    </row>
    <row r="176" spans="2:6" ht="17.25">
      <c r="B176" s="147">
        <v>157</v>
      </c>
      <c r="C176" s="148" t="s">
        <v>147</v>
      </c>
      <c r="D176" s="49"/>
      <c r="E176" s="49" t="s">
        <v>222</v>
      </c>
      <c r="F176" s="53">
        <v>157</v>
      </c>
    </row>
    <row r="177" spans="2:6" ht="17.25">
      <c r="B177" s="147">
        <v>158</v>
      </c>
      <c r="C177" s="148" t="s">
        <v>148</v>
      </c>
      <c r="D177" s="49" t="s">
        <v>222</v>
      </c>
      <c r="E177" s="49"/>
      <c r="F177" s="53">
        <v>158</v>
      </c>
    </row>
    <row r="178" spans="2:6" ht="17.25">
      <c r="B178" s="147">
        <v>159</v>
      </c>
      <c r="C178" s="148" t="s">
        <v>815</v>
      </c>
      <c r="D178" s="49"/>
      <c r="E178" s="49" t="s">
        <v>222</v>
      </c>
      <c r="F178" s="53">
        <v>159</v>
      </c>
    </row>
    <row r="179" spans="2:6" ht="17.25">
      <c r="B179" s="147">
        <v>160</v>
      </c>
      <c r="C179" s="148" t="s">
        <v>149</v>
      </c>
      <c r="D179" s="49"/>
      <c r="E179" s="49" t="s">
        <v>222</v>
      </c>
      <c r="F179" s="53">
        <v>160</v>
      </c>
    </row>
    <row r="180" spans="2:6" ht="17.25">
      <c r="B180" s="147">
        <v>161</v>
      </c>
      <c r="C180" s="148" t="s">
        <v>150</v>
      </c>
      <c r="D180" s="49"/>
      <c r="E180" s="49" t="s">
        <v>222</v>
      </c>
      <c r="F180" s="53">
        <v>161</v>
      </c>
    </row>
    <row r="181" spans="2:6" ht="17.25">
      <c r="B181" s="147">
        <v>162</v>
      </c>
      <c r="C181" s="148" t="s">
        <v>151</v>
      </c>
      <c r="D181" s="49" t="s">
        <v>222</v>
      </c>
      <c r="E181" s="49"/>
      <c r="F181" s="53">
        <v>162</v>
      </c>
    </row>
    <row r="182" spans="2:6" ht="17.25">
      <c r="B182" s="147">
        <v>163</v>
      </c>
      <c r="C182" s="148" t="s">
        <v>816</v>
      </c>
      <c r="D182" s="49" t="s">
        <v>222</v>
      </c>
      <c r="E182" s="49"/>
      <c r="F182" s="53">
        <v>163</v>
      </c>
    </row>
    <row r="183" spans="2:6" ht="17.25">
      <c r="B183" s="147">
        <v>164</v>
      </c>
      <c r="C183" s="148" t="s">
        <v>152</v>
      </c>
      <c r="D183" s="49"/>
      <c r="E183" s="49" t="s">
        <v>222</v>
      </c>
      <c r="F183" s="53">
        <v>164</v>
      </c>
    </row>
    <row r="184" spans="2:6" ht="17.25">
      <c r="B184" s="147">
        <v>165</v>
      </c>
      <c r="C184" s="148" t="s">
        <v>153</v>
      </c>
      <c r="D184" s="49"/>
      <c r="E184" s="49" t="s">
        <v>222</v>
      </c>
      <c r="F184" s="53">
        <v>165</v>
      </c>
    </row>
    <row r="185" spans="2:6" ht="17.25">
      <c r="B185" s="147">
        <v>166</v>
      </c>
      <c r="C185" s="148" t="s">
        <v>154</v>
      </c>
      <c r="D185" s="49"/>
      <c r="E185" s="49" t="s">
        <v>222</v>
      </c>
      <c r="F185" s="53">
        <v>166</v>
      </c>
    </row>
    <row r="186" spans="2:6" ht="17.25">
      <c r="B186" s="147">
        <v>167</v>
      </c>
      <c r="C186" s="148" t="s">
        <v>155</v>
      </c>
      <c r="D186" s="49" t="s">
        <v>222</v>
      </c>
      <c r="E186" s="49"/>
      <c r="F186" s="53">
        <v>167</v>
      </c>
    </row>
    <row r="187" spans="2:6" ht="17.25">
      <c r="B187" s="147">
        <v>168</v>
      </c>
      <c r="C187" s="148" t="s">
        <v>156</v>
      </c>
      <c r="D187" s="49"/>
      <c r="E187" s="49" t="s">
        <v>222</v>
      </c>
      <c r="F187" s="53">
        <v>168</v>
      </c>
    </row>
    <row r="188" spans="2:6" ht="17.25">
      <c r="B188" s="147">
        <v>169</v>
      </c>
      <c r="C188" s="148" t="s">
        <v>157</v>
      </c>
      <c r="D188" s="49"/>
      <c r="E188" s="49" t="s">
        <v>222</v>
      </c>
      <c r="F188" s="53">
        <v>169</v>
      </c>
    </row>
    <row r="189" spans="2:6" ht="17.25">
      <c r="B189" s="147">
        <v>170</v>
      </c>
      <c r="C189" s="148" t="s">
        <v>158</v>
      </c>
      <c r="D189" s="49" t="s">
        <v>222</v>
      </c>
      <c r="E189" s="49"/>
      <c r="F189" s="53">
        <v>170</v>
      </c>
    </row>
    <row r="190" spans="2:6" ht="17.25">
      <c r="B190" s="147">
        <v>171</v>
      </c>
      <c r="C190" s="148" t="s">
        <v>159</v>
      </c>
      <c r="D190" s="49"/>
      <c r="E190" s="49" t="s">
        <v>222</v>
      </c>
      <c r="F190" s="53">
        <v>171</v>
      </c>
    </row>
    <row r="191" spans="2:6" ht="17.25">
      <c r="B191" s="147">
        <v>172</v>
      </c>
      <c r="C191" s="148" t="s">
        <v>160</v>
      </c>
      <c r="D191" s="49"/>
      <c r="E191" s="49" t="s">
        <v>222</v>
      </c>
      <c r="F191" s="53">
        <v>172</v>
      </c>
    </row>
    <row r="192" spans="2:6" ht="17.25">
      <c r="B192" s="147">
        <v>173</v>
      </c>
      <c r="C192" s="148" t="s">
        <v>161</v>
      </c>
      <c r="D192" s="49" t="s">
        <v>222</v>
      </c>
      <c r="E192" s="49"/>
      <c r="F192" s="53">
        <v>173</v>
      </c>
    </row>
    <row r="193" spans="2:6" ht="17.25">
      <c r="B193" s="147">
        <v>174</v>
      </c>
      <c r="C193" s="148" t="s">
        <v>162</v>
      </c>
      <c r="D193" s="49"/>
      <c r="E193" s="49" t="s">
        <v>222</v>
      </c>
      <c r="F193" s="53">
        <v>174</v>
      </c>
    </row>
    <row r="194" spans="2:6" ht="17.25">
      <c r="B194" s="147">
        <v>175</v>
      </c>
      <c r="C194" s="148" t="s">
        <v>163</v>
      </c>
      <c r="D194" s="49" t="s">
        <v>222</v>
      </c>
      <c r="E194" s="49"/>
      <c r="F194" s="53">
        <v>175</v>
      </c>
    </row>
    <row r="195" spans="2:6" ht="17.25">
      <c r="B195" s="147">
        <v>176</v>
      </c>
      <c r="C195" s="148" t="s">
        <v>164</v>
      </c>
      <c r="D195" s="49"/>
      <c r="E195" s="49" t="s">
        <v>222</v>
      </c>
      <c r="F195" s="53">
        <v>176</v>
      </c>
    </row>
    <row r="196" spans="2:6" ht="34.5">
      <c r="B196" s="147">
        <v>177</v>
      </c>
      <c r="C196" s="148" t="s">
        <v>165</v>
      </c>
      <c r="D196" s="49" t="s">
        <v>222</v>
      </c>
      <c r="E196" s="49"/>
      <c r="F196" s="53">
        <v>177</v>
      </c>
    </row>
    <row r="197" spans="2:6" ht="17.25">
      <c r="B197" s="147">
        <v>178</v>
      </c>
      <c r="C197" s="148" t="s">
        <v>166</v>
      </c>
      <c r="D197" s="49" t="s">
        <v>222</v>
      </c>
      <c r="E197" s="49"/>
      <c r="F197" s="53">
        <v>178</v>
      </c>
    </row>
    <row r="198" spans="2:6" ht="17.25">
      <c r="B198" s="147">
        <v>179</v>
      </c>
      <c r="C198" s="148" t="s">
        <v>167</v>
      </c>
      <c r="D198" s="49" t="s">
        <v>222</v>
      </c>
      <c r="E198" s="49"/>
      <c r="F198" s="53">
        <v>179</v>
      </c>
    </row>
    <row r="199" spans="2:6" ht="17.25">
      <c r="B199" s="147">
        <v>180</v>
      </c>
      <c r="C199" s="148" t="s">
        <v>168</v>
      </c>
      <c r="D199" s="49"/>
      <c r="E199" s="49" t="s">
        <v>222</v>
      </c>
      <c r="F199" s="53">
        <v>180</v>
      </c>
    </row>
    <row r="200" spans="2:6" ht="17.25">
      <c r="B200" s="147">
        <v>181</v>
      </c>
      <c r="C200" s="148" t="s">
        <v>169</v>
      </c>
      <c r="D200" s="49"/>
      <c r="E200" s="49" t="s">
        <v>222</v>
      </c>
      <c r="F200" s="53">
        <v>181</v>
      </c>
    </row>
    <row r="201" spans="2:6" ht="17.25">
      <c r="B201" s="147">
        <v>182</v>
      </c>
      <c r="C201" s="148" t="s">
        <v>170</v>
      </c>
      <c r="D201" s="49"/>
      <c r="E201" s="49" t="s">
        <v>222</v>
      </c>
      <c r="F201" s="53">
        <v>182</v>
      </c>
    </row>
    <row r="202" spans="2:6" ht="17.25">
      <c r="B202" s="147">
        <v>183</v>
      </c>
      <c r="C202" s="148" t="s">
        <v>171</v>
      </c>
      <c r="D202" s="49"/>
      <c r="E202" s="49" t="s">
        <v>222</v>
      </c>
      <c r="F202" s="53">
        <v>183</v>
      </c>
    </row>
    <row r="203" spans="2:6" ht="17.25">
      <c r="B203" s="147">
        <v>184</v>
      </c>
      <c r="C203" s="148" t="s">
        <v>172</v>
      </c>
      <c r="D203" s="49" t="s">
        <v>222</v>
      </c>
      <c r="E203" s="49"/>
      <c r="F203" s="53">
        <v>184</v>
      </c>
    </row>
    <row r="204" spans="2:6" ht="17.25">
      <c r="B204" s="147">
        <v>185</v>
      </c>
      <c r="C204" s="148" t="s">
        <v>173</v>
      </c>
      <c r="D204" s="49"/>
      <c r="E204" s="49" t="s">
        <v>222</v>
      </c>
      <c r="F204" s="53">
        <v>185</v>
      </c>
    </row>
    <row r="205" spans="2:6" ht="17.25">
      <c r="B205" s="147">
        <v>186</v>
      </c>
      <c r="C205" s="148" t="s">
        <v>174</v>
      </c>
      <c r="D205" s="49"/>
      <c r="E205" s="49" t="s">
        <v>222</v>
      </c>
      <c r="F205" s="53">
        <v>186</v>
      </c>
    </row>
    <row r="206" spans="2:6" ht="17.25">
      <c r="B206" s="147">
        <v>187</v>
      </c>
      <c r="C206" s="148" t="s">
        <v>175</v>
      </c>
      <c r="D206" s="49" t="s">
        <v>222</v>
      </c>
      <c r="E206" s="49"/>
      <c r="F206" s="53">
        <v>187</v>
      </c>
    </row>
    <row r="207" spans="2:6" ht="17.25">
      <c r="B207" s="147">
        <v>188</v>
      </c>
      <c r="C207" s="148" t="s">
        <v>176</v>
      </c>
      <c r="D207" s="49"/>
      <c r="E207" s="49" t="s">
        <v>222</v>
      </c>
      <c r="F207" s="53">
        <v>188</v>
      </c>
    </row>
    <row r="208" spans="2:6" ht="17.25">
      <c r="B208" s="147">
        <v>189</v>
      </c>
      <c r="C208" s="148" t="s">
        <v>177</v>
      </c>
      <c r="D208" s="49"/>
      <c r="E208" s="49" t="s">
        <v>222</v>
      </c>
      <c r="F208" s="53">
        <v>189</v>
      </c>
    </row>
    <row r="209" spans="2:6" ht="17.25">
      <c r="B209" s="147">
        <v>190</v>
      </c>
      <c r="C209" s="148" t="s">
        <v>178</v>
      </c>
      <c r="D209" s="49"/>
      <c r="E209" s="49" t="s">
        <v>222</v>
      </c>
      <c r="F209" s="53">
        <v>190</v>
      </c>
    </row>
    <row r="210" spans="2:6" ht="17.25">
      <c r="B210" s="147">
        <v>191</v>
      </c>
      <c r="C210" s="148" t="s">
        <v>179</v>
      </c>
      <c r="D210" s="49"/>
      <c r="E210" s="49" t="s">
        <v>222</v>
      </c>
      <c r="F210" s="53">
        <v>191</v>
      </c>
    </row>
    <row r="211" spans="2:6" ht="17.25">
      <c r="B211" s="147">
        <v>192</v>
      </c>
      <c r="C211" s="148" t="s">
        <v>180</v>
      </c>
      <c r="D211" s="49"/>
      <c r="E211" s="49" t="s">
        <v>222</v>
      </c>
      <c r="F211" s="53">
        <v>192</v>
      </c>
    </row>
    <row r="212" spans="2:6" ht="17.25">
      <c r="B212" s="147">
        <v>193</v>
      </c>
      <c r="C212" s="148" t="s">
        <v>181</v>
      </c>
      <c r="D212" s="49"/>
      <c r="E212" s="49" t="s">
        <v>222</v>
      </c>
      <c r="F212" s="53">
        <v>193</v>
      </c>
    </row>
    <row r="213" spans="2:6" ht="17.25">
      <c r="B213" s="147">
        <v>194</v>
      </c>
      <c r="C213" s="148" t="s">
        <v>182</v>
      </c>
      <c r="D213" s="49" t="s">
        <v>222</v>
      </c>
      <c r="E213" s="49"/>
      <c r="F213" s="53">
        <v>194</v>
      </c>
    </row>
    <row r="214" spans="2:6" ht="17.25">
      <c r="B214" s="147">
        <v>195</v>
      </c>
      <c r="C214" s="148" t="s">
        <v>183</v>
      </c>
      <c r="D214" s="49" t="s">
        <v>222</v>
      </c>
      <c r="E214" s="49"/>
      <c r="F214" s="53">
        <v>195</v>
      </c>
    </row>
    <row r="215" spans="2:6"/>
    <row r="216" spans="2:6"/>
    <row r="217" spans="2:6"/>
    <row r="218" spans="2:6"/>
    <row r="219" spans="2:6"/>
    <row r="220" spans="2:6"/>
    <row r="221" spans="2:6"/>
    <row r="222" spans="2:6" ht="15">
      <c r="C222" s="149"/>
    </row>
    <row r="223" spans="2:6"/>
    <row r="224" spans="2:6"/>
    <row r="225"/>
  </sheetData>
  <mergeCells count="48">
    <mergeCell ref="EO18:ET18"/>
    <mergeCell ref="EV18:FA18"/>
    <mergeCell ref="FC18:FH18"/>
    <mergeCell ref="FJ18:FO18"/>
    <mergeCell ref="FQ18:FV18"/>
    <mergeCell ref="DF18:DK18"/>
    <mergeCell ref="DM18:DR18"/>
    <mergeCell ref="DT18:DY18"/>
    <mergeCell ref="EA18:EF18"/>
    <mergeCell ref="EH18:EM18"/>
    <mergeCell ref="BW18:CB18"/>
    <mergeCell ref="CD18:CI18"/>
    <mergeCell ref="CK18:CP18"/>
    <mergeCell ref="CR18:CW18"/>
    <mergeCell ref="CY18:DD18"/>
    <mergeCell ref="BK18:BL18"/>
    <mergeCell ref="BM18:BN18"/>
    <mergeCell ref="BO18:BP18"/>
    <mergeCell ref="BR18:BS18"/>
    <mergeCell ref="BT18:BU18"/>
    <mergeCell ref="AZ18:BA18"/>
    <mergeCell ref="AP18:AQ18"/>
    <mergeCell ref="BC18:BD18"/>
    <mergeCell ref="BE18:BF18"/>
    <mergeCell ref="BG18:BH18"/>
    <mergeCell ref="AT18:AU18"/>
    <mergeCell ref="AV18:AW18"/>
    <mergeCell ref="AX18:AY18"/>
    <mergeCell ref="AG18:AH18"/>
    <mergeCell ref="AI18:AJ18"/>
    <mergeCell ref="AK18:AL18"/>
    <mergeCell ref="AN18:AO18"/>
    <mergeCell ref="AR18:AS18"/>
    <mergeCell ref="C8:F8"/>
    <mergeCell ref="C10:F12"/>
    <mergeCell ref="C13:F16"/>
    <mergeCell ref="AD18:AE18"/>
    <mergeCell ref="H18:I18"/>
    <mergeCell ref="J18:K18"/>
    <mergeCell ref="L18:M18"/>
    <mergeCell ref="N18:O18"/>
    <mergeCell ref="P18:Q18"/>
    <mergeCell ref="R18:S18"/>
    <mergeCell ref="T18:U18"/>
    <mergeCell ref="V18:W18"/>
    <mergeCell ref="X18:Y18"/>
    <mergeCell ref="Z18:AA18"/>
    <mergeCell ref="AB18:AC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orrar_Protocolo">
                <anchor moveWithCells="1" sizeWithCells="1">
                  <from>
                    <xdr:col>6</xdr:col>
                    <xdr:colOff>47625</xdr:colOff>
                    <xdr:row>6</xdr:row>
                    <xdr:rowOff>142875</xdr:rowOff>
                  </from>
                  <to>
                    <xdr:col>6</xdr:col>
                    <xdr:colOff>733425</xdr:colOff>
                    <xdr:row>8</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C7737-6D9C-429B-860E-1D6F08887B27}">
  <sheetPr codeName="Hoja3"/>
  <dimension ref="A1:BD464"/>
  <sheetViews>
    <sheetView showGridLines="0" tabSelected="1" zoomScale="85" zoomScaleNormal="85" workbookViewId="0">
      <selection activeCell="G13" sqref="G13:H13"/>
    </sheetView>
  </sheetViews>
  <sheetFormatPr baseColWidth="10" defaultColWidth="1.85546875" defaultRowHeight="18.75" zeroHeight="1"/>
  <cols>
    <col min="1" max="1" width="9" style="58" customWidth="1"/>
    <col min="2" max="2" width="5.140625" style="176" customWidth="1"/>
    <col min="3" max="3" width="2" style="176" customWidth="1"/>
    <col min="4" max="4" width="18.28515625" style="176" customWidth="1"/>
    <col min="5" max="5" width="16.42578125" style="176" customWidth="1"/>
    <col min="6" max="6" width="7.7109375" style="176" customWidth="1"/>
    <col min="7" max="8" width="6.7109375" style="177" customWidth="1"/>
    <col min="9" max="9" width="6.7109375" style="178" customWidth="1"/>
    <col min="10" max="10" width="3.140625" style="176" customWidth="1"/>
    <col min="11" max="11" width="9.42578125" style="176" customWidth="1"/>
    <col min="12" max="13" width="13" style="176" customWidth="1"/>
    <col min="14" max="14" width="9.7109375" style="176" customWidth="1"/>
    <col min="15" max="15" width="7.7109375" style="177" customWidth="1"/>
    <col min="16" max="17" width="6.7109375" style="177" customWidth="1"/>
    <col min="18" max="18" width="12.42578125" style="58" customWidth="1"/>
    <col min="19" max="19" width="11" style="58" customWidth="1"/>
    <col min="20" max="20" width="18.5703125" style="59" customWidth="1"/>
    <col min="21" max="22" width="18.5703125" style="58" customWidth="1"/>
    <col min="23" max="23" width="18.5703125" style="59" customWidth="1"/>
    <col min="24" max="25" width="8.85546875" style="78" customWidth="1"/>
    <col min="26" max="26" width="8.85546875" style="60" customWidth="1"/>
    <col min="27" max="27" width="8.85546875" style="59" customWidth="1"/>
    <col min="28" max="28" width="8.85546875" style="58" customWidth="1"/>
    <col min="29" max="42" width="8.7109375" style="58" customWidth="1"/>
    <col min="43" max="43" width="36.85546875" style="58" customWidth="1"/>
    <col min="44" max="85" width="8.7109375" style="58" customWidth="1"/>
    <col min="86" max="16384" width="1.85546875" style="58"/>
  </cols>
  <sheetData>
    <row r="1" spans="1:23" ht="9.75" customHeight="1">
      <c r="A1" s="54"/>
      <c r="B1" s="55"/>
      <c r="C1" s="55"/>
      <c r="D1" s="55"/>
      <c r="E1" s="55"/>
      <c r="F1" s="55"/>
      <c r="G1" s="56"/>
      <c r="H1" s="56"/>
      <c r="I1" s="57"/>
      <c r="J1" s="55"/>
      <c r="K1" s="55"/>
      <c r="L1" s="55"/>
      <c r="M1" s="55"/>
      <c r="N1" s="55"/>
      <c r="O1" s="56"/>
      <c r="P1" s="56"/>
      <c r="Q1" s="56"/>
    </row>
    <row r="2" spans="1:23" ht="7.5" customHeight="1">
      <c r="B2" s="55"/>
      <c r="C2" s="55"/>
      <c r="D2" s="55"/>
      <c r="E2" s="55"/>
      <c r="F2" s="61"/>
      <c r="G2" s="56"/>
      <c r="H2" s="56"/>
      <c r="I2" s="57"/>
      <c r="J2" s="55"/>
      <c r="K2" s="55"/>
      <c r="L2" s="55"/>
      <c r="M2" s="55"/>
      <c r="N2" s="55"/>
      <c r="O2" s="56"/>
      <c r="P2" s="56"/>
      <c r="Q2" s="56"/>
    </row>
    <row r="3" spans="1:23" ht="7.5" customHeight="1">
      <c r="B3" s="55"/>
      <c r="C3" s="55"/>
      <c r="D3" s="55"/>
      <c r="E3" s="55"/>
      <c r="F3" s="61"/>
      <c r="G3" s="56"/>
      <c r="H3" s="56"/>
      <c r="I3" s="57"/>
      <c r="J3" s="55"/>
      <c r="K3" s="55"/>
      <c r="L3" s="55"/>
      <c r="M3" s="55"/>
      <c r="N3" s="55"/>
      <c r="O3" s="56"/>
      <c r="P3" s="56"/>
      <c r="Q3" s="56"/>
    </row>
    <row r="4" spans="1:23" ht="18.75" customHeight="1">
      <c r="B4" s="62"/>
      <c r="C4" s="62"/>
      <c r="D4" s="62"/>
      <c r="E4" s="63"/>
      <c r="F4" s="63"/>
      <c r="G4" s="64"/>
      <c r="H4" s="64"/>
      <c r="I4" s="65"/>
      <c r="J4" s="62"/>
      <c r="K4" s="62"/>
      <c r="L4" s="62"/>
      <c r="M4" s="62"/>
      <c r="N4" s="62"/>
      <c r="O4" s="64"/>
      <c r="P4" s="64"/>
      <c r="Q4" s="64"/>
    </row>
    <row r="5" spans="1:23" ht="4.5" customHeight="1">
      <c r="B5" s="66"/>
      <c r="C5" s="66"/>
      <c r="D5" s="66"/>
      <c r="E5" s="67"/>
      <c r="F5" s="67"/>
      <c r="G5" s="68"/>
      <c r="H5" s="68"/>
      <c r="I5" s="69"/>
      <c r="J5" s="66"/>
      <c r="K5" s="66"/>
      <c r="L5" s="66"/>
      <c r="M5" s="66"/>
      <c r="N5" s="66"/>
      <c r="O5" s="68"/>
      <c r="P5" s="68"/>
      <c r="Q5" s="68"/>
    </row>
    <row r="6" spans="1:23" ht="17.25">
      <c r="B6" s="55" t="s">
        <v>207</v>
      </c>
      <c r="C6" s="55"/>
      <c r="D6" s="55"/>
      <c r="E6" s="55"/>
      <c r="F6" s="55"/>
      <c r="G6" s="56"/>
      <c r="H6" s="56"/>
      <c r="I6" s="57"/>
      <c r="J6" s="55"/>
      <c r="K6" s="55"/>
      <c r="L6" s="218" t="str">
        <f>+Portada!C19</f>
        <v>Asteria Asunta Catari Ledezma</v>
      </c>
      <c r="M6" s="218"/>
      <c r="N6" s="218"/>
      <c r="O6" s="218"/>
      <c r="P6" s="220" t="s">
        <v>207</v>
      </c>
      <c r="Q6" s="220"/>
    </row>
    <row r="7" spans="1:23" ht="13.5" customHeight="1">
      <c r="B7" s="236">
        <f ca="1">+TODAY()</f>
        <v>46260</v>
      </c>
      <c r="C7" s="236"/>
      <c r="D7" s="236"/>
      <c r="E7" s="55"/>
      <c r="F7" s="55"/>
      <c r="G7" s="56"/>
      <c r="H7" s="56"/>
      <c r="I7" s="57"/>
      <c r="J7" s="55"/>
      <c r="K7" s="55"/>
      <c r="L7" s="55"/>
      <c r="M7" s="71"/>
      <c r="N7" s="71"/>
      <c r="O7" s="71"/>
      <c r="P7" s="56"/>
      <c r="Q7" s="56"/>
    </row>
    <row r="8" spans="1:23" ht="4.5" customHeight="1" thickBot="1">
      <c r="B8" s="55"/>
      <c r="C8" s="55"/>
      <c r="D8" s="55"/>
      <c r="E8" s="72"/>
      <c r="F8" s="72"/>
      <c r="G8" s="73"/>
      <c r="H8" s="73"/>
      <c r="I8" s="74"/>
      <c r="J8" s="72"/>
      <c r="K8" s="72"/>
      <c r="L8" s="72"/>
      <c r="M8" s="75"/>
      <c r="N8" s="75"/>
      <c r="O8" s="75"/>
      <c r="P8" s="75"/>
      <c r="Q8" s="75"/>
    </row>
    <row r="9" spans="1:23" ht="5.25" customHeight="1" thickTop="1">
      <c r="B9" s="55"/>
      <c r="C9" s="55"/>
      <c r="D9" s="55"/>
      <c r="E9" s="55"/>
      <c r="F9" s="55"/>
      <c r="G9" s="56"/>
      <c r="H9" s="56"/>
      <c r="I9" s="57"/>
      <c r="J9" s="55"/>
      <c r="K9" s="55"/>
      <c r="L9" s="55"/>
      <c r="M9" s="55"/>
      <c r="N9" s="55"/>
      <c r="O9" s="56"/>
      <c r="P9" s="56"/>
      <c r="Q9" s="56"/>
    </row>
    <row r="10" spans="1:23">
      <c r="B10" s="249" t="s">
        <v>208</v>
      </c>
      <c r="C10" s="249"/>
      <c r="D10" s="249"/>
      <c r="E10" s="249"/>
      <c r="F10" s="249"/>
      <c r="G10" s="249"/>
      <c r="H10" s="249"/>
      <c r="I10" s="249"/>
      <c r="J10" s="249"/>
      <c r="K10" s="249"/>
      <c r="L10" s="249"/>
      <c r="M10" s="249"/>
      <c r="N10" s="249"/>
      <c r="O10" s="249"/>
      <c r="P10" s="249"/>
      <c r="Q10" s="249"/>
    </row>
    <row r="11" spans="1:23" ht="3.75" customHeight="1">
      <c r="B11" s="55"/>
      <c r="C11" s="55"/>
      <c r="D11" s="55"/>
      <c r="E11" s="55"/>
      <c r="F11" s="55"/>
      <c r="G11" s="56"/>
      <c r="H11" s="56"/>
      <c r="I11" s="57"/>
      <c r="J11" s="55"/>
      <c r="K11" s="55"/>
      <c r="L11" s="55"/>
      <c r="M11" s="55"/>
      <c r="N11" s="55"/>
      <c r="O11" s="56"/>
      <c r="P11" s="56"/>
      <c r="Q11" s="56"/>
    </row>
    <row r="12" spans="1:23">
      <c r="B12" s="223" t="s">
        <v>209</v>
      </c>
      <c r="C12" s="223"/>
      <c r="D12" s="223"/>
      <c r="E12" s="223"/>
      <c r="F12" s="223"/>
      <c r="G12" s="223"/>
      <c r="H12" s="223"/>
      <c r="I12" s="223"/>
      <c r="J12" s="223"/>
      <c r="K12" s="223"/>
      <c r="L12" s="223"/>
      <c r="M12" s="223"/>
      <c r="N12" s="223"/>
      <c r="O12" s="223"/>
      <c r="P12" s="223"/>
      <c r="Q12" s="223"/>
      <c r="V12" s="78" t="str">
        <f>_xlfn.SINGLE(IF(OR(P13&lt;0,P13&gt;3,P15&lt;0,P15&gt;25),"Los indicadores de respuestas aleatorias presentan valores fuera de los límites en que pueden interpretarse, por lo que es necesario revisar la corrección del protocolo antes de proseguir con su interpretación clínica.",IF(AND(P13&gt;=2,P15&gt;=20),("El protocolo debe considerarse inválido a partir de los indicadores de respuestas aleatorias, por lo que no debe llevarse a cabo su interpretación. Las escalas V (Invalidez) y W (Inconsistencia) configuran de manera conjunta un patrón de respuesta compati"&amp;"ble con un proceder aleatorio, lo que puede deberse a problemas de lectura o limitaciones lingüísticas, dificultad para mantener la atención, deterioro cognitivo, descuido, indiferencia, fatiga o falta de cooperación. En estos casos deben investigarse las"&amp;" posibles causas y, hasta que no se averigüe el motivo de la aleatoriedad, los resultados no deben interpretarse."),IF(P13&gt;=2,("El protocolo debe considerarse inválido a partir de los indicadores de respuestas aleatorias, por lo que no debe llevarse a cabo su interpretación. La escala V (Invalidez) presenta una puntuación compatible con un proceder aleatorio frente al contenido de"&amp;"l inventario, lo que puede deberse a problemas de lectura o limitaciones lingüísticas, dificultad para mantener la atención, deterioro cognitivo, descuido, indiferencia, fatiga o falta de cooperación. En estos casos deben investigarse las posibles causas "&amp;"y, hasta que no se averigüe el motivo de la aleatoriedad, los resultados no deben interpretarse."),IF(P15&gt;=20,("El protocolo debe considerarse inválido a partir de los indicadores de respuestas aleatorias, por lo que no debe llevarse a cabo su interpretación. La escala W (Inconsistencia) evidencia discrepancias entre pares de ítems compatibles con un patrón de resp"&amp;"uestas contradictorias, lo que puede deberse a problemas de lectura o limitaciones lingüísticas, dificultad para mantener la atención, deterioro cognitivo, descuido, indiferencia, fatiga o falta de cooperación. En estos casos deben investigarse las posibl"&amp;"es causas y, hasta que no se averigüe el motivo de la aleatoriedad, los resultados no deben interpretarse."),IF(AND(P15&gt;=9,P15&lt;=19),("El protocolo se sitúa en el rango de los considerados cuestionables a partir del indicador de respuestas aleatorias W (Inconsistencia), que evidencia un número llamativo de respuestas contradictorias entre pares de ítems con contenido similar, lo cual sug"&amp;"iere una falta de receptividad al contenido de los ítems por parte del evaluado(a). Entre las causas habituales de tal patrón se incluyen problemas de lectura o limitaciones lingüísticas, dificultad para mantener la atención, deterioro cognitivo, descuido"&amp;", fatiga o una falta de cooperación deliberada; cabe investigar la posible incidencia de tales factores en las respuestas del evaluado(a) y, entretanto, los resultados deben interpretarse con cautela y contrastarse con la información obtenida más allá del"&amp;" inventario, es decir, entrevista clínica, historial psicosocial y otras fuentes, antes de extraer conclusiones definitivas."),IF(P13=1,("El protocolo se sitúa en el rango de los considerados cuestionables a partir del indicador de respuestas aleatorias V (Invalidez), que presenta una puntuación que, sin alcanzar el umbral de invalidez, reduce la consistencia general del perfil. Tal patrón "&amp;"puede deberse a problemas de lectura o limitaciones lingüísticas, dificultad para mantener la atención, deterioro cognitivo, descuido, indiferencia, fatiga o falta de cooperación; cabe investigar las posibles causas y, entretanto, las elevaciones del perf"&amp;"il deben contrastarse con la información obtenida más allá del inventario, es decir, entrevista clínica, historial psicosocial y otras fuentes, antes de extraer conclusiones definitivas."),"El perfil es interpretable: las escalas V (Invalidez) y W (Inconsistencia) no muestran un patrón compatible con respuestas aleatorias, de modo que el perfil puede analizarse a partir de las elevaciones que presenta.")))))))</f>
        <v>El perfil es interpretable: las escalas V (Invalidez) y W (Inconsistencia) no muestran un patrón compatible con respuestas aleatorias, de modo que el perfil puede analizarse a partir de las elevaciones que presenta.</v>
      </c>
      <c r="W12" s="58"/>
    </row>
    <row r="13" spans="1:23" ht="15" customHeight="1">
      <c r="B13" s="255" t="s">
        <v>210</v>
      </c>
      <c r="C13" s="255"/>
      <c r="D13" s="255"/>
      <c r="E13" s="255"/>
      <c r="F13" s="255"/>
      <c r="G13" s="297" t="str">
        <f ca="1">INDEX(F27:F38, MATCH(LARGE(S27:S38,1), S27:S38, 0)) &amp; " " &amp;
INDEX(F27:F38, MATCH(LARGE(S27:S38,2), S27:S38, 0)) &amp; " " &amp;
INDEX(F27:F38, MATCH(LARGE(S27:S38,3), S27:S38, 0))</f>
        <v>1 7 3</v>
      </c>
      <c r="H13" s="297"/>
      <c r="I13" s="57"/>
      <c r="J13" s="55"/>
      <c r="K13" s="55"/>
      <c r="L13" s="55"/>
      <c r="M13" s="260" t="s">
        <v>212</v>
      </c>
      <c r="N13" s="260"/>
      <c r="O13" s="260"/>
      <c r="P13" s="56">
        <f>+Protocolo!BS23</f>
        <v>0</v>
      </c>
      <c r="Q13" s="56"/>
      <c r="V13" s="78"/>
      <c r="W13" s="58"/>
    </row>
    <row r="14" spans="1:23" ht="3" customHeight="1">
      <c r="B14" s="79"/>
      <c r="C14" s="79"/>
      <c r="D14" s="79"/>
      <c r="E14" s="79"/>
      <c r="F14" s="79"/>
      <c r="G14" s="56"/>
      <c r="H14" s="56"/>
      <c r="I14" s="57"/>
      <c r="J14" s="55"/>
      <c r="K14" s="55"/>
      <c r="L14" s="77"/>
      <c r="M14" s="77"/>
      <c r="N14" s="55"/>
      <c r="O14" s="56"/>
      <c r="P14" s="56"/>
      <c r="Q14" s="56"/>
      <c r="V14" s="59"/>
      <c r="W14" s="58"/>
    </row>
    <row r="15" spans="1:23" ht="15" customHeight="1">
      <c r="B15" s="250" t="s">
        <v>819</v>
      </c>
      <c r="C15" s="250"/>
      <c r="D15" s="250"/>
      <c r="E15" s="250"/>
      <c r="F15" s="250"/>
      <c r="G15" s="235" t="str">
        <f ca="1">+Ajustes!H3</f>
        <v>A/CC</v>
      </c>
      <c r="H15" s="235"/>
      <c r="I15" s="57"/>
      <c r="J15" s="55"/>
      <c r="K15" s="55"/>
      <c r="L15" s="55"/>
      <c r="M15" s="218" t="s">
        <v>211</v>
      </c>
      <c r="N15" s="218"/>
      <c r="O15" s="218"/>
      <c r="P15" s="56">
        <f>+Protocolo!BU45</f>
        <v>3</v>
      </c>
      <c r="Q15" s="56"/>
      <c r="V15" s="78"/>
      <c r="W15" s="58"/>
    </row>
    <row r="16" spans="1:23" ht="18.75" customHeight="1">
      <c r="B16" s="80"/>
      <c r="C16" s="80"/>
      <c r="D16" s="80"/>
      <c r="E16" s="80"/>
      <c r="F16" s="80"/>
      <c r="G16" s="81"/>
      <c r="H16" s="56"/>
      <c r="I16" s="57"/>
      <c r="J16" s="80"/>
      <c r="K16" s="80"/>
      <c r="L16" s="80"/>
      <c r="M16" s="80"/>
      <c r="N16" s="80"/>
      <c r="O16" s="81"/>
      <c r="P16" s="81"/>
      <c r="Q16" s="81"/>
      <c r="V16" s="78" t="str">
        <f ca="1">_xlfn.SINGLE(IF(MAX(I27:I38)&lt;60,("ninguna de las escalas de los patrones clínicos de la personalidad alcanza una tasa base igual o superior a 60, por lo que el perfil no refleja un patrón de personalidad claro que permita establecer un diagnóstico. Tales elevaciones pueden resultar ideogr"&amp;"áficamente útiles para formular hipótesis clínicas, si bien no se consideran fiables ni válidas con fines diagnósticos."),IF(MAX(I27:I38)&gt;=85,("se observan elevaciones iguales o superiores a 85 en una o más escalas de los patrones clínicos de la personalidad, lo que refleja una patología suficientemente generalizada como para considerarla un trastorno clínico de la personalidad y, en su caso, el "&amp;"umbral propio de la patología grave de la personalidad. Las tres escalas con la puntuación más alta constituyen el código de puntuaciones máximas; al analizarse por separado y en su configuración conjunta, aportan información sustantiva sobre la estructur"&amp;"a de polaridades (placer-dolor, pasivo-activo, uno mismo-otros) y sobre los dominios funcionales y estructurales que articulan la matriz personológica del evaluado(a), en la medida en que esta opera como mediador inmunológico entre el estrés psicosocial y"&amp;" la producción de síntomas."),("se observan elevaciones con tasas base iguales o superiores a 60 en una o más escalas de los patrones clínicos de la personalidad, lo que indica que las respuestas del evaluado(a) son similares a las de los sujetos de la muestra de tipificación que presen"&amp;"tan rasgos de un patrón determinado y posiblemente reflejan estilos adaptativos de la personalidad con problemas moderados u ocasionales en áreas específicas; las elevaciones iguales o superiores a 75 indican tipos de personalidad menos adaptativos con ra"&amp;"sgos problemáticos propios del constructo correspondiente, en tanto que las elevaciones iguales o superiores a 85 reflejan una patología suficientemente generalizada como para considerarla un trastorno clínico de la personalidad."))))</f>
        <v>se observan elevaciones iguales o superiores a 85 en una o más escalas de los patrones clínicos de la personalidad, lo que refleja una patología suficientemente generalizada como para considerarla un trastorno clínico de la personalidad y, en su caso, el umbral propio de la patología grave de la personalidad. Las tres escalas con la puntuación más alta constituyen el código de puntuaciones máximas; al analizarse por separado y en su configuración conjunta, aportan información sustantiva sobre la estructura de polaridades (placer-dolor, pasivo-activo, uno mismo-otros) y sobre los dominios funcionales y estructurales que articulan la matriz personológica del evaluado(a), en la medida en que esta opera como mediador inmunológico entre el estrés psicosocial y la producción de síntomas.</v>
      </c>
      <c r="W16" s="58"/>
    </row>
    <row r="17" spans="1:27" ht="16.5" customHeight="1">
      <c r="A17" s="82"/>
      <c r="B17" s="258" t="s">
        <v>213</v>
      </c>
      <c r="C17" s="258"/>
      <c r="D17" s="258"/>
      <c r="E17" s="258"/>
      <c r="F17" s="258"/>
      <c r="G17" s="56"/>
      <c r="H17" s="251" t="s">
        <v>214</v>
      </c>
      <c r="I17" s="252"/>
      <c r="J17" s="253" t="s">
        <v>217</v>
      </c>
      <c r="K17" s="253"/>
      <c r="L17" s="253"/>
      <c r="M17" s="253"/>
      <c r="N17" s="253"/>
      <c r="O17" s="253"/>
      <c r="P17" s="253"/>
      <c r="Q17" s="254"/>
      <c r="V17" s="59"/>
      <c r="W17" s="58" t="str">
        <f ca="1">_xlfn.SINGLE(IF(OR(H20&lt;7,H20&gt;114),("el perfil debe considerarse inválido a partir de los índices modificadores, dado que la puntuación directa de la escala X (Sinceridad) se sitúa fuera de los límites en que el protocolo resulta clínicamente interpretable. El evaluado(a) ha minimizado o exa"&amp;"gerado sus síntomas en una medida tal que los resultados no pueden interpretarse con fiabilidad, por lo que no debe llevarse a cabo la interpretación de las elevaciones del perfil."),IF(AND(H20&lt;21,I21&gt;=75,I22&gt;=75),("el evaluado(a) respondió afirmativamente a ítems que reflejan síntomas y características antitéticos, lo que da lugar a dudas sobre la validez del perfil. Esta configuración, en la que la escala X (Sinceridad) se sitúa en el rango compatible con una posib"&amp;"le minimización de los síntomas y las escalas Y (Deseabilidad social) y Z (Devaluación) aparecen simultáneamente elevadas, debe interpretarse con cautela en el resto del perfil. Cabe señalar que tal configuración se observa, en ocasiones, en evaluados con"&amp;" trastornos depresivos graves habitualmente acompañados de agitación."),IF(AND(H20&gt;60,I22&gt;=75),("la elevación conjunta de las escalas X (Sinceridad) y Z (Devaluación) configura un perfil de «petición de ayuda», en el que el estilo de respuesta de el evaluado(a) lo hace parecer más alterado psicológicamente de lo que realmente está. La escala X (Since"&amp;"ridad) se sitúa en el rango de una posible exageración de los síntomas y la elevación de la escala Z (Devaluación) indica la tendencia a menospreciarse o subestimarse manifestando más problemas emocionales y personales de los que un análisis posterior pue"&amp;"da reflejar; ")&amp;IF(H21&lt;21,"la escala Y (Deseabilidad social) se mantiene baja",IF(I21&gt;=75,"a este patrón se añade una elevación de la escala Y (Deseabilidad social)","la escala Y (Deseabilidad social) se mantiene en el rango medio"))&amp;(". Debe analizarse con detalle las puntuaciones altas no solo para obtener una evaluación más precisa de lo que podría ser un nivel distorsionado de los problemas psicológicos, sino también para determinar si reflejan una petición de ayuda significativa po"&amp;"r parte de el evaluado(a)."),""))))</f>
        <v/>
      </c>
    </row>
    <row r="18" spans="1:27" ht="16.5" customHeight="1">
      <c r="A18" s="82"/>
      <c r="B18" s="259"/>
      <c r="C18" s="259"/>
      <c r="D18" s="259"/>
      <c r="E18" s="259"/>
      <c r="F18" s="259"/>
      <c r="G18" s="81"/>
      <c r="H18" s="84" t="s">
        <v>215</v>
      </c>
      <c r="I18" s="85" t="s">
        <v>216</v>
      </c>
      <c r="J18" s="86"/>
      <c r="K18" s="80"/>
      <c r="L18" s="80"/>
      <c r="M18" s="80"/>
      <c r="N18" s="80"/>
      <c r="O18" s="81"/>
      <c r="P18" s="81"/>
      <c r="Q18" s="87"/>
      <c r="V18" s="59"/>
      <c r="W18" s="58" t="str">
        <f ca="1">_xlfn.SINGLE(IF(AND(H20&lt;21,H21&lt;21,I22&gt;=75),("las puntuaciones bajas en las escalas X (Sinceridad) e Y (Deseabilidad social), junto con la puntuación elevada en la escala Z (Devaluación), indican una exageración moderada de los problemas emocionales actuales, los cuales probablemente ya hayan sido so"&amp;"lucionados en buena medida; tal configuración no afecta a la validez interpretativa del perfil."),IF(AND(H20&lt;21,I21&gt;=75),("la configuración del perfil resulta compatible con un patrón de «falseado-bueno», propio de quienes intentan mostrar la mejor imagen de sí mismos. La puntuación de la escala X (Sinceridad) en el rango de una posible minimización de los síntomas, junto con"&amp;" la elevación de la escala Y (Deseabilidad social), reflejan la tendencia a parecer socialmente agradable, moralmente admirable o emocionalmente equilibrada, lo que indica que el evaluado(a) ha ocultado ciertos aspectos de sus dificultades psicológicas o "&amp;"interpersonales. Resulta pertinente analizar con detenimiento las elevaciones de las escalas Dependiente, Narcisista y Compulsivo, en la medida en que tales escalas tienden a aparecer asociadas a este estilo de respuesta según si el evaluado(a) quiere par"&amp;"ecer cooperativo, seguro de sí mismo o responsable; en cambio, no es habitual observar elevaciones en las escalas de patología de la personalidad ni en las de los síndromes clínicos."),IF(H20&gt;60,("la escala X (Sinceridad) se sitúa en el rango de una posible exageración de los síntomas, lo que indica que el evaluado(a) se ha mostrado abierto y autorrevelador, hasta el punto de poder enfatizar o dramatizar sus dificultades personales. Tal estilo de r"&amp;"espuesta puede reflejar una tendencia a magnificar el nivel de malestar experimentado, una inclinación caracterológica a quejarse o a la autocompasión, o bien sentimientos de vulnerabilidad extrema asociados a un episodio actual de agitación aguda; cualqu"&amp;"iera que sea la causa, las puntuaciones de las escalas, especialmente las de los síndromes clínicos, pueden encontrarse algo exageradas y la interpretación del perfil debe realizarse teniendo en cuenta esta consideración")&amp;_xlfn.SINGLE(IF(I21&gt;=75,(". A tal patrón se añade una elevación de la escala Y (Deseabilidad social) que refleja la tendencia a mostrar una imagen de sí mismo positiva e interesante, mientras que la escala Z (Devaluación) se mantiene en un rango que no afecta a la validez interpre"&amp;"tativa del perfil"),". Las escalas Y (Deseabilidad social) y Z (Devaluación) se mantienen, por su parte, en rangos que no añaden distorsiones adicionales en la presentación de sí mismo"))&amp;". La identificación de este estilo de respuesta resulta clínicamente relevante en sí misma, pues permite al profesional formarse una opinión sobre cuán sincero o realista resulta el evaluado(a) respecto a sus problemas.",IF(H20&lt;21,("la escala X (Sinceridad) se sitúa en el rango de una posible minimización de los síntomas, lo que indica una conducta reservada al responder, en la que el evaluado(a) tiende a minimizar sus síntomas y a manifestarse de forma poco autorreveladora. Las esca"&amp;"las Y (Deseabilidad social) y Z (Devaluación) se mantienen en rangos que no añaden distorsiones adicionales, si bien las elevaciones del perfil pueden encontrarse atenuadas. La identificación de este estilo de respuesta resulta clínicamente relevante en s"&amp;"í misma, pues permite al profesional formarse una opinión sobre cuán sincero o realista resulta el evaluado(a) respecto a sus problemas."),IF(AND(I22&gt;=75,I21&gt;=75),("la elevación de la escala Z (Devaluación) indica la tendencia del evaluado(a) a menospreciarse o subestimarse manifestando más problemas emocionales y personales de los que un análisis posterior pueda reflejar; a tal patrón se añade una elevación de la es"&amp;"cala Y (Deseabilidad social), que refleja la tendencia a mostrar una imagen de sí mismo positiva e interesante, mientras que la escala X (Sinceridad) se mantiene en un rango que no afecta a la validez interpretativa del perfil. Debe analizarse con detenim"&amp;"iento las puntuaciones altas para obtener una evaluación más precisa de lo que podría ser un nivel distorsionado de los problemas psicológicos."),IF(I22&gt;=75,("la elevación de la escala Z (Devaluación) indica la tendencia del evaluado(a) a menospreciarse o subestimarse manifestando más problemas emocionales y personales de los que un análisis posterior pueda reflejar, mientras que las escalas X (Sinceridad) y Y "&amp;"(Deseabilidad social) se mantienen en rangos que no afectan a la validez interpretativa del perfil. Debe analizarse con detenimiento las puntuaciones altas no solo para obtener una evaluación más precisa de lo que podría ser un nivel distorsionado de los "&amp;"problemas psicológicos, sino también para determinar si reflejan una petición de ayuda significativa por parte de el evaluado(a)."),IF(I21&gt;=75,("la elevación de la escala Y (Deseabilidad social) refleja la tendencia del evaluado(a) a parecer socialmente agradable, moralmente admirable o emocionalmente equilibrada; cuanto más alta es la puntuación, más probable resulta que haya ocultado ciertos asp"&amp;"ectos de sus dificultades psicológicas o interpersonales, por lo que resulta pertinente contrastar las elevaciones del resto del perfil con la información obtenida más allá del inventario."),("el evaluado(a) ha respondido a los ítems con sinceridad y de forma abierta. Las escalas X (Sinceridad), Y (Deseabilidad social) y Z (Devaluación) se sitúan en rangos que no introducen sesgos en el estilo de respuesta, sin tendencia a minimizar ni a exager"&amp;"ar los síntomas, sin búsqueda de una imagen socialmente agradable, moralmente admirable o emocionalmente equilibrada, ni indicios de autodevaluación, de modo que el perfil puede analizarse a partir de las elevaciones que presenta.")))))))))</f>
        <v>el evaluado(a) ha respondido a los ítems con sinceridad y de forma abierta. Las escalas X (Sinceridad), Y (Deseabilidad social) y Z (Devaluación) se sitúan en rangos que no introducen sesgos en el estilo de respuesta, sin tendencia a minimizar ni a exagerar los síntomas, sin búsqueda de una imagen socialmente agradable, moralmente admirable o emocionalmente equilibrada, ni indicios de autodevaluación, de modo que el perfil puede analizarse a partir de las elevaciones que presenta.</v>
      </c>
    </row>
    <row r="19" spans="1:27" ht="22.5" customHeight="1" thickBot="1">
      <c r="A19" s="82"/>
      <c r="B19" s="246" t="s">
        <v>218</v>
      </c>
      <c r="C19" s="247"/>
      <c r="D19" s="247"/>
      <c r="E19" s="247"/>
      <c r="F19" s="247"/>
      <c r="G19" s="247"/>
      <c r="H19" s="247"/>
      <c r="I19" s="248"/>
      <c r="J19" s="88"/>
      <c r="K19" s="88"/>
      <c r="L19" s="88"/>
      <c r="M19" s="88"/>
      <c r="N19" s="88"/>
      <c r="O19" s="89"/>
      <c r="P19" s="89"/>
      <c r="Q19" s="90"/>
      <c r="V19" s="59"/>
      <c r="W19" s="91" t="str">
        <f ca="1">IF(LEN(TRIM(W17))&gt;0,TRIM(W17),TRIM(W18))</f>
        <v>el evaluado(a) ha respondido a los ítems con sinceridad y de forma abierta. Las escalas X (Sinceridad), Y (Deseabilidad social) y Z (Devaluación) se sitúan en rangos que no introducen sesgos en el estilo de respuesta, sin tendencia a minimizar ni a exagerar los síntomas, sin búsqueda de una imagen socialmente agradable, moralmente admirable o emocionalmente equilibrada, ni indicios de autodevaluación, de modo que el perfil puede analizarse a partir de las elevaciones que presenta.</v>
      </c>
    </row>
    <row r="20" spans="1:27" s="78" customFormat="1" ht="21.75" customHeight="1">
      <c r="A20" s="92"/>
      <c r="B20" s="256" t="s">
        <v>219</v>
      </c>
      <c r="C20" s="256"/>
      <c r="D20" s="256"/>
      <c r="E20" s="256"/>
      <c r="F20" s="256"/>
      <c r="G20" s="93" t="s">
        <v>222</v>
      </c>
      <c r="H20" s="294">
        <f>+Protocolo!BL141</f>
        <v>50</v>
      </c>
      <c r="I20" s="94">
        <f ca="1">+INDEX(INDIRECT("BBC"&amp;VLOOKUP(Portada!C28,Portada!O5:P6,2,FALSE)),MATCH(ROUND(H20,2),INDIRECT("AAE"&amp;VLOOKUP(Portada!C28,Portada!O5:P6,2,FALSE)),0))</f>
        <v>62</v>
      </c>
      <c r="J20" s="70"/>
      <c r="K20" s="70"/>
      <c r="L20" s="70"/>
      <c r="M20" s="70"/>
      <c r="N20" s="70"/>
      <c r="O20" s="56"/>
      <c r="P20" s="56"/>
      <c r="Q20" s="95"/>
      <c r="V20" s="96" t="str">
        <f ca="1">+IF(I20=0,"Perfil Inválido",IF(I20&lt;=35,"Indica que ha respondido al instrumento"&amp;" minimizando sus síntomas por alguna razón. Este patrón de respuesta refleja una tendencia a mostrarse reservado o a presentar una imagen más controlada, lo que puede implicar que no ha sido completamente abierto al responder a los ítems del MCMI-IV.",IF(I20&lt;=75,"Denota que ha respondido "&amp;"al MCMI-IV de manera sincera y abierta. En este rango, las respuestas reflejan un equilibrio entre franqueza y discreción, sin evidencias de que haya minimizado ni "&amp;"exagerado los síntomas. Se considera que las respuestas son consistentes y reflejan una actitud colaborativa hacia la evaluación.",IF(I20&gt;=76,"Manifiesta que ha respondido de forma exagerada a los ítems del MCMI-IV. Las puntuaciones elevadas en esta escala indican que la persona ha sobredimensionado sus síntomas de algún modo, "&amp;"mostrando una tendencia a enfatizar o dramatizar sus dificultades personales.",IF(I20=100,"Perfil Inválido")))))</f>
        <v>Denota que ha respondido al MCMI-IV de manera sincera y abierta. En este rango, las respuestas reflejan un equilibrio entre franqueza y discreción, sin evidencias de que haya minimizado ni exagerado los síntomas. Se considera que las respuestas son consistentes y reflejan una actitud colaborativa hacia la evaluación.</v>
      </c>
      <c r="Z20" s="59"/>
      <c r="AA20" s="59"/>
    </row>
    <row r="21" spans="1:27" s="78" customFormat="1" ht="21.75" customHeight="1">
      <c r="A21" s="92"/>
      <c r="B21" s="257" t="s">
        <v>220</v>
      </c>
      <c r="C21" s="257"/>
      <c r="D21" s="257"/>
      <c r="E21" s="257"/>
      <c r="F21" s="257"/>
      <c r="G21" s="97" t="s">
        <v>223</v>
      </c>
      <c r="H21" s="97">
        <f>+Protocolo!BN44</f>
        <v>8</v>
      </c>
      <c r="I21" s="97">
        <f ca="1">+INDEX(INDIRECT("CCD"&amp;VLOOKUP(Portada!C28,Portada!O5:P6,2,FALSE)),MATCH(ROUND(H21,2),INDIRECT("AAE"&amp;VLOOKUP(Portada!C28,Portada!O5:P6,2,FALSE)),0))</f>
        <v>39</v>
      </c>
      <c r="J21" s="70"/>
      <c r="K21" s="70"/>
      <c r="L21" s="70"/>
      <c r="M21" s="70"/>
      <c r="N21" s="70"/>
      <c r="O21" s="56"/>
      <c r="P21" s="56"/>
      <c r="Q21" s="95"/>
      <c r="V21" s="96" t="str">
        <f ca="1">IF(I21&lt;=35,"Denota que no intenta presentarse como socialmente agradable ni moralmente"&amp;" admirable. Las respuestas no reflejan una intención de controlar o mejorar la imagen personal frente a los demás.",IF(I21&lt;=75,"Indica un nivel equilibrado"&amp;" en la presentación personal. Muestra una actitud abierta y espontánea al responder, sin una tendencia marcada a parecer más socialmente aceptable o "&amp;"emocionalmente equilibrada de lo que realmente es.",IF(I21&gt;=76,"Manifiesta una tendencia a mostrarse como una persona socialmente agradable, moralmente"&amp;" admirable o emocionalmente equilibrada. Esta puntuación indica que busca proyectar una imagen positiva e interesante de sí misma, lo que hace probable"&amp;" que haya ocultado ciertos aspectos relacionados con sus dificultades psicológicas o interpersonales.")))</f>
        <v>Indica un nivel equilibrado en la presentación personal. Muestra una actitud abierta y espontánea al responder, sin una tendencia marcada a parecer más socialmente aceptable o emocionalmente equilibrada de lo que realmente es.</v>
      </c>
      <c r="Z21" s="59"/>
      <c r="AA21" s="59"/>
    </row>
    <row r="22" spans="1:27" s="78" customFormat="1" ht="21.75" customHeight="1">
      <c r="A22" s="92"/>
      <c r="B22" s="257" t="s">
        <v>221</v>
      </c>
      <c r="C22" s="257"/>
      <c r="D22" s="257"/>
      <c r="E22" s="257"/>
      <c r="F22" s="257"/>
      <c r="G22" s="97" t="s">
        <v>224</v>
      </c>
      <c r="H22" s="98">
        <f>+Protocolo!BP50</f>
        <v>19</v>
      </c>
      <c r="I22" s="97">
        <f ca="1">+INDEX(INDIRECT("DDE"&amp;VLOOKUP(Portada!C28,Portada!O5:P6,2,FALSE)),MATCH(ROUND(H22,2),INDIRECT("AAE"&amp;VLOOKUP(Portada!C28,Portada!O5:P6,2,FALSE)),0))</f>
        <v>73</v>
      </c>
      <c r="J22" s="99"/>
      <c r="K22" s="100"/>
      <c r="L22" s="100"/>
      <c r="M22" s="100"/>
      <c r="N22" s="100"/>
      <c r="O22" s="81"/>
      <c r="P22" s="81"/>
      <c r="Q22" s="87"/>
      <c r="V22" s="96" t="str">
        <f ca="1">_xlfn.SINGLE(IF(I22&lt;=35,"Denota que no se observa una tendencia a menospreciarse o subestimarse. Las respuestas reflejan una percepción equilibrada de sí mismo, sin manifestar una inclinación a presentar más problemas emocionales o personales de los que podrían estar presentes.",IF(I22&lt;=75,"Indica un nivel adecuado de autopercepción. La persona manifiesta una actitud realista hacia sí misma, sin evidencias de exagerar ni minimizar sus dificultades emocionales o personales.",IF(I22&gt;=76,("Manifiesta una tendencia a menospreciarse o subestimarse, presentando más problemas emocionales y personales de los que un análisis posterior podría reflejar. Este patrón de respuesta indica que la persona tiende a valorarse de forma negativa, destacando "&amp;"aspectos desfavorables de sí misma y de su funcionamiento emocional o interpersonal.")))))</f>
        <v>Indica un nivel adecuado de autopercepción. La persona manifiesta una actitud realista hacia sí misma, sin evidencias de exagerar ni minimizar sus dificultades emocionales o personales.</v>
      </c>
      <c r="Z22" s="59"/>
      <c r="AA22" s="59"/>
    </row>
    <row r="23" spans="1:27" s="78" customFormat="1" ht="21.75" customHeight="1">
      <c r="B23" s="70"/>
      <c r="C23" s="70"/>
      <c r="D23" s="70"/>
      <c r="E23" s="70"/>
      <c r="F23" s="70"/>
      <c r="G23" s="101"/>
      <c r="H23" s="101"/>
      <c r="I23" s="101"/>
      <c r="J23" s="102"/>
      <c r="K23" s="102"/>
      <c r="L23" s="102"/>
      <c r="M23" s="102"/>
      <c r="N23" s="102"/>
      <c r="O23" s="103"/>
      <c r="P23" s="103"/>
      <c r="Q23" s="103"/>
      <c r="T23" s="59"/>
      <c r="W23" s="59"/>
      <c r="Z23" s="59"/>
      <c r="AA23" s="59"/>
    </row>
    <row r="24" spans="1:27" ht="16.5" customHeight="1">
      <c r="B24" s="233" t="s">
        <v>225</v>
      </c>
      <c r="C24" s="233"/>
      <c r="D24" s="233"/>
      <c r="E24" s="233"/>
      <c r="F24" s="233"/>
      <c r="G24" s="234" t="s">
        <v>214</v>
      </c>
      <c r="H24" s="234"/>
      <c r="I24" s="234"/>
      <c r="J24" s="243" t="s">
        <v>217</v>
      </c>
      <c r="K24" s="244"/>
      <c r="L24" s="244"/>
      <c r="M24" s="244"/>
      <c r="N24" s="244"/>
      <c r="O24" s="244"/>
      <c r="P24" s="244"/>
      <c r="Q24" s="245"/>
    </row>
    <row r="25" spans="1:27" ht="16.5" customHeight="1">
      <c r="B25" s="233"/>
      <c r="C25" s="233"/>
      <c r="D25" s="233"/>
      <c r="E25" s="233"/>
      <c r="F25" s="233"/>
      <c r="G25" s="84" t="s">
        <v>215</v>
      </c>
      <c r="H25" s="104" t="s">
        <v>226</v>
      </c>
      <c r="I25" s="85" t="s">
        <v>216</v>
      </c>
      <c r="J25" s="105"/>
      <c r="K25" s="106"/>
      <c r="L25" s="106"/>
      <c r="M25" s="106"/>
      <c r="N25" s="106"/>
      <c r="O25" s="103"/>
      <c r="P25" s="103"/>
      <c r="Q25" s="97"/>
    </row>
    <row r="26" spans="1:27" ht="22.5" customHeight="1" thickBot="1">
      <c r="B26" s="240" t="s">
        <v>227</v>
      </c>
      <c r="C26" s="240"/>
      <c r="D26" s="240"/>
      <c r="E26" s="240"/>
      <c r="F26" s="240"/>
      <c r="G26" s="240"/>
      <c r="H26" s="240"/>
      <c r="I26" s="240"/>
      <c r="J26" s="107"/>
      <c r="K26" s="108"/>
      <c r="L26" s="108"/>
      <c r="M26" s="108"/>
      <c r="N26" s="108"/>
      <c r="O26" s="109"/>
      <c r="P26" s="109"/>
      <c r="Q26" s="110"/>
    </row>
    <row r="27" spans="1:27" ht="21.75" customHeight="1" thickTop="1">
      <c r="B27" s="241" t="s">
        <v>186</v>
      </c>
      <c r="C27" s="242"/>
      <c r="D27" s="242"/>
      <c r="E27" s="242"/>
      <c r="F27" s="111">
        <v>1</v>
      </c>
      <c r="G27" s="112">
        <f>+Protocolo!I35</f>
        <v>20</v>
      </c>
      <c r="H27" s="112">
        <f ca="1">+INDEX(INDIRECT("BBB"&amp;VLOOKUP(Portada!C28,Portada!O5:P6,2,FALSE)),MATCH(ROUND(I27,2),INDIRECT("AAA"&amp;VLOOKUP(Portada!C28,Portada!O5:P6,2,FALSE)),0))</f>
        <v>96</v>
      </c>
      <c r="I27" s="295">
        <f ca="1">+Ajustes!H10</f>
        <v>97</v>
      </c>
      <c r="J27" s="55"/>
      <c r="K27" s="55"/>
      <c r="L27" s="55"/>
      <c r="M27" s="55"/>
      <c r="N27" s="55"/>
      <c r="O27" s="56"/>
      <c r="P27" s="56"/>
      <c r="Q27" s="95"/>
      <c r="S27" s="113">
        <f ca="1">I27 + H27/1000 + G27/1000000</f>
        <v>97.09602000000001</v>
      </c>
      <c r="T27" s="78"/>
    </row>
    <row r="28" spans="1:27" ht="21.75" customHeight="1">
      <c r="B28" s="227" t="s">
        <v>187</v>
      </c>
      <c r="C28" s="257"/>
      <c r="D28" s="257"/>
      <c r="E28" s="257"/>
      <c r="F28" s="97" t="s">
        <v>199</v>
      </c>
      <c r="G28" s="114">
        <f>+Protocolo!K38</f>
        <v>15</v>
      </c>
      <c r="H28" s="115">
        <f ca="1">+INDEX(INDIRECT("CCC"&amp;VLOOKUP(Portada!C28,Portada!O5:P6,2,FALSE)),MATCH(ROUND(I28,2),INDIRECT("AAA"&amp;VLOOKUP(Portada!C28,Portada!O5:P6,2,FALSE)),0))</f>
        <v>65</v>
      </c>
      <c r="I28" s="296">
        <f ca="1">+Ajustes!H11</f>
        <v>79</v>
      </c>
      <c r="J28" s="55"/>
      <c r="K28" s="55"/>
      <c r="L28" s="55"/>
      <c r="M28" s="55"/>
      <c r="N28" s="55"/>
      <c r="O28" s="56"/>
      <c r="P28" s="56"/>
      <c r="Q28" s="95"/>
      <c r="S28" s="113">
        <f t="shared" ref="S28:S42" ca="1" si="0">I28 + H28/1000 + G28/1000000</f>
        <v>79.065015000000002</v>
      </c>
      <c r="T28" s="78"/>
    </row>
    <row r="29" spans="1:27" ht="21.75" customHeight="1">
      <c r="B29" s="227" t="s">
        <v>188</v>
      </c>
      <c r="C29" s="257"/>
      <c r="D29" s="257"/>
      <c r="E29" s="257"/>
      <c r="F29" s="97" t="s">
        <v>200</v>
      </c>
      <c r="G29" s="115">
        <f>+Protocolo!M39</f>
        <v>19</v>
      </c>
      <c r="H29" s="114">
        <f ca="1">+INDEX(INDIRECT("DDD"&amp;VLOOKUP(Portada!C28,Portada!O5:P6,2,FALSE)),MATCH(ROUND(I29,2),INDIRECT("AAA"&amp;VLOOKUP(Portada!C28,Portada!O5:P6,2,FALSE)),0))</f>
        <v>57</v>
      </c>
      <c r="I29" s="112">
        <f ca="1">+Ajustes!H12</f>
        <v>74</v>
      </c>
      <c r="J29" s="55"/>
      <c r="K29" s="55"/>
      <c r="L29" s="55"/>
      <c r="M29" s="55"/>
      <c r="N29" s="55"/>
      <c r="O29" s="56"/>
      <c r="P29" s="56"/>
      <c r="Q29" s="95"/>
      <c r="S29" s="113">
        <f t="shared" ca="1" si="0"/>
        <v>74.057018999999997</v>
      </c>
      <c r="T29" s="78"/>
    </row>
    <row r="30" spans="1:27" ht="21.75" customHeight="1">
      <c r="B30" s="227" t="s">
        <v>189</v>
      </c>
      <c r="C30" s="257"/>
      <c r="D30" s="257"/>
      <c r="E30" s="257"/>
      <c r="F30" s="97">
        <v>3</v>
      </c>
      <c r="G30" s="114">
        <f>+Protocolo!O34</f>
        <v>14</v>
      </c>
      <c r="H30" s="114">
        <f ca="1">+INDEX(INDIRECT("EEE"&amp;VLOOKUP(Portada!C28,Portada!O5:P6,2,FALSE)),MATCH(ROUND(I30,2),INDIRECT("AAA"&amp;VLOOKUP(Portada!C28,Portada!O5:P6,2,FALSE)),0))</f>
        <v>73</v>
      </c>
      <c r="I30" s="295">
        <f ca="1">+Ajustes!H13</f>
        <v>80</v>
      </c>
      <c r="J30" s="55"/>
      <c r="K30" s="55"/>
      <c r="L30" s="55"/>
      <c r="M30" s="55"/>
      <c r="N30" s="55"/>
      <c r="O30" s="56"/>
      <c r="P30" s="56"/>
      <c r="Q30" s="95"/>
      <c r="S30" s="113">
        <f t="shared" ca="1" si="0"/>
        <v>80.073013999999986</v>
      </c>
      <c r="T30" s="78"/>
    </row>
    <row r="31" spans="1:27" ht="21.75" customHeight="1">
      <c r="B31" s="227" t="s">
        <v>190</v>
      </c>
      <c r="C31" s="257"/>
      <c r="D31" s="257"/>
      <c r="E31" s="257"/>
      <c r="F31" s="97" t="s">
        <v>201</v>
      </c>
      <c r="G31" s="115">
        <f>+Protocolo!Q37</f>
        <v>2</v>
      </c>
      <c r="H31" s="114">
        <f ca="1">+INDEX(INDIRECT("FFF"&amp;VLOOKUP(Portada!C28,Portada!O5:P6,2,FALSE)),MATCH(ROUND(I31,2),INDIRECT("AAA"&amp;VLOOKUP(Portada!C28,Portada!O5:P6,2,FALSE)),0))</f>
        <v>14</v>
      </c>
      <c r="I31" s="112">
        <f ca="1">+Ajustes!H14</f>
        <v>13</v>
      </c>
      <c r="J31" s="55"/>
      <c r="K31" s="55"/>
      <c r="L31" s="55"/>
      <c r="M31" s="55"/>
      <c r="N31" s="55"/>
      <c r="O31" s="56"/>
      <c r="P31" s="56"/>
      <c r="Q31" s="95"/>
      <c r="S31" s="113">
        <f ca="1">I31 + H31/1000 + G31/1000000</f>
        <v>13.014002</v>
      </c>
      <c r="T31" s="78"/>
    </row>
    <row r="32" spans="1:27" ht="21.75" customHeight="1">
      <c r="B32" s="227" t="s">
        <v>191</v>
      </c>
      <c r="C32" s="257"/>
      <c r="D32" s="257"/>
      <c r="E32" s="257"/>
      <c r="F32" s="97" t="s">
        <v>202</v>
      </c>
      <c r="G32" s="114">
        <f>+Protocolo!S37</f>
        <v>2</v>
      </c>
      <c r="H32" s="114">
        <f ca="1">+INDEX(INDIRECT("GGG"&amp;VLOOKUP(Portada!C28,Portada!O5:P6,2,FALSE)),MATCH(ROUND(I32,2),INDIRECT("AAA"&amp;VLOOKUP(Portada!C28,Portada!O5:P6,2,FALSE)),0))</f>
        <v>13</v>
      </c>
      <c r="I32" s="112">
        <f ca="1">+Ajustes!H15</f>
        <v>12</v>
      </c>
      <c r="J32" s="55"/>
      <c r="K32" s="55"/>
      <c r="L32" s="55"/>
      <c r="M32" s="55"/>
      <c r="N32" s="55"/>
      <c r="O32" s="56"/>
      <c r="P32" s="56"/>
      <c r="Q32" s="95"/>
      <c r="S32" s="113">
        <f t="shared" ca="1" si="0"/>
        <v>12.013002</v>
      </c>
      <c r="T32" s="78"/>
    </row>
    <row r="33" spans="2:20" ht="21.75" customHeight="1">
      <c r="B33" s="227" t="s">
        <v>192</v>
      </c>
      <c r="C33" s="257"/>
      <c r="D33" s="257"/>
      <c r="E33" s="257"/>
      <c r="F33" s="97">
        <v>5</v>
      </c>
      <c r="G33" s="114">
        <f>+Protocolo!U36</f>
        <v>2</v>
      </c>
      <c r="H33" s="114">
        <f ca="1">+INDEX(INDIRECT("HHH"&amp;VLOOKUP(Portada!C28,Portada!O5:P6,2,FALSE)),MATCH(ROUND(I33,2),INDIRECT("AAA"&amp;VLOOKUP(Portada!C28,Portada!O5:P6,2,FALSE)),0))</f>
        <v>25</v>
      </c>
      <c r="I33" s="112">
        <f ca="1">+Ajustes!H16</f>
        <v>24</v>
      </c>
      <c r="J33" s="55"/>
      <c r="K33" s="55"/>
      <c r="L33" s="55"/>
      <c r="M33" s="55"/>
      <c r="N33" s="55"/>
      <c r="O33" s="56"/>
      <c r="P33" s="56"/>
      <c r="Q33" s="95"/>
      <c r="S33" s="113">
        <f t="shared" ca="1" si="0"/>
        <v>24.025001999999997</v>
      </c>
      <c r="T33" s="78"/>
    </row>
    <row r="34" spans="2:20" ht="21.75" customHeight="1">
      <c r="B34" s="227" t="s">
        <v>193</v>
      </c>
      <c r="C34" s="257"/>
      <c r="D34" s="257"/>
      <c r="E34" s="257"/>
      <c r="F34" s="97" t="s">
        <v>203</v>
      </c>
      <c r="G34" s="115">
        <f>+Protocolo!W34</f>
        <v>0</v>
      </c>
      <c r="H34" s="114">
        <f ca="1">+INDEX(INDIRECT("III"&amp;VLOOKUP(Portada!C28,Portada!O5:P6,2,FALSE)),MATCH(ROUND(I34,2),INDIRECT("AAA"&amp;VLOOKUP(Portada!C28,Portada!O5:P6,2,FALSE)),0))</f>
        <v>11</v>
      </c>
      <c r="I34" s="112">
        <f ca="1">+Ajustes!H17</f>
        <v>0</v>
      </c>
      <c r="J34" s="55"/>
      <c r="K34" s="55"/>
      <c r="L34" s="55"/>
      <c r="M34" s="55"/>
      <c r="N34" s="55"/>
      <c r="O34" s="56"/>
      <c r="P34" s="56"/>
      <c r="Q34" s="95"/>
      <c r="S34" s="113">
        <f t="shared" ca="1" si="0"/>
        <v>1.0999999999999999E-2</v>
      </c>
      <c r="T34" s="78"/>
    </row>
    <row r="35" spans="2:20" ht="21.75" customHeight="1">
      <c r="B35" s="227" t="s">
        <v>194</v>
      </c>
      <c r="C35" s="257"/>
      <c r="D35" s="257"/>
      <c r="E35" s="257"/>
      <c r="F35" s="97" t="s">
        <v>204</v>
      </c>
      <c r="G35" s="115">
        <f>+Protocolo!Y34</f>
        <v>0</v>
      </c>
      <c r="H35" s="114">
        <f ca="1">+INDEX(INDIRECT("JJJ"&amp;VLOOKUP(Portada!C28,Portada!O5:P6,2,FALSE)),MATCH(ROUND(I35,2),INDIRECT("AAA"&amp;VLOOKUP(Portada!C28,Portada!O5:P6,2,FALSE)),0))</f>
        <v>6</v>
      </c>
      <c r="I35" s="112">
        <f ca="1">+Ajustes!H18</f>
        <v>0</v>
      </c>
      <c r="J35" s="55"/>
      <c r="K35" s="55"/>
      <c r="L35" s="55"/>
      <c r="M35" s="55"/>
      <c r="N35" s="55"/>
      <c r="O35" s="56"/>
      <c r="P35" s="56"/>
      <c r="Q35" s="95"/>
      <c r="S35" s="113">
        <f ca="1">I35 + H35/1000 + G35/1000000</f>
        <v>6.0000000000000001E-3</v>
      </c>
      <c r="T35" s="78"/>
    </row>
    <row r="36" spans="2:20" ht="21.75" customHeight="1">
      <c r="B36" s="227" t="s">
        <v>195</v>
      </c>
      <c r="C36" s="257"/>
      <c r="D36" s="257"/>
      <c r="E36" s="257"/>
      <c r="F36" s="97">
        <v>7</v>
      </c>
      <c r="G36" s="114">
        <f>+Protocolo!AA33</f>
        <v>21</v>
      </c>
      <c r="H36" s="114">
        <f ca="1">+INDEX(INDIRECT("KKK"&amp;VLOOKUP(Portada!C28,Portada!O5:P6,2,FALSE)),MATCH(ROUND(I36,2),INDIRECT("AAA"&amp;VLOOKUP(Portada!C28,Portada!O5:P6,2,FALSE)),0))</f>
        <v>96</v>
      </c>
      <c r="I36" s="295">
        <f ca="1">+Ajustes!H19</f>
        <v>80</v>
      </c>
      <c r="J36" s="55"/>
      <c r="K36" s="55"/>
      <c r="L36" s="55"/>
      <c r="M36" s="55"/>
      <c r="N36" s="55"/>
      <c r="O36" s="56"/>
      <c r="P36" s="56"/>
      <c r="Q36" s="95"/>
      <c r="S36" s="113">
        <f t="shared" ca="1" si="0"/>
        <v>80.096021000000007</v>
      </c>
      <c r="T36" s="78"/>
    </row>
    <row r="37" spans="2:20" ht="21.75" customHeight="1">
      <c r="B37" s="227" t="s">
        <v>196</v>
      </c>
      <c r="C37" s="257"/>
      <c r="D37" s="257"/>
      <c r="E37" s="257"/>
      <c r="F37" s="97" t="s">
        <v>205</v>
      </c>
      <c r="G37" s="115">
        <f>+Protocolo!AC38</f>
        <v>13</v>
      </c>
      <c r="H37" s="114">
        <f ca="1">+INDEX(INDIRECT("MMM"&amp;VLOOKUP(Portada!C28,Portada!O5:P6,2,FALSE)),MATCH(ROUND(I37,2),INDIRECT("AAA"&amp;VLOOKUP(Portada!C28,Portada!O5:P6,2,FALSE)),0))</f>
        <v>68</v>
      </c>
      <c r="I37" s="112">
        <f ca="1">+Ajustes!H20</f>
        <v>69</v>
      </c>
      <c r="J37" s="55"/>
      <c r="K37" s="55"/>
      <c r="L37" s="55"/>
      <c r="M37" s="55"/>
      <c r="N37" s="55"/>
      <c r="O37" s="56"/>
      <c r="P37" s="56"/>
      <c r="Q37" s="95"/>
      <c r="S37" s="113">
        <f t="shared" ca="1" si="0"/>
        <v>69.068012999999993</v>
      </c>
      <c r="T37" s="78"/>
    </row>
    <row r="38" spans="2:20" ht="21.75" customHeight="1">
      <c r="B38" s="227" t="s">
        <v>197</v>
      </c>
      <c r="C38" s="257"/>
      <c r="D38" s="257"/>
      <c r="E38" s="257"/>
      <c r="F38" s="97" t="s">
        <v>206</v>
      </c>
      <c r="G38" s="114">
        <f>+Protocolo!AE38</f>
        <v>14</v>
      </c>
      <c r="H38" s="114">
        <f ca="1">+INDEX(INDIRECT("NNN"&amp;VLOOKUP(Portada!C28,Portada!O5:P6,2,FALSE)),MATCH(ROUND(I38,2),INDIRECT("AAA"&amp;VLOOKUP(Portada!C28,Portada!O5:P6,2,FALSE)),0))</f>
        <v>61</v>
      </c>
      <c r="I38" s="112">
        <f ca="1">+Ajustes!H21</f>
        <v>64</v>
      </c>
      <c r="J38" s="86"/>
      <c r="K38" s="80"/>
      <c r="L38" s="80"/>
      <c r="M38" s="80"/>
      <c r="N38" s="80"/>
      <c r="O38" s="81"/>
      <c r="P38" s="81"/>
      <c r="Q38" s="87"/>
      <c r="S38" s="113">
        <f t="shared" ca="1" si="0"/>
        <v>64.061014</v>
      </c>
      <c r="T38" s="78"/>
    </row>
    <row r="39" spans="2:20" ht="22.5" customHeight="1">
      <c r="B39" s="233" t="s">
        <v>228</v>
      </c>
      <c r="C39" s="233"/>
      <c r="D39" s="233"/>
      <c r="E39" s="233"/>
      <c r="F39" s="233"/>
      <c r="G39" s="233"/>
      <c r="H39" s="233"/>
      <c r="I39" s="233"/>
      <c r="J39" s="86"/>
      <c r="K39" s="80"/>
      <c r="L39" s="80"/>
      <c r="M39" s="80"/>
      <c r="N39" s="80"/>
      <c r="O39" s="81"/>
      <c r="P39" s="81"/>
      <c r="Q39" s="87"/>
      <c r="S39" s="117"/>
    </row>
    <row r="40" spans="2:20" ht="21.75" customHeight="1">
      <c r="B40" s="226" t="s">
        <v>231</v>
      </c>
      <c r="C40" s="226"/>
      <c r="D40" s="226"/>
      <c r="E40" s="227"/>
      <c r="F40" s="97" t="s">
        <v>234</v>
      </c>
      <c r="G40" s="114">
        <f>+Protocolo!AH41</f>
        <v>14</v>
      </c>
      <c r="H40" s="115">
        <f ca="1">+INDEX(INDIRECT("OOO"&amp;VLOOKUP(Portada!C28,Portada!O5:P6,2,FALSE)),MATCH(ROUND(I40,2),INDIRECT("AAA"&amp;VLOOKUP(Portada!C28,Portada!O5:P6,2,FALSE)),0))</f>
        <v>59</v>
      </c>
      <c r="I40" s="115">
        <f ca="1">+Ajustes!H23</f>
        <v>63</v>
      </c>
      <c r="J40" s="55"/>
      <c r="K40" s="55"/>
      <c r="L40" s="55"/>
      <c r="M40" s="55"/>
      <c r="N40" s="55"/>
      <c r="O40" s="56"/>
      <c r="P40" s="56"/>
      <c r="Q40" s="95"/>
      <c r="S40" s="113">
        <f t="shared" ca="1" si="0"/>
        <v>63.059013999999998</v>
      </c>
      <c r="T40" s="78"/>
    </row>
    <row r="41" spans="2:20" ht="21.75" customHeight="1">
      <c r="B41" s="226" t="s">
        <v>232</v>
      </c>
      <c r="C41" s="226"/>
      <c r="D41" s="226"/>
      <c r="E41" s="227"/>
      <c r="F41" s="97" t="s">
        <v>235</v>
      </c>
      <c r="G41" s="114">
        <f>+Protocolo!AJ40</f>
        <v>9</v>
      </c>
      <c r="H41" s="114">
        <f ca="1">+INDEX(INDIRECT("PPP"&amp;VLOOKUP(Portada!C28,Portada!O5:P6,2,FALSE)),MATCH(ROUND(I41,2),INDIRECT("AAA"&amp;VLOOKUP(Portada!C28,Portada!O5:P6,2,FALSE)),0))</f>
        <v>45</v>
      </c>
      <c r="I41" s="114">
        <f ca="1">+Ajustes!H24</f>
        <v>56</v>
      </c>
      <c r="J41" s="55"/>
      <c r="K41" s="55"/>
      <c r="L41" s="55"/>
      <c r="M41" s="55"/>
      <c r="N41" s="55"/>
      <c r="O41" s="56"/>
      <c r="P41" s="56"/>
      <c r="Q41" s="95"/>
      <c r="S41" s="113">
        <f t="shared" ca="1" si="0"/>
        <v>56.045009</v>
      </c>
      <c r="T41" s="78"/>
    </row>
    <row r="42" spans="2:20" ht="21.75" customHeight="1">
      <c r="B42" s="226" t="s">
        <v>233</v>
      </c>
      <c r="C42" s="226"/>
      <c r="D42" s="226"/>
      <c r="E42" s="227"/>
      <c r="F42" s="97" t="s">
        <v>236</v>
      </c>
      <c r="G42" s="114">
        <f>+Protocolo!AL36</f>
        <v>5</v>
      </c>
      <c r="H42" s="114">
        <f ca="1">+INDEX(INDIRECT("QQQ"&amp;VLOOKUP(Portada!C28,Portada!O5:P6,2,FALSE)),MATCH(ROUND(I42,2),INDIRECT("AAA"&amp;VLOOKUP(Portada!C28,Portada!O5:P6,2,FALSE)),0))</f>
        <v>42</v>
      </c>
      <c r="I42" s="114">
        <f ca="1">+Ajustes!H25</f>
        <v>43</v>
      </c>
      <c r="J42" s="86"/>
      <c r="K42" s="80"/>
      <c r="L42" s="80"/>
      <c r="M42" s="80"/>
      <c r="N42" s="80"/>
      <c r="O42" s="81"/>
      <c r="P42" s="81"/>
      <c r="Q42" s="87"/>
      <c r="S42" s="113">
        <f t="shared" ca="1" si="0"/>
        <v>43.042005000000003</v>
      </c>
      <c r="T42" s="78"/>
    </row>
    <row r="43" spans="2:20" ht="17.25">
      <c r="B43" s="55"/>
      <c r="C43" s="55"/>
      <c r="D43" s="55"/>
      <c r="E43" s="55"/>
      <c r="F43" s="55"/>
      <c r="G43" s="56"/>
      <c r="H43" s="56"/>
      <c r="I43" s="57"/>
      <c r="J43" s="80"/>
      <c r="K43" s="80"/>
      <c r="L43" s="80"/>
      <c r="M43" s="80"/>
      <c r="N43" s="80"/>
      <c r="O43" s="81"/>
      <c r="P43" s="81"/>
      <c r="Q43" s="81"/>
    </row>
    <row r="44" spans="2:20" ht="16.5" customHeight="1">
      <c r="B44" s="233" t="s">
        <v>229</v>
      </c>
      <c r="C44" s="233"/>
      <c r="D44" s="233"/>
      <c r="E44" s="233"/>
      <c r="F44" s="233"/>
      <c r="G44" s="234" t="s">
        <v>214</v>
      </c>
      <c r="H44" s="234"/>
      <c r="I44" s="234"/>
      <c r="J44" s="261" t="s">
        <v>217</v>
      </c>
      <c r="K44" s="261"/>
      <c r="L44" s="261"/>
      <c r="M44" s="261"/>
      <c r="N44" s="261"/>
      <c r="O44" s="261"/>
      <c r="P44" s="261"/>
      <c r="Q44" s="262"/>
    </row>
    <row r="45" spans="2:20" ht="16.5" customHeight="1">
      <c r="B45" s="233"/>
      <c r="C45" s="233"/>
      <c r="D45" s="233"/>
      <c r="E45" s="233"/>
      <c r="F45" s="233"/>
      <c r="G45" s="84" t="s">
        <v>215</v>
      </c>
      <c r="H45" s="104" t="s">
        <v>226</v>
      </c>
      <c r="I45" s="85" t="s">
        <v>216</v>
      </c>
      <c r="J45" s="86"/>
      <c r="K45" s="80"/>
      <c r="L45" s="80"/>
      <c r="M45" s="80"/>
      <c r="N45" s="80"/>
      <c r="O45" s="81"/>
      <c r="P45" s="81"/>
      <c r="Q45" s="87"/>
    </row>
    <row r="46" spans="2:20" ht="22.5" customHeight="1" thickBot="1">
      <c r="B46" s="237" t="s">
        <v>230</v>
      </c>
      <c r="C46" s="237"/>
      <c r="D46" s="237"/>
      <c r="E46" s="237"/>
      <c r="F46" s="237"/>
      <c r="G46" s="237"/>
      <c r="H46" s="237"/>
      <c r="I46" s="237"/>
      <c r="J46" s="107"/>
      <c r="K46" s="108"/>
      <c r="L46" s="108"/>
      <c r="M46" s="108"/>
      <c r="N46" s="108"/>
      <c r="O46" s="109"/>
      <c r="P46" s="109"/>
      <c r="Q46" s="110"/>
    </row>
    <row r="47" spans="2:20" ht="21.75" customHeight="1" thickTop="1">
      <c r="B47" s="238" t="s">
        <v>237</v>
      </c>
      <c r="C47" s="238"/>
      <c r="D47" s="238"/>
      <c r="E47" s="239"/>
      <c r="F47" s="111" t="s">
        <v>248</v>
      </c>
      <c r="G47" s="116">
        <f>+Protocolo!AO33</f>
        <v>15</v>
      </c>
      <c r="H47" s="112">
        <f ca="1">+INDEX(INDIRECT("RRR"&amp;VLOOKUP(Portada!C28,Portada!O5:P6,2,FALSE)),MATCH(ROUND(I47,2),INDIRECT("AAA"&amp;VLOOKUP(Portada!C28,Portada!O5:P6,2,FALSE)),0))</f>
        <v>91</v>
      </c>
      <c r="I47" s="112">
        <f ca="1">+Ajustes!H27</f>
        <v>95</v>
      </c>
      <c r="J47" s="55"/>
      <c r="K47" s="55"/>
      <c r="L47" s="55"/>
      <c r="M47" s="55"/>
      <c r="N47" s="55"/>
      <c r="O47" s="56"/>
      <c r="P47" s="56"/>
      <c r="Q47" s="95"/>
      <c r="S47" s="117">
        <f t="shared" ref="S47:S53" ca="1" si="1">I47+G47/1000+H47/1000000</f>
        <v>95.015090999999998</v>
      </c>
      <c r="T47" s="119"/>
    </row>
    <row r="48" spans="2:20" ht="21.75" customHeight="1">
      <c r="B48" s="226" t="s">
        <v>238</v>
      </c>
      <c r="C48" s="226"/>
      <c r="D48" s="226"/>
      <c r="E48" s="227"/>
      <c r="F48" s="97" t="s">
        <v>249</v>
      </c>
      <c r="G48" s="114">
        <f>+Protocolo!AQ30</f>
        <v>15</v>
      </c>
      <c r="H48" s="114">
        <f ca="1">+INDEX(INDIRECT("SSS"&amp;VLOOKUP(Portada!C28,Portada!O5:P6,2,FALSE)),MATCH(ROUND(I48,2),INDIRECT("AAA"&amp;VLOOKUP(Portada!C28,Portada!O5:P6,2,FALSE)),0))</f>
        <v>99</v>
      </c>
      <c r="I48" s="112">
        <f ca="1">+Ajustes!H28</f>
        <v>115</v>
      </c>
      <c r="J48" s="55"/>
      <c r="K48" s="55"/>
      <c r="L48" s="55"/>
      <c r="M48" s="55"/>
      <c r="N48" s="55"/>
      <c r="O48" s="56"/>
      <c r="P48" s="56"/>
      <c r="Q48" s="95"/>
      <c r="S48" s="117">
        <f t="shared" ca="1" si="1"/>
        <v>115.01509900000001</v>
      </c>
      <c r="T48" s="119"/>
    </row>
    <row r="49" spans="2:27" ht="21.75" customHeight="1">
      <c r="B49" s="226" t="s">
        <v>239</v>
      </c>
      <c r="C49" s="226"/>
      <c r="D49" s="226"/>
      <c r="E49" s="227"/>
      <c r="F49" s="97" t="s">
        <v>250</v>
      </c>
      <c r="G49" s="114">
        <f>+Protocolo!AS33</f>
        <v>7</v>
      </c>
      <c r="H49" s="114">
        <f ca="1">+INDEX(INDIRECT("TTT"&amp;VLOOKUP(Portada!C28,Portada!O5:P6,2,FALSE)),MATCH(ROUND(I49,2),INDIRECT("AAA"&amp;VLOOKUP(Portada!C28,Portada!O5:P6,2,FALSE)),0))</f>
        <v>55</v>
      </c>
      <c r="I49" s="112">
        <f ca="1">+Ajustes!H29</f>
        <v>63</v>
      </c>
      <c r="J49" s="55"/>
      <c r="K49" s="55"/>
      <c r="L49" s="55"/>
      <c r="M49" s="55"/>
      <c r="N49" s="55"/>
      <c r="O49" s="56"/>
      <c r="P49" s="56"/>
      <c r="Q49" s="95"/>
      <c r="S49" s="117">
        <f t="shared" ca="1" si="1"/>
        <v>63.007055000000001</v>
      </c>
      <c r="T49" s="119"/>
    </row>
    <row r="50" spans="2:27" ht="21.75" customHeight="1">
      <c r="B50" s="226" t="s">
        <v>240</v>
      </c>
      <c r="C50" s="226"/>
      <c r="D50" s="226"/>
      <c r="E50" s="227"/>
      <c r="F50" s="97" t="s">
        <v>251</v>
      </c>
      <c r="G50" s="114">
        <f>+Protocolo!AU41</f>
        <v>24</v>
      </c>
      <c r="H50" s="114">
        <f ca="1">+INDEX(INDIRECT("VVV"&amp;VLOOKUP(Portada!C28,Portada!O5:P6,2,FALSE)),MATCH(ROUND(I50,2),INDIRECT("AAA"&amp;VLOOKUP(Portada!C28,Portada!O5:P6,2,FALSE)),0))</f>
        <v>90</v>
      </c>
      <c r="I50" s="112">
        <f ca="1">+Ajustes!H30</f>
        <v>100</v>
      </c>
      <c r="J50" s="55"/>
      <c r="K50" s="55"/>
      <c r="L50" s="55"/>
      <c r="M50" s="55"/>
      <c r="N50" s="55"/>
      <c r="O50" s="56"/>
      <c r="P50" s="56"/>
      <c r="Q50" s="95"/>
      <c r="S50" s="117">
        <f t="shared" ca="1" si="1"/>
        <v>100.02409</v>
      </c>
      <c r="T50" s="119"/>
    </row>
    <row r="51" spans="2:27" ht="21.75" customHeight="1">
      <c r="B51" s="226" t="s">
        <v>241</v>
      </c>
      <c r="C51" s="226"/>
      <c r="D51" s="226"/>
      <c r="E51" s="227"/>
      <c r="F51" s="97" t="s">
        <v>252</v>
      </c>
      <c r="G51" s="115">
        <f>+Protocolo!AW28</f>
        <v>1</v>
      </c>
      <c r="H51" s="114">
        <f ca="1">+INDEX(INDIRECT("WWW"&amp;VLOOKUP(Portada!C28,Portada!O5:P6,2,FALSE)),MATCH(ROUND(I51,2),INDIRECT("AAA"&amp;VLOOKUP(Portada!C28,Portada!O5:P6,2,FALSE)),0))</f>
        <v>65</v>
      </c>
      <c r="I51" s="112">
        <f ca="1">+Ajustes!H31</f>
        <v>60</v>
      </c>
      <c r="J51" s="55"/>
      <c r="K51" s="55"/>
      <c r="L51" s="55"/>
      <c r="M51" s="55"/>
      <c r="N51" s="55"/>
      <c r="O51" s="56"/>
      <c r="P51" s="56"/>
      <c r="Q51" s="95"/>
      <c r="S51" s="117">
        <f t="shared" ca="1" si="1"/>
        <v>60.001064999999997</v>
      </c>
      <c r="T51" s="119"/>
    </row>
    <row r="52" spans="2:27" ht="21.75" customHeight="1">
      <c r="B52" s="226" t="s">
        <v>242</v>
      </c>
      <c r="C52" s="226"/>
      <c r="D52" s="226"/>
      <c r="E52" s="227"/>
      <c r="F52" s="97" t="s">
        <v>253</v>
      </c>
      <c r="G52" s="115">
        <f>+Protocolo!AY31</f>
        <v>0</v>
      </c>
      <c r="H52" s="114">
        <f ca="1">+INDEX(INDIRECT("XXX"&amp;VLOOKUP(Portada!C28,Portada!O5:P6,2,FALSE)),MATCH(ROUND(I52,2),INDIRECT("AAA"&amp;VLOOKUP(Portada!C28,Portada!O5:P6,2,FALSE)),0))</f>
        <v>24</v>
      </c>
      <c r="I52" s="112">
        <f ca="1">+Ajustes!H32</f>
        <v>0</v>
      </c>
      <c r="J52" s="55"/>
      <c r="K52" s="55"/>
      <c r="L52" s="55"/>
      <c r="M52" s="55"/>
      <c r="N52" s="55"/>
      <c r="O52" s="56"/>
      <c r="P52" s="56"/>
      <c r="Q52" s="95"/>
      <c r="S52" s="117">
        <f t="shared" ca="1" si="1"/>
        <v>2.4000000000000001E-5</v>
      </c>
      <c r="T52" s="119"/>
    </row>
    <row r="53" spans="2:27" ht="21.75" customHeight="1">
      <c r="B53" s="226" t="s">
        <v>243</v>
      </c>
      <c r="C53" s="226"/>
      <c r="D53" s="226"/>
      <c r="E53" s="227"/>
      <c r="F53" s="97" t="s">
        <v>254</v>
      </c>
      <c r="G53" s="115">
        <f>+Protocolo!BA34</f>
        <v>16</v>
      </c>
      <c r="H53" s="114">
        <f ca="1">+INDEX(INDIRECT("YYY"&amp;VLOOKUP(Portada!C28,Portada!O5:P6,2,FALSE)),MATCH(ROUND(I53,2),INDIRECT("AAA"&amp;VLOOKUP(Portada!C28,Portada!O5:P6,2,FALSE)),0))</f>
        <v>96</v>
      </c>
      <c r="I53" s="112">
        <f ca="1">+Ajustes!H33</f>
        <v>93</v>
      </c>
      <c r="J53" s="86"/>
      <c r="K53" s="80"/>
      <c r="L53" s="80"/>
      <c r="M53" s="80"/>
      <c r="N53" s="80"/>
      <c r="O53" s="81"/>
      <c r="P53" s="81"/>
      <c r="Q53" s="87"/>
      <c r="S53" s="117">
        <f t="shared" ca="1" si="1"/>
        <v>93.016096000000005</v>
      </c>
      <c r="T53" s="119"/>
    </row>
    <row r="54" spans="2:27" ht="22.5" customHeight="1">
      <c r="B54" s="233" t="s">
        <v>244</v>
      </c>
      <c r="C54" s="233"/>
      <c r="D54" s="233"/>
      <c r="E54" s="233"/>
      <c r="F54" s="233"/>
      <c r="G54" s="233"/>
      <c r="H54" s="233"/>
      <c r="I54" s="233"/>
      <c r="J54" s="105"/>
      <c r="K54" s="106"/>
      <c r="L54" s="106"/>
      <c r="M54" s="106"/>
      <c r="N54" s="106"/>
      <c r="O54" s="103"/>
      <c r="P54" s="103"/>
      <c r="Q54" s="97"/>
      <c r="S54" s="117"/>
      <c r="T54" s="119"/>
    </row>
    <row r="55" spans="2:27" ht="21.75" customHeight="1">
      <c r="B55" s="226" t="s">
        <v>245</v>
      </c>
      <c r="C55" s="226"/>
      <c r="D55" s="226"/>
      <c r="E55" s="227"/>
      <c r="F55" s="97" t="s">
        <v>255</v>
      </c>
      <c r="G55" s="115">
        <f>+Protocolo!BD41</f>
        <v>11</v>
      </c>
      <c r="H55" s="114">
        <f ca="1">+INDEX(INDIRECT("ZZZ"&amp;VLOOKUP(Portada!C28,Portada!O5:P6,2,FALSE)),MATCH(ROUND(I55,2),INDIRECT("AAA"&amp;VLOOKUP(Portada!C28,Portada!O5:P6,2,FALSE)),0))</f>
        <v>61</v>
      </c>
      <c r="I55" s="114">
        <f ca="1">+Ajustes!H35</f>
        <v>64</v>
      </c>
      <c r="J55" s="55"/>
      <c r="K55" s="55"/>
      <c r="L55" s="55"/>
      <c r="M55" s="55"/>
      <c r="N55" s="55"/>
      <c r="O55" s="56"/>
      <c r="P55" s="56"/>
      <c r="Q55" s="95"/>
      <c r="S55" s="117">
        <f ca="1">I55+G55/1000+H55/1000000</f>
        <v>64.011060999999998</v>
      </c>
      <c r="T55" s="119"/>
    </row>
    <row r="56" spans="2:27" ht="21.75" customHeight="1">
      <c r="B56" s="226" t="s">
        <v>246</v>
      </c>
      <c r="C56" s="226"/>
      <c r="D56" s="226"/>
      <c r="E56" s="227"/>
      <c r="F56" s="97" t="s">
        <v>256</v>
      </c>
      <c r="G56" s="115">
        <f>+Protocolo!BF37</f>
        <v>17</v>
      </c>
      <c r="H56" s="115">
        <f ca="1">+INDEX(INDIRECT("LLL"&amp;VLOOKUP(Portada!C28,Portada!O5:P6,2,FALSE)),MATCH(ROUND(I56,2),INDIRECT("AAA"&amp;VLOOKUP(Portada!C28,Portada!O5:P6,2,FALSE)),0))</f>
        <v>80</v>
      </c>
      <c r="I56" s="115">
        <f ca="1">+Ajustes!H36</f>
        <v>85</v>
      </c>
      <c r="J56" s="55"/>
      <c r="K56" s="55"/>
      <c r="L56" s="55"/>
      <c r="M56" s="55"/>
      <c r="N56" s="55"/>
      <c r="O56" s="56"/>
      <c r="P56" s="56"/>
      <c r="Q56" s="95"/>
      <c r="S56" s="117">
        <f ca="1">I56+G56/1000+H56/1000000</f>
        <v>85.017079999999993</v>
      </c>
      <c r="T56" s="119"/>
    </row>
    <row r="57" spans="2:27" ht="21.75" customHeight="1">
      <c r="B57" s="226" t="s">
        <v>247</v>
      </c>
      <c r="C57" s="226"/>
      <c r="D57" s="226"/>
      <c r="E57" s="227"/>
      <c r="F57" s="97" t="s">
        <v>257</v>
      </c>
      <c r="G57" s="114">
        <f>+Protocolo!BH34</f>
        <v>1</v>
      </c>
      <c r="H57" s="114">
        <f ca="1">+INDEX(INDIRECT("AAAA"&amp;VLOOKUP(Portada!C28,Portada!O5:P6,2,FALSE)),MATCH(ROUND(I57,2),INDIRECT("AAA"&amp;VLOOKUP(Portada!C28,Portada!O5:P6,2,FALSE)),0))</f>
        <v>38</v>
      </c>
      <c r="I57" s="114">
        <f ca="1">+Ajustes!H37</f>
        <v>30</v>
      </c>
      <c r="J57" s="86"/>
      <c r="K57" s="80"/>
      <c r="L57" s="80"/>
      <c r="M57" s="80"/>
      <c r="N57" s="80"/>
      <c r="O57" s="81"/>
      <c r="P57" s="81"/>
      <c r="Q57" s="87"/>
      <c r="S57" s="117">
        <f ca="1">I57+G57/1000+H57/1000000</f>
        <v>30.001038000000001</v>
      </c>
      <c r="T57" s="119"/>
    </row>
    <row r="58" spans="2:27" ht="17.25">
      <c r="B58" s="55"/>
      <c r="C58" s="55"/>
      <c r="D58" s="55"/>
      <c r="E58" s="55"/>
      <c r="F58" s="55"/>
      <c r="G58" s="56"/>
      <c r="H58" s="56"/>
      <c r="I58" s="57"/>
      <c r="J58" s="55"/>
      <c r="K58" s="55"/>
      <c r="L58" s="55"/>
      <c r="M58" s="55"/>
      <c r="N58" s="55"/>
      <c r="O58" s="56"/>
      <c r="P58" s="56"/>
      <c r="Q58" s="56"/>
    </row>
    <row r="59" spans="2:27" ht="18.75" customHeight="1">
      <c r="B59" s="62"/>
      <c r="C59" s="62"/>
      <c r="D59" s="62"/>
      <c r="E59" s="63"/>
      <c r="F59" s="63"/>
      <c r="G59" s="64"/>
      <c r="H59" s="64"/>
      <c r="I59" s="65"/>
      <c r="J59" s="62"/>
      <c r="K59" s="62"/>
      <c r="L59" s="62"/>
      <c r="M59" s="62"/>
      <c r="N59" s="62"/>
      <c r="O59" s="64"/>
      <c r="P59" s="64"/>
      <c r="Q59" s="64"/>
    </row>
    <row r="60" spans="2:27" s="120" customFormat="1" ht="3" customHeight="1">
      <c r="B60" s="66"/>
      <c r="C60" s="66"/>
      <c r="D60" s="66"/>
      <c r="E60" s="67"/>
      <c r="F60" s="67"/>
      <c r="G60" s="68"/>
      <c r="H60" s="68"/>
      <c r="I60" s="69"/>
      <c r="J60" s="66"/>
      <c r="K60" s="66"/>
      <c r="L60" s="66"/>
      <c r="M60" s="66"/>
      <c r="N60" s="66"/>
      <c r="O60" s="68"/>
      <c r="P60" s="68"/>
      <c r="Q60" s="68"/>
      <c r="T60" s="121"/>
      <c r="W60" s="121"/>
      <c r="X60" s="168"/>
      <c r="Y60" s="168"/>
      <c r="Z60" s="122"/>
      <c r="AA60" s="121"/>
    </row>
    <row r="61" spans="2:27" ht="17.25">
      <c r="B61" s="55" t="str">
        <f>+B6</f>
        <v>MCMI-IV</v>
      </c>
      <c r="C61" s="55"/>
      <c r="D61" s="55"/>
      <c r="E61" s="55"/>
      <c r="F61" s="55"/>
      <c r="G61" s="56"/>
      <c r="H61" s="56"/>
      <c r="I61" s="57"/>
      <c r="J61" s="55"/>
      <c r="K61" s="55"/>
      <c r="L61" s="55"/>
      <c r="M61" s="235" t="str">
        <f>+L6</f>
        <v>Asteria Asunta Catari Ledezma</v>
      </c>
      <c r="N61" s="235"/>
      <c r="O61" s="235"/>
      <c r="P61" s="220" t="str">
        <f>+P6</f>
        <v>MCMI-IV</v>
      </c>
      <c r="Q61" s="220"/>
    </row>
    <row r="62" spans="2:27" ht="17.25">
      <c r="B62" s="219">
        <f ca="1">+B7</f>
        <v>46260</v>
      </c>
      <c r="C62" s="219"/>
      <c r="D62" s="219"/>
      <c r="E62" s="55"/>
      <c r="F62" s="55"/>
      <c r="G62" s="56"/>
      <c r="H62" s="56"/>
      <c r="I62" s="57"/>
      <c r="J62" s="55"/>
      <c r="K62" s="55"/>
      <c r="L62" s="55"/>
      <c r="M62" s="55"/>
      <c r="N62" s="55"/>
      <c r="O62" s="56"/>
      <c r="P62" s="56"/>
      <c r="Q62" s="56"/>
    </row>
    <row r="63" spans="2:27" ht="3" customHeight="1">
      <c r="B63" s="55"/>
      <c r="C63" s="55"/>
      <c r="D63" s="55"/>
      <c r="E63" s="55"/>
      <c r="F63" s="55"/>
      <c r="G63" s="56"/>
      <c r="H63" s="56"/>
      <c r="I63" s="57"/>
      <c r="J63" s="55"/>
      <c r="K63" s="55"/>
      <c r="L63" s="55"/>
      <c r="M63" s="55"/>
      <c r="N63" s="55"/>
      <c r="O63" s="56"/>
      <c r="P63" s="56"/>
      <c r="Q63" s="56"/>
    </row>
    <row r="64" spans="2:27" ht="17.25">
      <c r="B64" s="55"/>
      <c r="C64" s="55"/>
      <c r="D64" s="55"/>
      <c r="E64" s="55"/>
      <c r="F64" s="55"/>
      <c r="G64" s="56"/>
      <c r="H64" s="56"/>
      <c r="I64" s="57"/>
      <c r="J64" s="55"/>
      <c r="K64" s="55"/>
      <c r="L64" s="55"/>
      <c r="M64" s="55"/>
      <c r="N64" s="55"/>
      <c r="O64" s="56"/>
      <c r="P64" s="56"/>
      <c r="Q64" s="56"/>
    </row>
    <row r="65" spans="2:28" ht="15" customHeight="1">
      <c r="B65" s="222" t="s">
        <v>208</v>
      </c>
      <c r="C65" s="222"/>
      <c r="D65" s="223"/>
      <c r="E65" s="223"/>
      <c r="F65" s="223"/>
      <c r="G65" s="223"/>
      <c r="H65" s="223"/>
      <c r="I65" s="223"/>
      <c r="J65" s="223"/>
      <c r="K65" s="223"/>
      <c r="L65" s="223"/>
      <c r="M65" s="223"/>
      <c r="N65" s="223"/>
      <c r="O65" s="223"/>
      <c r="P65" s="223"/>
      <c r="Q65" s="223"/>
    </row>
    <row r="66" spans="2:28" ht="4.5" customHeight="1">
      <c r="B66" s="55"/>
      <c r="C66" s="55"/>
      <c r="D66" s="55"/>
      <c r="E66" s="55"/>
      <c r="F66" s="55"/>
      <c r="G66" s="56"/>
      <c r="H66" s="56"/>
      <c r="I66" s="57"/>
      <c r="J66" s="55"/>
      <c r="K66" s="55"/>
      <c r="L66" s="55"/>
      <c r="M66" s="55"/>
      <c r="N66" s="55"/>
      <c r="O66" s="56"/>
      <c r="P66" s="56"/>
      <c r="Q66" s="56"/>
    </row>
    <row r="67" spans="2:28">
      <c r="B67" s="223" t="s">
        <v>713</v>
      </c>
      <c r="C67" s="223"/>
      <c r="D67" s="223"/>
      <c r="E67" s="223"/>
      <c r="F67" s="223"/>
      <c r="G67" s="223"/>
      <c r="H67" s="223"/>
      <c r="I67" s="223"/>
      <c r="J67" s="223"/>
      <c r="K67" s="223"/>
      <c r="L67" s="223"/>
      <c r="M67" s="223"/>
      <c r="N67" s="223"/>
      <c r="O67" s="223"/>
      <c r="P67" s="223"/>
      <c r="Q67" s="223"/>
    </row>
    <row r="68" spans="2:28" ht="17.25">
      <c r="B68" s="55"/>
      <c r="C68" s="55"/>
      <c r="D68" s="55"/>
      <c r="E68" s="55"/>
      <c r="F68" s="55"/>
      <c r="G68" s="56"/>
      <c r="H68" s="56"/>
      <c r="I68" s="57"/>
      <c r="J68" s="80"/>
      <c r="K68" s="80"/>
      <c r="L68" s="80"/>
      <c r="M68" s="80"/>
      <c r="N68" s="80"/>
      <c r="O68" s="81"/>
      <c r="P68" s="81"/>
      <c r="Q68" s="81"/>
    </row>
    <row r="69" spans="2:28" ht="15" customHeight="1">
      <c r="B69" s="233" t="s">
        <v>375</v>
      </c>
      <c r="C69" s="233"/>
      <c r="D69" s="233"/>
      <c r="E69" s="233"/>
      <c r="F69" s="233"/>
      <c r="G69" s="234" t="s">
        <v>214</v>
      </c>
      <c r="H69" s="234"/>
      <c r="I69" s="234"/>
      <c r="J69" s="261" t="s">
        <v>217</v>
      </c>
      <c r="K69" s="261"/>
      <c r="L69" s="261"/>
      <c r="M69" s="261"/>
      <c r="N69" s="261"/>
      <c r="O69" s="261"/>
      <c r="P69" s="261"/>
      <c r="Q69" s="262"/>
      <c r="U69" s="123"/>
      <c r="V69" s="123"/>
      <c r="W69" s="123"/>
      <c r="X69" s="156"/>
      <c r="Y69" s="156"/>
      <c r="Z69" s="124"/>
      <c r="AA69" s="125"/>
      <c r="AB69" s="123"/>
    </row>
    <row r="70" spans="2:28" ht="17.25">
      <c r="B70" s="233"/>
      <c r="C70" s="233"/>
      <c r="D70" s="233"/>
      <c r="E70" s="233"/>
      <c r="F70" s="233"/>
      <c r="G70" s="84" t="s">
        <v>215</v>
      </c>
      <c r="H70" s="104" t="s">
        <v>226</v>
      </c>
      <c r="I70" s="85" t="s">
        <v>216</v>
      </c>
      <c r="J70" s="86"/>
      <c r="K70" s="80"/>
      <c r="L70" s="80"/>
      <c r="M70" s="80"/>
      <c r="N70" s="80"/>
      <c r="O70" s="81"/>
      <c r="P70" s="81"/>
      <c r="Q70" s="87"/>
      <c r="U70" s="123"/>
      <c r="V70" s="123"/>
      <c r="W70" s="123"/>
      <c r="X70" s="156"/>
      <c r="Y70" s="156"/>
      <c r="Z70" s="124"/>
      <c r="AA70" s="125"/>
      <c r="AB70" s="123"/>
    </row>
    <row r="71" spans="2:28" ht="19.5" customHeight="1" thickBot="1">
      <c r="B71" s="232" t="str">
        <f ca="1">INDEX(B27:B42, MATCH(LARGE(S27:S42,1), S27:S42, 0))</f>
        <v>Esquizoide</v>
      </c>
      <c r="C71" s="232"/>
      <c r="D71" s="232"/>
      <c r="E71" s="232"/>
      <c r="F71" s="126">
        <f ca="1">INDEX(F27:F42, MATCH(LARGE(S27:S42,1), S27:S42, 0))</f>
        <v>1</v>
      </c>
      <c r="G71" s="127"/>
      <c r="H71" s="127"/>
      <c r="I71" s="128"/>
      <c r="J71" s="108"/>
      <c r="K71" s="108"/>
      <c r="L71" s="108"/>
      <c r="M71" s="108"/>
      <c r="N71" s="108"/>
      <c r="O71" s="109"/>
      <c r="P71" s="109"/>
      <c r="Q71" s="109"/>
      <c r="R71" s="129"/>
      <c r="U71" s="130"/>
      <c r="V71" s="123"/>
      <c r="W71" s="123"/>
      <c r="X71" s="156"/>
      <c r="Y71" s="156"/>
      <c r="Z71" s="124"/>
      <c r="AA71" s="125"/>
      <c r="AB71" s="123"/>
    </row>
    <row r="72" spans="2:28" ht="21.75" customHeight="1" thickTop="1">
      <c r="B72" s="230" t="str" cm="1">
        <f t="array" aca="1" ref="B72" ca="1">IFERROR(INDEX(U:U, SMALL(Z:Z, ROW(A1))), "")</f>
        <v>Interpers. Desvinculado</v>
      </c>
      <c r="C72" s="231"/>
      <c r="D72" s="231"/>
      <c r="E72" s="231"/>
      <c r="F72" s="111" t="str" cm="1">
        <f t="array" aca="1" ref="F72" ca="1">IFERROR(INDEX(V:V, SMALL(Z:Z, ROW(A1))), "")</f>
        <v>1.1</v>
      </c>
      <c r="G72" s="112" cm="1">
        <f t="array" aca="1" ref="G72" ca="1">IFERROR(INDEX(W:W, SMALL(Z:Z, ROW(A1))), "")</f>
        <v>6</v>
      </c>
      <c r="H72" s="112" cm="1">
        <f t="array" aca="1" ref="H72" ca="1">IFERROR(INDEX(X:X, SMALL(Z:Z, ROW(A1))), "")</f>
        <v>89</v>
      </c>
      <c r="I72" s="112" cm="1">
        <f t="array" aca="1" ref="I72" ca="1">IFERROR(INDEX(Y:Y, SMALL(Z:Z, ROW(A1))), "")</f>
        <v>85</v>
      </c>
      <c r="J72" s="131"/>
      <c r="K72" s="55"/>
      <c r="L72" s="55"/>
      <c r="M72" s="55"/>
      <c r="N72" s="55"/>
      <c r="O72" s="56"/>
      <c r="P72" s="56"/>
      <c r="Q72" s="95"/>
      <c r="R72" s="129"/>
      <c r="S72" s="59">
        <f ca="1">T72 + (COUNT($T$72:$T$74) - (ROW() - ROW($T$72))) * 0.001</f>
        <v>85.003</v>
      </c>
      <c r="T72" s="59">
        <f ca="1">+I72</f>
        <v>85</v>
      </c>
      <c r="U72" s="130"/>
      <c r="V72" s="123"/>
      <c r="W72" s="123"/>
      <c r="X72" s="156"/>
      <c r="Y72" s="156"/>
      <c r="Z72" s="124"/>
      <c r="AA72" s="125"/>
      <c r="AB72" s="123"/>
    </row>
    <row r="73" spans="2:28" ht="21.75" customHeight="1">
      <c r="B73" s="228" t="str" cm="1">
        <f t="array" aca="1" ref="B73" ca="1">IFERROR(INDEX(U:U, SMALL(Z:Z, ROW(A2))), "")</f>
        <v>Contenido escaso</v>
      </c>
      <c r="C73" s="229"/>
      <c r="D73" s="229"/>
      <c r="E73" s="229"/>
      <c r="F73" s="97" t="str" cm="1">
        <f t="array" aca="1" ref="F73" ca="1">IFERROR(INDEX(V:V, SMALL(Z:Z, ROW(A2))), "")</f>
        <v>1.2</v>
      </c>
      <c r="G73" s="112" cm="1">
        <f t="array" aca="1" ref="G73" ca="1">IFERROR(INDEX(W:W, SMALL(Z:Z, ROW(A2))), "")</f>
        <v>8</v>
      </c>
      <c r="H73" s="112" cm="1">
        <f t="array" aca="1" ref="H73" ca="1">IFERROR(INDEX(X:X, SMALL(Z:Z, ROW(A2))), "")</f>
        <v>93</v>
      </c>
      <c r="I73" s="112" cm="1">
        <f t="array" aca="1" ref="I73" ca="1">IFERROR(INDEX(Y:Y, SMALL(Z:Z, ROW(A2))), "")</f>
        <v>85</v>
      </c>
      <c r="J73" s="131"/>
      <c r="K73" s="55"/>
      <c r="L73" s="55"/>
      <c r="M73" s="55"/>
      <c r="N73" s="55"/>
      <c r="O73" s="56"/>
      <c r="P73" s="56"/>
      <c r="Q73" s="95"/>
      <c r="R73" s="129"/>
      <c r="S73" s="59">
        <f t="shared" ref="S73:S74" ca="1" si="2">T73 + (COUNT($T$72:$T$74) - (ROW() - ROW($T$72))) * 0.001</f>
        <v>85.001999999999995</v>
      </c>
      <c r="T73" s="59">
        <f t="shared" ref="T73:T74" ca="1" si="3">+I73</f>
        <v>85</v>
      </c>
      <c r="U73" s="130"/>
      <c r="V73" s="123"/>
      <c r="W73" s="123"/>
      <c r="X73" s="156"/>
      <c r="Y73" s="156"/>
      <c r="Z73" s="124"/>
      <c r="AA73" s="125"/>
      <c r="AB73" s="123"/>
    </row>
    <row r="74" spans="2:28" ht="21.75" customHeight="1">
      <c r="B74" s="228" t="str" cm="1">
        <f t="array" aca="1" ref="B74" ca="1">IFERROR(INDEX(U:U, SMALL(Z:Z, ROW(A3))), "")</f>
        <v>Temperamentalmente apático</v>
      </c>
      <c r="C74" s="229"/>
      <c r="D74" s="229"/>
      <c r="E74" s="229"/>
      <c r="F74" s="97" t="str" cm="1">
        <f t="array" aca="1" ref="F74" ca="1">IFERROR(INDEX(V:V, SMALL(Z:Z, ROW(A3))), "")</f>
        <v>1.3</v>
      </c>
      <c r="G74" s="112" cm="1">
        <f t="array" aca="1" ref="G74" ca="1">IFERROR(INDEX(W:W, SMALL(Z:Z, ROW(A3))), "")</f>
        <v>8</v>
      </c>
      <c r="H74" s="112" cm="1">
        <f t="array" aca="1" ref="H74" ca="1">IFERROR(INDEX(X:X, SMALL(Z:Z, ROW(A3))), "")</f>
        <v>95</v>
      </c>
      <c r="I74" s="112" cm="1">
        <f t="array" aca="1" ref="I74" ca="1">IFERROR(INDEX(Y:Y, SMALL(Z:Z, ROW(A3))), "")</f>
        <v>85</v>
      </c>
      <c r="J74" s="86"/>
      <c r="K74" s="80"/>
      <c r="L74" s="80"/>
      <c r="M74" s="80"/>
      <c r="N74" s="80"/>
      <c r="O74" s="81"/>
      <c r="P74" s="81"/>
      <c r="Q74" s="87"/>
      <c r="R74" s="129"/>
      <c r="S74" s="59">
        <f t="shared" ca="1" si="2"/>
        <v>85.001000000000005</v>
      </c>
      <c r="T74" s="59">
        <f t="shared" ca="1" si="3"/>
        <v>85</v>
      </c>
      <c r="U74" s="130"/>
      <c r="V74" s="123"/>
      <c r="W74" s="123"/>
      <c r="X74" s="156"/>
      <c r="Y74" s="156"/>
      <c r="Z74" s="124"/>
      <c r="AA74" s="125"/>
      <c r="AB74" s="123"/>
    </row>
    <row r="75" spans="2:28" ht="19.5" customHeight="1" thickBot="1">
      <c r="B75" s="224" t="str">
        <f ca="1">INDEX(B27:B42, MATCH(LARGE(S27:S42,2), S27:S42, 0))</f>
        <v>Compulsivo</v>
      </c>
      <c r="C75" s="224"/>
      <c r="D75" s="224"/>
      <c r="E75" s="224"/>
      <c r="F75" s="126">
        <f ca="1">INDEX(F27:F42, MATCH(LARGE(S27:S42,2), S27:S42, 0))</f>
        <v>7</v>
      </c>
      <c r="G75" s="108"/>
      <c r="H75" s="108"/>
      <c r="I75" s="132"/>
      <c r="J75" s="108"/>
      <c r="K75" s="108"/>
      <c r="L75" s="108"/>
      <c r="M75" s="108"/>
      <c r="N75" s="108"/>
      <c r="O75" s="109"/>
      <c r="P75" s="109"/>
      <c r="Q75" s="110"/>
      <c r="R75" s="129"/>
      <c r="S75" s="59"/>
      <c r="U75" s="130"/>
      <c r="V75" s="123"/>
      <c r="W75" s="123"/>
      <c r="X75" s="156"/>
      <c r="Y75" s="156"/>
      <c r="Z75" s="124"/>
      <c r="AA75" s="125"/>
      <c r="AB75" s="123"/>
    </row>
    <row r="76" spans="2:28" ht="21.75" customHeight="1" thickTop="1">
      <c r="B76" s="230" t="str" cm="1">
        <f t="array" aca="1" ref="B76" ca="1">IFERROR(INDEX(U:U, SMALL(AA:AA, ROW(A1))), "")</f>
        <v>Expresivamente disciplinado</v>
      </c>
      <c r="C76" s="231"/>
      <c r="D76" s="231"/>
      <c r="E76" s="231"/>
      <c r="F76" s="111" t="str" cm="1">
        <f t="array" aca="1" ref="F76" ca="1">IFERROR(INDEX(V:V, SMALL(AA:AA, ROW(A1))), "")</f>
        <v>7.1</v>
      </c>
      <c r="G76" s="112" cm="1">
        <f t="array" aca="1" ref="G76" ca="1">IFERROR(INDEX(W:W, SMALL(AA:AA, ROW(A1))), "")</f>
        <v>3</v>
      </c>
      <c r="H76" s="112" cm="1">
        <f t="array" aca="1" ref="H76" ca="1">IFERROR(INDEX(X:X, SMALL(AA:AA, ROW(A1))), "")</f>
        <v>26</v>
      </c>
      <c r="I76" s="112" cm="1">
        <f t="array" aca="1" ref="I76" ca="1">IFERROR(INDEX(Y:Y, SMALL(AA:AA, ROW(A1))), "")</f>
        <v>36</v>
      </c>
      <c r="J76" s="131"/>
      <c r="K76" s="55"/>
      <c r="L76" s="55"/>
      <c r="M76" s="55"/>
      <c r="N76" s="55"/>
      <c r="O76" s="56"/>
      <c r="P76" s="56"/>
      <c r="Q76" s="95"/>
      <c r="R76" s="129"/>
      <c r="S76" s="59">
        <f ca="1">T76 + (COUNT($T$76:$T$78) - (ROW() - ROW($T$76))) * 0.001</f>
        <v>36.003</v>
      </c>
      <c r="T76" s="59">
        <f ca="1">+I76</f>
        <v>36</v>
      </c>
      <c r="U76" s="130"/>
      <c r="V76" s="123"/>
      <c r="W76" s="123"/>
      <c r="X76" s="156"/>
      <c r="Y76" s="156"/>
      <c r="Z76" s="124"/>
      <c r="AA76" s="125"/>
      <c r="AB76" s="123"/>
    </row>
    <row r="77" spans="2:28" ht="21.75" customHeight="1">
      <c r="B77" s="228" t="str" cm="1">
        <f t="array" aca="1" ref="B77" ca="1">IFERROR(INDEX(U:U, SMALL(AA:AA, ROW(A2))), "")</f>
        <v>Cognitivamente constreñido</v>
      </c>
      <c r="C77" s="229"/>
      <c r="D77" s="229"/>
      <c r="E77" s="229"/>
      <c r="F77" s="97" t="str" cm="1">
        <f t="array" aca="1" ref="F77" ca="1">IFERROR(INDEX(V:V, SMALL(AA:AA, ROW(A2))), "")</f>
        <v>7.2</v>
      </c>
      <c r="G77" s="112" cm="1">
        <f t="array" aca="1" ref="G77" ca="1">IFERROR(INDEX(W:W, SMALL(AA:AA, ROW(A2))), "")</f>
        <v>10</v>
      </c>
      <c r="H77" s="112" cm="1">
        <f t="array" aca="1" ref="H77" ca="1">IFERROR(INDEX(X:X, SMALL(AA:AA, ROW(A2))), "")</f>
        <v>89</v>
      </c>
      <c r="I77" s="112" cm="1">
        <f t="array" aca="1" ref="I77" ca="1">IFERROR(INDEX(Y:Y, SMALL(AA:AA, ROW(A2))), "")</f>
        <v>85</v>
      </c>
      <c r="J77" s="131"/>
      <c r="K77" s="55"/>
      <c r="L77" s="55"/>
      <c r="M77" s="55"/>
      <c r="N77" s="55"/>
      <c r="O77" s="56"/>
      <c r="P77" s="56"/>
      <c r="Q77" s="95"/>
      <c r="R77" s="129"/>
      <c r="S77" s="59">
        <f t="shared" ref="S77:S78" ca="1" si="4">T77 + (COUNT($T$76:$T$78) - (ROW() - ROW($T$76))) * 0.001</f>
        <v>85.001999999999995</v>
      </c>
      <c r="T77" s="59">
        <f t="shared" ref="T77:T78" ca="1" si="5">+I77</f>
        <v>85</v>
      </c>
      <c r="U77" s="130"/>
      <c r="V77" s="123"/>
      <c r="W77" s="123"/>
      <c r="X77" s="156"/>
      <c r="Y77" s="156"/>
      <c r="Z77" s="124"/>
      <c r="AA77" s="125"/>
      <c r="AB77" s="123"/>
    </row>
    <row r="78" spans="2:28" ht="21.75" customHeight="1">
      <c r="B78" s="228" t="str" cm="1">
        <f t="array" aca="1" ref="B78" ca="1">IFERROR(INDEX(U:U, SMALL(AA:AA, ROW(A3))), "")</f>
        <v>Autoimagen responsable</v>
      </c>
      <c r="C78" s="229"/>
      <c r="D78" s="229"/>
      <c r="E78" s="229"/>
      <c r="F78" s="97" t="str" cm="1">
        <f t="array" aca="1" ref="F78" ca="1">IFERROR(INDEX(V:V, SMALL(AA:AA, ROW(A3))), "")</f>
        <v>7.3</v>
      </c>
      <c r="G78" s="112" cm="1">
        <f t="array" aca="1" ref="G78" ca="1">IFERROR(INDEX(W:W, SMALL(AA:AA, ROW(A3))), "")</f>
        <v>9</v>
      </c>
      <c r="H78" s="112" cm="1">
        <f t="array" aca="1" ref="H78" ca="1">IFERROR(INDEX(X:X, SMALL(AA:AA, ROW(A3))), "")</f>
        <v>99</v>
      </c>
      <c r="I78" s="112" cm="1">
        <f t="array" aca="1" ref="I78" ca="1">IFERROR(INDEX(Y:Y, SMALL(AA:AA, ROW(A3))), "")</f>
        <v>85</v>
      </c>
      <c r="J78" s="86"/>
      <c r="K78" s="80"/>
      <c r="L78" s="80"/>
      <c r="M78" s="80"/>
      <c r="N78" s="80"/>
      <c r="O78" s="81"/>
      <c r="P78" s="81"/>
      <c r="Q78" s="87"/>
      <c r="R78" s="129"/>
      <c r="S78" s="59">
        <f t="shared" ca="1" si="4"/>
        <v>85.001000000000005</v>
      </c>
      <c r="T78" s="59">
        <f t="shared" ca="1" si="5"/>
        <v>85</v>
      </c>
      <c r="U78" s="130"/>
    </row>
    <row r="79" spans="2:28" ht="19.5" customHeight="1" thickBot="1">
      <c r="B79" s="224" t="str">
        <f ca="1">INDEX(B27:B42, MATCH(LARGE(S27:S42,3), S27:S42, 0))</f>
        <v>Dependiente</v>
      </c>
      <c r="C79" s="224"/>
      <c r="D79" s="224"/>
      <c r="E79" s="224"/>
      <c r="F79" s="133">
        <f ca="1">INDEX(F27:F42, MATCH(LARGE(S27:S42,3), S27:S42, 0))</f>
        <v>3</v>
      </c>
      <c r="G79" s="108"/>
      <c r="H79" s="108"/>
      <c r="I79" s="132"/>
      <c r="J79" s="108"/>
      <c r="K79" s="108"/>
      <c r="L79" s="108"/>
      <c r="M79" s="108"/>
      <c r="N79" s="108"/>
      <c r="O79" s="109"/>
      <c r="P79" s="109"/>
      <c r="Q79" s="110"/>
      <c r="R79" s="129"/>
      <c r="S79" s="59"/>
      <c r="U79" s="91"/>
    </row>
    <row r="80" spans="2:28" ht="21.75" customHeight="1" thickTop="1">
      <c r="B80" s="230" t="str" cm="1">
        <f t="array" aca="1" ref="B80" ca="1">IFERROR(INDEX(U:U, SMALL(AB:AB, ROW(A1))), "")</f>
        <v>Expresivamente pueril</v>
      </c>
      <c r="C80" s="231"/>
      <c r="D80" s="231"/>
      <c r="E80" s="231"/>
      <c r="F80" s="111" t="str" cm="1">
        <f t="array" aca="1" ref="F80" ca="1">IFERROR(INDEX(V:V, SMALL(AB:AB, ROW(A1))), "")</f>
        <v>3.1</v>
      </c>
      <c r="G80" s="112" cm="1">
        <f t="array" aca="1" ref="G80" ca="1">IFERROR(INDEX(W:W, SMALL(AB:AB, ROW(A1))), "")</f>
        <v>5</v>
      </c>
      <c r="H80" s="112" cm="1">
        <f t="array" aca="1" ref="H80" ca="1">IFERROR(INDEX(X:X, SMALL(AB:AB, ROW(A1))), "")</f>
        <v>64</v>
      </c>
      <c r="I80" s="112" cm="1">
        <f t="array" aca="1" ref="I80" ca="1">IFERROR(INDEX(Y:Y, SMALL(AB:AB, ROW(A1))), "")</f>
        <v>60</v>
      </c>
      <c r="J80" s="131"/>
      <c r="K80" s="55"/>
      <c r="L80" s="55"/>
      <c r="M80" s="55"/>
      <c r="N80" s="55"/>
      <c r="O80" s="56"/>
      <c r="P80" s="56"/>
      <c r="Q80" s="95"/>
      <c r="R80" s="129"/>
      <c r="S80" s="59">
        <f ca="1">T80 + (COUNT($T$80:$T$82) - (ROW() - ROW($T$72))) * 0.001</f>
        <v>59.994999999999997</v>
      </c>
      <c r="T80" s="59">
        <f ca="1">+I80</f>
        <v>60</v>
      </c>
      <c r="U80" s="130"/>
    </row>
    <row r="81" spans="2:30" ht="21.75" customHeight="1">
      <c r="B81" s="228" t="str" cm="1">
        <f t="array" aca="1" ref="B81" ca="1">IFERROR(INDEX(U:U, SMALL(AB:AB, ROW(A2))), "")</f>
        <v>Interpers. Sumiso</v>
      </c>
      <c r="C81" s="229"/>
      <c r="D81" s="229"/>
      <c r="E81" s="229"/>
      <c r="F81" s="97" t="str" cm="1">
        <f t="array" aca="1" ref="F81" ca="1">IFERROR(INDEX(V:V, SMALL(AB:AB, ROW(A2))), "")</f>
        <v>3.2</v>
      </c>
      <c r="G81" s="112" cm="1">
        <f t="array" aca="1" ref="G81" ca="1">IFERROR(INDEX(W:W, SMALL(AB:AB, ROW(A2))), "")</f>
        <v>6</v>
      </c>
      <c r="H81" s="112" cm="1">
        <f t="array" aca="1" ref="H81" ca="1">IFERROR(INDEX(X:X, SMALL(AB:AB, ROW(A2))), "")</f>
        <v>97</v>
      </c>
      <c r="I81" s="112" cm="1">
        <f t="array" aca="1" ref="I81" ca="1">IFERROR(INDEX(Y:Y, SMALL(AB:AB, ROW(A2))), "")</f>
        <v>93</v>
      </c>
      <c r="J81" s="131"/>
      <c r="K81" s="55"/>
      <c r="L81" s="55"/>
      <c r="M81" s="55"/>
      <c r="N81" s="55"/>
      <c r="O81" s="56"/>
      <c r="P81" s="56"/>
      <c r="Q81" s="95"/>
      <c r="R81" s="129"/>
      <c r="S81" s="59">
        <f t="shared" ref="S81:S82" ca="1" si="6">T81 + (COUNT($T$80:$T$82) - (ROW() - ROW($T$72))) * 0.001</f>
        <v>92.994</v>
      </c>
      <c r="T81" s="59">
        <f t="shared" ref="T81:T82" ca="1" si="7">+I81</f>
        <v>93</v>
      </c>
      <c r="U81" s="130"/>
    </row>
    <row r="82" spans="2:30" ht="21.75" customHeight="1">
      <c r="B82" s="228" t="str" cm="1">
        <f t="array" aca="1" ref="B82" ca="1">IFERROR(INDEX(U:U, SMALL(AB:AB, ROW(A3))), "")</f>
        <v>Autoimagen inepta</v>
      </c>
      <c r="C82" s="229"/>
      <c r="D82" s="229"/>
      <c r="E82" s="229"/>
      <c r="F82" s="97" t="str" cm="1">
        <f t="array" aca="1" ref="F82" ca="1">IFERROR(INDEX(V:V, SMALL(AB:AB, ROW(A3))), "")</f>
        <v>3.3</v>
      </c>
      <c r="G82" s="112" cm="1">
        <f t="array" aca="1" ref="G82" ca="1">IFERROR(INDEX(W:W, SMALL(AB:AB, ROW(A3))), "")</f>
        <v>6</v>
      </c>
      <c r="H82" s="112" cm="1">
        <f t="array" aca="1" ref="H82" ca="1">IFERROR(INDEX(X:X, SMALL(AB:AB, ROW(A3))), "")</f>
        <v>80</v>
      </c>
      <c r="I82" s="112" cm="1">
        <f t="array" aca="1" ref="I82" ca="1">IFERROR(INDEX(Y:Y, SMALL(AB:AB, ROW(A3))), "")</f>
        <v>85</v>
      </c>
      <c r="J82" s="86"/>
      <c r="K82" s="80"/>
      <c r="L82" s="80"/>
      <c r="M82" s="80"/>
      <c r="N82" s="80"/>
      <c r="O82" s="81"/>
      <c r="P82" s="81"/>
      <c r="Q82" s="87"/>
      <c r="R82" s="129"/>
      <c r="S82" s="59">
        <f t="shared" ca="1" si="6"/>
        <v>84.992999999999995</v>
      </c>
      <c r="T82" s="59">
        <f t="shared" ca="1" si="7"/>
        <v>85</v>
      </c>
      <c r="U82" s="130"/>
    </row>
    <row r="83" spans="2:30" ht="17.25">
      <c r="B83" s="55"/>
      <c r="C83" s="55"/>
      <c r="D83" s="55"/>
      <c r="E83" s="55"/>
      <c r="F83" s="55"/>
      <c r="G83" s="56"/>
      <c r="H83" s="56"/>
      <c r="I83" s="57"/>
      <c r="J83" s="55"/>
      <c r="K83" s="55"/>
      <c r="L83" s="55"/>
      <c r="M83" s="55"/>
      <c r="N83" s="55"/>
      <c r="O83" s="56"/>
      <c r="P83" s="56"/>
      <c r="Q83" s="56"/>
    </row>
    <row r="84" spans="2:30">
      <c r="B84" s="222" t="s">
        <v>376</v>
      </c>
      <c r="C84" s="222"/>
      <c r="D84" s="223"/>
      <c r="E84" s="223"/>
      <c r="F84" s="223"/>
      <c r="G84" s="223"/>
      <c r="H84" s="223"/>
      <c r="I84" s="223"/>
      <c r="J84" s="223"/>
      <c r="K84" s="223"/>
      <c r="L84" s="223"/>
      <c r="M84" s="223"/>
      <c r="N84" s="223"/>
      <c r="O84" s="223"/>
      <c r="P84" s="223"/>
      <c r="Q84" s="223"/>
    </row>
    <row r="85" spans="2:30" ht="6" customHeight="1">
      <c r="B85" s="55"/>
      <c r="C85" s="55"/>
      <c r="D85" s="55"/>
      <c r="E85" s="55"/>
      <c r="F85" s="55"/>
      <c r="G85" s="56"/>
      <c r="H85" s="56"/>
      <c r="I85" s="57"/>
      <c r="J85" s="55"/>
      <c r="K85" s="55"/>
      <c r="L85" s="55"/>
      <c r="M85" s="55"/>
      <c r="N85" s="55"/>
      <c r="O85" s="56"/>
      <c r="P85" s="56"/>
      <c r="Q85" s="56"/>
    </row>
    <row r="86" spans="2:30" ht="6" customHeight="1">
      <c r="B86" s="55"/>
      <c r="C86" s="55"/>
      <c r="D86" s="55"/>
      <c r="E86" s="55"/>
      <c r="F86" s="55"/>
      <c r="G86" s="56"/>
      <c r="H86" s="56"/>
      <c r="I86" s="57"/>
      <c r="J86" s="55"/>
      <c r="K86" s="55"/>
      <c r="L86" s="55"/>
      <c r="M86" s="55"/>
      <c r="N86" s="55"/>
      <c r="O86" s="56"/>
      <c r="P86" s="56"/>
      <c r="Q86" s="56"/>
    </row>
    <row r="87" spans="2:30">
      <c r="B87" s="76">
        <v>1</v>
      </c>
      <c r="C87" s="76"/>
      <c r="D87" s="134" t="s">
        <v>186</v>
      </c>
      <c r="E87" s="55"/>
      <c r="F87" s="55"/>
      <c r="G87" s="118" t="s">
        <v>215</v>
      </c>
      <c r="H87" s="118" t="s">
        <v>226</v>
      </c>
      <c r="I87" s="118" t="s">
        <v>216</v>
      </c>
      <c r="J87" s="55"/>
      <c r="K87" s="76" t="s">
        <v>204</v>
      </c>
      <c r="L87" s="134" t="s">
        <v>194</v>
      </c>
      <c r="M87" s="55"/>
      <c r="N87" s="55"/>
      <c r="O87" s="118" t="s">
        <v>215</v>
      </c>
      <c r="P87" s="118" t="s">
        <v>226</v>
      </c>
      <c r="Q87" s="118" t="s">
        <v>216</v>
      </c>
      <c r="T87" s="135"/>
      <c r="U87" s="59"/>
      <c r="V87" s="59"/>
      <c r="W87" s="135" t="s">
        <v>215</v>
      </c>
      <c r="X87" s="142" t="s">
        <v>226</v>
      </c>
      <c r="Y87" s="142" t="s">
        <v>216</v>
      </c>
    </row>
    <row r="88" spans="2:30" ht="17.25">
      <c r="B88" s="56" t="s">
        <v>295</v>
      </c>
      <c r="C88" s="56"/>
      <c r="D88" s="221" t="s">
        <v>615</v>
      </c>
      <c r="E88" s="221"/>
      <c r="F88" s="221"/>
      <c r="G88" s="56">
        <f>+Protocolo!BX29</f>
        <v>6</v>
      </c>
      <c r="H88" s="56">
        <f ca="1">+INDEX(INDIRECT("CC"&amp;VLOOKUP(Portada!C28,Portada!O5:P6,2,FALSE)),MATCH(ROUND(G88,2),INDIRECT("AAAAA"&amp;VLOOKUP(Portada!C28,Portada!O5:P6,2,FALSE)),0))</f>
        <v>89</v>
      </c>
      <c r="I88" s="57">
        <f ca="1">+INDEX(INDIRECT("BB"&amp;VLOOKUP(Portada!C28,Portada!O5:P6,2,FALSE)),MATCH(ROUND(G88,2),INDIRECT("AAAAA"&amp;VLOOKUP(Portada!C28,Portada!O5:P6,2,FALSE)),0))</f>
        <v>85</v>
      </c>
      <c r="J88" s="55"/>
      <c r="K88" s="56" t="s">
        <v>319</v>
      </c>
      <c r="L88" s="221" t="s">
        <v>379</v>
      </c>
      <c r="M88" s="221"/>
      <c r="N88" s="221"/>
      <c r="O88" s="56">
        <f>+Protocolo!EB31</f>
        <v>0</v>
      </c>
      <c r="P88" s="56">
        <f ca="1">+INDEX(INDIRECT("ZZZZ"&amp;VLOOKUP(Portada!C28,Portada!O5:P6,2,FALSE)),MATCH(ROUND(O88,2),INDIRECT("AAAAA"&amp;VLOOKUP(Portada!C28,Portada!O5:P6,2,FALSE)),0))</f>
        <v>11</v>
      </c>
      <c r="Q88" s="56">
        <f ca="1">+INDEX(INDIRECT("YYYY"&amp;VLOOKUP(Portada!C28,Portada!O5:P6,2,FALSE)),MATCH(ROUND(O88,2),INDIRECT("AAAAA"&amp;VLOOKUP(Portada!C28,Portada!O5:P6,2,FALSE)),0))</f>
        <v>0</v>
      </c>
      <c r="T88" s="59" t="s">
        <v>186</v>
      </c>
      <c r="U88" s="58" t="str">
        <f>+D88</f>
        <v>Interpers. Desvinculado</v>
      </c>
      <c r="V88" s="59" t="s">
        <v>295</v>
      </c>
      <c r="W88" s="59">
        <f>+G88</f>
        <v>6</v>
      </c>
      <c r="X88" s="78">
        <f ca="1">+H88</f>
        <v>89</v>
      </c>
      <c r="Y88" s="78">
        <f ca="1">+I88</f>
        <v>85</v>
      </c>
      <c r="Z88" s="60">
        <f ca="1">IF(TRIM(LOWER(T88))=TRIM(LOWER($B$71)), ROW(), "")</f>
        <v>88</v>
      </c>
      <c r="AA88" s="59" t="str">
        <f ca="1">IF(TRIM(LOWER(T88))=TRIM(LOWER($B$75)), ROW(), "")</f>
        <v/>
      </c>
      <c r="AB88" s="58" t="str">
        <f ca="1">IF(TRIM(LOWER(T88))=TRIM(LOWER($B$79)), ROW(), "")</f>
        <v/>
      </c>
      <c r="AD88" s="120" t="str">
        <f ca="1">IF(Y88&lt;=74,"en este rango, el puntaje no permite establecer interpretaciones válidas sobre la presencia de características asociadas a la evitación interpersonal.",IF(Y88&gt;=75,"evita actividades que suponen relaciones personales"&amp;" estrechas, y refiere un historial de ansiedad social y desconfianza. Busca aceptación, pero está poco "&amp;"dispuesto a implicarse en las relaciones a menos que tenga la certeza de que será del agrado de los demás; y mantendrá la distancia y preservará su privacidad para evitar sentirse avergonzado y humillado"))</f>
        <v>evita actividades que suponen relaciones personales estrechas, y refiere un historial de ansiedad social y desconfianza. Busca aceptación, pero está poco dispuesto a implicarse en las relaciones a menos que tenga la certeza de que será del agrado de los demás; y mantendrá la distancia y preservará su privacidad para evitar sentirse avergonzado y humillado</v>
      </c>
    </row>
    <row r="89" spans="2:30" ht="17.25">
      <c r="B89" s="56" t="s">
        <v>296</v>
      </c>
      <c r="C89" s="56"/>
      <c r="D89" s="221" t="s">
        <v>377</v>
      </c>
      <c r="E89" s="221"/>
      <c r="F89" s="221"/>
      <c r="G89" s="56">
        <f>+Protocolo!BZ29</f>
        <v>8</v>
      </c>
      <c r="H89" s="56">
        <f ca="1">+INDEX(INDIRECT("EE"&amp;VLOOKUP(Portada!C28,Portada!O5:P6,2,FALSE)),MATCH(ROUND(G89,2),INDIRECT("AAAAA"&amp;VLOOKUP(Portada!C28,Portada!O5:P6,2,FALSE)),0))</f>
        <v>93</v>
      </c>
      <c r="I89" s="57">
        <f ca="1">+INDEX(INDIRECT("DD"&amp;VLOOKUP(Portada!C28,Portada!O5:P6,2,FALSE)),MATCH(ROUND(G89,2),INDIRECT("AAAAA"&amp;VLOOKUP(Portada!C28,Portada!O5:P6,2,FALSE)),0))</f>
        <v>85</v>
      </c>
      <c r="J89" s="55"/>
      <c r="K89" s="56" t="s">
        <v>320</v>
      </c>
      <c r="L89" s="221" t="s">
        <v>380</v>
      </c>
      <c r="M89" s="221"/>
      <c r="N89" s="221"/>
      <c r="O89" s="56">
        <f>+Protocolo!ED27</f>
        <v>1</v>
      </c>
      <c r="P89" s="56">
        <f ca="1">+INDEX(INDIRECT("CCCCC"&amp;VLOOKUP(Portada!C28,Portada!O5:P6,2,FALSE)),MATCH(ROUND(O89,2),INDIRECT("AAAAA"&amp;VLOOKUP(Portada!C28,Portada!O5:P6,2,FALSE)),0))</f>
        <v>43</v>
      </c>
      <c r="Q89" s="56">
        <f ca="1">+INDEX(INDIRECT("BBBBB"&amp;VLOOKUP(Portada!C28,Portada!O5:P6,2,FALSE)),MATCH(ROUND(O89,2),INDIRECT("AAAAA"&amp;VLOOKUP(Portada!C28,Portada!O5:P6,2,FALSE)),0))</f>
        <v>60</v>
      </c>
      <c r="T89" s="59" t="s">
        <v>186</v>
      </c>
      <c r="U89" s="58" t="str">
        <f t="shared" ref="U89:U125" si="8">+D89</f>
        <v>Contenido escaso</v>
      </c>
      <c r="V89" s="59" t="s">
        <v>296</v>
      </c>
      <c r="W89" s="59">
        <f t="shared" ref="W89:W125" si="9">+G89</f>
        <v>8</v>
      </c>
      <c r="X89" s="78">
        <f t="shared" ref="X89:X125" ca="1" si="10">+H89</f>
        <v>93</v>
      </c>
      <c r="Y89" s="78">
        <f t="shared" ref="Y89:Y125" ca="1" si="11">+I89</f>
        <v>85</v>
      </c>
      <c r="Z89" s="60">
        <f t="shared" ref="Z89:Z149" ca="1" si="12">IF(TRIM(LOWER(T89))=TRIM(LOWER($B$71)), ROW(), "")</f>
        <v>89</v>
      </c>
      <c r="AA89" s="59" t="str">
        <f t="shared" ref="AA89:AA149" ca="1" si="13">IF(TRIM(LOWER(T89))=TRIM(LOWER($B$75)), ROW(), "")</f>
        <v/>
      </c>
      <c r="AB89" s="58" t="str">
        <f ca="1">IF(TRIM(LOWER(T89))=TRIM(LOWER($B$79)), ROW(), "")</f>
        <v/>
      </c>
      <c r="AD89" s="120" t="str">
        <f ca="1">IF(Y89&lt;=74,"en este rango, el puntaje no permite"&amp;" realizar una interpretación válida sobre la presencia de características asociadas a la faceta de "&amp;"Contenido escaso.",IF(Y89&gt;=75,"carece notablemente de representaciones objetales interiorizadas. Las pocas que tiene solo están mínimamente articuladas y, en gran medida, le "&amp;"faltan las percepciones y los recuerdos de sus relaciones con los demás. A diferencia de las"&amp;" personas más funcionales relacionalmente, dispone de poca interacción "&amp;"dinámica entre los impulsos psíquicos y los conflictos"))</f>
        <v>carece notablemente de representaciones objetales interiorizadas. Las pocas que tiene solo están mínimamente articuladas y, en gran medida, le faltan las percepciones y los recuerdos de sus relaciones con los demás. A diferencia de las personas más funcionales relacionalmente, dispone de poca interacción dinámica entre los impulsos psíquicos y los conflictos</v>
      </c>
    </row>
    <row r="90" spans="2:30" ht="17.25">
      <c r="B90" s="56" t="s">
        <v>297</v>
      </c>
      <c r="C90" s="56"/>
      <c r="D90" s="221" t="s">
        <v>378</v>
      </c>
      <c r="E90" s="221"/>
      <c r="F90" s="221"/>
      <c r="G90" s="216">
        <f>+Protocolo!CB29</f>
        <v>8</v>
      </c>
      <c r="H90" s="56">
        <f ca="1">+INDEX(INDIRECT("GG"&amp;VLOOKUP(Portada!C28,Portada!O5:P6,2,FALSE)),MATCH(ROUND(G90,2),INDIRECT("AAAAA"&amp;VLOOKUP(Portada!C28,Portada!O5:P6,2,FALSE)),0))</f>
        <v>95</v>
      </c>
      <c r="I90" s="215">
        <f ca="1">+INDEX(INDIRECT("FF"&amp;VLOOKUP(Portada!C28,Portada!O5:P6,2,FALSE)),MATCH(ROUND(G90,2),INDIRECT("AAAAA"&amp;VLOOKUP(Portada!C28,Portada!O5:P6,2,FALSE)),0))</f>
        <v>85</v>
      </c>
      <c r="J90" s="55"/>
      <c r="K90" s="57" t="s">
        <v>321</v>
      </c>
      <c r="L90" s="221" t="s">
        <v>381</v>
      </c>
      <c r="M90" s="221"/>
      <c r="N90" s="221"/>
      <c r="O90" s="56">
        <f>+Protocolo!EF27</f>
        <v>2</v>
      </c>
      <c r="P90" s="56">
        <f ca="1">+INDEX(INDIRECT("FFFFF"&amp;VLOOKUP(Portada!C28,Portada!O5:P6,2,FALSE)),MATCH(ROUND(O90,2),INDIRECT("AAAAA"&amp;VLOOKUP(Portada!C28,Portada!O5:P6,2,FALSE)),0))</f>
        <v>60</v>
      </c>
      <c r="Q90" s="56">
        <f ca="1">+INDEX(INDIRECT("DDDDD"&amp;VLOOKUP(Portada!C28,Portada!O5:P6,2,FALSE)),MATCH(ROUND(O90,2),INDIRECT("AAAAA"&amp;VLOOKUP(Portada!C28,Portada!O5:P6,2,FALSE)),0))</f>
        <v>64</v>
      </c>
      <c r="T90" s="59" t="s">
        <v>186</v>
      </c>
      <c r="U90" s="58" t="str">
        <f t="shared" si="8"/>
        <v>Temperamentalmente apático</v>
      </c>
      <c r="V90" s="59" t="s">
        <v>297</v>
      </c>
      <c r="W90" s="59">
        <f t="shared" si="9"/>
        <v>8</v>
      </c>
      <c r="X90" s="78">
        <f t="shared" ca="1" si="10"/>
        <v>95</v>
      </c>
      <c r="Y90" s="78">
        <f t="shared" ca="1" si="11"/>
        <v>85</v>
      </c>
      <c r="Z90" s="60">
        <f t="shared" ca="1" si="12"/>
        <v>90</v>
      </c>
      <c r="AA90" s="59" t="str">
        <f t="shared" ca="1" si="13"/>
        <v/>
      </c>
      <c r="AB90" s="58" t="str">
        <f ca="1">IF(TRIM(LOWER(T90))=TRIM(LOWER($B$79)), ROW(), "")</f>
        <v/>
      </c>
      <c r="AD90" s="120" t="str">
        <f ca="1">IF(Y90&lt;=74,"en este rango, el"&amp;" puntaje no permite realizar una interpretación válida sobre la presencia de características asociadas"&amp;" a la faceta de Temperamentalmente apático.",IF(Y90&gt;=75,"no se altera emocionalmente y "&amp;"muestra una insensibilidad intrínseca y frialdad. Refiere tener pocas necesidades afectivas o "&amp;"sexuales, y casi nunca manifiesta sentimientos apasionados o intensos. Aparentemente es"&amp;" incapaz de sentir placer, tristeza o ira con cierta intensidad"))</f>
        <v>no se altera emocionalmente y muestra una insensibilidad intrínseca y frialdad. Refiere tener pocas necesidades afectivas o sexuales, y casi nunca manifiesta sentimientos apasionados o intensos. Aparentemente es incapaz de sentir placer, tristeza o ira con cierta intensidad</v>
      </c>
    </row>
    <row r="91" spans="2:30" ht="17.25">
      <c r="B91" s="57"/>
      <c r="C91" s="55"/>
      <c r="D91" s="55"/>
      <c r="E91" s="55"/>
      <c r="F91" s="55"/>
      <c r="G91" s="56"/>
      <c r="H91" s="56"/>
      <c r="I91" s="57"/>
      <c r="J91" s="55"/>
      <c r="K91" s="57"/>
      <c r="L91" s="55"/>
      <c r="M91" s="55"/>
      <c r="N91" s="55"/>
      <c r="O91" s="56"/>
      <c r="P91" s="56"/>
      <c r="Q91" s="56"/>
      <c r="Z91" s="60" t="str">
        <f t="shared" ca="1" si="12"/>
        <v/>
      </c>
      <c r="AA91" s="59" t="str">
        <f t="shared" ca="1" si="13"/>
        <v/>
      </c>
      <c r="AB91" s="58" t="str">
        <f t="shared" ref="AB91:AB149" ca="1" si="14">IF(TRIM(LOWER(T91))=TRIM(LOWER($B$79)), ROW(), "")</f>
        <v/>
      </c>
    </row>
    <row r="92" spans="2:30" ht="17.25">
      <c r="B92" s="83" t="s">
        <v>199</v>
      </c>
      <c r="C92" s="134"/>
      <c r="D92" s="225" t="s">
        <v>187</v>
      </c>
      <c r="E92" s="225"/>
      <c r="F92" s="225"/>
      <c r="G92" s="56"/>
      <c r="H92" s="56"/>
      <c r="I92" s="57"/>
      <c r="J92" s="55"/>
      <c r="K92" s="83">
        <v>7</v>
      </c>
      <c r="L92" s="225" t="s">
        <v>195</v>
      </c>
      <c r="M92" s="225"/>
      <c r="N92" s="225"/>
      <c r="O92" s="56"/>
      <c r="P92" s="56"/>
      <c r="Q92" s="56"/>
      <c r="U92" s="59"/>
      <c r="V92" s="59"/>
      <c r="Z92" s="60" t="str">
        <f t="shared" ca="1" si="12"/>
        <v/>
      </c>
      <c r="AA92" s="59" t="str">
        <f t="shared" ca="1" si="13"/>
        <v/>
      </c>
      <c r="AB92" s="58" t="str">
        <f t="shared" ca="1" si="14"/>
        <v/>
      </c>
    </row>
    <row r="93" spans="2:30" ht="17.25">
      <c r="B93" s="57" t="s">
        <v>298</v>
      </c>
      <c r="C93" s="55"/>
      <c r="D93" s="221" t="s">
        <v>616</v>
      </c>
      <c r="E93" s="221"/>
      <c r="F93" s="221"/>
      <c r="G93" s="68">
        <f>+Protocolo!CE28</f>
        <v>7</v>
      </c>
      <c r="H93" s="56">
        <f ca="1">+INDEX(INDIRECT("II"&amp;VLOOKUP(Portada!C28,Portada!O5:P6,2,FALSE)),MATCH(ROUND(G93,2),INDIRECT("AAAAA"&amp;VLOOKUP(Portada!C28,Portada!O5:P6,2,FALSE)),0))</f>
        <v>87</v>
      </c>
      <c r="I93" s="57">
        <f ca="1">+INDEX(INDIRECT("HH"&amp;VLOOKUP(Portada!C28,Portada!O5:P6,2,FALSE)),MATCH(ROUND(G93,2),INDIRECT("AAAAA"&amp;VLOOKUP(Portada!C28,Portada!O5:P6,2,FALSE)),0))</f>
        <v>93</v>
      </c>
      <c r="J93" s="55"/>
      <c r="K93" s="57" t="s">
        <v>322</v>
      </c>
      <c r="L93" s="221" t="s">
        <v>398</v>
      </c>
      <c r="M93" s="221"/>
      <c r="N93" s="221"/>
      <c r="O93" s="56">
        <f>+Protocolo!EI28</f>
        <v>3</v>
      </c>
      <c r="P93" s="56">
        <f ca="1">+INDEX(INDIRECT("HHHHH"&amp;VLOOKUP(Portada!C28,Portada!O5:P6,2,FALSE)),MATCH(ROUND(O93,2),INDIRECT("AAAAA"&amp;VLOOKUP(Portada!C28,Portada!O5:P6,2,FALSE)),0))</f>
        <v>26</v>
      </c>
      <c r="Q93" s="56">
        <f ca="1">+INDEX(INDIRECT("GGGGG"&amp;VLOOKUP(Portada!C28,Portada!O5:P6,2,FALSE)),MATCH(ROUND(O93,2),INDIRECT("AAAAA"&amp;VLOOKUP(Portada!C28,Portada!O5:P6,2,FALSE)),0))</f>
        <v>36</v>
      </c>
      <c r="T93" s="59" t="s">
        <v>187</v>
      </c>
      <c r="U93" s="58" t="str">
        <f t="shared" si="8"/>
        <v>Interpers. Aversivo</v>
      </c>
      <c r="V93" s="60" t="s">
        <v>298</v>
      </c>
      <c r="W93" s="59">
        <f t="shared" si="9"/>
        <v>7</v>
      </c>
      <c r="X93" s="78">
        <f t="shared" ca="1" si="10"/>
        <v>87</v>
      </c>
      <c r="Y93" s="78">
        <f t="shared" ca="1" si="11"/>
        <v>93</v>
      </c>
      <c r="Z93" s="60" t="str">
        <f ca="1">IF(TRIM(LOWER(T93))=TRIM(LOWER($B$71)), ROW(), "")</f>
        <v/>
      </c>
      <c r="AA93" s="59" t="str">
        <f t="shared" ca="1" si="13"/>
        <v/>
      </c>
      <c r="AB93" s="58" t="str">
        <f t="shared" ca="1" si="14"/>
        <v/>
      </c>
      <c r="AD93" s="136" t="str">
        <f ca="1">IF(Y93&lt;=74,"en este rango, el puntaje no permite realizar una interpretación válida sobre la presencia de características asociadas a la faceta de Interpersonalmente aversivo",IF(Y93&gt;=75,"evita las actividades que suponen relaciones personales"&amp;" estrechas y refiere un historial de ansiedad social y desconfianza. Busca la aceptación, pero"&amp;" está poco dispuesto a implicarse en las relaciones, a menos que tenga la certeza de "&amp;"que será del agrado de los demás; y mantiene la distancia y preserva su privacidad para evitar sentirse avergonzado y humillado"))</f>
        <v>evita las actividades que suponen relaciones personales estrechas y refiere un historial de ansiedad social y desconfianza. Busca la aceptación, pero está poco dispuesto a implicarse en las relaciones, a menos que tenga la certeza de que será del agrado de los demás; y mantiene la distancia y preserva su privacidad para evitar sentirse avergonzado y humillado</v>
      </c>
    </row>
    <row r="94" spans="2:30" ht="17.25">
      <c r="B94" s="57" t="s">
        <v>299</v>
      </c>
      <c r="C94" s="55"/>
      <c r="D94" s="221" t="s">
        <v>382</v>
      </c>
      <c r="E94" s="221"/>
      <c r="F94" s="221"/>
      <c r="G94" s="56">
        <f>+Protocolo!CG29</f>
        <v>3</v>
      </c>
      <c r="H94" s="56">
        <f ca="1">+INDEX(INDIRECT("KK"&amp;VLOOKUP(Portada!C28,Portada!O5:P6,2,FALSE)),MATCH(ROUND(G94,2),INDIRECT("AAAAA"&amp;VLOOKUP(Portada!C28,Portada!O5:P6,2,FALSE)),0))</f>
        <v>45</v>
      </c>
      <c r="I94" s="57">
        <f ca="1">+INDEX(INDIRECT("JJ"&amp;VLOOKUP(Portada!C28,Portada!O5:P6,2,FALSE)),MATCH(ROUND(G94,2),INDIRECT("AAAAA"&amp;VLOOKUP(Portada!C28,Portada!O5:P6,2,FALSE)),0))</f>
        <v>45</v>
      </c>
      <c r="J94" s="55"/>
      <c r="K94" s="57" t="s">
        <v>323</v>
      </c>
      <c r="L94" s="221" t="s">
        <v>399</v>
      </c>
      <c r="M94" s="221"/>
      <c r="N94" s="221"/>
      <c r="O94" s="56">
        <f>+Protocolo!EK32</f>
        <v>10</v>
      </c>
      <c r="P94" s="56">
        <f ca="1">+INDEX(INDIRECT("KKKKK"&amp;VLOOKUP(Portada!C28,Portada!O5:P6,2,FALSE)),MATCH(ROUND(O94,2),INDIRECT("AAAAA"&amp;VLOOKUP(Portada!C28,Portada!O5:P6,2,FALSE)),0))</f>
        <v>89</v>
      </c>
      <c r="Q94" s="56">
        <f ca="1">+INDEX(INDIRECT("JJJJJ"&amp;VLOOKUP(Portada!C28,Portada!O5:P6,2,FALSE)),MATCH(ROUND(O94,2),INDIRECT("AAAAA"&amp;VLOOKUP(Portada!C28,Portada!O5:P6,2,FALSE)),0))</f>
        <v>85</v>
      </c>
      <c r="T94" s="59" t="s">
        <v>187</v>
      </c>
      <c r="U94" s="58" t="str">
        <f t="shared" si="8"/>
        <v>Autoimagen alienada</v>
      </c>
      <c r="V94" s="60" t="s">
        <v>299</v>
      </c>
      <c r="W94" s="59">
        <f t="shared" si="9"/>
        <v>3</v>
      </c>
      <c r="X94" s="78">
        <f t="shared" ca="1" si="10"/>
        <v>45</v>
      </c>
      <c r="Y94" s="78">
        <f t="shared" ca="1" si="11"/>
        <v>45</v>
      </c>
      <c r="Z94" s="60" t="str">
        <f t="shared" ca="1" si="12"/>
        <v/>
      </c>
      <c r="AA94" s="59" t="str">
        <f t="shared" ca="1" si="13"/>
        <v/>
      </c>
      <c r="AB94" s="58" t="str">
        <f t="shared" ca="1" si="14"/>
        <v/>
      </c>
      <c r="AD94" s="136" t="str">
        <f ca="1">IF(Y94&lt;=74,"en este rango, el puntaje no permite realizar una interpretación válida sobre la presencia de características asociadas a la faceta de"&amp;" Autoimagen alienada",IF(Y94&gt;=75,"se ve a sí mismo como socialmente inepto, incompetente e inferior, lo que justifica su aislamiento y el rechazo por parte de los demás. Se siente personalmente poco atractivo, subestima sus logros y refiere una persistente sensación de vacío"))</f>
        <v>en este rango, el puntaje no permite realizar una interpretación válida sobre la presencia de características asociadas a la faceta de Autoimagen alienada</v>
      </c>
    </row>
    <row r="95" spans="2:30" ht="17.25">
      <c r="B95" s="57" t="s">
        <v>300</v>
      </c>
      <c r="C95" s="55"/>
      <c r="D95" s="221" t="s">
        <v>383</v>
      </c>
      <c r="E95" s="221"/>
      <c r="F95" s="221"/>
      <c r="G95" s="56">
        <f>+Protocolo!CI29</f>
        <v>4</v>
      </c>
      <c r="H95" s="56">
        <f ca="1">+INDEX(INDIRECT("MM"&amp;VLOOKUP(Portada!C28,Portada!O5:P6,2,FALSE)),MATCH(ROUND(G95,2),INDIRECT("AAAAA"&amp;VLOOKUP(Portada!C28,Portada!O5:P6,2,FALSE)),0))</f>
        <v>65</v>
      </c>
      <c r="I95" s="57">
        <f ca="1">+INDEX(INDIRECT("LL"&amp;VLOOKUP(Portada!C28,Portada!O5:P6,2,FALSE)),MATCH(ROUND(G95,2),INDIRECT("AAAAA"&amp;VLOOKUP(Portada!C28,Portada!O5:P6,2,FALSE)),0))</f>
        <v>75</v>
      </c>
      <c r="J95" s="55"/>
      <c r="K95" s="57" t="s">
        <v>324</v>
      </c>
      <c r="L95" s="221" t="s">
        <v>400</v>
      </c>
      <c r="M95" s="221"/>
      <c r="N95" s="221"/>
      <c r="O95" s="56">
        <f>+Protocolo!EM29</f>
        <v>9</v>
      </c>
      <c r="P95" s="56">
        <f ca="1">+INDEX(INDIRECT("ZZZZZ"&amp;VLOOKUP(Portada!C28,Portada!O5:P6,2,FALSE)),MATCH(ROUND(O95,2),INDIRECT("AAAAA"&amp;VLOOKUP(Portada!C28,Portada!O5:P6,2,FALSE)),0))</f>
        <v>99</v>
      </c>
      <c r="Q95" s="56">
        <f ca="1">+INDEX(INDIRECT("LLLLL"&amp;VLOOKUP(Portada!C28,Portada!O5:P6,2,FALSE)),MATCH(ROUND(O95,2),INDIRECT("AAAAA"&amp;VLOOKUP(Portada!C28,Portada!O5:P6,2,FALSE)),0))</f>
        <v>85</v>
      </c>
      <c r="T95" s="59" t="s">
        <v>187</v>
      </c>
      <c r="U95" s="58" t="str">
        <f t="shared" si="8"/>
        <v>Contenido vejatorio</v>
      </c>
      <c r="V95" s="60" t="s">
        <v>300</v>
      </c>
      <c r="W95" s="59">
        <f t="shared" si="9"/>
        <v>4</v>
      </c>
      <c r="X95" s="78">
        <f t="shared" ca="1" si="10"/>
        <v>65</v>
      </c>
      <c r="Y95" s="78">
        <f t="shared" ca="1" si="11"/>
        <v>75</v>
      </c>
      <c r="Z95" s="60" t="str">
        <f t="shared" ca="1" si="12"/>
        <v/>
      </c>
      <c r="AA95" s="59" t="str">
        <f t="shared" ca="1" si="13"/>
        <v/>
      </c>
      <c r="AB95" s="58" t="str">
        <f t="shared" ca="1" si="14"/>
        <v/>
      </c>
      <c r="AD95" s="136" t="str">
        <f ca="1">IF(Y95&lt;=74,"en este rango, el puntaje no permite realizar una interpretación válida sobre la presencia de características asociadas a la faceta de Contenido vejatorio (2A.3).",IF(Y95&gt;=75,"las representaciones interiorizadas están compuestas de recuerdos de relaciones tempranas problemáticas que son intensos y conflictivos y se "&amp;"reactivan fácilmente. Por consiguiente, tiene limitadas las opciones para sentir satisfacción o recordar momentos de plenitud, así como pocos mecanismos para canalizar sus necesidades, resolver conflictos o evitar estresores externos"))</f>
        <v>las representaciones interiorizadas están compuestas de recuerdos de relaciones tempranas problemáticas que son intensos y conflictivos y se reactivan fácilmente. Por consiguiente, tiene limitadas las opciones para sentir satisfacción o recordar momentos de plenitud, así como pocos mecanismos para canalizar sus necesidades, resolver conflictos o evitar estresores externos</v>
      </c>
    </row>
    <row r="96" spans="2:30" ht="17.25">
      <c r="B96" s="57"/>
      <c r="C96" s="55"/>
      <c r="D96" s="55"/>
      <c r="E96" s="55"/>
      <c r="F96" s="55"/>
      <c r="G96" s="56"/>
      <c r="H96" s="56"/>
      <c r="I96" s="57"/>
      <c r="J96" s="55"/>
      <c r="K96" s="57"/>
      <c r="L96" s="55"/>
      <c r="M96" s="55"/>
      <c r="N96" s="55"/>
      <c r="O96" s="56"/>
      <c r="P96" s="56"/>
      <c r="Q96" s="56"/>
      <c r="Z96" s="60" t="str">
        <f t="shared" ca="1" si="12"/>
        <v/>
      </c>
      <c r="AA96" s="59" t="str">
        <f t="shared" ca="1" si="13"/>
        <v/>
      </c>
      <c r="AB96" s="58" t="str">
        <f t="shared" ca="1" si="14"/>
        <v/>
      </c>
    </row>
    <row r="97" spans="2:30" ht="17.25">
      <c r="B97" s="83" t="s">
        <v>200</v>
      </c>
      <c r="C97" s="134"/>
      <c r="D97" s="225" t="s">
        <v>188</v>
      </c>
      <c r="E97" s="225"/>
      <c r="F97" s="225"/>
      <c r="G97" s="56"/>
      <c r="H97" s="56"/>
      <c r="I97" s="57"/>
      <c r="J97" s="55"/>
      <c r="K97" s="83" t="s">
        <v>205</v>
      </c>
      <c r="L97" s="225" t="s">
        <v>196</v>
      </c>
      <c r="M97" s="225"/>
      <c r="N97" s="225"/>
      <c r="O97" s="56"/>
      <c r="P97" s="56"/>
      <c r="Q97" s="56"/>
      <c r="U97" s="59"/>
      <c r="V97" s="59"/>
      <c r="Z97" s="60" t="str">
        <f t="shared" ca="1" si="12"/>
        <v/>
      </c>
      <c r="AA97" s="59" t="str">
        <f t="shared" ca="1" si="13"/>
        <v/>
      </c>
      <c r="AB97" s="58" t="str">
        <f t="shared" ca="1" si="14"/>
        <v/>
      </c>
    </row>
    <row r="98" spans="2:30" ht="17.25">
      <c r="B98" s="57" t="s">
        <v>301</v>
      </c>
      <c r="C98" s="55"/>
      <c r="D98" s="221" t="s">
        <v>384</v>
      </c>
      <c r="E98" s="221"/>
      <c r="F98" s="221"/>
      <c r="G98" s="68">
        <f>+Protocolo!CL29</f>
        <v>8</v>
      </c>
      <c r="H98" s="56">
        <f ca="1">+INDEX(INDIRECT("OO"&amp;VLOOKUP(Portada!C28,Portada!O5:P6,2,FALSE)),MATCH(ROUND(G98,2),INDIRECT("AAAAA"&amp;VLOOKUP(Portada!C28,Portada!O5:P6,2,FALSE)),0))</f>
        <v>87</v>
      </c>
      <c r="I98" s="57">
        <f ca="1">+INDEX(INDIRECT("NN"&amp;VLOOKUP(Portada!C28,Portada!O5:P6,2,FALSE)),MATCH(ROUND(G98,2),INDIRECT("AAAAA"&amp;VLOOKUP(Portada!C28,Portada!O5:P6,2,FALSE)),0))</f>
        <v>85</v>
      </c>
      <c r="J98" s="55"/>
      <c r="K98" s="57" t="s">
        <v>325</v>
      </c>
      <c r="L98" s="221" t="s">
        <v>401</v>
      </c>
      <c r="M98" s="221"/>
      <c r="N98" s="221"/>
      <c r="O98" s="68">
        <f>+Protocolo!EP29</f>
        <v>3</v>
      </c>
      <c r="P98" s="56">
        <f ca="1">+INDEX(INDIRECT("QQQQQ"&amp;VLOOKUP(Portada!C28,Portada!O5:P6,2,FALSE)),MATCH(ROUND(O98,2),INDIRECT("AAAAA"&amp;VLOOKUP(Portada!C28,Portada!O5:P6,2,FALSE)),0))</f>
        <v>55</v>
      </c>
      <c r="Q98" s="56">
        <f ca="1">+INDEX(INDIRECT("XXXXX"&amp;VLOOKUP(Portada!C28,Portada!O5:P6,2,FALSE)),MATCH(ROUND(O98,2),INDIRECT("AAAAA"&amp;VLOOKUP(Portada!C28,Portada!O5:P6,2,FALSE)),0))</f>
        <v>60</v>
      </c>
      <c r="T98" s="59" t="s">
        <v>188</v>
      </c>
      <c r="U98" s="58" t="str">
        <f t="shared" si="8"/>
        <v>Cognitivamente fatalista</v>
      </c>
      <c r="V98" s="60" t="s">
        <v>301</v>
      </c>
      <c r="W98" s="59">
        <f t="shared" si="9"/>
        <v>8</v>
      </c>
      <c r="X98" s="78">
        <f t="shared" ca="1" si="10"/>
        <v>87</v>
      </c>
      <c r="Y98" s="78">
        <f t="shared" ca="1" si="11"/>
        <v>85</v>
      </c>
      <c r="Z98" s="60" t="str">
        <f t="shared" ca="1" si="12"/>
        <v/>
      </c>
      <c r="AA98" s="59" t="str">
        <f t="shared" ca="1" si="13"/>
        <v/>
      </c>
      <c r="AB98" s="58" t="str">
        <f t="shared" ca="1" si="14"/>
        <v/>
      </c>
      <c r="AD98" s="136" t="str">
        <f ca="1">IF(Y98&lt;=74,"en este rango, el puntaje no permite realizar una interpretación válida sobre la presencia de características asociadas a la faceta de Cognitivamente fatalista",IF(Y98&gt;=75,"la actitud ante prácticamente todo es derrotista "&amp;"y fatalista. Ve el lado más adverso de las cosas y siempre espera lo peor. A menudo se siente agobiado, desanimado y abatido. Su interpretación de los acontecimientos es sumamente pesimista y siente que las cosas nunca mejorarán"))</f>
        <v>la actitud ante prácticamente todo es derrotista y fatalista. Ve el lado más adverso de las cosas y siempre espera lo peor. A menudo se siente agobiado, desanimado y abatido. Su interpretación de los acontecimientos es sumamente pesimista y siente que las cosas nunca mejorarán</v>
      </c>
    </row>
    <row r="99" spans="2:30" ht="17.25">
      <c r="B99" s="57" t="s">
        <v>302</v>
      </c>
      <c r="C99" s="55"/>
      <c r="D99" s="221" t="s">
        <v>385</v>
      </c>
      <c r="E99" s="221"/>
      <c r="F99" s="221"/>
      <c r="G99" s="56">
        <f>+Protocolo!CN29</f>
        <v>4</v>
      </c>
      <c r="H99" s="56">
        <f ca="1">+INDEX(INDIRECT("QQ"&amp;VLOOKUP(Portada!C28,Portada!O5:P6,2,FALSE)),MATCH(ROUND(G99,2),INDIRECT("AAAAA"&amp;VLOOKUP(Portada!C28,Portada!O5:P6,2,FALSE)),0))</f>
        <v>75</v>
      </c>
      <c r="I99" s="57">
        <f ca="1">+INDEX(INDIRECT("PP"&amp;VLOOKUP(Portada!C28,Portada!O5:P6,2,FALSE)),MATCH(ROUND(G99,2),INDIRECT("AAAAA"&amp;VLOOKUP(Portada!C28,Portada!O5:P6,2,FALSE)),0))</f>
        <v>80</v>
      </c>
      <c r="J99" s="55"/>
      <c r="K99" s="57" t="s">
        <v>326</v>
      </c>
      <c r="L99" s="221" t="s">
        <v>402</v>
      </c>
      <c r="M99" s="221"/>
      <c r="N99" s="221"/>
      <c r="O99" s="56">
        <f>+Protocolo!ER31</f>
        <v>7</v>
      </c>
      <c r="P99" s="56">
        <f ca="1">+INDEX(INDIRECT("RRRRR"&amp;VLOOKUP(Portada!C28,Portada!O5:P6,2,FALSE)),MATCH(ROUND(O99,2),INDIRECT("AAAAA"&amp;VLOOKUP(Portada!C28,Portada!O5:P6,2,FALSE)),0))</f>
        <v>78</v>
      </c>
      <c r="Q99" s="56">
        <f ca="1">+INDEX(INDIRECT("WWWWW"&amp;VLOOKUP(Portada!C28,Portada!O5:P6,2,FALSE)),MATCH(ROUND(O99,2),INDIRECT("AAAAA"&amp;VLOOKUP(Portada!C28,Portada!O5:P6,2,FALSE)),0))</f>
        <v>75</v>
      </c>
      <c r="T99" s="59" t="s">
        <v>188</v>
      </c>
      <c r="U99" s="58" t="str">
        <f t="shared" si="8"/>
        <v>Autoimagen inútil</v>
      </c>
      <c r="V99" s="60" t="s">
        <v>302</v>
      </c>
      <c r="W99" s="59">
        <f t="shared" si="9"/>
        <v>4</v>
      </c>
      <c r="X99" s="78">
        <f t="shared" ca="1" si="10"/>
        <v>75</v>
      </c>
      <c r="Y99" s="78">
        <f t="shared" ca="1" si="11"/>
        <v>80</v>
      </c>
      <c r="Z99" s="60" t="str">
        <f t="shared" ca="1" si="12"/>
        <v/>
      </c>
      <c r="AA99" s="59" t="str">
        <f t="shared" ca="1" si="13"/>
        <v/>
      </c>
      <c r="AB99" s="58" t="str">
        <f t="shared" ca="1" si="14"/>
        <v/>
      </c>
      <c r="AD99" s="136" t="str">
        <f ca="1">IF(Y99&lt;=74,"en este rango, el puntaje no permite realizar una interpretación válida sobre la presencia de características asociadas a la faceta de Autoimagen inútil",IF(Y99&gt;=75,"considera que no vale nada, que es insignificante"&amp;" e irrelevante. Le caracteriza una tristeza generalizada, y el menor error puede sumirle en un estado más grave de desánimo. Además, se ve a sí mismo como una persona que debería ser "&amp;"criticada y menospreciada y que debería sentirse culpable por no tener cualidades positivas o no haber hecho nada digno de admiración"))</f>
        <v>considera que no vale nada, que es insignificante e irrelevante. Le caracteriza una tristeza generalizada, y el menor error puede sumirle en un estado más grave de desánimo. Además, se ve a sí mismo como una persona que debería ser criticada y menospreciada y que debería sentirse culpable por no tener cualidades positivas o no haber hecho nada digno de admiración</v>
      </c>
    </row>
    <row r="100" spans="2:30" ht="17.25">
      <c r="B100" s="57" t="s">
        <v>303</v>
      </c>
      <c r="C100" s="55"/>
      <c r="D100" s="221" t="s">
        <v>386</v>
      </c>
      <c r="E100" s="221"/>
      <c r="F100" s="221"/>
      <c r="G100" s="56">
        <f>+Protocolo!CP29</f>
        <v>6</v>
      </c>
      <c r="H100" s="56">
        <f ca="1">+INDEX(INDIRECT("SS"&amp;VLOOKUP(Portada!C28,Portada!O5:P6,2,FALSE)),MATCH(ROUND(G100,2),INDIRECT("AAAAA"&amp;VLOOKUP(Portada!C28,Portada!O5:P6,2,FALSE)),0))</f>
        <v>71</v>
      </c>
      <c r="I100" s="57">
        <f ca="1">+INDEX(INDIRECT("RR"&amp;VLOOKUP(Portada!C28,Portada!O5:P6,2,FALSE)),MATCH(ROUND(G100,2),INDIRECT("AAAAA"&amp;VLOOKUP(Portada!C28,Portada!O5:P6,2,FALSE)),0))</f>
        <v>80</v>
      </c>
      <c r="J100" s="55"/>
      <c r="K100" s="57" t="s">
        <v>327</v>
      </c>
      <c r="L100" s="221" t="s">
        <v>403</v>
      </c>
      <c r="M100" s="221"/>
      <c r="N100" s="221"/>
      <c r="O100" s="56">
        <f>+Protocolo!ET30</f>
        <v>3</v>
      </c>
      <c r="P100" s="56">
        <f ca="1">+INDEX(INDIRECT("UUUUU"&amp;VLOOKUP(Portada!C28,Portada!O5:P6,2,FALSE)),MATCH(ROUND(O100,2),INDIRECT("AAAAA"&amp;VLOOKUP(Portada!C28,Portada!O5:P6,2,FALSE)),0))</f>
        <v>55</v>
      </c>
      <c r="Q100" s="56">
        <f ca="1">+INDEX(INDIRECT("TTTTT"&amp;VLOOKUP(Portada!C28,Portada!O5:P6,2,FALSE)),MATCH(ROUND(O100,2),INDIRECT("AAAAA"&amp;VLOOKUP(Portada!C28,Portada!O5:P6,2,FALSE)),0))</f>
        <v>60</v>
      </c>
      <c r="T100" s="59" t="s">
        <v>188</v>
      </c>
      <c r="U100" s="58" t="str">
        <f t="shared" si="8"/>
        <v>Temperamentalmente afligido</v>
      </c>
      <c r="V100" s="60" t="s">
        <v>303</v>
      </c>
      <c r="W100" s="59">
        <f t="shared" si="9"/>
        <v>6</v>
      </c>
      <c r="X100" s="78">
        <f t="shared" ca="1" si="10"/>
        <v>71</v>
      </c>
      <c r="Y100" s="78">
        <f t="shared" ca="1" si="11"/>
        <v>80</v>
      </c>
      <c r="Z100" s="60" t="str">
        <f t="shared" ca="1" si="12"/>
        <v/>
      </c>
      <c r="AA100" s="59" t="str">
        <f t="shared" ca="1" si="13"/>
        <v/>
      </c>
      <c r="AB100" s="58" t="str">
        <f t="shared" ca="1" si="14"/>
        <v/>
      </c>
      <c r="AD100" s="136" t="str">
        <f ca="1">IF(Y100&lt;=74,"en este rango, el puntaje no permite realizar una interpretación válida sobre la presencia de características asociadas a la faceta de Temperamentalmente afligido",IF(Y100&gt;=75,"está apenado, triste, acongojado y malhumorado, y su estado de ánimo se intensifica por su tendencia a preocuparse, ver"&amp;" el lado negativo de todo y sentirse culpable. Puede relacionarse con los demás, pero lo hace por inercia y con poco entusiasmo. Su abatimiento y su tristeza casi permanente pueden minar la capacidad que tiene de disfrutar de la vida"))</f>
        <v>está apenado, triste, acongojado y malhumorado, y su estado de ánimo se intensifica por su tendencia a preocuparse, ver el lado negativo de todo y sentirse culpable. Puede relacionarse con los demás, pero lo hace por inercia y con poco entusiasmo. Su abatimiento y su tristeza casi permanente pueden minar la capacidad que tiene de disfrutar de la vida</v>
      </c>
    </row>
    <row r="101" spans="2:30" ht="17.25">
      <c r="B101" s="57"/>
      <c r="C101" s="55"/>
      <c r="D101" s="55"/>
      <c r="E101" s="55"/>
      <c r="F101" s="55"/>
      <c r="G101" s="56"/>
      <c r="H101" s="56"/>
      <c r="I101" s="57"/>
      <c r="J101" s="55"/>
      <c r="K101" s="57"/>
      <c r="L101" s="55"/>
      <c r="M101" s="55"/>
      <c r="N101" s="55"/>
      <c r="O101" s="56"/>
      <c r="P101" s="56"/>
      <c r="Q101" s="56"/>
      <c r="Z101" s="60" t="str">
        <f t="shared" ca="1" si="12"/>
        <v/>
      </c>
      <c r="AA101" s="59" t="str">
        <f t="shared" ca="1" si="13"/>
        <v/>
      </c>
      <c r="AB101" s="58" t="str">
        <f t="shared" ca="1" si="14"/>
        <v/>
      </c>
    </row>
    <row r="102" spans="2:30" ht="17.25">
      <c r="B102" s="83">
        <v>3</v>
      </c>
      <c r="C102" s="134"/>
      <c r="D102" s="225" t="s">
        <v>189</v>
      </c>
      <c r="E102" s="225"/>
      <c r="F102" s="225"/>
      <c r="G102" s="56"/>
      <c r="H102" s="56"/>
      <c r="I102" s="57"/>
      <c r="J102" s="55"/>
      <c r="K102" s="83" t="s">
        <v>206</v>
      </c>
      <c r="L102" s="225" t="s">
        <v>197</v>
      </c>
      <c r="M102" s="225"/>
      <c r="N102" s="225"/>
      <c r="O102" s="56"/>
      <c r="P102" s="56"/>
      <c r="Q102" s="56"/>
      <c r="U102" s="59"/>
      <c r="V102" s="59"/>
      <c r="Z102" s="60" t="str">
        <f t="shared" ca="1" si="12"/>
        <v/>
      </c>
      <c r="AA102" s="59" t="str">
        <f t="shared" ca="1" si="13"/>
        <v/>
      </c>
      <c r="AB102" s="58" t="str">
        <f t="shared" ca="1" si="14"/>
        <v/>
      </c>
    </row>
    <row r="103" spans="2:30" ht="17.25">
      <c r="B103" s="57" t="s">
        <v>304</v>
      </c>
      <c r="C103" s="55"/>
      <c r="D103" s="221" t="s">
        <v>387</v>
      </c>
      <c r="E103" s="221"/>
      <c r="F103" s="221"/>
      <c r="G103" s="56">
        <f>+Protocolo!CS29</f>
        <v>5</v>
      </c>
      <c r="H103" s="56">
        <f ca="1">+INDEX(INDIRECT("UU"&amp;VLOOKUP(Portada!C28,Portada!O5:P6,2,FALSE)),MATCH(ROUND(G103,2),INDIRECT("AAAAA"&amp;VLOOKUP(Portada!C28,Portada!O5:P6,2,FALSE)),0))</f>
        <v>64</v>
      </c>
      <c r="I103" s="57">
        <f ca="1">+INDEX(INDIRECT("TT"&amp;VLOOKUP(Portada!C28,Portada!O5:P6,2,FALSE)),MATCH(ROUND(G103,2),INDIRECT("AAAAA"&amp;VLOOKUP(Portada!C28,Portada!O5:P6,2,FALSE)),0))</f>
        <v>60</v>
      </c>
      <c r="J103" s="55"/>
      <c r="K103" s="57" t="s">
        <v>328</v>
      </c>
      <c r="L103" s="221" t="s">
        <v>404</v>
      </c>
      <c r="M103" s="221"/>
      <c r="N103" s="221"/>
      <c r="O103" s="56">
        <f>+Protocolo!EW32</f>
        <v>5</v>
      </c>
      <c r="P103" s="56">
        <f ca="1">+INDEX(INDIRECT("OOOOO"&amp;VLOOKUP(Portada!C28,Portada!O5:P6,2,FALSE)),MATCH(ROUND(O103,2),INDIRECT("AAAAA"&amp;VLOOKUP(Portada!C28,Portada!O5:P6,2,FALSE)),0))</f>
        <v>64</v>
      </c>
      <c r="Q103" s="217">
        <f ca="1">+INDEX(INDIRECT("IIIII"&amp;VLOOKUP(Portada!C28,Portada!O5:P6,2,FALSE)),MATCH(ROUND(O103,2),INDIRECT("AAAAA"&amp;VLOOKUP(Portada!C28,Portada!O5:P6,2,FALSE)),0))</f>
        <v>64</v>
      </c>
      <c r="T103" s="59" t="s">
        <v>189</v>
      </c>
      <c r="U103" s="58" t="str">
        <f t="shared" si="8"/>
        <v>Expresivamente pueril</v>
      </c>
      <c r="V103" s="60" t="s">
        <v>304</v>
      </c>
      <c r="W103" s="59">
        <f t="shared" si="9"/>
        <v>5</v>
      </c>
      <c r="X103" s="78">
        <f t="shared" ca="1" si="10"/>
        <v>64</v>
      </c>
      <c r="Y103" s="78">
        <f t="shared" ca="1" si="11"/>
        <v>60</v>
      </c>
      <c r="Z103" s="60" t="str">
        <f t="shared" ca="1" si="12"/>
        <v/>
      </c>
      <c r="AA103" s="59" t="str">
        <f t="shared" ca="1" si="13"/>
        <v/>
      </c>
      <c r="AB103" s="58">
        <f t="shared" ca="1" si="14"/>
        <v>103</v>
      </c>
      <c r="AD103" s="136" t="str">
        <f ca="1">IF(Y103&lt;=74,"en este rango, el puntaje no permite realizar una interpretación válida sobre la presencia de características asociadas a la faceta de Expresivamente pueril",IF(Y103&gt;=75,"se caracteriza por desvincularse de las responsabilidades"&amp;" propias de los adultos. Es dócil y pasivo, muestra pocas competencias funcionales y evita ser "&amp;"asertivo. Además, carece de la seguridad propia de la madurez, tiende a parecer indefenso y busca el afecto, la atención y la protección de los demás de una manera infantil"))</f>
        <v>en este rango, el puntaje no permite realizar una interpretación válida sobre la presencia de características asociadas a la faceta de Expresivamente pueril</v>
      </c>
    </row>
    <row r="104" spans="2:30" ht="17.25">
      <c r="B104" s="57" t="s">
        <v>305</v>
      </c>
      <c r="C104" s="55"/>
      <c r="D104" s="221" t="s">
        <v>617</v>
      </c>
      <c r="E104" s="221"/>
      <c r="F104" s="221"/>
      <c r="G104" s="56">
        <f>+Protocolo!CU27</f>
        <v>6</v>
      </c>
      <c r="H104" s="56">
        <f ca="1">+INDEX(INDIRECT("WW"&amp;VLOOKUP(Portada!C28,Portada!O5:P6,2,FALSE)),MATCH(ROUND(G104,2),INDIRECT("AAAAA"&amp;VLOOKUP(Portada!C28,Portada!O5:P6,2,FALSE)),0))</f>
        <v>97</v>
      </c>
      <c r="I104" s="57">
        <f ca="1">+INDEX(INDIRECT("VV"&amp;VLOOKUP(Portada!C28,Portada!O5:P6,2,FALSE)),MATCH(ROUND(G104,2),INDIRECT("AAAAA"&amp;VLOOKUP(Portada!C28,Portada!O5:P6,2,FALSE)),0))</f>
        <v>93</v>
      </c>
      <c r="J104" s="55"/>
      <c r="K104" s="57" t="s">
        <v>329</v>
      </c>
      <c r="L104" s="221" t="s">
        <v>405</v>
      </c>
      <c r="M104" s="221"/>
      <c r="N104" s="221"/>
      <c r="O104" s="56">
        <f>+Protocolo!EY29</f>
        <v>6</v>
      </c>
      <c r="P104" s="56">
        <f ca="1">+INDEX(INDIRECT("GGGGGGG"&amp;VLOOKUP(Portada!C28,Portada!O5:P6,2,FALSE)),MATCH(ROUND(O104,2),INDIRECT("AAAAA"&amp;VLOOKUP(Portada!C28,Portada!O5:P6,2,FALSE)),0))</f>
        <v>82</v>
      </c>
      <c r="Q104" s="217">
        <f ca="1">+INDEX(INDIRECT("PPPPP"&amp;VLOOKUP(Portada!C28,Portada!O5:P6,2,FALSE)),MATCH(ROUND(O104,2),INDIRECT("AAAAA"&amp;VLOOKUP(Portada!C28,Portada!O5:P6,2,FALSE)),0))</f>
        <v>75</v>
      </c>
      <c r="T104" s="59" t="s">
        <v>189</v>
      </c>
      <c r="U104" s="58" t="str">
        <f>+D104</f>
        <v>Interpers. Sumiso</v>
      </c>
      <c r="V104" s="60" t="s">
        <v>305</v>
      </c>
      <c r="W104" s="59">
        <f t="shared" si="9"/>
        <v>6</v>
      </c>
      <c r="X104" s="78">
        <f t="shared" ca="1" si="10"/>
        <v>97</v>
      </c>
      <c r="Y104" s="78">
        <f t="shared" ca="1" si="11"/>
        <v>93</v>
      </c>
      <c r="Z104" s="60" t="str">
        <f t="shared" ca="1" si="12"/>
        <v/>
      </c>
      <c r="AA104" s="59" t="str">
        <f t="shared" ca="1" si="13"/>
        <v/>
      </c>
      <c r="AB104" s="58">
        <f t="shared" ca="1" si="14"/>
        <v>104</v>
      </c>
      <c r="AD104" s="136" t="str">
        <f ca="1">IF(Y104&lt;=74,"en este rango, el puntaje no permite realizar una interpretación válida sobre la presencia de características asociadas a la faceta de Interpersonalmente sumiso",IF(Y104&gt;=75,"se somete a figuras más fuertes y protectoras, sin las cuales puede sentirse angustiadamente solo y desvalido. Necesita"&amp;" recibir consejos y seguridad de forma desmesurada. Es obediente, transigente y conciliador, y teme quedarse sin nadie que se ocupe de él"))</f>
        <v>se somete a figuras más fuertes y protectoras, sin las cuales puede sentirse angustiadamente solo y desvalido. Necesita recibir consejos y seguridad de forma desmesurada. Es obediente, transigente y conciliador, y teme quedarse sin nadie que se ocupe de él</v>
      </c>
    </row>
    <row r="105" spans="2:30" ht="17.25">
      <c r="B105" s="57" t="s">
        <v>306</v>
      </c>
      <c r="C105" s="55"/>
      <c r="D105" s="221" t="s">
        <v>388</v>
      </c>
      <c r="E105" s="221"/>
      <c r="F105" s="221"/>
      <c r="G105" s="56">
        <f>+Protocolo!CW29</f>
        <v>6</v>
      </c>
      <c r="H105" s="56">
        <f ca="1">+INDEX(INDIRECT("YY"&amp;VLOOKUP(Portada!C28,Portada!O5:P6,2,FALSE)),MATCH(ROUND(G105,2),INDIRECT("AAAAA"&amp;VLOOKUP(Portada!C28,Portada!O5:P6,2,FALSE)),0))</f>
        <v>80</v>
      </c>
      <c r="I105" s="57">
        <f ca="1">+INDEX(INDIRECT("XX"&amp;VLOOKUP(Portada!C28,Portada!O5:P6,2,FALSE)),MATCH(ROUND(G105,2),INDIRECT("AAAAA"&amp;VLOOKUP(Portada!C28,Portada!O5:P6,2,FALSE)),0))</f>
        <v>85</v>
      </c>
      <c r="J105" s="55"/>
      <c r="K105" s="57" t="s">
        <v>330</v>
      </c>
      <c r="L105" s="221" t="s">
        <v>406</v>
      </c>
      <c r="M105" s="221"/>
      <c r="N105" s="221"/>
      <c r="O105" s="56">
        <f>+Protocolo!FA29</f>
        <v>7</v>
      </c>
      <c r="P105" s="56">
        <f ca="1">+INDEX(INDIRECT("BBBBBB"&amp;VLOOKUP(Portada!C28,Portada!O5:P6,2,FALSE)),MATCH(ROUND(O105,2),INDIRECT("AAAAA"&amp;VLOOKUP(Portada!C28,Portada!O5:P6,2,FALSE)),0))</f>
        <v>75</v>
      </c>
      <c r="Q105" s="56">
        <f ca="1">+INDEX(INDIRECT("AAAAAAA"&amp;VLOOKUP(Portada!C28,Portada!O5:P6,2,FALSE)),MATCH(ROUND(O105,2),INDIRECT("AAAAA"&amp;VLOOKUP(Portada!C28,Portada!O5:P6,2,FALSE)),0))</f>
        <v>70</v>
      </c>
      <c r="T105" s="59" t="s">
        <v>189</v>
      </c>
      <c r="U105" s="58" t="str">
        <f t="shared" si="8"/>
        <v>Autoimagen inepta</v>
      </c>
      <c r="V105" s="60" t="s">
        <v>306</v>
      </c>
      <c r="W105" s="59">
        <f t="shared" si="9"/>
        <v>6</v>
      </c>
      <c r="X105" s="78">
        <f t="shared" ca="1" si="10"/>
        <v>80</v>
      </c>
      <c r="Y105" s="78">
        <f t="shared" ca="1" si="11"/>
        <v>85</v>
      </c>
      <c r="Z105" s="60" t="str">
        <f t="shared" ca="1" si="12"/>
        <v/>
      </c>
      <c r="AA105" s="59" t="str">
        <f t="shared" ca="1" si="13"/>
        <v/>
      </c>
      <c r="AB105" s="58">
        <f t="shared" ca="1" si="14"/>
        <v>105</v>
      </c>
      <c r="AD105" s="136" t="str">
        <f ca="1">IF(Y105&lt;=74,"en este rango, el puntaje no permite realizar una interpretación válida sobre la presencia de características asociadas a la faceta de Autoimagen inepta",IF(Y105&gt;=75,"se ve a sí mismo como débil, frágil e incompetente. Carece de confianza en sí mismo porque menosprecia su forma de ver las cosas"&amp;" y sus capacidades; por ello, no es capaz de hacer nada por sí solo. No obstante, gran parte de este autodesprecio tiene poca razón de ser; más bien se trata de una estrategia para conseguir elogios y apoyo de los demás"))</f>
        <v>se ve a sí mismo como débil, frágil e incompetente. Carece de confianza en sí mismo porque menosprecia su forma de ver las cosas y sus capacidades; por ello, no es capaz de hacer nada por sí solo. No obstante, gran parte de este autodesprecio tiene poca razón de ser; más bien se trata de una estrategia para conseguir elogios y apoyo de los demás</v>
      </c>
    </row>
    <row r="106" spans="2:30" ht="17.25">
      <c r="B106" s="57"/>
      <c r="C106" s="55"/>
      <c r="D106" s="55"/>
      <c r="E106" s="55"/>
      <c r="F106" s="55"/>
      <c r="G106" s="56"/>
      <c r="H106" s="56"/>
      <c r="I106" s="57"/>
      <c r="J106" s="55"/>
      <c r="K106" s="57"/>
      <c r="L106" s="55"/>
      <c r="M106" s="55"/>
      <c r="N106" s="55"/>
      <c r="O106" s="56"/>
      <c r="P106" s="56"/>
      <c r="Q106" s="56"/>
      <c r="Z106" s="60" t="str">
        <f t="shared" ca="1" si="12"/>
        <v/>
      </c>
      <c r="AA106" s="59" t="str">
        <f t="shared" ca="1" si="13"/>
        <v/>
      </c>
      <c r="AB106" s="58" t="str">
        <f t="shared" ca="1" si="14"/>
        <v/>
      </c>
    </row>
    <row r="107" spans="2:30" ht="17.25">
      <c r="B107" s="83" t="s">
        <v>201</v>
      </c>
      <c r="C107" s="134"/>
      <c r="D107" s="225" t="s">
        <v>190</v>
      </c>
      <c r="E107" s="225"/>
      <c r="F107" s="225"/>
      <c r="G107" s="56"/>
      <c r="H107" s="56"/>
      <c r="I107" s="57"/>
      <c r="J107" s="55"/>
      <c r="K107" s="83" t="s">
        <v>234</v>
      </c>
      <c r="L107" s="225" t="s">
        <v>418</v>
      </c>
      <c r="M107" s="225"/>
      <c r="N107" s="225"/>
      <c r="O107" s="56"/>
      <c r="P107" s="56"/>
      <c r="Q107" s="56"/>
      <c r="U107" s="59"/>
      <c r="V107" s="59"/>
      <c r="Z107" s="60" t="str">
        <f t="shared" ca="1" si="12"/>
        <v/>
      </c>
      <c r="AA107" s="59" t="str">
        <f t="shared" ca="1" si="13"/>
        <v/>
      </c>
      <c r="AB107" s="58" t="str">
        <f t="shared" ca="1" si="14"/>
        <v/>
      </c>
    </row>
    <row r="108" spans="2:30" ht="17.25">
      <c r="B108" s="57" t="s">
        <v>307</v>
      </c>
      <c r="C108" s="55"/>
      <c r="D108" s="221" t="s">
        <v>413</v>
      </c>
      <c r="E108" s="221"/>
      <c r="F108" s="221"/>
      <c r="G108" s="56">
        <f>+Protocolo!CZ27</f>
        <v>0</v>
      </c>
      <c r="H108" s="56">
        <f ca="1">+INDEX(INDIRECT("BBBB"&amp;VLOOKUP(Portada!C28,Portada!O5:P6,2,FALSE)),MATCH(ROUND(G108,2),INDIRECT("AAAAA"&amp;VLOOKUP(Portada!C28,Portada!O5:P6,2,FALSE)),0))</f>
        <v>31</v>
      </c>
      <c r="I108" s="57">
        <f ca="1">+INDEX(INDIRECT("ZZ"&amp;VLOOKUP(Portada!C28,Portada!O5:P6,2,FALSE)),MATCH(ROUND(G108,2),INDIRECT("AAAAA"&amp;VLOOKUP(Portada!C28,Portada!O5:P6,2,FALSE)),0))</f>
        <v>0</v>
      </c>
      <c r="J108" s="55"/>
      <c r="K108" s="57" t="s">
        <v>331</v>
      </c>
      <c r="L108" s="221" t="s">
        <v>407</v>
      </c>
      <c r="M108" s="221"/>
      <c r="N108" s="221"/>
      <c r="O108" s="56">
        <f>+Protocolo!FD29</f>
        <v>8</v>
      </c>
      <c r="P108" s="56">
        <f ca="1">+INDEX(INDIRECT("DDDDDD"&amp;VLOOKUP(Portada!C28,Portada!O5:P6,2,FALSE)),MATCH(ROUND(O108,2),INDIRECT("AAAAA"&amp;VLOOKUP(Portada!C28,Portada!O5:P6,2,FALSE)),0))</f>
        <v>90</v>
      </c>
      <c r="Q108" s="56">
        <f ca="1">+INDEX(INDIRECT("CCCCCC"&amp;VLOOKUP(Portada!C28,Portada!O5:P6,2,FALSE)),MATCH(ROUND(O108,2),INDIRECT("AAAAA"&amp;VLOOKUP(Portada!C28,Portada!O5:P6,2,FALSE)),0))</f>
        <v>85</v>
      </c>
      <c r="T108" s="59" t="s">
        <v>190</v>
      </c>
      <c r="U108" s="58" t="str">
        <f t="shared" si="8"/>
        <v>Expresivamente dramático</v>
      </c>
      <c r="V108" s="60" t="s">
        <v>307</v>
      </c>
      <c r="W108" s="59">
        <f t="shared" si="9"/>
        <v>0</v>
      </c>
      <c r="X108" s="78">
        <f t="shared" ca="1" si="10"/>
        <v>31</v>
      </c>
      <c r="Y108" s="78">
        <f t="shared" ca="1" si="11"/>
        <v>0</v>
      </c>
      <c r="Z108" s="60" t="str">
        <f t="shared" ca="1" si="12"/>
        <v/>
      </c>
      <c r="AA108" s="59" t="str">
        <f t="shared" ca="1" si="13"/>
        <v/>
      </c>
      <c r="AB108" s="58" t="str">
        <f t="shared" ca="1" si="14"/>
        <v/>
      </c>
      <c r="AD108" s="136" t="str">
        <f ca="1">IF(Y108&lt;=74,"en este rango, el puntaje no permite realizar una interpretación válida sobre la presencia de características asociadas a la faceta de Expresivamente dramático",IF(Y108&gt;=75,"reacciona exageradamente y es voluble, provocador y cautivador. Tiende a ser caprichoso,"&amp;" a entusiasmarse fácilmente y a no tolerar los fracasos, los retrasos ni las desilusiones."&amp;" Por ello, reacciona de forma impulsiva, teatral y sumamente emocional. Le atraen los momentos de gran entusiasmo, las aventuras fugaces y el hedonismo con poca visión de futuro"))</f>
        <v>en este rango, el puntaje no permite realizar una interpretación válida sobre la presencia de características asociadas a la faceta de Expresivamente dramático</v>
      </c>
    </row>
    <row r="109" spans="2:30" ht="17.25">
      <c r="B109" s="57" t="s">
        <v>308</v>
      </c>
      <c r="C109" s="55"/>
      <c r="D109" s="221" t="s">
        <v>414</v>
      </c>
      <c r="E109" s="221"/>
      <c r="F109" s="221"/>
      <c r="G109" s="56">
        <f>+Protocolo!DB30</f>
        <v>1</v>
      </c>
      <c r="H109" s="56">
        <f ca="1">+INDEX(INDIRECT("DDDD"&amp;VLOOKUP(Portada!C28,Portada!O5:P6,2,FALSE)),MATCH(ROUND(G109,2),INDIRECT("AAAAA"&amp;VLOOKUP(Portada!C28,Portada!O5:P6,2,FALSE)),0))</f>
        <v>15</v>
      </c>
      <c r="I109" s="57">
        <f ca="1">+INDEX(INDIRECT("CCCC"&amp;VLOOKUP(Portada!C28,Portada!O5:P6,2,FALSE)),MATCH(ROUND(G109,2),INDIRECT("AAAAA"&amp;VLOOKUP(Portada!C28,Portada!O5:P6,2,FALSE)),0))</f>
        <v>15</v>
      </c>
      <c r="J109" s="55"/>
      <c r="K109" s="57" t="s">
        <v>332</v>
      </c>
      <c r="L109" s="221" t="s">
        <v>408</v>
      </c>
      <c r="M109" s="221"/>
      <c r="N109" s="221"/>
      <c r="O109" s="56">
        <f>+Protocolo!FF31</f>
        <v>5</v>
      </c>
      <c r="P109" s="56">
        <f ca="1">+INDEX(INDIRECT("FFFFFF"&amp;VLOOKUP(Portada!C28,Portada!O5:P6,2,FALSE)),MATCH(ROUND(O109,2),INDIRECT("AAAAA"&amp;VLOOKUP(Portada!C28,Portada!O5:P6,2,FALSE)),0))</f>
        <v>65</v>
      </c>
      <c r="Q109" s="56">
        <f ca="1">+INDEX(INDIRECT("EEEEEE"&amp;VLOOKUP(Portada!C28,Portada!O5:P6,2,FALSE)),MATCH(ROUND(O109,2),INDIRECT("AAAAA"&amp;VLOOKUP(Portada!C28,Portada!O5:P6,2,FALSE)),0))</f>
        <v>66</v>
      </c>
      <c r="T109" s="59" t="s">
        <v>190</v>
      </c>
      <c r="U109" s="58" t="str">
        <f t="shared" si="8"/>
        <v>Interpers. buscador de atención</v>
      </c>
      <c r="V109" s="60" t="s">
        <v>308</v>
      </c>
      <c r="W109" s="59">
        <f t="shared" si="9"/>
        <v>1</v>
      </c>
      <c r="X109" s="78">
        <f t="shared" ca="1" si="10"/>
        <v>15</v>
      </c>
      <c r="Y109" s="78">
        <f t="shared" ca="1" si="11"/>
        <v>15</v>
      </c>
      <c r="Z109" s="60" t="str">
        <f t="shared" ca="1" si="12"/>
        <v/>
      </c>
      <c r="AA109" s="59" t="str">
        <f t="shared" ca="1" si="13"/>
        <v/>
      </c>
      <c r="AB109" s="58" t="str">
        <f t="shared" ca="1" si="14"/>
        <v/>
      </c>
      <c r="AD109" s="136" t="str">
        <f ca="1">IF(Y109&lt;=74,"en este rango, el puntaje no permite realizar una interpretación válida sobre la presencia de características asociadas a la faceta de Interpersonalmente buscador de atención",IF(Y109&gt;=75,"busca o exige, de forma activa, que le elogien, y manipula a los demás para conseguir "&amp;"la seguridad, atención y aprobación que necesita. Tiende a ser exigente, coqueto, engreído y seductoramente exhibicionista, en especial cuando quiere ser el centro de atención"))</f>
        <v>en este rango, el puntaje no permite realizar una interpretación válida sobre la presencia de características asociadas a la faceta de Interpersonalmente buscador de atención</v>
      </c>
    </row>
    <row r="110" spans="2:30" ht="17.25">
      <c r="B110" s="57" t="s">
        <v>309</v>
      </c>
      <c r="C110" s="55"/>
      <c r="D110" s="221" t="s">
        <v>415</v>
      </c>
      <c r="E110" s="221"/>
      <c r="F110" s="221"/>
      <c r="G110" s="56">
        <f>+Protocolo!DD32</f>
        <v>1</v>
      </c>
      <c r="H110" s="56">
        <f ca="1">+INDEX(INDIRECT("FFFF"&amp;VLOOKUP(Portada!C28,Portada!O5:P6,2,FALSE)),MATCH(ROUND(G110,2),INDIRECT("AAAAA"&amp;VLOOKUP(Portada!C28,Portada!O5:P6,2,FALSE)),0))</f>
        <v>15</v>
      </c>
      <c r="I110" s="57">
        <f ca="1">+INDEX(INDIRECT("EEEE"&amp;VLOOKUP(Portada!C28,Portada!O5:P6,2,FALSE)),MATCH(ROUND(G110,2),INDIRECT("AAAAA"&amp;VLOOKUP(Portada!C28,Portada!O5:P6,2,FALSE)),0))</f>
        <v>12</v>
      </c>
      <c r="J110" s="55"/>
      <c r="K110" s="57" t="s">
        <v>333</v>
      </c>
      <c r="L110" s="221" t="s">
        <v>409</v>
      </c>
      <c r="M110" s="221"/>
      <c r="N110" s="221"/>
      <c r="O110" s="56">
        <f>+Protocolo!FH31</f>
        <v>2</v>
      </c>
      <c r="P110" s="56">
        <f ca="1">+INDEX(INDIRECT("HHHHHH"&amp;VLOOKUP(Portada!C28,Portada!O5:P6,2,FALSE)),MATCH(ROUND(O110,2),INDIRECT("AAAAA"&amp;VLOOKUP(Portada!C28,Portada!O5:P6,2,FALSE)),0))</f>
        <v>46</v>
      </c>
      <c r="Q110" s="56">
        <f ca="1">+INDEX(INDIRECT("GGGGGG"&amp;VLOOKUP(Portada!C28,Portada!O5:P6,2,FALSE)),MATCH(ROUND(O110,2),INDIRECT("AAAAA"&amp;VLOOKUP(Portada!C28,Portada!O5:P6,2,FALSE)),0))</f>
        <v>60</v>
      </c>
      <c r="T110" s="59" t="s">
        <v>190</v>
      </c>
      <c r="U110" s="58" t="str">
        <f t="shared" si="8"/>
        <v>Temperamentalmente inconstante</v>
      </c>
      <c r="V110" s="60" t="s">
        <v>309</v>
      </c>
      <c r="W110" s="59">
        <f t="shared" si="9"/>
        <v>1</v>
      </c>
      <c r="X110" s="78">
        <f t="shared" ca="1" si="10"/>
        <v>15</v>
      </c>
      <c r="Y110" s="78">
        <f t="shared" ca="1" si="11"/>
        <v>12</v>
      </c>
      <c r="Z110" s="60" t="str">
        <f t="shared" ca="1" si="12"/>
        <v/>
      </c>
      <c r="AA110" s="59" t="str">
        <f t="shared" ca="1" si="13"/>
        <v/>
      </c>
      <c r="AB110" s="58" t="str">
        <f t="shared" ca="1" si="14"/>
        <v/>
      </c>
      <c r="AD110" s="136" t="str">
        <f ca="1">IF(Y110&lt;=74,"en este rango, el puntaje no permite realizar una interpretación válida sobre la presencia de características asociadas a la faceta de Temperamentalmente inconstante",IF(Y110&gt;=75,"tiende a ser muy sensible emocionalmente y a mostrar sus sentimientos, positivos y negativos, que cambian a menudo con una facilidad inusual. Pasa fácilmente de "&amp;"estar alegre, animado y entusiasmado a mostrarse impulsivo, enfadado o aburrido. Posee un alto nivel de energía y activación, así como un bajo umbral de reactividad autónoma"))</f>
        <v>en este rango, el puntaje no permite realizar una interpretación válida sobre la presencia de características asociadas a la faceta de Temperamentalmente inconstante</v>
      </c>
    </row>
    <row r="111" spans="2:30" ht="17.25">
      <c r="B111" s="57"/>
      <c r="C111" s="55"/>
      <c r="D111" s="55"/>
      <c r="E111" s="55"/>
      <c r="F111" s="55"/>
      <c r="G111" s="56"/>
      <c r="H111" s="56"/>
      <c r="I111" s="57"/>
      <c r="J111" s="55"/>
      <c r="K111" s="57"/>
      <c r="L111" s="55"/>
      <c r="M111" s="55"/>
      <c r="N111" s="55"/>
      <c r="O111" s="56"/>
      <c r="P111" s="56"/>
      <c r="Q111" s="56"/>
      <c r="Z111" s="60" t="str">
        <f t="shared" ca="1" si="12"/>
        <v/>
      </c>
      <c r="AA111" s="59" t="str">
        <f t="shared" ca="1" si="13"/>
        <v/>
      </c>
      <c r="AB111" s="58" t="str">
        <f t="shared" ca="1" si="14"/>
        <v/>
      </c>
    </row>
    <row r="112" spans="2:30" ht="17.25">
      <c r="B112" s="83" t="s">
        <v>202</v>
      </c>
      <c r="C112" s="134"/>
      <c r="D112" s="225" t="s">
        <v>191</v>
      </c>
      <c r="E112" s="225"/>
      <c r="F112" s="225"/>
      <c r="G112" s="56"/>
      <c r="H112" s="56"/>
      <c r="I112" s="57"/>
      <c r="J112" s="55"/>
      <c r="K112" s="83" t="s">
        <v>235</v>
      </c>
      <c r="L112" s="225" t="s">
        <v>232</v>
      </c>
      <c r="M112" s="225"/>
      <c r="N112" s="225"/>
      <c r="O112" s="56"/>
      <c r="P112" s="56"/>
      <c r="Q112" s="56"/>
      <c r="U112" s="59"/>
      <c r="V112" s="59"/>
      <c r="Z112" s="60" t="str">
        <f t="shared" ca="1" si="12"/>
        <v/>
      </c>
      <c r="AA112" s="59" t="str">
        <f t="shared" ca="1" si="13"/>
        <v/>
      </c>
      <c r="AB112" s="58" t="str">
        <f t="shared" ca="1" si="14"/>
        <v/>
      </c>
    </row>
    <row r="113" spans="2:30" ht="17.25">
      <c r="B113" s="57" t="s">
        <v>310</v>
      </c>
      <c r="C113" s="55"/>
      <c r="D113" s="221" t="s">
        <v>389</v>
      </c>
      <c r="E113" s="221"/>
      <c r="F113" s="221"/>
      <c r="G113" s="56">
        <f>+Protocolo!DG28</f>
        <v>0</v>
      </c>
      <c r="H113" s="56">
        <f ca="1">+INDEX(INDIRECT("HHHH"&amp;VLOOKUP(Portada!C28,Portada!O5:P6,2,FALSE)),MATCH(ROUND(G113,2),INDIRECT("AAAAA"&amp;VLOOKUP(Portada!C28,Portada!O5:P6,2,FALSE)),0))</f>
        <v>11</v>
      </c>
      <c r="I113" s="57">
        <f ca="1">+INDEX(INDIRECT("GGGG"&amp;VLOOKUP(Portada!C28,Portada!O5:P6,2,FALSE)),MATCH(ROUND(G113,2),INDIRECT("AAAAA"&amp;VLOOKUP(Portada!C28,Portada!O5:P6,2,FALSE)),0))</f>
        <v>0</v>
      </c>
      <c r="J113" s="55"/>
      <c r="K113" s="57" t="s">
        <v>334</v>
      </c>
      <c r="L113" s="221" t="s">
        <v>410</v>
      </c>
      <c r="M113" s="221"/>
      <c r="N113" s="221"/>
      <c r="O113" s="56">
        <f>+Protocolo!FK28</f>
        <v>6</v>
      </c>
      <c r="P113" s="56">
        <f ca="1">+INDEX(INDIRECT("KKKKKK"&amp;VLOOKUP(Portada!C28,Portada!O5:P6,2,FALSE)),MATCH(ROUND(O113,2),INDIRECT("AAAAA"&amp;VLOOKUP(Portada!C28,Portada!O5:P6,2,FALSE)),0))</f>
        <v>78</v>
      </c>
      <c r="Q113" s="56">
        <f ca="1">+INDEX(INDIRECT("JJJJJJ"&amp;VLOOKUP(Portada!C28,Portada!O5:P6,2,FALSE)),MATCH(ROUND(O113,2),INDIRECT("AAAAA"&amp;VLOOKUP(Portada!C28,Portada!O5:P6,2,FALSE)),0))</f>
        <v>75</v>
      </c>
      <c r="T113" s="59" t="s">
        <v>191</v>
      </c>
      <c r="U113" s="58" t="str">
        <f t="shared" si="8"/>
        <v>Expresivamente impetuoso</v>
      </c>
      <c r="V113" s="60" t="s">
        <v>310</v>
      </c>
      <c r="W113" s="59">
        <f t="shared" si="9"/>
        <v>0</v>
      </c>
      <c r="X113" s="78">
        <f t="shared" ca="1" si="10"/>
        <v>11</v>
      </c>
      <c r="Y113" s="78">
        <f t="shared" ca="1" si="11"/>
        <v>0</v>
      </c>
      <c r="Z113" s="60" t="str">
        <f t="shared" ca="1" si="12"/>
        <v/>
      </c>
      <c r="AA113" s="59" t="str">
        <f t="shared" ca="1" si="13"/>
        <v/>
      </c>
      <c r="AB113" s="58" t="str">
        <f ca="1">IF(TRIM(LOWER(T113))=TRIM(LOWER($B$79)), ROW(), "")</f>
        <v/>
      </c>
      <c r="AD113" s="136" t="str">
        <f ca="1">IF(Y113&lt;=74,"en este rango, el puntaje no permite realizar una interpretación válida sobre la presencia de características asociadas a la faceta de Expresivamente impetuoso",IF(Y113&gt;=75,"es enérgico, decidido, emocionalmente excitable e intensamente entusiasta. Tiene una gran vitalidad y, con frecuencia, se muestra inquieto e "&amp;"infatigable. Sin embargo, su espíritu incansable no necesariamente se traduce en logros efectivos; y, cuando esto sucede, puede pasar a ser obstinado con los demás, incorrecto o potencialmente cáustico y agresivo"))</f>
        <v>en este rango, el puntaje no permite realizar una interpretación válida sobre la presencia de características asociadas a la faceta de Expresivamente impetuoso</v>
      </c>
    </row>
    <row r="114" spans="2:30" ht="17.25">
      <c r="B114" s="57" t="s">
        <v>311</v>
      </c>
      <c r="C114" s="55"/>
      <c r="D114" s="221" t="s">
        <v>390</v>
      </c>
      <c r="E114" s="221"/>
      <c r="F114" s="221"/>
      <c r="G114" s="56">
        <f>+Protocolo!DI29</f>
        <v>2</v>
      </c>
      <c r="H114" s="56">
        <f ca="1">+INDEX(INDIRECT("JJJJ"&amp;VLOOKUP(Portada!C28,Portada!O5:P6,2,FALSE)),MATCH(ROUND(G114,2),INDIRECT("AAAAA"&amp;VLOOKUP(Portada!C28,Portada!O5:P6,2,FALSE)),0))</f>
        <v>36</v>
      </c>
      <c r="I114" s="57">
        <f ca="1">+INDEX(INDIRECT("IIII"&amp;VLOOKUP(Portada!C28,Portada!O5:P6,2,FALSE)),MATCH(ROUND(G114,2),INDIRECT("AAAAA"&amp;VLOOKUP(Portada!C28,Portada!O5:P6,2,FALSE)),0))</f>
        <v>40</v>
      </c>
      <c r="J114" s="55"/>
      <c r="K114" s="57" t="s">
        <v>335</v>
      </c>
      <c r="L114" s="221" t="s">
        <v>411</v>
      </c>
      <c r="M114" s="221"/>
      <c r="N114" s="221"/>
      <c r="O114" s="56">
        <f>+Protocolo!FM31</f>
        <v>4</v>
      </c>
      <c r="P114" s="56">
        <f ca="1">+INDEX(INDIRECT("MMMMMM"&amp;VLOOKUP(Portada!C28,Portada!O5:P6,2,FALSE)),MATCH(ROUND(O114,2),INDIRECT("AAAAA"&amp;VLOOKUP(Portada!C28,Portada!O5:P6,2,FALSE)),0))</f>
        <v>63</v>
      </c>
      <c r="Q114" s="56">
        <f ca="1">+INDEX(INDIRECT("LLLLLL"&amp;VLOOKUP(Portada!C28,Portada!O5:P6,2,FALSE)),MATCH(ROUND(O114,2),INDIRECT("AAAAA"&amp;VLOOKUP(Portada!C28,Portada!O5:P6,2,FALSE)),0))</f>
        <v>65</v>
      </c>
      <c r="T114" s="59" t="s">
        <v>191</v>
      </c>
      <c r="U114" s="58" t="str">
        <f t="shared" si="8"/>
        <v>Interpers. euforico</v>
      </c>
      <c r="V114" s="60" t="s">
        <v>311</v>
      </c>
      <c r="W114" s="59">
        <f t="shared" si="9"/>
        <v>2</v>
      </c>
      <c r="X114" s="78">
        <f ca="1">+H114</f>
        <v>36</v>
      </c>
      <c r="Y114" s="78">
        <f t="shared" ca="1" si="11"/>
        <v>40</v>
      </c>
      <c r="Z114" s="60" t="str">
        <f t="shared" ca="1" si="12"/>
        <v/>
      </c>
      <c r="AA114" s="59" t="str">
        <f t="shared" ca="1" si="13"/>
        <v/>
      </c>
      <c r="AB114" s="58" t="str">
        <f t="shared" ca="1" si="14"/>
        <v/>
      </c>
      <c r="AD114" s="136" t="str">
        <f ca="1">IF(Y114&lt;=74,"en este rango, el puntaje no permite realizar una interpretación válida sobre la presencia de características asociadas a la faceta de Interpersonalmente eufórico",IF(Y114&gt;=75,"es socialmente muy optimista y animado, e intenta atraer"&amp;" a los demás con un entusiasmo contagioso. Por lo general, se muestra entusiasta, pero cuando está bajo presión o especialmente eufórico, puede volverse entrometido, autoritario e innecesariamente insistente"))</f>
        <v>en este rango, el puntaje no permite realizar una interpretación válida sobre la presencia de características asociadas a la faceta de Interpersonalmente eufórico</v>
      </c>
    </row>
    <row r="115" spans="2:30" ht="17.25">
      <c r="B115" s="57" t="s">
        <v>312</v>
      </c>
      <c r="C115" s="55"/>
      <c r="D115" s="221" t="s">
        <v>391</v>
      </c>
      <c r="E115" s="221"/>
      <c r="F115" s="221"/>
      <c r="G115" s="56">
        <f>+Protocolo!DK28</f>
        <v>3</v>
      </c>
      <c r="H115" s="56">
        <f ca="1">+INDEX(INDIRECT("LLLL"&amp;VLOOKUP(Portada!C28,Portada!O5:P6,2,FALSE)),MATCH(ROUND(G115,2),INDIRECT("AAAAA"&amp;VLOOKUP(Portada!C28,Portada!O5:P6,2,FALSE)),0))</f>
        <v>43</v>
      </c>
      <c r="I115" s="57">
        <f ca="1">+INDEX(INDIRECT("KKKK"&amp;VLOOKUP(Portada!C28,Portada!O5:P6,2,FALSE)),MATCH(ROUND(G115,2),INDIRECT("AAAAA"&amp;VLOOKUP(Portada!C28,Portada!O5:P6,2,FALSE)),0))</f>
        <v>45</v>
      </c>
      <c r="J115" s="55"/>
      <c r="K115" s="57" t="s">
        <v>336</v>
      </c>
      <c r="L115" s="221" t="s">
        <v>412</v>
      </c>
      <c r="M115" s="221"/>
      <c r="N115" s="221"/>
      <c r="O115" s="68">
        <f>+Protocolo!FO30</f>
        <v>3</v>
      </c>
      <c r="P115" s="56">
        <f ca="1">+INDEX(INDIRECT("XXXXXX"&amp;VLOOKUP(Portada!C28,Portada!O5:P6,2,FALSE)),MATCH(ROUND(O115,2),INDIRECT("AAAAA"&amp;VLOOKUP(Portada!C28,Portada!O5:P6,2,FALSE)),0))</f>
        <v>54</v>
      </c>
      <c r="Q115" s="56">
        <f ca="1">+INDEX(INDIRECT("NNNNNN"&amp;VLOOKUP(Portada!C28,Portada!O5:P6,2,FALSE)),MATCH(ROUND(O115,2),INDIRECT("AAAAA"&amp;VLOOKUP(Portada!C28,Portada!O5:P6,2,FALSE)),0))</f>
        <v>60</v>
      </c>
      <c r="T115" s="59" t="s">
        <v>191</v>
      </c>
      <c r="U115" s="58" t="str">
        <f t="shared" si="8"/>
        <v>Autoimagen sobreestimada</v>
      </c>
      <c r="V115" s="60" t="s">
        <v>312</v>
      </c>
      <c r="W115" s="59">
        <f t="shared" si="9"/>
        <v>3</v>
      </c>
      <c r="X115" s="78">
        <f t="shared" ca="1" si="10"/>
        <v>43</v>
      </c>
      <c r="Y115" s="78">
        <f t="shared" ca="1" si="11"/>
        <v>45</v>
      </c>
      <c r="Z115" s="60" t="str">
        <f t="shared" ca="1" si="12"/>
        <v/>
      </c>
      <c r="AA115" s="59" t="str">
        <f t="shared" ca="1" si="13"/>
        <v/>
      </c>
      <c r="AB115" s="58" t="str">
        <f t="shared" ca="1" si="14"/>
        <v/>
      </c>
      <c r="AD115" s="136" t="str">
        <f ca="1">IF(Y115&lt;=74,"en este rango, el puntaje no permite realizar una interpretación válida sobre la presencia de características asociadas a la faceta de Autoimagen sobreestimada",IF(Y115&gt;=75,"se ve a sí mismo como una fuerza imponente, "&amp;"inspiradora y vigorosa, cuya energía omnipresente activa y estimula a los demás. Tiende a creerse invencible, capaz de emprender y lograr más de lo objetivamente posible"))</f>
        <v>en este rango, el puntaje no permite realizar una interpretación válida sobre la presencia de características asociadas a la faceta de Autoimagen sobreestimada</v>
      </c>
    </row>
    <row r="116" spans="2:30" ht="17.25">
      <c r="B116" s="57"/>
      <c r="C116" s="55"/>
      <c r="D116" s="55"/>
      <c r="E116" s="55"/>
      <c r="F116" s="55"/>
      <c r="G116" s="56"/>
      <c r="H116" s="56"/>
      <c r="I116" s="57"/>
      <c r="J116" s="55"/>
      <c r="K116" s="57"/>
      <c r="L116" s="55"/>
      <c r="M116" s="55"/>
      <c r="N116" s="55"/>
      <c r="O116" s="56"/>
      <c r="P116" s="56"/>
      <c r="Q116" s="56"/>
      <c r="Z116" s="60" t="str">
        <f t="shared" ca="1" si="12"/>
        <v/>
      </c>
      <c r="AA116" s="59" t="str">
        <f t="shared" ca="1" si="13"/>
        <v/>
      </c>
      <c r="AB116" s="58" t="str">
        <f t="shared" ca="1" si="14"/>
        <v/>
      </c>
    </row>
    <row r="117" spans="2:30" ht="17.25">
      <c r="B117" s="83">
        <v>5</v>
      </c>
      <c r="C117" s="134"/>
      <c r="D117" s="225" t="s">
        <v>192</v>
      </c>
      <c r="E117" s="225"/>
      <c r="F117" s="225"/>
      <c r="G117" s="56"/>
      <c r="H117" s="56"/>
      <c r="I117" s="57"/>
      <c r="J117" s="55"/>
      <c r="K117" s="83" t="s">
        <v>236</v>
      </c>
      <c r="L117" s="225" t="s">
        <v>233</v>
      </c>
      <c r="M117" s="225"/>
      <c r="N117" s="225"/>
      <c r="O117" s="56"/>
      <c r="P117" s="56"/>
      <c r="Q117" s="56"/>
      <c r="U117" s="59"/>
      <c r="V117" s="59"/>
      <c r="Z117" s="60" t="str">
        <f t="shared" ca="1" si="12"/>
        <v/>
      </c>
      <c r="AA117" s="59" t="str">
        <f t="shared" ca="1" si="13"/>
        <v/>
      </c>
      <c r="AB117" s="58" t="str">
        <f t="shared" ca="1" si="14"/>
        <v/>
      </c>
    </row>
    <row r="118" spans="2:30" ht="17.25">
      <c r="B118" s="57" t="s">
        <v>313</v>
      </c>
      <c r="C118" s="55"/>
      <c r="D118" s="221" t="s">
        <v>392</v>
      </c>
      <c r="E118" s="221"/>
      <c r="F118" s="221"/>
      <c r="G118" s="56">
        <f>+Protocolo!DN29</f>
        <v>0</v>
      </c>
      <c r="H118" s="56">
        <f ca="1">+INDEX(INDIRECT("NNNN"&amp;VLOOKUP(Portada!C28,Portada!O5:P6,2,FALSE)),MATCH(ROUND(G118,2),INDIRECT("AAAAA"&amp;VLOOKUP(Portada!C28,Portada!O5:P6,2,FALSE)),0))</f>
        <v>26</v>
      </c>
      <c r="I118" s="57">
        <f ca="1">+INDEX(INDIRECT("MMMM"&amp;VLOOKUP(Portada!C28,Portada!O5:P6,2,FALSE)),MATCH(ROUND(G118,2),INDIRECT("AAAAA"&amp;VLOOKUP(Portada!C28,Portada!O5:P6,2,FALSE)),0))</f>
        <v>0</v>
      </c>
      <c r="J118" s="55"/>
      <c r="K118" s="57" t="s">
        <v>337</v>
      </c>
      <c r="L118" s="221" t="s">
        <v>416</v>
      </c>
      <c r="M118" s="221"/>
      <c r="N118" s="221"/>
      <c r="O118" s="56">
        <f>+Protocolo!FR29</f>
        <v>5</v>
      </c>
      <c r="P118" s="56">
        <f ca="1">+INDEX(INDIRECT("SSSSSS"&amp;VLOOKUP(Portada!C28,Portada!O5:P6,2,FALSE)),MATCH(ROUND(O118,2),INDIRECT("AAAAA"&amp;VLOOKUP(Portada!C28,Portada!O5:P6,2,FALSE)),0))</f>
        <v>81</v>
      </c>
      <c r="Q118" s="56">
        <f ca="1">+INDEX(INDIRECT("ZZZZZZ"&amp;VLOOKUP(Portada!C28,Portada!O5:P6,2,FALSE)),MATCH(ROUND(O118,2),INDIRECT("AAAAA"&amp;VLOOKUP(Portada!C28,Portada!O5:P6,2,FALSE)),0))</f>
        <v>75</v>
      </c>
      <c r="T118" s="59" t="s">
        <v>192</v>
      </c>
      <c r="U118" s="58" t="str">
        <f t="shared" si="8"/>
        <v>Interpers. explotador</v>
      </c>
      <c r="V118" s="60" t="s">
        <v>313</v>
      </c>
      <c r="W118" s="59">
        <f t="shared" si="9"/>
        <v>0</v>
      </c>
      <c r="X118" s="78">
        <f t="shared" ca="1" si="10"/>
        <v>26</v>
      </c>
      <c r="Y118" s="78">
        <f t="shared" ca="1" si="11"/>
        <v>0</v>
      </c>
      <c r="Z118" s="60" t="str">
        <f t="shared" ca="1" si="12"/>
        <v/>
      </c>
      <c r="AA118" s="59" t="str">
        <f t="shared" ca="1" si="13"/>
        <v/>
      </c>
      <c r="AB118" s="58" t="str">
        <f t="shared" ca="1" si="14"/>
        <v/>
      </c>
      <c r="AD118" s="136" t="str">
        <f ca="1">IF(Y118&lt;=74,"en este rango, el puntaje no permite realizar una interpretación válida sobre la presencia de características asociadas a la faceta de Interpersonalmente explotador",IF(Y118&gt;=75,"se siente con privilegios, carece "&amp;"de empatía y espera favores especiales a cambio de nada. Descaradamente, no valora a los demás y los utiliza para satisfacer sus propios deseos y destacar"))</f>
        <v>en este rango, el puntaje no permite realizar una interpretación válida sobre la presencia de características asociadas a la faceta de Interpersonalmente explotador</v>
      </c>
    </row>
    <row r="119" spans="2:30" ht="17.25">
      <c r="B119" s="57" t="s">
        <v>314</v>
      </c>
      <c r="C119" s="55"/>
      <c r="D119" s="221" t="s">
        <v>393</v>
      </c>
      <c r="E119" s="221"/>
      <c r="F119" s="221"/>
      <c r="G119" s="56">
        <f>+Protocolo!DP30</f>
        <v>2</v>
      </c>
      <c r="H119" s="56">
        <f ca="1">+INDEX(INDIRECT("PPPP"&amp;VLOOKUP(Portada!C28,Portada!O5:P6,2,FALSE)),MATCH(ROUND(G119,2),INDIRECT("AAAAA"&amp;VLOOKUP(Portada!C28,Portada!O5:P6,2,FALSE)),0))</f>
        <v>31</v>
      </c>
      <c r="I119" s="57">
        <f ca="1">+INDEX(INDIRECT("OOOO"&amp;VLOOKUP(Portada!C28,Portada!O5:P6,2,FALSE)),MATCH(ROUND(G119,2),INDIRECT("AAAAA"&amp;VLOOKUP(Portada!C28,Portada!O5:P6,2,FALSE)),0))</f>
        <v>30</v>
      </c>
      <c r="J119" s="55"/>
      <c r="K119" s="57" t="s">
        <v>338</v>
      </c>
      <c r="L119" s="221" t="s">
        <v>417</v>
      </c>
      <c r="M119" s="221"/>
      <c r="N119" s="221"/>
      <c r="O119" s="56">
        <f>+Protocolo!FT27</f>
        <v>2</v>
      </c>
      <c r="P119" s="56">
        <f ca="1">+INDEX(INDIRECT("QQQQQQ"&amp;VLOOKUP(Portada!C28,Portada!O5:P6,2,FALSE)),MATCH(ROUND(O119,2),INDIRECT("AAAAA"&amp;VLOOKUP(Portada!C28,Portada!O5:P6,2,FALSE)),0))</f>
        <v>50</v>
      </c>
      <c r="Q119" s="56">
        <f ca="1">+INDEX(INDIRECT("WWWWWW"&amp;VLOOKUP(Portada!C28,Portada!O5:P6,2,FALSE)),MATCH(ROUND(O119,2),INDIRECT("AAAAA"&amp;VLOOKUP(Portada!C28,Portada!O5:P6,2,FALSE)),0))</f>
        <v>60</v>
      </c>
      <c r="T119" s="59" t="s">
        <v>192</v>
      </c>
      <c r="U119" s="58" t="str">
        <f t="shared" si="8"/>
        <v>Cognitivamente expansivo</v>
      </c>
      <c r="V119" s="60" t="s">
        <v>314</v>
      </c>
      <c r="W119" s="59">
        <f t="shared" si="9"/>
        <v>2</v>
      </c>
      <c r="X119" s="78">
        <f t="shared" ca="1" si="10"/>
        <v>31</v>
      </c>
      <c r="Y119" s="78">
        <f t="shared" ca="1" si="11"/>
        <v>30</v>
      </c>
      <c r="Z119" s="60" t="str">
        <f t="shared" ca="1" si="12"/>
        <v/>
      </c>
      <c r="AA119" s="59" t="str">
        <f t="shared" ca="1" si="13"/>
        <v/>
      </c>
      <c r="AB119" s="58" t="str">
        <f t="shared" ca="1" si="14"/>
        <v/>
      </c>
      <c r="AD119" s="136" t="str">
        <f ca="1">IF(Y119&lt;=74,"en este rango, el puntaje no permite realizar una interpretación válida sobre la presencia de características asociadas a la faceta de Cognitivamente expansivo",IF(Y119&gt;=75,"tiene una imaginación desbocada, y sus pensamientos están centrados en fantasías inmaduras y vanagloriosas de éxito, belleza o amor. La realidad"&amp;" objetiva lo limita muy poco, hace su propia interpretación de los hechos y a menudo miente para mantener sus fantasías sobre sí mismo"))</f>
        <v>en este rango, el puntaje no permite realizar una interpretación válida sobre la presencia de características asociadas a la faceta de Cognitivamente expansivo</v>
      </c>
    </row>
    <row r="120" spans="2:30" ht="17.25">
      <c r="B120" s="57" t="s">
        <v>315</v>
      </c>
      <c r="C120" s="55"/>
      <c r="D120" s="221" t="s">
        <v>394</v>
      </c>
      <c r="E120" s="221"/>
      <c r="F120" s="221"/>
      <c r="G120" s="56">
        <f>+Protocolo!DR28</f>
        <v>0</v>
      </c>
      <c r="H120" s="56">
        <f ca="1">+INDEX(INDIRECT("RRRR"&amp;VLOOKUP(Portada!C28,Portada!O5:P6,2,FALSE)),MATCH(ROUND(G120,2),INDIRECT("AAAAA"&amp;VLOOKUP(Portada!C28,Portada!O5:P6,2,FALSE)),0))</f>
        <v>26</v>
      </c>
      <c r="I120" s="57">
        <f ca="1">+INDEX(INDIRECT("QQQQ"&amp;VLOOKUP(Portada!C28,Portada!O5:P6,2,FALSE)),MATCH(ROUND(G120,2),INDIRECT("AAAAA"&amp;VLOOKUP(Portada!C28,Portada!O5:P6,2,FALSE)),0))</f>
        <v>0</v>
      </c>
      <c r="J120" s="55"/>
      <c r="K120" s="57" t="s">
        <v>339</v>
      </c>
      <c r="L120" s="221" t="s">
        <v>714</v>
      </c>
      <c r="M120" s="221"/>
      <c r="N120" s="221"/>
      <c r="O120" s="56">
        <f>+Protocolo!FV30</f>
        <v>2</v>
      </c>
      <c r="P120" s="56">
        <f ca="1">+INDEX(INDIRECT("YYYYYY"&amp;VLOOKUP(Portada!C28,Portada!O5:P6,2,FALSE)),MATCH(ROUND(O120,2),INDIRECT("AAAAA"&amp;VLOOKUP(Portada!C28,Portada!O5:P6,2,FALSE)),0))</f>
        <v>53</v>
      </c>
      <c r="Q120" s="56">
        <f ca="1">+INDEX(INDIRECT("TTTTTT"&amp;VLOOKUP(Portada!C28,Portada!O5:P6,2,FALSE)),MATCH(ROUND(O120,2),INDIRECT("AAAAA"&amp;VLOOKUP(Portada!C28,Portada!O5:P6,2,FALSE)),0))</f>
        <v>60</v>
      </c>
      <c r="T120" s="59" t="s">
        <v>192</v>
      </c>
      <c r="U120" s="58" t="str">
        <f t="shared" si="8"/>
        <v>Autoimagen admirable</v>
      </c>
      <c r="V120" s="60" t="s">
        <v>315</v>
      </c>
      <c r="W120" s="59">
        <f t="shared" si="9"/>
        <v>0</v>
      </c>
      <c r="X120" s="78">
        <f t="shared" ca="1" si="10"/>
        <v>26</v>
      </c>
      <c r="Y120" s="78">
        <f t="shared" ca="1" si="11"/>
        <v>0</v>
      </c>
      <c r="Z120" s="60" t="str">
        <f t="shared" ca="1" si="12"/>
        <v/>
      </c>
      <c r="AA120" s="59" t="str">
        <f t="shared" ca="1" si="13"/>
        <v/>
      </c>
      <c r="AB120" s="58" t="str">
        <f t="shared" ca="1" si="14"/>
        <v/>
      </c>
      <c r="AD120" s="136" t="str">
        <f ca="1">IF(Y120&lt;=74,"en este rango, el puntaje no permite realizar una interpretación válida sobre la presencia de características asociadas a la faceta de Autoimagen admirable",IF(Y120&gt;=75,"cree que es elogiable, especial, único y digno de toda admiración. Actúa con grandiosidad y seguridad en sí mismo, a menudo sin que haya motivos para "&amp;"hacerlo. También tiene la autoestima muy alta a pesar de que los demás piensen que es egoísta, desconsiderado y arrogante"))</f>
        <v>en este rango, el puntaje no permite realizar una interpretación válida sobre la presencia de características asociadas a la faceta de Autoimagen admirable</v>
      </c>
    </row>
    <row r="121" spans="2:30" ht="17.25">
      <c r="B121" s="57"/>
      <c r="C121" s="55"/>
      <c r="D121" s="55"/>
      <c r="E121" s="55"/>
      <c r="F121" s="55"/>
      <c r="G121" s="56"/>
      <c r="H121" s="56"/>
      <c r="I121" s="57"/>
      <c r="J121" s="55"/>
      <c r="K121" s="55"/>
      <c r="L121" s="55"/>
      <c r="M121" s="55"/>
      <c r="N121" s="55"/>
      <c r="O121" s="56"/>
      <c r="P121" s="56"/>
      <c r="Q121" s="56"/>
      <c r="Z121" s="60" t="str">
        <f t="shared" ca="1" si="12"/>
        <v/>
      </c>
      <c r="AA121" s="59" t="str">
        <f t="shared" ca="1" si="13"/>
        <v/>
      </c>
      <c r="AB121" s="58" t="str">
        <f t="shared" ca="1" si="14"/>
        <v/>
      </c>
    </row>
    <row r="122" spans="2:30" ht="17.25">
      <c r="B122" s="83" t="s">
        <v>203</v>
      </c>
      <c r="C122" s="134"/>
      <c r="D122" s="225" t="s">
        <v>193</v>
      </c>
      <c r="E122" s="225"/>
      <c r="F122" s="225"/>
      <c r="G122" s="56"/>
      <c r="H122" s="56"/>
      <c r="I122" s="57"/>
      <c r="J122" s="55"/>
      <c r="K122" s="55"/>
      <c r="L122" s="55"/>
      <c r="M122" s="55"/>
      <c r="N122" s="55"/>
      <c r="O122" s="56"/>
      <c r="P122" s="56"/>
      <c r="Q122" s="56"/>
      <c r="U122" s="59"/>
      <c r="V122" s="59"/>
      <c r="Z122" s="60" t="str">
        <f t="shared" ca="1" si="12"/>
        <v/>
      </c>
      <c r="AA122" s="59" t="str">
        <f t="shared" ca="1" si="13"/>
        <v/>
      </c>
      <c r="AB122" s="58" t="str">
        <f t="shared" ca="1" si="14"/>
        <v/>
      </c>
    </row>
    <row r="123" spans="2:30" ht="17.25">
      <c r="B123" s="57" t="s">
        <v>316</v>
      </c>
      <c r="C123" s="55"/>
      <c r="D123" s="221" t="s">
        <v>395</v>
      </c>
      <c r="E123" s="221"/>
      <c r="F123" s="221"/>
      <c r="G123" s="68">
        <f>+Protocolo!DU28</f>
        <v>1</v>
      </c>
      <c r="H123" s="56">
        <f ca="1">+INDEX(INDIRECT("TTTT"&amp;VLOOKUP(Portada!C28,Portada!O5:P6,2,FALSE)),MATCH(ROUND(G123,2),INDIRECT("AAAAA"&amp;VLOOKUP(Portada!C28,Portada!O5:P6,2,FALSE)),0))</f>
        <v>47</v>
      </c>
      <c r="I123" s="57">
        <f ca="1">+INDEX(INDIRECT("SSSS"&amp;VLOOKUP(Portada!C28,Portada!O5:P6,2,FALSE)),MATCH(ROUND(G123,2),INDIRECT("AAAAA"&amp;VLOOKUP(Portada!C28,Portada!O5:P6,2,FALSE)),0))</f>
        <v>60</v>
      </c>
      <c r="J123" s="55"/>
      <c r="K123" s="55"/>
      <c r="L123" s="55"/>
      <c r="M123" s="55"/>
      <c r="N123" s="55"/>
      <c r="O123" s="56"/>
      <c r="P123" s="56"/>
      <c r="Q123" s="56"/>
      <c r="T123" s="59" t="s">
        <v>193</v>
      </c>
      <c r="U123" s="58" t="str">
        <f t="shared" si="8"/>
        <v>Interpers. irresponsable</v>
      </c>
      <c r="V123" s="60" t="s">
        <v>316</v>
      </c>
      <c r="W123" s="59">
        <f t="shared" si="9"/>
        <v>1</v>
      </c>
      <c r="X123" s="78">
        <f t="shared" ca="1" si="10"/>
        <v>47</v>
      </c>
      <c r="Y123" s="78">
        <f t="shared" ca="1" si="11"/>
        <v>60</v>
      </c>
      <c r="Z123" s="60" t="str">
        <f t="shared" ca="1" si="12"/>
        <v/>
      </c>
      <c r="AA123" s="59" t="str">
        <f t="shared" ca="1" si="13"/>
        <v/>
      </c>
      <c r="AB123" s="58" t="str">
        <f t="shared" ca="1" si="14"/>
        <v/>
      </c>
      <c r="AD123" s="136" t="str">
        <f ca="1">IF(Y123&lt;=74,"en este rango, el puntaje no permite realizar una interpretación válida sobre la presencia de características asociadas a la faceta de Interpersonalmente irresponsable",IF(Y123&gt;=75,"a menudo es una persona desleal, en la que no se puede confiar, e incumple o elude deliberadamente sus obligaciones personales. No es respetuosa"&amp;" con los demás y viola sus derechos. Sus conductas engañosas e ilegales conllevan la transgresión de los códigos sociales establecidos"))</f>
        <v>en este rango, el puntaje no permite realizar una interpretación válida sobre la presencia de características asociadas a la faceta de Interpersonalmente irresponsable</v>
      </c>
    </row>
    <row r="124" spans="2:30" ht="17.25">
      <c r="B124" s="57" t="s">
        <v>317</v>
      </c>
      <c r="C124" s="55"/>
      <c r="D124" s="221" t="s">
        <v>396</v>
      </c>
      <c r="E124" s="221"/>
      <c r="F124" s="221"/>
      <c r="G124" s="68">
        <f>+Protocolo!DW30</f>
        <v>0</v>
      </c>
      <c r="H124" s="56">
        <f ca="1">+INDEX(INDIRECT("VVVV"&amp;VLOOKUP(Portada!C28,Portada!O5:P6,2,FALSE)),MATCH(ROUND(G124,2),INDIRECT("AAAAA"&amp;VLOOKUP(Portada!C28,Portada!O5:P6,2,FALSE)),0))</f>
        <v>16</v>
      </c>
      <c r="I124" s="57">
        <f ca="1">+INDEX(INDIRECT("UUUU"&amp;VLOOKUP(Portada!C28,Portada!O5:P6,2,FALSE)),MATCH(ROUND(G124,2),INDIRECT("AAAAA"&amp;VLOOKUP(Portada!C28,Portada!O5:P6,2,FALSE)),0))</f>
        <v>0</v>
      </c>
      <c r="J124" s="55"/>
      <c r="K124" s="55"/>
      <c r="L124" s="55"/>
      <c r="M124" s="55"/>
      <c r="N124" s="55"/>
      <c r="O124" s="56"/>
      <c r="P124" s="56"/>
      <c r="Q124" s="56"/>
      <c r="T124" s="59" t="s">
        <v>193</v>
      </c>
      <c r="U124" s="58" t="str">
        <f t="shared" si="8"/>
        <v>Autoimagen autónoma</v>
      </c>
      <c r="V124" s="60" t="s">
        <v>317</v>
      </c>
      <c r="W124" s="59">
        <f t="shared" si="9"/>
        <v>0</v>
      </c>
      <c r="X124" s="78">
        <f t="shared" ca="1" si="10"/>
        <v>16</v>
      </c>
      <c r="Y124" s="78">
        <f t="shared" ca="1" si="11"/>
        <v>0</v>
      </c>
      <c r="Z124" s="60" t="str">
        <f t="shared" ca="1" si="12"/>
        <v/>
      </c>
      <c r="AA124" s="59" t="str">
        <f t="shared" ca="1" si="13"/>
        <v/>
      </c>
      <c r="AB124" s="58" t="str">
        <f t="shared" ca="1" si="14"/>
        <v/>
      </c>
      <c r="AD124" s="136" t="str">
        <f ca="1">IF(Y124&lt;=74,"en este rango, el puntaje no permite realizar una interpretación válida sobre la presencia de características asociadas a la faceta de Autoimagen autónoma",IF(Y124&gt;=75,"se percibe libre tanto de las restricciones que "&amp;"provienen de las normas sociales como de la obligación de mantenerse leal a otras personas. Valora la idea de libertad y disfruta sintiéndose libre y sin responsabilidades. Siente que no está limitado por personas, lugares, obligaciones o rutinas"))</f>
        <v>en este rango, el puntaje no permite realizar una interpretación válida sobre la presencia de características asociadas a la faceta de Autoimagen autónoma</v>
      </c>
    </row>
    <row r="125" spans="2:30" ht="17.25">
      <c r="B125" s="55" t="s">
        <v>318</v>
      </c>
      <c r="C125" s="55"/>
      <c r="D125" s="221" t="s">
        <v>397</v>
      </c>
      <c r="E125" s="221"/>
      <c r="F125" s="221"/>
      <c r="G125" s="68">
        <f>+Protocolo!DY30</f>
        <v>2</v>
      </c>
      <c r="H125" s="56">
        <f ca="1">+INDEX(INDIRECT("XXXX"&amp;VLOOKUP(Portada!C28,Portada!O5:P6,2,FALSE)),MATCH(ROUND(G125,2),INDIRECT("AAAAA"&amp;VLOOKUP(Portada!C28,Portada!O5:P6,2,FALSE)),0))</f>
        <v>71</v>
      </c>
      <c r="I125" s="57">
        <f ca="1">+INDEX(INDIRECT("WWWW"&amp;VLOOKUP(Portada!C28,Portada!O5:P6,2,FALSE)),MATCH(ROUND(G125,2),INDIRECT("AAAAA"&amp;VLOOKUP(Portada!C28,Portada!O5:P6,2,FALSE)),0))</f>
        <v>64</v>
      </c>
      <c r="J125" s="55"/>
      <c r="K125" s="55"/>
      <c r="L125" s="55"/>
      <c r="M125" s="55"/>
      <c r="N125" s="55"/>
      <c r="O125" s="56"/>
      <c r="P125" s="56"/>
      <c r="Q125" s="56"/>
      <c r="T125" s="59" t="s">
        <v>193</v>
      </c>
      <c r="U125" s="58" t="str">
        <f t="shared" si="8"/>
        <v>Dinámicas de irreflexión (paso al acto)</v>
      </c>
      <c r="V125" s="60" t="s">
        <v>318</v>
      </c>
      <c r="W125" s="59">
        <f t="shared" si="9"/>
        <v>2</v>
      </c>
      <c r="X125" s="78">
        <f t="shared" ca="1" si="10"/>
        <v>71</v>
      </c>
      <c r="Y125" s="78">
        <f t="shared" ca="1" si="11"/>
        <v>64</v>
      </c>
      <c r="Z125" s="60" t="str">
        <f t="shared" ca="1" si="12"/>
        <v/>
      </c>
      <c r="AA125" s="59" t="str">
        <f t="shared" ca="1" si="13"/>
        <v/>
      </c>
      <c r="AB125" s="58" t="str">
        <f t="shared" ca="1" si="14"/>
        <v/>
      </c>
      <c r="AD125" s="136" t="str">
        <f ca="1">IF(Y125&lt;=74,"en este rango, el puntaje no permite realizar una interpretación válida sobre la presencia de características asociadas a la faceta de Dinámicas de irreflexión",IF(Y125&gt;=75,"evita las tensiones internas expresando, sin limitación alguna, pensamientos ofensivos y llevando a cabo acciones malintencionadas. No transforma los"&amp;" impulsos socialmente repulsivos en formas sublimadas, socialmente aceptables, sino que los libera directa e impetuosamente, por lo general sin sentimiento de culpa ni remordimientos. Se ve a sí mismo "&amp;"como víctima y no siente la necesidad de racionalizar sus arrebatos."))</f>
        <v>en este rango, el puntaje no permite realizar una interpretación válida sobre la presencia de características asociadas a la faceta de Dinámicas de irreflexión</v>
      </c>
    </row>
    <row r="126" spans="2:30" ht="17.25">
      <c r="B126" s="55"/>
      <c r="C126" s="55"/>
      <c r="D126" s="55"/>
      <c r="E126" s="55"/>
      <c r="F126" s="55"/>
      <c r="G126" s="56"/>
      <c r="H126" s="56"/>
      <c r="I126" s="57"/>
      <c r="J126" s="55"/>
      <c r="K126" s="55"/>
      <c r="L126" s="55"/>
      <c r="M126" s="55"/>
      <c r="N126" s="55"/>
      <c r="O126" s="56"/>
      <c r="P126" s="56"/>
      <c r="Q126" s="56"/>
      <c r="U126" s="59"/>
      <c r="V126" s="59"/>
      <c r="Z126" s="60" t="str">
        <f t="shared" ca="1" si="12"/>
        <v/>
      </c>
      <c r="AA126" s="59" t="str">
        <f t="shared" ca="1" si="13"/>
        <v/>
      </c>
      <c r="AB126" s="58" t="str">
        <f t="shared" ca="1" si="14"/>
        <v/>
      </c>
    </row>
    <row r="127" spans="2:30" ht="17.25">
      <c r="B127" s="55"/>
      <c r="C127" s="55"/>
      <c r="D127" s="55"/>
      <c r="E127" s="55"/>
      <c r="F127" s="55"/>
      <c r="G127" s="56"/>
      <c r="H127" s="56"/>
      <c r="I127" s="57"/>
      <c r="J127" s="55"/>
      <c r="K127" s="55"/>
      <c r="L127" s="55"/>
      <c r="M127" s="55"/>
      <c r="N127" s="55"/>
      <c r="O127" s="56"/>
      <c r="P127" s="56"/>
      <c r="Q127" s="56"/>
      <c r="T127" s="59" t="s">
        <v>194</v>
      </c>
      <c r="U127" s="58" t="str">
        <f>+L88</f>
        <v>Expresivamente precipitado</v>
      </c>
      <c r="V127" s="59" t="s">
        <v>319</v>
      </c>
      <c r="W127" s="59">
        <f>+O88</f>
        <v>0</v>
      </c>
      <c r="X127" s="78">
        <f ca="1">+P88</f>
        <v>11</v>
      </c>
      <c r="Y127" s="78">
        <f ca="1">+Q88</f>
        <v>0</v>
      </c>
      <c r="Z127" s="60" t="str">
        <f t="shared" ca="1" si="12"/>
        <v/>
      </c>
      <c r="AA127" s="59" t="str">
        <f t="shared" ca="1" si="13"/>
        <v/>
      </c>
      <c r="AB127" s="58" t="str">
        <f t="shared" ca="1" si="14"/>
        <v/>
      </c>
      <c r="AD127" s="136" t="str">
        <f ca="1">IF(Y127&lt;=74,"en este rango, el puntaje no permite realizar una interpretación válida sobre la presencia de características asociadas a la faceta de Expresivamente precipitado",IF(Y127&gt;=75,"carece de sensibilidad hacia los demás, "&amp;"le gusta discutir y polemizar, y tiende a reaccionar con arrebatos repentinos, inesperados e injustificados."&amp;" Se muestra impávido ante el dolor y no lo amedrentan los posibles peligros o castigos. Reacciona agresivamente con facilidad y es probable que, si se siente insultado u ofendido, actúe por venganza"))</f>
        <v>en este rango, el puntaje no permite realizar una interpretación válida sobre la presencia de características asociadas a la faceta de Expresivamente precipitado</v>
      </c>
    </row>
    <row r="128" spans="2:30" ht="17.25">
      <c r="B128" s="55"/>
      <c r="C128" s="55"/>
      <c r="D128" s="55"/>
      <c r="E128" s="55"/>
      <c r="F128" s="55"/>
      <c r="G128" s="56"/>
      <c r="H128" s="56"/>
      <c r="I128" s="57"/>
      <c r="J128" s="55"/>
      <c r="K128" s="55"/>
      <c r="L128" s="55"/>
      <c r="M128" s="55"/>
      <c r="N128" s="55"/>
      <c r="O128" s="56"/>
      <c r="P128" s="56"/>
      <c r="Q128" s="56"/>
      <c r="T128" s="59" t="s">
        <v>194</v>
      </c>
      <c r="U128" s="58" t="str">
        <f t="shared" ref="U128:U149" si="15">+L89</f>
        <v>Interpers. desagradable</v>
      </c>
      <c r="V128" s="59" t="s">
        <v>320</v>
      </c>
      <c r="W128" s="59">
        <f>+O89</f>
        <v>1</v>
      </c>
      <c r="X128" s="78">
        <f ca="1">+P89</f>
        <v>43</v>
      </c>
      <c r="Y128" s="78">
        <f t="shared" ref="Y128:Y129" ca="1" si="16">+Q89</f>
        <v>60</v>
      </c>
      <c r="Z128" s="60" t="str">
        <f t="shared" ca="1" si="12"/>
        <v/>
      </c>
      <c r="AA128" s="59" t="str">
        <f t="shared" ca="1" si="13"/>
        <v/>
      </c>
      <c r="AB128" s="58" t="str">
        <f t="shared" ca="1" si="14"/>
        <v/>
      </c>
      <c r="AD128" s="136" t="str">
        <f ca="1">IF(Y128&lt;=74,"en este rango, el puntaje no permite realizar una interpretación válida sobre la presencia de características asociadas a la faceta de Interpersonalmente desagradable",IF(Y128&gt;=75,"encuentra placer o satisfacción al intimidar, coaccionar, humillar o menospreciar a los demás. Tiende a ser ofensivo verbalmente y, "&amp;"muy posiblemente, agresivo física o sexualmente; y ello le proporciona una gratificación psicológica inmediata"))</f>
        <v>en este rango, el puntaje no permite realizar una interpretación válida sobre la presencia de características asociadas a la faceta de Interpersonalmente desagradable</v>
      </c>
    </row>
    <row r="129" spans="2:31" ht="17.25">
      <c r="B129" s="55"/>
      <c r="C129" s="55"/>
      <c r="D129" s="55"/>
      <c r="E129" s="55"/>
      <c r="F129" s="55"/>
      <c r="G129" s="56"/>
      <c r="H129" s="56"/>
      <c r="I129" s="57"/>
      <c r="J129" s="55"/>
      <c r="K129" s="55"/>
      <c r="L129" s="55"/>
      <c r="M129" s="55"/>
      <c r="N129" s="55"/>
      <c r="O129" s="56"/>
      <c r="P129" s="56"/>
      <c r="Q129" s="56"/>
      <c r="T129" s="59" t="s">
        <v>194</v>
      </c>
      <c r="U129" s="58" t="str">
        <f t="shared" si="15"/>
        <v>Arquitectura eruptiva</v>
      </c>
      <c r="V129" s="60" t="s">
        <v>321</v>
      </c>
      <c r="W129" s="59">
        <f>+O90</f>
        <v>2</v>
      </c>
      <c r="X129" s="78">
        <f ca="1">+P90</f>
        <v>60</v>
      </c>
      <c r="Y129" s="78">
        <f t="shared" ca="1" si="16"/>
        <v>64</v>
      </c>
      <c r="Z129" s="60" t="str">
        <f t="shared" ca="1" si="12"/>
        <v/>
      </c>
      <c r="AA129" s="59" t="str">
        <f t="shared" ca="1" si="13"/>
        <v/>
      </c>
      <c r="AB129" s="58" t="str">
        <f t="shared" ca="1" si="14"/>
        <v/>
      </c>
      <c r="AD129" s="136" t="str">
        <f ca="1">IF(Y129&lt;=74,"en este rango, el puntaje no permite realizar una interpretación válida sobre la presencia de características asociadas a la faceta de Arquitectura eruptiva",IF(Y129&gt;=75,"tiene en su interior una energía de naturaleza agresiva o sexual que va creciendo y acaba manifestándose en forma de arrebatos impetuosos que amenazan con"&amp;" aniquilar su autocontrol, que en otras circunstancias es efectivo. Es probable que las experiencias dolorosas"&amp;" tempranas hayan dado lugar a intensas emociones residuales que expresa con inmediatez y de forma persistente y manifiesta. La idea de ser vulnerable, engañado y humillado lo lleva a un estado constante de miedo intenso"))</f>
        <v>en este rango, el puntaje no permite realizar una interpretación válida sobre la presencia de características asociadas a la faceta de Arquitectura eruptiva</v>
      </c>
    </row>
    <row r="130" spans="2:31" ht="18.75" customHeight="1">
      <c r="B130" s="62"/>
      <c r="C130" s="62"/>
      <c r="D130" s="62"/>
      <c r="E130" s="62"/>
      <c r="F130" s="62"/>
      <c r="G130" s="64"/>
      <c r="H130" s="64"/>
      <c r="I130" s="65"/>
      <c r="J130" s="62"/>
      <c r="K130" s="62"/>
      <c r="L130" s="62"/>
      <c r="M130" s="62"/>
      <c r="N130" s="62"/>
      <c r="O130" s="64"/>
      <c r="P130" s="64"/>
      <c r="Q130" s="64"/>
      <c r="Z130" s="60" t="str">
        <f t="shared" ca="1" si="12"/>
        <v/>
      </c>
      <c r="AA130" s="59" t="str">
        <f t="shared" ca="1" si="13"/>
        <v/>
      </c>
      <c r="AB130" s="58" t="str">
        <f t="shared" ca="1" si="14"/>
        <v/>
      </c>
    </row>
    <row r="131" spans="2:31" ht="6" customHeight="1">
      <c r="B131" s="55"/>
      <c r="C131" s="55"/>
      <c r="D131" s="55"/>
      <c r="E131" s="55"/>
      <c r="F131" s="55"/>
      <c r="G131" s="56"/>
      <c r="H131" s="56"/>
      <c r="I131" s="57"/>
      <c r="J131" s="55"/>
      <c r="K131" s="55"/>
      <c r="L131" s="55"/>
      <c r="M131" s="55"/>
      <c r="N131" s="55"/>
      <c r="O131" s="56"/>
      <c r="P131" s="56"/>
      <c r="Q131" s="56"/>
      <c r="U131" s="59"/>
      <c r="V131" s="59"/>
      <c r="Z131" s="60" t="str">
        <f t="shared" ca="1" si="12"/>
        <v/>
      </c>
      <c r="AA131" s="59" t="str">
        <f t="shared" ca="1" si="13"/>
        <v/>
      </c>
      <c r="AB131" s="58" t="str">
        <f t="shared" ca="1" si="14"/>
        <v/>
      </c>
    </row>
    <row r="132" spans="2:31" ht="18.75" customHeight="1">
      <c r="B132" s="70" t="str">
        <f>+$B$61</f>
        <v>MCMI-IV</v>
      </c>
      <c r="C132" s="55"/>
      <c r="D132" s="55"/>
      <c r="E132" s="55"/>
      <c r="F132" s="55"/>
      <c r="G132" s="56"/>
      <c r="H132" s="56"/>
      <c r="I132" s="57"/>
      <c r="J132" s="55"/>
      <c r="K132" s="55"/>
      <c r="L132" s="218" t="str">
        <f>+M61</f>
        <v>Asteria Asunta Catari Ledezma</v>
      </c>
      <c r="M132" s="218"/>
      <c r="N132" s="218"/>
      <c r="O132" s="218"/>
      <c r="P132" s="220" t="str">
        <f>+P61</f>
        <v>MCMI-IV</v>
      </c>
      <c r="Q132" s="220"/>
      <c r="T132" s="59" t="s">
        <v>195</v>
      </c>
      <c r="U132" s="58" t="str">
        <f t="shared" si="15"/>
        <v>Expresivamente disciplinado</v>
      </c>
      <c r="V132" s="60" t="s">
        <v>322</v>
      </c>
      <c r="W132" s="59">
        <f t="shared" ref="W132:X132" si="17">+O93</f>
        <v>3</v>
      </c>
      <c r="X132" s="78">
        <f t="shared" ca="1" si="17"/>
        <v>26</v>
      </c>
      <c r="Y132" s="78">
        <f t="shared" ref="Y132:Y149" ca="1" si="18">+Q93</f>
        <v>36</v>
      </c>
      <c r="Z132" s="60" t="str">
        <f t="shared" ca="1" si="12"/>
        <v/>
      </c>
      <c r="AA132" s="59">
        <f t="shared" ca="1" si="13"/>
        <v>132</v>
      </c>
      <c r="AB132" s="58" t="str">
        <f t="shared" ca="1" si="14"/>
        <v/>
      </c>
      <c r="AD132" s="136" t="str">
        <f ca="1">IF(Y132&lt;=74,"en este rango, el puntaje no permite realizar una interpretación válida sobre la presencia de características asociadas a la faceta de Expresivamente disciplinado",IF(Y132&gt;=75,"lleva una vida muy estructurada y estrictamente organizada. Tiende a ser estricto y responsable y muestra la necesidad de mantener sus emociones bajo"&amp;" control. Puede hablar con mucha precisión, así como vestir de un modo muy formal y correcto. Su búsqueda del perfeccionismo puede ser limitante y dificultarle la completa realización de las tareas habituales"))</f>
        <v>en este rango, el puntaje no permite realizar una interpretación válida sobre la presencia de características asociadas a la faceta de Expresivamente disciplinado</v>
      </c>
    </row>
    <row r="133" spans="2:31" ht="17.25">
      <c r="B133" s="219">
        <f ca="1">+$B$62</f>
        <v>46260</v>
      </c>
      <c r="C133" s="219"/>
      <c r="D133" s="219"/>
      <c r="E133" s="55"/>
      <c r="F133" s="55"/>
      <c r="G133" s="56"/>
      <c r="H133" s="56"/>
      <c r="I133" s="57"/>
      <c r="J133" s="55"/>
      <c r="K133" s="55"/>
      <c r="L133" s="55"/>
      <c r="M133" s="55"/>
      <c r="N133" s="55"/>
      <c r="O133" s="56"/>
      <c r="P133" s="56"/>
      <c r="Q133" s="56"/>
      <c r="T133" s="59" t="s">
        <v>195</v>
      </c>
      <c r="U133" s="58" t="str">
        <f t="shared" si="15"/>
        <v>Cognitivamente constreñido</v>
      </c>
      <c r="V133" s="60" t="s">
        <v>323</v>
      </c>
      <c r="W133" s="59">
        <f t="shared" ref="W133:X133" si="19">+O94</f>
        <v>10</v>
      </c>
      <c r="X133" s="78">
        <f t="shared" ca="1" si="19"/>
        <v>89</v>
      </c>
      <c r="Y133" s="78">
        <f t="shared" ca="1" si="18"/>
        <v>85</v>
      </c>
      <c r="Z133" s="60" t="str">
        <f t="shared" ca="1" si="12"/>
        <v/>
      </c>
      <c r="AA133" s="59">
        <f t="shared" ca="1" si="13"/>
        <v>133</v>
      </c>
      <c r="AB133" s="58" t="str">
        <f t="shared" ca="1" si="14"/>
        <v/>
      </c>
      <c r="AD133" s="136" t="str">
        <f ca="1">IF(Y133&lt;=74,"en este rango, el puntaje no permite realizar una interpretación válida sobre la presencia de características asociadas a la faceta de Cognitivamente constreñido",IF(Y133&gt;=75,"construye el mundo en términos de reglas, normas, planificaciones y jerarquías sociales. Se disgusta fácilmente ante acontecimientos o"&amp;" costumbres que no le son familiares. Tiende a ser inflexible y obstinado respecto al cumplimiento de las normas convencionales u oficiales. Cuando se enfrenta a una situación incierta, a menudo acaba bloqueado y es incapaz de tomar una decisión"))</f>
        <v>construye el mundo en términos de reglas, normas, planificaciones y jerarquías sociales. Se disgusta fácilmente ante acontecimientos o costumbres que no le son familiares. Tiende a ser inflexible y obstinado respecto al cumplimiento de las normas convencionales u oficiales. Cuando se enfrenta a una situación incierta, a menudo acaba bloqueado y es incapaz de tomar una decisión</v>
      </c>
    </row>
    <row r="134" spans="2:31" ht="6" customHeight="1">
      <c r="B134" s="137"/>
      <c r="C134" s="137"/>
      <c r="D134" s="137"/>
      <c r="E134" s="137"/>
      <c r="F134" s="137"/>
      <c r="G134" s="138"/>
      <c r="H134" s="138"/>
      <c r="I134" s="139"/>
      <c r="J134" s="137"/>
      <c r="K134" s="137"/>
      <c r="L134" s="137"/>
      <c r="M134" s="137"/>
      <c r="N134" s="137"/>
      <c r="O134" s="138"/>
      <c r="P134" s="138"/>
      <c r="Q134" s="138"/>
      <c r="T134" s="59" t="s">
        <v>195</v>
      </c>
      <c r="U134" s="58" t="str">
        <f t="shared" si="15"/>
        <v>Autoimagen responsable</v>
      </c>
      <c r="V134" s="60" t="s">
        <v>324</v>
      </c>
      <c r="W134" s="59">
        <f t="shared" ref="W134:X134" si="20">+O95</f>
        <v>9</v>
      </c>
      <c r="X134" s="78">
        <f t="shared" ca="1" si="20"/>
        <v>99</v>
      </c>
      <c r="Y134" s="78">
        <f t="shared" ca="1" si="18"/>
        <v>85</v>
      </c>
      <c r="Z134" s="60" t="str">
        <f t="shared" ca="1" si="12"/>
        <v/>
      </c>
      <c r="AA134" s="59">
        <f t="shared" ca="1" si="13"/>
        <v>134</v>
      </c>
      <c r="AB134" s="58" t="str">
        <f t="shared" ca="1" si="14"/>
        <v/>
      </c>
      <c r="AD134" s="136" t="str">
        <f ca="1">IF(Y134&lt;=74,"en este rango, el puntaje no permite realizar una interpretación válida sobre la presencia de características asociadas a la faceta de Autoimagen responsable",IF(Y134&gt;=75,"se ve a sí mismo como eficiente, disciplinado, meticuloso y diligente. Se consagra al trabajo y a cumplir sus responsabilidades, y tiende a restar importancia a las actividades recreativas "&amp;"y de ocio. Su temor a ser visto como irresponsable, como alguien que no "&amp;"cumple las expectativas de los demás o que suele cometer errores, puede llevarlo a sobrevalorar la disciplina, la perfección, la prudencia y la lealtad"))</f>
        <v>se ve a sí mismo como eficiente, disciplinado, meticuloso y diligente. Se consagra al trabajo y a cumplir sus responsabilidades, y tiende a restar importancia a las actividades recreativas y de ocio. Su temor a ser visto como irresponsable, como alguien que no cumple las expectativas de los demás o que suele cometer errores, puede llevarlo a sobrevalorar la disciplina, la perfección, la prudencia y la lealtad</v>
      </c>
    </row>
    <row r="135" spans="2:31" ht="30" customHeight="1">
      <c r="B135" s="183" t="s">
        <v>606</v>
      </c>
      <c r="C135" s="55"/>
      <c r="D135" s="55"/>
      <c r="E135" s="55"/>
      <c r="F135" s="55"/>
      <c r="G135" s="56"/>
      <c r="H135" s="56"/>
      <c r="I135" s="57"/>
      <c r="J135" s="55"/>
      <c r="K135" s="55"/>
      <c r="L135" s="55"/>
      <c r="M135" s="55"/>
      <c r="N135" s="55"/>
      <c r="O135" s="56"/>
      <c r="P135" s="56"/>
      <c r="Q135" s="56"/>
    </row>
    <row r="136" spans="2:31" ht="32.25" customHeight="1">
      <c r="B136" s="263" t="s">
        <v>603</v>
      </c>
      <c r="C136" s="263"/>
      <c r="D136" s="263"/>
      <c r="E136" s="263"/>
      <c r="F136" s="263"/>
      <c r="G136" s="263"/>
      <c r="H136" s="263"/>
      <c r="I136" s="263"/>
      <c r="J136" s="263"/>
      <c r="K136" s="263"/>
      <c r="L136" s="263"/>
      <c r="M136" s="263"/>
      <c r="N136" s="263"/>
      <c r="O136" s="263"/>
      <c r="P136" s="263"/>
      <c r="Q136" s="263"/>
      <c r="U136" s="59"/>
      <c r="V136" s="59"/>
    </row>
    <row r="137" spans="2:31" ht="32.25" customHeight="1">
      <c r="B137" s="263"/>
      <c r="C137" s="263"/>
      <c r="D137" s="263"/>
      <c r="E137" s="263"/>
      <c r="F137" s="263"/>
      <c r="G137" s="263"/>
      <c r="H137" s="263"/>
      <c r="I137" s="263"/>
      <c r="J137" s="263"/>
      <c r="K137" s="263"/>
      <c r="L137" s="263"/>
      <c r="M137" s="263"/>
      <c r="N137" s="263"/>
      <c r="O137" s="263"/>
      <c r="P137" s="263"/>
      <c r="Q137" s="263"/>
      <c r="T137" s="59" t="s">
        <v>196</v>
      </c>
      <c r="U137" s="58" t="str">
        <f t="shared" si="15"/>
        <v>Expresivamente resentido</v>
      </c>
      <c r="V137" s="60" t="s">
        <v>325</v>
      </c>
      <c r="W137" s="59">
        <f t="shared" ref="W137:X137" si="21">+O98</f>
        <v>3</v>
      </c>
      <c r="X137" s="78">
        <f t="shared" ca="1" si="21"/>
        <v>55</v>
      </c>
      <c r="Y137" s="78">
        <f t="shared" ca="1" si="18"/>
        <v>60</v>
      </c>
      <c r="Z137" s="60" t="str">
        <f t="shared" ca="1" si="12"/>
        <v/>
      </c>
      <c r="AA137" s="59" t="str">
        <f t="shared" ca="1" si="13"/>
        <v/>
      </c>
      <c r="AB137" s="58" t="str">
        <f t="shared" ca="1" si="14"/>
        <v/>
      </c>
      <c r="AD137" s="136" t="str">
        <f ca="1">IF(Y137&lt;=74,"en este rango, el puntaje no permite realizar una interpretación válida sobre la presencia de características asociadas a la faceta de Expresivamente resentido",IF(Y137&gt;=75,"se resiste a cumplir las expectativas"&amp;" de los demás y, por ello, a menudo actúa con procrastinación e ineficiencia, y se muestra obstinado, "&amp;"oposicionista e irritante. Fácilmente se siente impulsado a comportarse con resentimiento y exterioriza la satisfacción que le produce socavar los placeres y las aspiraciones de los demás"))</f>
        <v>en este rango, el puntaje no permite realizar una interpretación válida sobre la presencia de características asociadas a la faceta de Expresivamente resentido</v>
      </c>
    </row>
    <row r="138" spans="2:31" ht="32.25" customHeight="1">
      <c r="B138" s="263"/>
      <c r="C138" s="263"/>
      <c r="D138" s="263"/>
      <c r="E138" s="263"/>
      <c r="F138" s="263"/>
      <c r="G138" s="263"/>
      <c r="H138" s="263"/>
      <c r="I138" s="263"/>
      <c r="J138" s="263"/>
      <c r="K138" s="263"/>
      <c r="L138" s="263"/>
      <c r="M138" s="263"/>
      <c r="N138" s="263"/>
      <c r="O138" s="263"/>
      <c r="P138" s="263"/>
      <c r="Q138" s="263"/>
      <c r="T138" s="59" t="s">
        <v>196</v>
      </c>
      <c r="U138" s="58" t="str">
        <f t="shared" si="15"/>
        <v>Autoimagen descontenta</v>
      </c>
      <c r="V138" s="60" t="s">
        <v>326</v>
      </c>
      <c r="W138" s="59">
        <f t="shared" ref="W138:X138" si="22">+O99</f>
        <v>7</v>
      </c>
      <c r="X138" s="78">
        <f t="shared" ca="1" si="22"/>
        <v>78</v>
      </c>
      <c r="Y138" s="78">
        <f t="shared" ca="1" si="18"/>
        <v>75</v>
      </c>
      <c r="Z138" s="60" t="str">
        <f t="shared" ca="1" si="12"/>
        <v/>
      </c>
      <c r="AA138" s="59" t="str">
        <f t="shared" ca="1" si="13"/>
        <v/>
      </c>
      <c r="AB138" s="58" t="str">
        <f t="shared" ca="1" si="14"/>
        <v/>
      </c>
      <c r="AD138" s="136" t="str">
        <f ca="1">IF(Y138&lt;=74,"en este rango, el puntaje no permite realizar una interpretación válida sobre la presencia de características asociadas a la faceta de Autoimagen descontenta",IF(Y138&gt;=75,"se ve a sí mismo como incomprendido, desafortunado, poco"&amp;" valorado, gafado y menospreciado por los demás. Reconoce que está particularmente resentido, insatisfecho y desilusionado con la vida. Tiende a mostrar envidia y resentimiento hacia las personas que, a su modo de ver, tienen una vida más fácil"))</f>
        <v>se ve a sí mismo como incomprendido, desafortunado, poco valorado, gafado y menospreciado por los demás. Reconoce que está particularmente resentido, insatisfecho y desilusionado con la vida. Tiende a mostrar envidia y resentimiento hacia las personas que, a su modo de ver, tienen una vida más fácil</v>
      </c>
    </row>
    <row r="139" spans="2:31" ht="32.25" customHeight="1">
      <c r="B139" s="263"/>
      <c r="C139" s="263"/>
      <c r="D139" s="263"/>
      <c r="E139" s="263"/>
      <c r="F139" s="263"/>
      <c r="G139" s="263"/>
      <c r="H139" s="263"/>
      <c r="I139" s="263"/>
      <c r="J139" s="263"/>
      <c r="K139" s="263"/>
      <c r="L139" s="263"/>
      <c r="M139" s="263"/>
      <c r="N139" s="263"/>
      <c r="O139" s="263"/>
      <c r="P139" s="263"/>
      <c r="Q139" s="263"/>
      <c r="T139" s="59" t="s">
        <v>196</v>
      </c>
      <c r="U139" s="58" t="str">
        <f t="shared" si="15"/>
        <v>Temperamentalmente irritable</v>
      </c>
      <c r="V139" s="60" t="s">
        <v>327</v>
      </c>
      <c r="W139" s="59">
        <f t="shared" ref="W139:X139" si="23">+O100</f>
        <v>3</v>
      </c>
      <c r="X139" s="78">
        <f t="shared" ca="1" si="23"/>
        <v>55</v>
      </c>
      <c r="Y139" s="78">
        <f t="shared" ca="1" si="18"/>
        <v>60</v>
      </c>
      <c r="Z139" s="60" t="str">
        <f t="shared" ca="1" si="12"/>
        <v/>
      </c>
      <c r="AA139" s="59" t="str">
        <f t="shared" ca="1" si="13"/>
        <v/>
      </c>
      <c r="AB139" s="58" t="str">
        <f t="shared" ca="1" si="14"/>
        <v/>
      </c>
      <c r="AD139" s="136" t="str">
        <f ca="1">IF(Y139&lt;=74,"en este rango, el puntaje no permite realizar una interpretación válida sobre la presencia de características asociadas a la faceta de Temperamentalmente irritable",IF(Y139&gt;=75,"es malhumorado y obstinado y se muestra resentido; fácilmente se molesta y se exaspera por lo que hacen los demás, y, consecuentemente, "&amp;"tiende a replegarse enfurruñado y en silencio. Tiene baja tolerancia a la frustración, y puede ser persistentemente impaciente, irritable e inquieto a menos que las cosas salgan como quiere"))</f>
        <v>en este rango, el puntaje no permite realizar una interpretación válida sobre la presencia de características asociadas a la faceta de Temperamentalmente irritable</v>
      </c>
    </row>
    <row r="140" spans="2:31" ht="32.25" customHeight="1">
      <c r="B140" s="263"/>
      <c r="C140" s="263"/>
      <c r="D140" s="263"/>
      <c r="E140" s="263"/>
      <c r="F140" s="263"/>
      <c r="G140" s="263"/>
      <c r="H140" s="263"/>
      <c r="I140" s="263"/>
      <c r="J140" s="263"/>
      <c r="K140" s="263"/>
      <c r="L140" s="263"/>
      <c r="M140" s="263"/>
      <c r="N140" s="263"/>
      <c r="O140" s="263"/>
      <c r="P140" s="263"/>
      <c r="Q140" s="263"/>
      <c r="Z140" s="60" t="str">
        <f t="shared" ca="1" si="12"/>
        <v/>
      </c>
      <c r="AA140" s="59" t="str">
        <f t="shared" ca="1" si="13"/>
        <v/>
      </c>
      <c r="AB140" s="58" t="str">
        <f t="shared" ca="1" si="14"/>
        <v/>
      </c>
    </row>
    <row r="141" spans="2:31" ht="32.25" customHeight="1">
      <c r="B141" s="263"/>
      <c r="C141" s="263"/>
      <c r="D141" s="263"/>
      <c r="E141" s="263"/>
      <c r="F141" s="263"/>
      <c r="G141" s="263"/>
      <c r="H141" s="263"/>
      <c r="I141" s="263"/>
      <c r="J141" s="263"/>
      <c r="K141" s="263"/>
      <c r="L141" s="263"/>
      <c r="M141" s="263"/>
      <c r="N141" s="263"/>
      <c r="O141" s="263"/>
      <c r="P141" s="263"/>
      <c r="Q141" s="263"/>
      <c r="U141" s="59"/>
      <c r="V141" s="59"/>
      <c r="Z141" s="60" t="str">
        <f t="shared" ca="1" si="12"/>
        <v/>
      </c>
      <c r="AA141" s="59" t="str">
        <f t="shared" ca="1" si="13"/>
        <v/>
      </c>
      <c r="AB141" s="58" t="str">
        <f t="shared" ca="1" si="14"/>
        <v/>
      </c>
    </row>
    <row r="142" spans="2:31" ht="32.25" customHeight="1">
      <c r="B142" s="263" t="str">
        <f>Portada!C19&amp;" es una "&amp;IF(Portada!C22="Mujer","mujer","hombre")&amp;" de "&amp;Portada!C21&amp;" años de edad, con un nivel educativo de "&amp;Portada!C24&amp;". Actualmente "&amp;AE142&amp;". Refiere que "&amp;'Datos del Sujeto'!Y12&amp;", mientras que "&amp;'Datos del Sujeto'!Y13&amp;"."</f>
        <v>Asteria Asunta Catari Ledezma es una mujer de 32 años de edad, con un nivel educativo de bachillerato superior o formación profesional. Actualmente se encuentra soltera. Refiere que su principal preocupación es laboral o académica, mientras que su segunda preocupación es Familiar.</v>
      </c>
      <c r="C142" s="263"/>
      <c r="D142" s="263"/>
      <c r="E142" s="263"/>
      <c r="F142" s="263"/>
      <c r="G142" s="263"/>
      <c r="H142" s="263"/>
      <c r="I142" s="263"/>
      <c r="J142" s="263"/>
      <c r="K142" s="263"/>
      <c r="L142" s="263"/>
      <c r="M142" s="263"/>
      <c r="N142" s="263"/>
      <c r="O142" s="263"/>
      <c r="P142" s="263"/>
      <c r="Q142" s="263"/>
      <c r="S142" s="78" t="str">
        <f>IF(Portada!C22="Mujer",IF(Portada!C26="Soltero","se encuentra soltera",IF(Portada!C26="Casado","se encuentra casada",IF(Portada!C26="Divorciado","se encuentra divorciada",IF(Portada!C26="Viudo","se encuentra viuda",IF(Portada!C26="Separado","se encuentra separada","su estado civil es "&amp;LOWER(Portada!C26)))))),IF(Portada!C26="Soltero","se encuentra soltero",IF(Portada!C26="Casado","se encuentra casado",IF(Portada!C26="Divorciado","se encuentra divorciado",IF(Portada!C26="Viudo","se encuentra viudo",IF(Portada!C26="Separado","se encuentra separado","su estado civil es "&amp;LOWER(Portada!C26)))))))</f>
        <v>se encuentra soltera</v>
      </c>
      <c r="T142" s="59" t="s">
        <v>197</v>
      </c>
      <c r="U142" s="58" t="str">
        <f t="shared" si="15"/>
        <v>Autoimagen desmerecedora</v>
      </c>
      <c r="V142" s="60" t="s">
        <v>328</v>
      </c>
      <c r="W142" s="59">
        <f t="shared" ref="W142:X142" si="24">+O103</f>
        <v>5</v>
      </c>
      <c r="X142" s="78">
        <f t="shared" ca="1" si="24"/>
        <v>64</v>
      </c>
      <c r="Y142" s="78">
        <f t="shared" ca="1" si="18"/>
        <v>64</v>
      </c>
      <c r="Z142" s="60" t="str">
        <f t="shared" ca="1" si="12"/>
        <v/>
      </c>
      <c r="AA142" s="59" t="str">
        <f t="shared" ca="1" si="13"/>
        <v/>
      </c>
      <c r="AB142" s="58" t="str">
        <f t="shared" ca="1" si="14"/>
        <v/>
      </c>
      <c r="AD142" s="136" t="str">
        <f ca="1">IF(Y142&lt;=74,"en este rango, el puntaje no permite realizar una interpretación válida sobre la presencia de características asociadas a la faceta de Autoimagen desmerecedora",IF(Y142&gt;=75,"se humilla a sí mismo y se considera merecedor de deshonras, reproches y menosprecios. Por lo general, se centra en intensificar sus peores "&amp;"características. Es probable que, si recibe reconocimientos y elogios, considere que son observaciones erróneas; y que, si no cumple las expectativas de los demás, sienta que merece sufrir consecuencias dolorosas"))</f>
        <v>en este rango, el puntaje no permite realizar una interpretación válida sobre la presencia de características asociadas a la faceta de Autoimagen desmerecedora</v>
      </c>
      <c r="AE142" s="58" t="str">
        <f>IF(Portada!C22="Mujer",IF(Portada!C26="Soltero","se encuentra soltera",IF(Portada!C26="Casado","se encuentra casada",IF(Portada!C26="Divorciado","se encuentra divorciada",IF(Portada!C26="Viudo","se encuentra viuda",IF(Portada!C26="Separado","se encuentra separada","su estado civil es "&amp;LOWER(Portada!C26)))))),IF(Portada!C26="Soltero","se encuentra soltero",IF(Portada!C26="Casado","se encuentra casado",IF(Portada!C26="Divorciado","se encuentra divorciado",IF(Portada!C26="Viudo","se encuentra viudo",IF(Portada!C26="Separado","se encuentra separado","su estado civil es "&amp;LOWER(Portada!C26)))))))</f>
        <v>se encuentra soltera</v>
      </c>
    </row>
    <row r="143" spans="2:31" ht="32.25" customHeight="1">
      <c r="B143" s="263"/>
      <c r="C143" s="263"/>
      <c r="D143" s="263"/>
      <c r="E143" s="263"/>
      <c r="F143" s="263"/>
      <c r="G143" s="263"/>
      <c r="H143" s="263"/>
      <c r="I143" s="263"/>
      <c r="J143" s="263"/>
      <c r="K143" s="263"/>
      <c r="L143" s="263"/>
      <c r="M143" s="263"/>
      <c r="N143" s="263"/>
      <c r="O143" s="263"/>
      <c r="P143" s="263"/>
      <c r="Q143" s="263"/>
      <c r="T143" s="59" t="s">
        <v>197</v>
      </c>
      <c r="U143" s="58" t="str">
        <f t="shared" si="15"/>
        <v>Arquitectura invertida</v>
      </c>
      <c r="V143" s="60" t="s">
        <v>329</v>
      </c>
      <c r="W143" s="59">
        <f t="shared" ref="W143:X143" si="25">+O104</f>
        <v>6</v>
      </c>
      <c r="X143" s="78">
        <f t="shared" ca="1" si="25"/>
        <v>82</v>
      </c>
      <c r="Y143" s="78">
        <f t="shared" ca="1" si="18"/>
        <v>75</v>
      </c>
      <c r="Z143" s="60" t="str">
        <f t="shared" ca="1" si="12"/>
        <v/>
      </c>
      <c r="AA143" s="59" t="str">
        <f t="shared" ca="1" si="13"/>
        <v/>
      </c>
      <c r="AB143" s="58" t="str">
        <f t="shared" ca="1" si="14"/>
        <v/>
      </c>
      <c r="AD143" s="136" t="str">
        <f ca="1">IF(Y143&lt;=74,"en este rango, el puntaje no permite realizar una interpretación válida sobre la presencia de características asociadas a la faceta de Arquitectura invertida",IF(Y143&gt;=75,"tiende a sentir placer cuando la reacción más apropiada es el dolor, y dolor cuando la más adecuada es el placer. Estas cualidades opuestas"&amp;" se manifiestan en la inversión recurrente de los sentimientos y las motivaciones. Esta constante transposición de la gratificación de las necesidades da lugar a la frustración y, a veces, al autosabotaje"))</f>
        <v>tiende a sentir placer cuando la reacción más apropiada es el dolor, y dolor cuando la más adecuada es el placer. Estas cualidades opuestas se manifiestan en la inversión recurrente de los sentimientos y las motivaciones. Esta constante transposición de la gratificación de las necesidades da lugar a la frustración y, a veces, al autosabotaje</v>
      </c>
    </row>
    <row r="144" spans="2:31" ht="52.5" customHeight="1">
      <c r="B144" s="263"/>
      <c r="C144" s="263"/>
      <c r="D144" s="263"/>
      <c r="E144" s="263"/>
      <c r="F144" s="263"/>
      <c r="G144" s="263"/>
      <c r="H144" s="263"/>
      <c r="I144" s="263"/>
      <c r="J144" s="263"/>
      <c r="K144" s="263"/>
      <c r="L144" s="263"/>
      <c r="M144" s="263"/>
      <c r="N144" s="263"/>
      <c r="O144" s="263"/>
      <c r="P144" s="263"/>
      <c r="Q144" s="263"/>
      <c r="T144" s="59" t="s">
        <v>197</v>
      </c>
      <c r="U144" s="58" t="str">
        <f t="shared" si="15"/>
        <v>Temperamentalmente disfórico</v>
      </c>
      <c r="V144" s="60" t="s">
        <v>330</v>
      </c>
      <c r="W144" s="59">
        <f t="shared" ref="W144:X144" si="26">+O105</f>
        <v>7</v>
      </c>
      <c r="X144" s="78">
        <f t="shared" ca="1" si="26"/>
        <v>75</v>
      </c>
      <c r="Y144" s="78">
        <f t="shared" ca="1" si="18"/>
        <v>70</v>
      </c>
      <c r="Z144" s="60" t="str">
        <f t="shared" ca="1" si="12"/>
        <v/>
      </c>
      <c r="AA144" s="59" t="str">
        <f t="shared" ca="1" si="13"/>
        <v/>
      </c>
      <c r="AB144" s="58" t="str">
        <f t="shared" ca="1" si="14"/>
        <v/>
      </c>
      <c r="AD144" s="136" t="str">
        <f ca="1">IF(Y144&lt;=74,"en este rango, el puntaje no permite realizar una interpretación válida sobre la presencia de características asociadas a la faceta de Temperamentalmente disfórico",IF(Y144&gt;=75,"a veces está ansioso e inquieto; y a veces, apenado y triste. Con frecuencia se siente angustiado y atormentado, y puede mostrarse "&amp;"deliberadamente quejumbroso y melancólico para intentar provocar sentimientos de culpabilidad y malestar en los demás"))</f>
        <v>en este rango, el puntaje no permite realizar una interpretación válida sobre la presencia de características asociadas a la faceta de Temperamentalmente disfórico</v>
      </c>
    </row>
    <row r="145" spans="2:44" ht="21.75" customHeight="1">
      <c r="B145" s="169"/>
      <c r="C145" s="169"/>
      <c r="D145" s="169"/>
      <c r="E145" s="169"/>
      <c r="F145" s="169"/>
      <c r="G145" s="169"/>
      <c r="H145" s="169"/>
      <c r="I145" s="169"/>
      <c r="J145" s="169"/>
      <c r="K145" s="169"/>
      <c r="L145" s="169"/>
      <c r="M145" s="169"/>
      <c r="N145" s="169"/>
      <c r="O145" s="169"/>
      <c r="P145" s="169"/>
      <c r="Q145" s="169"/>
      <c r="AR145" s="96" t="str">
        <f>V12</f>
        <v>El perfil es interpretable: las escalas V (Invalidez) y W (Inconsistencia) no muestran un patrón compatible con respuestas aleatorias, de modo que el perfil puede analizarse a partir de las elevaciones que presenta.</v>
      </c>
    </row>
    <row r="146" spans="2:44" ht="53.25" customHeight="1">
      <c r="B146" s="263" t="str">
        <f ca="1">TRIM(AR145&amp;AR146&amp;AR147&amp;AR148&amp;AR149&amp;AR150)</f>
        <v>El perfil es interpretable: las escalas V (Invalidez) y W (Inconsistencia) no muestran un patrón compatible con respuestas aleatorias, de modo que el perfil puede analizarse a partir de las elevaciones que presenta. En cuanto al estilo de respuesta, el evaluado(a) ha respondido a los ítems con sinceridad y de forma abierta. Las escalas X (Sinceridad), Y (Deseabilidad social) y Z (Devaluación) se sitúan en rangos que no introducen sesgos en el estilo de respuesta, sin tendencia a minimizar ni a exagerar los síntomas, sin búsqueda de una imagen socialmente agradable, moralmente admirable o emocionalmente equilibrada, ni indicios de autodevaluación, de modo que el perfil puede analizarse a partir de las elevaciones que presenta. Sobre los resultados obtenidos, las tasas base de las escalas 2B (Melancólico), 8B (Masoquista) y C (Límite) se han disminuido en función de las escalas A (Ansiedad generalizada) y CC (Depresión mayor); este ajuste se basa en el principio de que las puntuaciones del evaluado(a) pueden estar distorsionadas si, al cumplimentar el inventario, se encuentra en un estado emocional de ansiedad o depresión profunda; asimismo se aplica sobre las escalas 2A (Evitativo) y S (Esquizotípico). Sobre esta base, se observan elevaciones iguales o superiores a 85 en una o más escalas de los patrones clínicos de la personalidad, lo que refleja una patología suficientemente generalizada como para considerarla un trastorno clínico de la personalidad y, en su caso, el umbral propio de la patología grave de la personalidad. Las tres escalas con la puntuación más alta constituyen el código de puntuaciones máximas; al analizarse por separado y en su configuración conjunta, aportan información sustantiva sobre la estructura de polaridades (placer-dolor, pasivo-activo, uno mismo-otros) y sobre los dominios funcionales y estructurales que articulan la matriz personológica del evaluado(a), en la medida en que esta opera como mediador inmunológico entre el estrés psicosocial y la producción de síntomas.</v>
      </c>
      <c r="C146" s="263"/>
      <c r="D146" s="263"/>
      <c r="E146" s="263"/>
      <c r="F146" s="263"/>
      <c r="G146" s="263"/>
      <c r="H146" s="263"/>
      <c r="I146" s="263"/>
      <c r="J146" s="263"/>
      <c r="K146" s="263"/>
      <c r="L146" s="263"/>
      <c r="M146" s="263"/>
      <c r="N146" s="263"/>
      <c r="O146" s="263"/>
      <c r="P146" s="263"/>
      <c r="Q146" s="263"/>
      <c r="U146" s="59"/>
      <c r="V146" s="59"/>
      <c r="AR146" s="96" t="str">
        <f>IF(OR(ISNUMBER(SEARCH("fuera de los límites",V12)),ISNUMBER(SEARCH("debe considerarse inválido",V12))),"",IF(ISNUMBER(SEARCH("considerados cuestionables",V12))," Por tal motivo, las puntuaciones obtenidas y el contenido interpretativo que se desarrolla a continuación deben analizarse con cautela.",""))</f>
        <v/>
      </c>
    </row>
    <row r="147" spans="2:44" ht="53.25" customHeight="1">
      <c r="B147" s="263"/>
      <c r="C147" s="263"/>
      <c r="D147" s="263"/>
      <c r="E147" s="263"/>
      <c r="F147" s="263"/>
      <c r="G147" s="263"/>
      <c r="H147" s="263"/>
      <c r="I147" s="263"/>
      <c r="J147" s="263"/>
      <c r="K147" s="263"/>
      <c r="L147" s="263"/>
      <c r="M147" s="263"/>
      <c r="N147" s="263"/>
      <c r="O147" s="263"/>
      <c r="P147" s="263"/>
      <c r="Q147" s="263"/>
      <c r="T147" s="59" t="s">
        <v>418</v>
      </c>
      <c r="U147" s="96" t="str">
        <f t="shared" si="15"/>
        <v>Cognitivamente circunstancial</v>
      </c>
      <c r="V147" s="60" t="s">
        <v>331</v>
      </c>
      <c r="W147" s="59">
        <f t="shared" ref="W147:X147" si="27">+O108</f>
        <v>8</v>
      </c>
      <c r="X147" s="78">
        <f t="shared" ca="1" si="27"/>
        <v>90</v>
      </c>
      <c r="Y147" s="78">
        <f t="shared" ca="1" si="18"/>
        <v>85</v>
      </c>
      <c r="Z147" s="60" t="str">
        <f t="shared" ca="1" si="12"/>
        <v/>
      </c>
      <c r="AA147" s="59" t="str">
        <f t="shared" ca="1" si="13"/>
        <v/>
      </c>
      <c r="AB147" s="58" t="str">
        <f t="shared" ca="1" si="14"/>
        <v/>
      </c>
      <c r="AD147" s="136" t="str">
        <f ca="1">IF(Y147&lt;=74,"en este rango, el puntaje no permite realizar una interpretación válida sobre la presencia de características asociadas a la faceta de Cognitivamente circunstancial",IF(Y147&gt;=75,"mezcla la comunicación social con irrelevancias personales, lenguaje circunstancial, ideas de referencia y apartes metafóricos. A menudo está pensativo, "&amp;"parece absorto en sí mismo y sumido en sus fantasías; de vez en cuando presenta pensamiento mágico, ilusiones corporales, extrañas suspicacias, creencias raras y distorsión de la realidad y la fantasía"))</f>
        <v>mezcla la comunicación social con irrelevancias personales, lenguaje circunstancial, ideas de referencia y apartes metafóricos. A menudo está pensativo, parece absorto en sí mismo y sumido en sus fantasías; de vez en cuando presenta pensamiento mágico, ilusiones corporales, extrañas suspicacias, creencias raras y distorsión de la realidad y la fantasía</v>
      </c>
      <c r="AR147" s="96" t="str">
        <f ca="1">IF(OR(ISNUMBER(SEARCH("fuera de los límites",V12)),ISNUMBER(SEARCH("debe considerarse inválido",V12))),""," En cuanto al estilo de respuesta, "&amp;W19)</f>
        <v xml:space="preserve"> En cuanto al estilo de respuesta, el evaluado(a) ha respondido a los ítems con sinceridad y de forma abierta. Las escalas X (Sinceridad), Y (Deseabilidad social) y Z (Devaluación) se sitúan en rangos que no introducen sesgos en el estilo de respuesta, sin tendencia a minimizar ni a exagerar los síntomas, sin búsqueda de una imagen socialmente agradable, moralmente admirable o emocionalmente equilibrada, ni indicios de autodevaluación, de modo que el perfil puede analizarse a partir de las elevaciones que presenta.</v>
      </c>
    </row>
    <row r="148" spans="2:44" ht="53.25" customHeight="1">
      <c r="B148" s="263"/>
      <c r="C148" s="263"/>
      <c r="D148" s="263"/>
      <c r="E148" s="263"/>
      <c r="F148" s="263"/>
      <c r="G148" s="263"/>
      <c r="H148" s="263"/>
      <c r="I148" s="263"/>
      <c r="J148" s="263"/>
      <c r="K148" s="263"/>
      <c r="L148" s="263"/>
      <c r="M148" s="263"/>
      <c r="N148" s="263"/>
      <c r="O148" s="263"/>
      <c r="P148" s="263"/>
      <c r="Q148" s="263"/>
      <c r="T148" s="59" t="s">
        <v>418</v>
      </c>
      <c r="U148" s="96" t="str">
        <f t="shared" si="15"/>
        <v>Autoimagen disociada</v>
      </c>
      <c r="V148" s="60" t="s">
        <v>332</v>
      </c>
      <c r="W148" s="59">
        <f t="shared" ref="W148:X148" si="28">+O109</f>
        <v>5</v>
      </c>
      <c r="X148" s="78">
        <f t="shared" ca="1" si="28"/>
        <v>65</v>
      </c>
      <c r="Y148" s="78">
        <f t="shared" ca="1" si="18"/>
        <v>66</v>
      </c>
      <c r="Z148" s="60" t="str">
        <f t="shared" ca="1" si="12"/>
        <v/>
      </c>
      <c r="AA148" s="59" t="str">
        <f t="shared" ca="1" si="13"/>
        <v/>
      </c>
      <c r="AB148" s="58" t="str">
        <f t="shared" ca="1" si="14"/>
        <v/>
      </c>
      <c r="AD148" s="136" t="str">
        <f ca="1">IF(Y148&lt;=74,"en este rango, el puntaje no permite realizar una interpretación válida sobre la presencia de características asociadas a la faceta de Autoimagen disociada",IF(Y148&gt;=75,"se siente confuso respecto a sí mismo y perplejo respecto a la sociedad, por ello tiene experiencias aisladas de despersonalización y alteración de "&amp;"la consciencia. Se ve a sí mismo como apenado, con pensamientos recurrentes sobre el vacío y el sinsentido de la vida. Su percepción deficiente y su afectividad disonante son la causa de que solo pueda vivir los acontecimientos"&amp;" con desánimo e incomprensión"))</f>
        <v>en este rango, el puntaje no permite realizar una interpretación válida sobre la presencia de características asociadas a la faceta de Autoimagen disociada</v>
      </c>
      <c r="AR148" s="96" t="str">
        <f ca="1">_xlfn.SINGLE(IF(OR(ISNUMBER(SEARCH("fuera de los límites",V12)),ISNUMBER(SEARCH("debe considerarse inválido",V12))),"",IF(AND(SUM(Ajustes!F10:F37)=0,SUM(Ajustes!G10:G37)=0),(" No se ha realizado ningún ajuste sobre las tasas base del perfil, dado que la puntuación directa de la escala X (Sinceridad) no se sitúa por debajo de 21 ni por encima de 60 y la suma de los puntos de las tasas base de las escalas A (Ansiedad generalizad"&amp;"a) y CC (Depresión mayor) que exceden de 75 no alcanza el umbral que justifique su corrección."),_xlfn.SINGLE(IF(AND(SUM(Ajustes!F10:F37)&lt;&gt;0,H20&lt;21),(" Sobre los resultados obtenidos, las tasas base de las escalas de los patrones de la personalidad y de los síndromes clínicos se han aumentado en función de la escala X (Sinceridad), a fin de compensar la probable minimización de los síntomas asociada a u"&amp;"n estilo de respuesta reservado."),""))&amp;_xlfn.SINGLE(IF(AND(SUM(Ajustes!F10:F37)&lt;&gt;0,H20&gt;60),(" Sobre los resultados obtenidos, las tasas base de las escalas de los patrones de la personalidad y de los síndromes clínicos se han disminuido en función de la escala X (Sinceridad), a fin de compensar la probable exageración de los síntomas asociada a u"&amp;"n estilo de respuesta abierto y autorrevelador."),""))&amp;IF(SUM(Ajustes!G10:G37)&lt;&gt;0,IF(SUM(Ajustes!F10:F37)&lt;&gt;0,"Asimismo, las tasas base de "," Sobre los resultados obtenidos, las tasas base de ")&amp;IF(AND(Ajustes!G12&lt;&gt;0,Ajustes!G21&lt;&gt;0,Ajustes!G24&lt;&gt;0),"las escalas 2B (Melancólico), 8B (Masoquista) y C (Límite)",IF(AND(Ajustes!G12&lt;&gt;0,Ajustes!G21&lt;&gt;0),"las escalas 2B (Melancólico) y 8B (Masoquista)",IF(AND(Ajustes!G12&lt;&gt;0,Ajustes!G24&lt;&gt;0),"las escalas 2B (Melancólico) y C (Límite)",IF(AND(Ajustes!G21&lt;&gt;0,Ajustes!G24&lt;&gt;0),"las escalas 8B (Masoquista) y C (Límite)",IF(Ajustes!G12&lt;&gt;0,"la escala 2B (Melancólico)",IF(Ajustes!G21&lt;&gt;0,"la escala 8B (Masoquista)",IF(Ajustes!G24&lt;&gt;0,"la escala C (Límite)","")))))))&amp;(" se han disminuido en función de las escalas A (Ansiedad generalizada) y CC (Depresión mayor); este ajuste se basa en el principio de que las puntuaciones del evaluado(a) pueden estar distorsionadas si, al cumplimentar el inventario, se encuentra en un es"&amp;"tado emocional de ansiedad o depresión profunda")&amp;IF(OR(Ajustes!G11&lt;&gt;0,Ajustes!G23&lt;&gt;0),"; asimismo se aplica sobre "&amp;IF(AND(Ajustes!G11&lt;&gt;0,Ajustes!G23&lt;&gt;0),"las escalas 2A (Evitativo) y S (Esquizotípico)",IF(Ajustes!G11&lt;&gt;0,"la escala 2A (Evitativo)","la escala S (Esquizotípico)"))&amp;".","."),""))))</f>
        <v xml:space="preserve"> Sobre los resultados obtenidos, las tasas base de las escalas 2B (Melancólico), 8B (Masoquista) y C (Límite) se han disminuido en función de las escalas A (Ansiedad generalizada) y CC (Depresión mayor); este ajuste se basa en el principio de que las puntuaciones del evaluado(a) pueden estar distorsionadas si, al cumplimentar el inventario, se encuentra en un estado emocional de ansiedad o depresión profunda; asimismo se aplica sobre las escalas 2A (Evitativo) y S (Esquizotípico).</v>
      </c>
    </row>
    <row r="149" spans="2:44" ht="53.25" customHeight="1">
      <c r="B149" s="263"/>
      <c r="C149" s="263"/>
      <c r="D149" s="263"/>
      <c r="E149" s="263"/>
      <c r="F149" s="263"/>
      <c r="G149" s="263"/>
      <c r="H149" s="263"/>
      <c r="I149" s="263"/>
      <c r="J149" s="263"/>
      <c r="K149" s="263"/>
      <c r="L149" s="263"/>
      <c r="M149" s="263"/>
      <c r="N149" s="263"/>
      <c r="O149" s="263"/>
      <c r="P149" s="263"/>
      <c r="Q149" s="263"/>
      <c r="T149" s="59" t="s">
        <v>418</v>
      </c>
      <c r="U149" s="96" t="str">
        <f t="shared" si="15"/>
        <v>Contenido caótico</v>
      </c>
      <c r="V149" s="60" t="s">
        <v>333</v>
      </c>
      <c r="W149" s="59">
        <f t="shared" ref="W149:X149" si="29">+O110</f>
        <v>2</v>
      </c>
      <c r="X149" s="78">
        <f t="shared" ca="1" si="29"/>
        <v>46</v>
      </c>
      <c r="Y149" s="78">
        <f t="shared" ca="1" si="18"/>
        <v>60</v>
      </c>
      <c r="Z149" s="60" t="str">
        <f t="shared" ca="1" si="12"/>
        <v/>
      </c>
      <c r="AA149" s="59" t="str">
        <f t="shared" ca="1" si="13"/>
        <v/>
      </c>
      <c r="AB149" s="58" t="str">
        <f t="shared" ca="1" si="14"/>
        <v/>
      </c>
      <c r="AD149" s="136" t="str">
        <f ca="1">IF(Y149&lt;=74,"en este rango, el puntaje no permite realizar una interpretación válida sobre la presencia de características asociadas a la faceta de Contenido caótico",IF(Y149&gt;=75,"las representaciones interiorizadas son una maraña de recuerdos diversos, impulsos erráticos y canales desorganizados de regulación de la tensión o de"&amp;" mediación en los conflictos intrapsíquicos. Esta mezcla caótica de objetos, impulsos y pensamientos es casi aleatoria; por ello, esta estructura resulta ineficaz y desorganizada para la regulación de tensiones, necesidades y objetivos"))</f>
        <v>en este rango, el puntaje no permite realizar una interpretación válida sobre la presencia de características asociadas a la faceta de Contenido caótico</v>
      </c>
    </row>
    <row r="150" spans="2:44" ht="53.25" customHeight="1">
      <c r="B150" s="263"/>
      <c r="C150" s="263"/>
      <c r="D150" s="263"/>
      <c r="E150" s="263"/>
      <c r="F150" s="263"/>
      <c r="G150" s="263"/>
      <c r="H150" s="263"/>
      <c r="I150" s="263"/>
      <c r="J150" s="263"/>
      <c r="K150" s="263"/>
      <c r="L150" s="263"/>
      <c r="M150" s="263"/>
      <c r="N150" s="263"/>
      <c r="O150" s="263"/>
      <c r="P150" s="263"/>
      <c r="Q150" s="263"/>
      <c r="AR150" s="59" t="str">
        <f ca="1">IF(OR(ISNUMBER(SEARCH("fuera de los límites",V12)),ISNUMBER(SEARCH("debe considerarse inválido",V12))),""," Sobre esta base, "&amp;V16)</f>
        <v xml:space="preserve"> Sobre esta base, se observan elevaciones iguales o superiores a 85 en una o más escalas de los patrones clínicos de la personalidad, lo que refleja una patología suficientemente generalizada como para considerarla un trastorno clínico de la personalidad y, en su caso, el umbral propio de la patología grave de la personalidad. Las tres escalas con la puntuación más alta constituyen el código de puntuaciones máximas; al analizarse por separado y en su configuración conjunta, aportan información sustantiva sobre la estructura de polaridades (placer-dolor, pasivo-activo, uno mismo-otros) y sobre los dominios funcionales y estructurales que articulan la matriz personológica del evaluado(a), en la medida en que esta opera como mediador inmunológico entre el estrés psicosocial y la producción de síntomas.</v>
      </c>
    </row>
    <row r="151" spans="2:44" ht="53.25" customHeight="1">
      <c r="B151" s="263"/>
      <c r="C151" s="263"/>
      <c r="D151" s="263"/>
      <c r="E151" s="263"/>
      <c r="F151" s="263"/>
      <c r="G151" s="263"/>
      <c r="H151" s="263"/>
      <c r="I151" s="263"/>
      <c r="J151" s="263"/>
      <c r="K151" s="263"/>
      <c r="L151" s="263"/>
      <c r="M151" s="263"/>
      <c r="N151" s="263"/>
      <c r="O151" s="263"/>
      <c r="P151" s="263"/>
      <c r="Q151" s="263"/>
      <c r="U151" s="59"/>
      <c r="V151" s="59"/>
    </row>
    <row r="152" spans="2:44" s="78" customFormat="1" ht="53.25" customHeight="1">
      <c r="B152" s="263"/>
      <c r="C152" s="263"/>
      <c r="D152" s="263"/>
      <c r="E152" s="263"/>
      <c r="F152" s="263"/>
      <c r="G152" s="263"/>
      <c r="H152" s="263"/>
      <c r="I152" s="263"/>
      <c r="J152" s="263"/>
      <c r="K152" s="263"/>
      <c r="L152" s="263"/>
      <c r="M152" s="263"/>
      <c r="N152" s="263"/>
      <c r="O152" s="263"/>
      <c r="P152" s="263"/>
      <c r="Q152" s="263"/>
      <c r="T152" s="59" t="s">
        <v>232</v>
      </c>
      <c r="U152" s="78" t="str">
        <f>+L113</f>
        <v>Autoimagen inestable</v>
      </c>
      <c r="V152" s="59" t="s">
        <v>334</v>
      </c>
      <c r="W152" s="59">
        <f t="shared" ref="W152:Y154" si="30">+O113</f>
        <v>6</v>
      </c>
      <c r="X152" s="59">
        <f t="shared" ca="1" si="30"/>
        <v>78</v>
      </c>
      <c r="Y152" s="59">
        <f t="shared" ca="1" si="30"/>
        <v>75</v>
      </c>
      <c r="Z152" s="59" t="str">
        <f ca="1">IF(TRIM(LOWER(T152))=TRIM(LOWER($B$71)), ROW(), "")</f>
        <v/>
      </c>
      <c r="AA152" s="59" t="str">
        <f ca="1">IF(TRIM(LOWER(T152))=TRIM(LOWER($B$75)), ROW(), "")</f>
        <v/>
      </c>
      <c r="AB152" s="59" t="str">
        <f ca="1">IF(TRIM(LOWER(T152))=TRIM(LOWER($B$79)), ROW(), "")</f>
        <v/>
      </c>
      <c r="AD152" s="182" t="str">
        <f ca="1">IF(Y152&lt;=74,"en este rango, el puntaje no permite realizar una interpretación válida sobre la presencia de características asociadas a la faceta de Autoimagen inestable",IF(Y152&gt;=75,"experimenta confusión causada por un sentido de la identidad inmaduro, indefinido o fluctuante; y a menudo tiene sentimientos subyacentes de vacío."&amp;" Aparentemente, es incapaz de elegir un rumbo o un rol a partir del cual formarse un sentido de sí mismo homogéneo y "&amp;"duradero. Puede intentar redimir sus actos impulsivos y su autoimagen cambiante con expresiones de remordimiento y conductas autopunitivas"))</f>
        <v>experimenta confusión causada por un sentido de la identidad inmaduro, indefinido o fluctuante; y a menudo tiene sentimientos subyacentes de vacío. Aparentemente, es incapaz de elegir un rumbo o un rol a partir del cual formarse un sentido de sí mismo homogéneo y duradero. Puede intentar redimir sus actos impulsivos y su autoimagen cambiante con expresiones de remordimiento y conductas autopunitivas</v>
      </c>
    </row>
    <row r="153" spans="2:44" ht="53.25" customHeight="1">
      <c r="B153" s="263"/>
      <c r="C153" s="263"/>
      <c r="D153" s="263"/>
      <c r="E153" s="263"/>
      <c r="F153" s="263"/>
      <c r="G153" s="263"/>
      <c r="H153" s="263"/>
      <c r="I153" s="263"/>
      <c r="J153" s="263"/>
      <c r="K153" s="263"/>
      <c r="L153" s="263"/>
      <c r="M153" s="263"/>
      <c r="N153" s="263"/>
      <c r="O153" s="263"/>
      <c r="P153" s="263"/>
      <c r="Q153" s="263"/>
      <c r="T153" s="59" t="s">
        <v>232</v>
      </c>
      <c r="U153" s="91" t="str">
        <f>+L114</f>
        <v>Arquitectura disgregada</v>
      </c>
      <c r="V153" s="60" t="s">
        <v>335</v>
      </c>
      <c r="W153" s="59">
        <f t="shared" si="30"/>
        <v>4</v>
      </c>
      <c r="X153" s="78">
        <f t="shared" ca="1" si="30"/>
        <v>63</v>
      </c>
      <c r="Y153" s="78">
        <f t="shared" ca="1" si="30"/>
        <v>65</v>
      </c>
      <c r="Z153" s="60" t="str">
        <f t="shared" ref="Z153:Z159" ca="1" si="31">IF(TRIM(LOWER(T153))=TRIM(LOWER($B$71)), ROW(), "")</f>
        <v/>
      </c>
      <c r="AA153" s="59" t="str">
        <f t="shared" ref="AA153:AA159" ca="1" si="32">IF(TRIM(LOWER(T153))=TRIM(LOWER($B$75)), ROW(), "")</f>
        <v/>
      </c>
      <c r="AB153" s="58" t="str">
        <f t="shared" ref="AB153:AB159" ca="1" si="33">IF(TRIM(LOWER(T153))=TRIM(LOWER($B$79)), ROW(), "")</f>
        <v/>
      </c>
      <c r="AD153" s="136" t="str">
        <f ca="1">IF(Y153&lt;=74,"en este rango, el puntaje no permite realizar una interpretación válida sobre la presencia de características asociadas a la faceta de Arquitectura disgregada",IF(Y153&gt;=75,"la estructura psíquica interior es inconsistente e incongruente y está caracterizada por una inusual combinación de elementos claramente "&amp;"segmentados. Los niveles de conciencia pueden cambiar de repente y dar lugar a percepciones, recuerdos y afectos opuestos. Estos cambios pueden causar escisiones periódicas en un sistema psíquico"&amp;" ya limitado e inestable, lo cual conlleva episodios minipsicóticos transitorios relacionados con el estrés"))</f>
        <v>en este rango, el puntaje no permite realizar una interpretación válida sobre la presencia de características asociadas a la faceta de Arquitectura disgregada</v>
      </c>
    </row>
    <row r="154" spans="2:44" ht="153" customHeight="1">
      <c r="B154" s="263"/>
      <c r="C154" s="263"/>
      <c r="D154" s="263"/>
      <c r="E154" s="263"/>
      <c r="F154" s="263"/>
      <c r="G154" s="263"/>
      <c r="H154" s="263"/>
      <c r="I154" s="263"/>
      <c r="J154" s="263"/>
      <c r="K154" s="263"/>
      <c r="L154" s="263"/>
      <c r="M154" s="263"/>
      <c r="N154" s="263"/>
      <c r="O154" s="263"/>
      <c r="P154" s="263"/>
      <c r="Q154" s="263"/>
      <c r="T154" s="59" t="s">
        <v>232</v>
      </c>
      <c r="U154" s="91" t="str">
        <f>+L115</f>
        <v>Temperamentalmente lábil</v>
      </c>
      <c r="V154" s="60" t="s">
        <v>336</v>
      </c>
      <c r="W154" s="59">
        <f t="shared" si="30"/>
        <v>3</v>
      </c>
      <c r="X154" s="78">
        <f t="shared" ca="1" si="30"/>
        <v>54</v>
      </c>
      <c r="Y154" s="78">
        <f t="shared" ca="1" si="30"/>
        <v>60</v>
      </c>
      <c r="Z154" s="60" t="str">
        <f t="shared" ca="1" si="31"/>
        <v/>
      </c>
      <c r="AA154" s="59" t="str">
        <f t="shared" ca="1" si="32"/>
        <v/>
      </c>
      <c r="AB154" s="58" t="str">
        <f t="shared" ca="1" si="33"/>
        <v/>
      </c>
      <c r="AD154" s="136" t="str">
        <f ca="1">IF(Y154&lt;=74,"en este rango, el puntaje no permite realizar una interpretación válida sobre la presencia de características asociadas a la faceta de Temperamentalmente lábil",IF(Y154&gt;=75,"es emocionalmente inestable, y su estado de ánimo no suele ser acorde a la realidad. Su desánimo y apatía crónicos a menudo se intercalan"&amp;" con periodos breves de ira, euforia o ansiedad. Puede dominar en su temperamento un componente depresivo autocomplaciente, que periódicamente da paso a una agitación ansiosa o a arrebatos impulsivos de ira o resentimiento"))</f>
        <v>en este rango, el puntaje no permite realizar una interpretación válida sobre la presencia de características asociadas a la faceta de Temperamentalmente lábil</v>
      </c>
    </row>
    <row r="155" spans="2:44" ht="21.75" customHeight="1">
      <c r="B155" s="184" t="s">
        <v>604</v>
      </c>
      <c r="C155" s="170"/>
      <c r="D155" s="170"/>
      <c r="E155" s="170"/>
      <c r="F155" s="170"/>
      <c r="G155" s="170"/>
      <c r="H155" s="170"/>
      <c r="I155" s="170"/>
      <c r="J155" s="170"/>
      <c r="K155" s="170"/>
      <c r="L155" s="170"/>
      <c r="M155" s="170"/>
      <c r="N155" s="170"/>
      <c r="O155" s="170"/>
      <c r="P155" s="170"/>
      <c r="Q155" s="170"/>
      <c r="U155" s="91"/>
    </row>
    <row r="156" spans="2:44" ht="25.5" customHeight="1">
      <c r="B156" s="264" t="s">
        <v>605</v>
      </c>
      <c r="C156" s="264"/>
      <c r="D156" s="264"/>
      <c r="E156" s="264"/>
      <c r="F156" s="264"/>
      <c r="G156" s="264"/>
      <c r="H156" s="264"/>
      <c r="I156" s="264"/>
      <c r="J156" s="264"/>
      <c r="K156" s="264"/>
      <c r="L156" s="264"/>
      <c r="M156" s="264"/>
      <c r="N156" s="264"/>
      <c r="O156" s="264"/>
      <c r="P156" s="264"/>
      <c r="Q156" s="264"/>
      <c r="U156" s="78"/>
      <c r="V156" s="59"/>
    </row>
    <row r="157" spans="2:44" ht="25.5" customHeight="1">
      <c r="B157" s="264"/>
      <c r="C157" s="264"/>
      <c r="D157" s="264"/>
      <c r="E157" s="264"/>
      <c r="F157" s="264"/>
      <c r="G157" s="264"/>
      <c r="H157" s="264"/>
      <c r="I157" s="264"/>
      <c r="J157" s="264"/>
      <c r="K157" s="264"/>
      <c r="L157" s="264"/>
      <c r="M157" s="264"/>
      <c r="N157" s="264"/>
      <c r="O157" s="264"/>
      <c r="P157" s="264"/>
      <c r="Q157" s="264"/>
      <c r="T157" s="59" t="s">
        <v>233</v>
      </c>
      <c r="U157" s="91" t="str">
        <f>+L118</f>
        <v>Expresivamente defensivo</v>
      </c>
      <c r="V157" s="60" t="s">
        <v>337</v>
      </c>
      <c r="W157" s="59">
        <f t="shared" ref="W157:Y159" si="34">+O118</f>
        <v>5</v>
      </c>
      <c r="X157" s="78">
        <f t="shared" ca="1" si="34"/>
        <v>81</v>
      </c>
      <c r="Y157" s="78">
        <f t="shared" ca="1" si="34"/>
        <v>75</v>
      </c>
      <c r="Z157" s="60" t="str">
        <f t="shared" ca="1" si="31"/>
        <v/>
      </c>
      <c r="AA157" s="59" t="str">
        <f t="shared" ca="1" si="32"/>
        <v/>
      </c>
      <c r="AB157" s="58" t="str">
        <f t="shared" ca="1" si="33"/>
        <v/>
      </c>
      <c r="AD157" s="136" t="str">
        <f ca="1">IF(Y157&lt;=74,"en este rango, el puntaje no permite realizar una interpretación válida sobre la presencia de características asociadas a la faceta de Expresivamente defensivo",IF(Y157&gt;=75,"está siempre en alerta, actúa con cautela y con una extremada desconfianza para protegerse anticipadamente de los engaños y la malicia de los"&amp;" demás. Es tenaz y se resiste firmemente a las influencias externas que pueda recibir y a ser controlado "&amp;"de algún modo. Se muestra tenso e inquieto, con una irritabilidad desagradable y una actitud defensiva constante que lo lleva a reaccionar ante la más mínima ofensa real o percibida"))</f>
        <v>está siempre en alerta, actúa con cautela y con una extremada desconfianza para protegerse anticipadamente de los engaños y la malicia de los demás. Es tenaz y se resiste firmemente a las influencias externas que pueda recibir y a ser controlado de algún modo. Se muestra tenso e inquieto, con una irritabilidad desagradable y una actitud defensiva constante que lo lleva a reaccionar ante la más mínima ofensa real o percibida</v>
      </c>
    </row>
    <row r="158" spans="2:44" ht="25.5" customHeight="1">
      <c r="B158" s="264"/>
      <c r="C158" s="264"/>
      <c r="D158" s="264"/>
      <c r="E158" s="264"/>
      <c r="F158" s="264"/>
      <c r="G158" s="264"/>
      <c r="H158" s="264"/>
      <c r="I158" s="264"/>
      <c r="J158" s="264"/>
      <c r="K158" s="264"/>
      <c r="L158" s="264"/>
      <c r="M158" s="264"/>
      <c r="N158" s="264"/>
      <c r="O158" s="264"/>
      <c r="P158" s="264"/>
      <c r="Q158" s="264"/>
      <c r="T158" s="59" t="s">
        <v>233</v>
      </c>
      <c r="U158" s="91" t="str">
        <f>+L119</f>
        <v>Cognitivamente desconfiado</v>
      </c>
      <c r="V158" s="60" t="s">
        <v>338</v>
      </c>
      <c r="W158" s="59">
        <f t="shared" si="34"/>
        <v>2</v>
      </c>
      <c r="X158" s="78">
        <f t="shared" ca="1" si="34"/>
        <v>50</v>
      </c>
      <c r="Y158" s="78">
        <f t="shared" ca="1" si="34"/>
        <v>60</v>
      </c>
      <c r="Z158" s="60" t="str">
        <f t="shared" ca="1" si="31"/>
        <v/>
      </c>
      <c r="AA158" s="59" t="str">
        <f t="shared" ca="1" si="32"/>
        <v/>
      </c>
      <c r="AB158" s="58" t="str">
        <f t="shared" ca="1" si="33"/>
        <v/>
      </c>
      <c r="AD158" s="136" t="str">
        <f ca="1">IF(Y158&lt;=74,"en este rango, el puntaje no permite realizar una interpretación válida sobre la presencia de características asociadas a la faceta de Cognitivamente desconfiado",IF(Y158&gt;=75,"desconfía de las "&amp;"intenciones de los demás y tiende a interpretar erróneamente acciones inofensivas como pruebas de hipocresía o de conspiración. Dominado por su suspicacia, es particularmente hipersensible y propenso a detectar "&amp;"indicios de estratagemas o engaños en todo momento. Capta cualquier detalle por minúsculo que sea, lo magnifica y lo distorsiona para confirmar sus peores expectativas"))</f>
        <v>en este rango, el puntaje no permite realizar una interpretación válida sobre la presencia de características asociadas a la faceta de Cognitivamente desconfiado</v>
      </c>
    </row>
    <row r="159" spans="2:44" ht="15.75" customHeight="1">
      <c r="B159" s="264"/>
      <c r="C159" s="264"/>
      <c r="D159" s="264"/>
      <c r="E159" s="264"/>
      <c r="F159" s="264"/>
      <c r="G159" s="264"/>
      <c r="H159" s="264"/>
      <c r="I159" s="264"/>
      <c r="J159" s="264"/>
      <c r="K159" s="264"/>
      <c r="L159" s="264"/>
      <c r="M159" s="264"/>
      <c r="N159" s="264"/>
      <c r="O159" s="264"/>
      <c r="P159" s="264"/>
      <c r="Q159" s="264"/>
      <c r="T159" s="59" t="s">
        <v>233</v>
      </c>
      <c r="U159" s="91" t="str">
        <f>+L120</f>
        <v>Dinámicas de proyección</v>
      </c>
      <c r="V159" s="60" t="s">
        <v>339</v>
      </c>
      <c r="W159" s="59">
        <f t="shared" si="34"/>
        <v>2</v>
      </c>
      <c r="X159" s="78">
        <f t="shared" ca="1" si="34"/>
        <v>53</v>
      </c>
      <c r="Y159" s="78">
        <f t="shared" ca="1" si="34"/>
        <v>60</v>
      </c>
      <c r="Z159" s="60" t="str">
        <f t="shared" ca="1" si="31"/>
        <v/>
      </c>
      <c r="AA159" s="59" t="str">
        <f t="shared" ca="1" si="32"/>
        <v/>
      </c>
      <c r="AB159" s="58" t="str">
        <f t="shared" ca="1" si="33"/>
        <v/>
      </c>
      <c r="AD159" s="136" t="str">
        <f ca="1">IF(Y159&lt;=74,"en este rango, el puntaje no permite realizar una interpretación válida sobre la presencia de características asociadas a la faceta de Dinámicas de proyección",IF(Y159&gt;=75,"no acepta sus cualidades e intenciones despreciables y las atribuye a los demás. Permanece ciego a su conducta y a sus rasgos indeseables, pero"&amp;" advierte los defectos más intrascendentes de los demás. Su susceptibilidad e irritabilidad lo mantienen siempre a punto para humillar y despreciar a cualquiera cuya actitud o comportamiento le parezca dudosa o despreciativa"))</f>
        <v>en este rango, el puntaje no permite realizar una interpretación válida sobre la presencia de características asociadas a la faceta de Dinámicas de proyección</v>
      </c>
    </row>
    <row r="160" spans="2:44" ht="15.75" customHeight="1">
      <c r="B160" s="264"/>
      <c r="C160" s="264"/>
      <c r="D160" s="264"/>
      <c r="E160" s="264"/>
      <c r="F160" s="264"/>
      <c r="G160" s="264"/>
      <c r="H160" s="264"/>
      <c r="I160" s="264"/>
      <c r="J160" s="264"/>
      <c r="K160" s="264"/>
      <c r="L160" s="264"/>
      <c r="M160" s="264"/>
      <c r="N160" s="264"/>
      <c r="O160" s="264"/>
      <c r="P160" s="264"/>
      <c r="Q160" s="264"/>
    </row>
    <row r="161" spans="2:49" ht="45.75" customHeight="1">
      <c r="B161" s="263" t="str">
        <f ca="1">TRIM(AR186&amp;AR190&amp;AR191&amp;AR193&amp;AR195)</f>
        <v>El perfil del evaluado(a) refleja, como configuración principal del estilo básico de la personalidad, un trastorno clínicamente significativo de la personalidad de tipo esquizoide. El evaluado(a) se caracteriza por su falta de deseo y su incapacidad para sentir placer o dolor intenso, se muestra indiferente ante las relaciones sociales y tiende a ser apático, distante y asocial; sus emociones y necesidades afectivas son mínimas y actúa como un observador pasivo, desligado del beneficio y del afecto que aportan las relaciones humanas, así como de los requerimientos de las mismas. A este cuadro central se añaden, asimismo, rasgos propios de un tipo de personalidad compulsivo, que se manifiestan en el evaluado(a) como una prudencia, control y perfeccionismo derivados del conflicto entre la hostilidad hacia los demás y el miedo a la desaprobación social, resuelto mediante la supresión del resentimiento y la disciplinada autocontención. A los rasgos anteriores se asocian, asimismo, manifestaciones propias de un tipo de personalidad dependiente, que se concretan en el evaluado(a) como la falta de iniciativa y la búsqueda de figuras protectoras que orienten su conducta.</v>
      </c>
      <c r="C161" s="263"/>
      <c r="D161" s="263"/>
      <c r="E161" s="263"/>
      <c r="F161" s="263"/>
      <c r="G161" s="263"/>
      <c r="H161" s="263"/>
      <c r="I161" s="263"/>
      <c r="J161" s="263"/>
      <c r="K161" s="263"/>
      <c r="L161" s="263"/>
      <c r="M161" s="263"/>
      <c r="N161" s="263"/>
      <c r="O161" s="263"/>
      <c r="P161" s="263"/>
      <c r="Q161" s="263"/>
      <c r="R161" s="169"/>
      <c r="AT161" s="91"/>
      <c r="AU161" s="91"/>
      <c r="AV161" s="60"/>
      <c r="AW161" s="59"/>
    </row>
    <row r="162" spans="2:49" ht="45.75" customHeight="1">
      <c r="B162" s="263"/>
      <c r="C162" s="263"/>
      <c r="D162" s="263"/>
      <c r="E162" s="263"/>
      <c r="F162" s="263"/>
      <c r="G162" s="263"/>
      <c r="H162" s="263"/>
      <c r="I162" s="263"/>
      <c r="J162" s="263"/>
      <c r="K162" s="263"/>
      <c r="L162" s="263"/>
      <c r="M162" s="263"/>
      <c r="N162" s="263"/>
      <c r="O162" s="263"/>
      <c r="P162" s="263"/>
      <c r="Q162" s="263"/>
      <c r="R162" s="169"/>
      <c r="AT162" s="91"/>
      <c r="AU162" s="91"/>
      <c r="AV162" s="60"/>
      <c r="AW162" s="59"/>
    </row>
    <row r="163" spans="2:49" ht="45.75" customHeight="1">
      <c r="B163" s="263"/>
      <c r="C163" s="263"/>
      <c r="D163" s="263"/>
      <c r="E163" s="263"/>
      <c r="F163" s="263"/>
      <c r="G163" s="263"/>
      <c r="H163" s="263"/>
      <c r="I163" s="263"/>
      <c r="J163" s="263"/>
      <c r="K163" s="263"/>
      <c r="L163" s="263"/>
      <c r="M163" s="263"/>
      <c r="N163" s="263"/>
      <c r="O163" s="263"/>
      <c r="P163" s="263"/>
      <c r="Q163" s="263"/>
      <c r="R163" s="169"/>
      <c r="AT163" s="91"/>
      <c r="AU163" s="91"/>
      <c r="AV163" s="60"/>
      <c r="AW163" s="59"/>
    </row>
    <row r="164" spans="2:49" ht="45.75" customHeight="1">
      <c r="B164" s="263"/>
      <c r="C164" s="263"/>
      <c r="D164" s="263"/>
      <c r="E164" s="263"/>
      <c r="F164" s="263"/>
      <c r="G164" s="263"/>
      <c r="H164" s="263"/>
      <c r="I164" s="263"/>
      <c r="J164" s="263"/>
      <c r="K164" s="263"/>
      <c r="L164" s="263"/>
      <c r="M164" s="263"/>
      <c r="N164" s="263"/>
      <c r="O164" s="263"/>
      <c r="P164" s="263"/>
      <c r="Q164" s="263"/>
      <c r="R164" s="169"/>
      <c r="AT164" s="91"/>
      <c r="AU164" s="91"/>
      <c r="AV164" s="60"/>
      <c r="AW164" s="59"/>
    </row>
    <row r="165" spans="2:49" ht="45.75" customHeight="1">
      <c r="B165" s="263"/>
      <c r="C165" s="263"/>
      <c r="D165" s="263"/>
      <c r="E165" s="263"/>
      <c r="F165" s="263"/>
      <c r="G165" s="263"/>
      <c r="H165" s="263"/>
      <c r="I165" s="263"/>
      <c r="J165" s="263"/>
      <c r="K165" s="263"/>
      <c r="L165" s="263"/>
      <c r="M165" s="263"/>
      <c r="N165" s="263"/>
      <c r="O165" s="263"/>
      <c r="P165" s="263"/>
      <c r="Q165" s="263"/>
      <c r="R165" s="169"/>
      <c r="AT165" s="91"/>
      <c r="AU165" s="91"/>
      <c r="AV165" s="60"/>
      <c r="AW165" s="59"/>
    </row>
    <row r="166" spans="2:49" ht="45.75" customHeight="1">
      <c r="B166" s="263"/>
      <c r="C166" s="263"/>
      <c r="D166" s="263"/>
      <c r="E166" s="263"/>
      <c r="F166" s="263"/>
      <c r="G166" s="263"/>
      <c r="H166" s="263"/>
      <c r="I166" s="263"/>
      <c r="J166" s="263"/>
      <c r="K166" s="263"/>
      <c r="L166" s="263"/>
      <c r="M166" s="263"/>
      <c r="N166" s="263"/>
      <c r="O166" s="263"/>
      <c r="P166" s="263"/>
      <c r="Q166" s="263"/>
      <c r="R166" s="169"/>
      <c r="AT166" s="91"/>
      <c r="AU166" s="91"/>
      <c r="AV166" s="60"/>
      <c r="AW166" s="59"/>
    </row>
    <row r="167" spans="2:49" ht="45.75" customHeight="1">
      <c r="B167" s="263"/>
      <c r="C167" s="263"/>
      <c r="D167" s="263"/>
      <c r="E167" s="263"/>
      <c r="F167" s="263"/>
      <c r="G167" s="263"/>
      <c r="H167" s="263"/>
      <c r="I167" s="263"/>
      <c r="J167" s="263"/>
      <c r="K167" s="263"/>
      <c r="L167" s="263"/>
      <c r="M167" s="263"/>
      <c r="N167" s="263"/>
      <c r="O167" s="263"/>
      <c r="P167" s="263"/>
      <c r="Q167" s="263"/>
      <c r="R167" s="169"/>
      <c r="AT167" s="91"/>
      <c r="AU167" s="91"/>
      <c r="AV167" s="60"/>
      <c r="AW167" s="59"/>
    </row>
    <row r="168" spans="2:49" ht="45.75" customHeight="1">
      <c r="B168" s="263"/>
      <c r="C168" s="263"/>
      <c r="D168" s="263"/>
      <c r="E168" s="263"/>
      <c r="F168" s="263"/>
      <c r="G168" s="263"/>
      <c r="H168" s="263"/>
      <c r="I168" s="263"/>
      <c r="J168" s="263"/>
      <c r="K168" s="263"/>
      <c r="L168" s="263"/>
      <c r="M168" s="263"/>
      <c r="N168" s="263"/>
      <c r="O168" s="263"/>
      <c r="P168" s="263"/>
      <c r="Q168" s="263"/>
      <c r="R168" s="169"/>
      <c r="AT168" s="91"/>
      <c r="AU168" s="91"/>
      <c r="AV168" s="60"/>
      <c r="AW168" s="59"/>
    </row>
    <row r="169" spans="2:49" ht="45.75" customHeight="1">
      <c r="B169" s="263"/>
      <c r="C169" s="263"/>
      <c r="D169" s="263"/>
      <c r="E169" s="263"/>
      <c r="F169" s="263"/>
      <c r="G169" s="263"/>
      <c r="H169" s="263"/>
      <c r="I169" s="263"/>
      <c r="J169" s="263"/>
      <c r="K169" s="263"/>
      <c r="L169" s="263"/>
      <c r="M169" s="263"/>
      <c r="N169" s="263"/>
      <c r="O169" s="263"/>
      <c r="P169" s="263"/>
      <c r="Q169" s="263"/>
      <c r="R169" s="169"/>
      <c r="AT169" s="91"/>
      <c r="AU169" s="91"/>
      <c r="AV169" s="60"/>
      <c r="AW169" s="59"/>
    </row>
    <row r="170" spans="2:49" ht="45.75" customHeight="1">
      <c r="B170" s="263"/>
      <c r="C170" s="263"/>
      <c r="D170" s="263"/>
      <c r="E170" s="263"/>
      <c r="F170" s="263"/>
      <c r="G170" s="263"/>
      <c r="H170" s="263"/>
      <c r="I170" s="263"/>
      <c r="J170" s="263"/>
      <c r="K170" s="263"/>
      <c r="L170" s="263"/>
      <c r="M170" s="263"/>
      <c r="N170" s="263"/>
      <c r="O170" s="263"/>
      <c r="P170" s="263"/>
      <c r="Q170" s="263"/>
      <c r="R170" s="169"/>
      <c r="AT170" s="91"/>
      <c r="AU170" s="91"/>
      <c r="AV170" s="60"/>
      <c r="AW170" s="59"/>
    </row>
    <row r="171" spans="2:49" ht="45.75" customHeight="1">
      <c r="B171" s="263"/>
      <c r="C171" s="263"/>
      <c r="D171" s="263"/>
      <c r="E171" s="263"/>
      <c r="F171" s="263"/>
      <c r="G171" s="263"/>
      <c r="H171" s="263"/>
      <c r="I171" s="263"/>
      <c r="J171" s="263"/>
      <c r="K171" s="263"/>
      <c r="L171" s="263"/>
      <c r="M171" s="263"/>
      <c r="N171" s="263"/>
      <c r="O171" s="263"/>
      <c r="P171" s="263"/>
      <c r="Q171" s="263"/>
      <c r="R171" s="169"/>
      <c r="AQ171" s="59"/>
      <c r="AT171" s="78"/>
      <c r="AU171" s="78"/>
      <c r="AV171" s="60"/>
      <c r="AW171" s="59"/>
    </row>
    <row r="172" spans="2:49" ht="45.75" customHeight="1">
      <c r="B172" s="263"/>
      <c r="C172" s="263"/>
      <c r="D172" s="263"/>
      <c r="E172" s="263"/>
      <c r="F172" s="263"/>
      <c r="G172" s="263"/>
      <c r="H172" s="263"/>
      <c r="I172" s="263"/>
      <c r="J172" s="263"/>
      <c r="K172" s="263"/>
      <c r="L172" s="263"/>
      <c r="M172" s="263"/>
      <c r="N172" s="263"/>
      <c r="O172" s="263"/>
      <c r="P172" s="263"/>
      <c r="Q172" s="263"/>
      <c r="AQ172" s="59"/>
      <c r="AT172" s="78"/>
      <c r="AU172" s="78"/>
      <c r="AV172" s="60"/>
      <c r="AW172" s="59"/>
    </row>
    <row r="173" spans="2:49" ht="20.25" customHeight="1">
      <c r="B173" s="184" t="s">
        <v>717</v>
      </c>
      <c r="C173" s="169"/>
      <c r="D173" s="169"/>
      <c r="E173" s="169"/>
      <c r="F173" s="169"/>
      <c r="G173" s="169"/>
      <c r="H173" s="169"/>
      <c r="I173" s="169"/>
      <c r="J173" s="169"/>
      <c r="K173" s="169"/>
      <c r="L173" s="169"/>
      <c r="M173" s="169"/>
      <c r="N173" s="169"/>
      <c r="O173" s="169"/>
      <c r="P173" s="169"/>
      <c r="Q173" s="169"/>
      <c r="AQ173" s="59"/>
      <c r="AT173" s="78"/>
      <c r="AU173" s="78"/>
      <c r="AV173" s="60"/>
      <c r="AW173" s="59"/>
    </row>
    <row r="174" spans="2:49" ht="47.25" customHeight="1">
      <c r="B174" s="263" t="s">
        <v>716</v>
      </c>
      <c r="C174" s="263"/>
      <c r="D174" s="263"/>
      <c r="E174" s="263"/>
      <c r="F174" s="263"/>
      <c r="G174" s="263"/>
      <c r="H174" s="263"/>
      <c r="I174" s="263"/>
      <c r="J174" s="263"/>
      <c r="K174" s="263"/>
      <c r="L174" s="263"/>
      <c r="M174" s="263"/>
      <c r="N174" s="263"/>
      <c r="O174" s="263"/>
      <c r="P174" s="263"/>
      <c r="Q174" s="263"/>
      <c r="AQ174" s="59"/>
      <c r="AT174" s="78"/>
      <c r="AU174" s="78"/>
      <c r="AV174" s="60"/>
      <c r="AW174" s="59"/>
    </row>
    <row r="175" spans="2:49" ht="47.25" customHeight="1">
      <c r="B175" s="263"/>
      <c r="C175" s="263"/>
      <c r="D175" s="263"/>
      <c r="E175" s="263"/>
      <c r="F175" s="263"/>
      <c r="G175" s="263"/>
      <c r="H175" s="263"/>
      <c r="I175" s="263"/>
      <c r="J175" s="263"/>
      <c r="K175" s="263"/>
      <c r="L175" s="263"/>
      <c r="M175" s="263"/>
      <c r="N175" s="263"/>
      <c r="O175" s="263"/>
      <c r="P175" s="263"/>
      <c r="Q175" s="263"/>
      <c r="AQ175" s="59">
        <f ca="1">COUNTIF(I27:I42,"&gt;=75")</f>
        <v>4</v>
      </c>
      <c r="AR175" s="58" t="str">
        <f>""</f>
        <v/>
      </c>
      <c r="AT175" s="78"/>
      <c r="AU175" s="78"/>
      <c r="AV175" s="60"/>
      <c r="AW175" s="59"/>
    </row>
    <row r="176" spans="2:49" ht="47.25" customHeight="1">
      <c r="B176" s="263"/>
      <c r="C176" s="263"/>
      <c r="D176" s="263"/>
      <c r="E176" s="263"/>
      <c r="F176" s="263"/>
      <c r="G176" s="263"/>
      <c r="H176" s="263"/>
      <c r="I176" s="263"/>
      <c r="J176" s="263"/>
      <c r="K176" s="263"/>
      <c r="L176" s="263"/>
      <c r="M176" s="263"/>
      <c r="N176" s="263"/>
      <c r="O176" s="263"/>
      <c r="P176" s="263"/>
      <c r="Q176" s="263"/>
      <c r="AQ176" s="59">
        <f ca="1">COUNTIF(I27:I42,"&gt;=85")</f>
        <v>1</v>
      </c>
      <c r="AR176" s="58" t="str">
        <f>""</f>
        <v/>
      </c>
      <c r="AT176" s="78"/>
      <c r="AU176" s="78"/>
      <c r="AV176" s="60"/>
      <c r="AW176" s="59"/>
    </row>
    <row r="177" spans="2:49" ht="55.5" customHeight="1">
      <c r="B177" s="263" t="str">
        <f ca="1">TRIM(AR203&amp;AR204&amp;AR205&amp;AR206&amp;AR207&amp;AR208)</f>
        <v>Asimismo, mediante el análisis de las facetas de Grossman elevadas en las escalas de los patrones clínicos de la personalidad y de la patología grave de la personalidad, resulta posible identificar los dominios funcionales y estructurales más problemáticos o clínicamente significativos del evaluado(a), tales como la autoimagen, la expresión emocional o el comportamiento interpersonal. Un análisis detenido de dichas puntuaciones indica que las siguientes características figuran entre los rasgos más prominentes de su personalidad. Lo más destacable es . Asimismo sobresale . Es también digna de atención . Merece asimismo señalarse . Los esfuerzos terapéuticos iniciales tenderán a producir resultados óptimos si se orientan a la modificación de estos rasgos de la personalidad.</v>
      </c>
      <c r="C177" s="263"/>
      <c r="D177" s="263"/>
      <c r="E177" s="263"/>
      <c r="F177" s="263"/>
      <c r="G177" s="263"/>
      <c r="H177" s="263"/>
      <c r="I177" s="263"/>
      <c r="J177" s="263"/>
      <c r="K177" s="263"/>
      <c r="L177" s="263"/>
      <c r="M177" s="263"/>
      <c r="N177" s="263"/>
      <c r="O177" s="263"/>
      <c r="P177" s="263"/>
      <c r="Q177" s="263"/>
      <c r="AQ177" s="59">
        <f ca="1">IF(AND(AQ187&lt;&gt;"S",AQ187&lt;&gt;"C",AQ187&lt;&gt;"P"),AQ187,IF(AND(AQ189&lt;&gt;"S",AQ189&lt;&gt;"C",AQ189&lt;&gt;"P"),AQ189,IF(AND(AQ191&lt;&gt;"S",AQ191&lt;&gt;"C",AQ191&lt;&gt;"P"),AQ191,"")))</f>
        <v>1</v>
      </c>
      <c r="AR177" s="58" t="str">
        <f>""</f>
        <v/>
      </c>
      <c r="AT177" s="78"/>
      <c r="AU177" s="78"/>
      <c r="AV177" s="60"/>
      <c r="AW177" s="59"/>
    </row>
    <row r="178" spans="2:49" ht="55.5" customHeight="1">
      <c r="B178" s="263"/>
      <c r="C178" s="263"/>
      <c r="D178" s="263"/>
      <c r="E178" s="263"/>
      <c r="F178" s="263"/>
      <c r="G178" s="263"/>
      <c r="H178" s="263"/>
      <c r="I178" s="263"/>
      <c r="J178" s="263"/>
      <c r="K178" s="263"/>
      <c r="L178" s="263"/>
      <c r="M178" s="263"/>
      <c r="N178" s="263"/>
      <c r="O178" s="263"/>
      <c r="P178" s="263"/>
      <c r="Q178" s="263"/>
      <c r="AQ178" s="59">
        <f ca="1">IF(AND(AQ187&lt;&gt;"S",AQ187&lt;&gt;"C",AQ187&lt;&gt;"P"),AQ188,IF(AND(AQ189&lt;&gt;"S",AQ189&lt;&gt;"C",AQ189&lt;&gt;"P"),AQ190,IF(AND(AQ191&lt;&gt;"S",AQ191&lt;&gt;"C",AQ191&lt;&gt;"P"),AQ192,0)))</f>
        <v>97</v>
      </c>
      <c r="AT178" s="78"/>
      <c r="AU178" s="78"/>
      <c r="AV178" s="60"/>
      <c r="AW178" s="59"/>
    </row>
    <row r="179" spans="2:49" ht="55.5" customHeight="1">
      <c r="B179" s="263"/>
      <c r="C179" s="263"/>
      <c r="D179" s="263"/>
      <c r="E179" s="263"/>
      <c r="F179" s="263"/>
      <c r="G179" s="263"/>
      <c r="H179" s="263"/>
      <c r="I179" s="263"/>
      <c r="J179" s="263"/>
      <c r="K179" s="263"/>
      <c r="L179" s="263"/>
      <c r="M179" s="263"/>
      <c r="N179" s="263"/>
      <c r="O179" s="263"/>
      <c r="P179" s="263"/>
      <c r="Q179" s="263"/>
      <c r="AQ179" s="59">
        <f ca="1">IF(AND(AQ187&lt;&gt;AQ177,AQ187&lt;&gt;"S",AQ187&lt;&gt;"C",AQ187&lt;&gt;"P"),AQ187,IF(AND(AQ189&lt;&gt;AQ177,AQ189&lt;&gt;"S",AQ189&lt;&gt;"C",AQ189&lt;&gt;"P"),AQ189,IF(AND(AQ191&lt;&gt;AQ177,AQ191&lt;&gt;"S",AQ191&lt;&gt;"C",AQ191&lt;&gt;"P"),AQ191,"")))</f>
        <v>7</v>
      </c>
      <c r="AT179" s="78"/>
      <c r="AU179" s="78"/>
      <c r="AV179" s="60"/>
      <c r="AW179" s="59"/>
    </row>
    <row r="180" spans="2:49" ht="55.5" customHeight="1">
      <c r="B180" s="263"/>
      <c r="C180" s="263"/>
      <c r="D180" s="263"/>
      <c r="E180" s="263"/>
      <c r="F180" s="263"/>
      <c r="G180" s="263"/>
      <c r="H180" s="263"/>
      <c r="I180" s="263"/>
      <c r="J180" s="263"/>
      <c r="K180" s="263"/>
      <c r="L180" s="263"/>
      <c r="M180" s="263"/>
      <c r="N180" s="263"/>
      <c r="O180" s="263"/>
      <c r="P180" s="263"/>
      <c r="Q180" s="263"/>
      <c r="AQ180" s="59"/>
      <c r="AT180" s="78"/>
      <c r="AU180" s="78"/>
      <c r="AV180" s="60"/>
      <c r="AW180" s="59"/>
    </row>
    <row r="181" spans="2:49" ht="55.5" customHeight="1">
      <c r="B181" s="263"/>
      <c r="C181" s="263"/>
      <c r="D181" s="263"/>
      <c r="E181" s="263"/>
      <c r="F181" s="263"/>
      <c r="G181" s="263"/>
      <c r="H181" s="263"/>
      <c r="I181" s="263"/>
      <c r="J181" s="263"/>
      <c r="K181" s="263"/>
      <c r="L181" s="263"/>
      <c r="M181" s="263"/>
      <c r="N181" s="263"/>
      <c r="O181" s="263"/>
      <c r="P181" s="263"/>
      <c r="Q181" s="263"/>
      <c r="AQ181" s="59">
        <f ca="1">IF(AND(AQ187&lt;&gt;AQ177,AQ187&lt;&gt;"S",AQ187&lt;&gt;"C",AQ187&lt;&gt;"P"),AQ188,IF(AND(AQ189&lt;&gt;AQ177,AQ189&lt;&gt;"S",AQ189&lt;&gt;"C",AQ189&lt;&gt;"P"),AQ190,IF(AND(AQ191&lt;&gt;AQ177,AQ191&lt;&gt;"S",AQ191&lt;&gt;"C",AQ191&lt;&gt;"P"),AQ192,0)))</f>
        <v>80</v>
      </c>
      <c r="AR181" s="58" t="str">
        <f>""</f>
        <v/>
      </c>
      <c r="AT181" s="78"/>
      <c r="AU181" s="78"/>
      <c r="AV181" s="60"/>
      <c r="AW181" s="59"/>
    </row>
    <row r="182" spans="2:49" ht="55.5" customHeight="1">
      <c r="B182" s="263"/>
      <c r="C182" s="263"/>
      <c r="D182" s="263"/>
      <c r="E182" s="263"/>
      <c r="F182" s="263"/>
      <c r="G182" s="263"/>
      <c r="H182" s="263"/>
      <c r="I182" s="263"/>
      <c r="J182" s="263"/>
      <c r="K182" s="263"/>
      <c r="L182" s="263"/>
      <c r="M182" s="263"/>
      <c r="N182" s="263"/>
      <c r="O182" s="263"/>
      <c r="P182" s="263"/>
      <c r="Q182" s="263"/>
      <c r="AQ182" s="59">
        <f ca="1">IF(AND(AQ187&lt;&gt;AQ177,AQ187&lt;&gt;AQ179,AQ187&lt;&gt;"S",AQ187&lt;&gt;"C",AQ187&lt;&gt;"P"),AQ187,IF(AND(AQ189&lt;&gt;AQ177,AQ189&lt;&gt;AQ179,AQ189&lt;&gt;"S",AQ189&lt;&gt;"C",AQ189&lt;&gt;"P"),AQ189,IF(AND(AQ191&lt;&gt;AQ177,AQ191&lt;&gt;AQ179,AQ191&lt;&gt;"S",AQ191&lt;&gt;"C",AQ191&lt;&gt;"P"),AQ191,IF(AND(AQ194&lt;&gt;AQ177,AQ194&lt;&gt;AQ179,AQ194&lt;&gt;"S",AQ194&lt;&gt;"C",AQ194&lt;&gt;"P"),AQ194,IF(AND(AQ196&lt;&gt;AQ177,AQ196&lt;&gt;AQ179,AQ196&lt;&gt;"S",AQ196&lt;&gt;"C",AQ196&lt;&gt;"P"),AQ196,"")))))</f>
        <v>3</v>
      </c>
      <c r="AR182" s="58" t="str">
        <f>""</f>
        <v/>
      </c>
      <c r="AT182" s="78"/>
      <c r="AU182" s="78"/>
      <c r="AV182" s="60"/>
      <c r="AW182" s="59"/>
    </row>
    <row r="183" spans="2:49" ht="55.5" customHeight="1">
      <c r="B183" s="263"/>
      <c r="C183" s="263"/>
      <c r="D183" s="263"/>
      <c r="E183" s="263"/>
      <c r="F183" s="263"/>
      <c r="G183" s="263"/>
      <c r="H183" s="263"/>
      <c r="I183" s="263"/>
      <c r="J183" s="263"/>
      <c r="K183" s="263"/>
      <c r="L183" s="263"/>
      <c r="M183" s="263"/>
      <c r="N183" s="263"/>
      <c r="O183" s="263"/>
      <c r="P183" s="263"/>
      <c r="Q183" s="263"/>
      <c r="AQ183" s="59">
        <f ca="1">IF(AND(AQ187&lt;&gt;AQ177,AQ187&lt;&gt;AQ179,AQ187&lt;&gt;"S",AQ187&lt;&gt;"C",AQ187&lt;&gt;"P"),AQ188,IF(AND(AQ189&lt;&gt;AQ177,AQ189&lt;&gt;AQ179,AQ189&lt;&gt;"S",AQ189&lt;&gt;"C",AQ189&lt;&gt;"P"),AQ190,IF(AND(AQ191&lt;&gt;AQ177,AQ191&lt;&gt;AQ179,AQ191&lt;&gt;"S",AQ191&lt;&gt;"C",AQ191&lt;&gt;"P"),AQ192,IF(AND(AQ194&lt;&gt;AQ177,AQ194&lt;&gt;AQ179,AQ194&lt;&gt;"S",AQ194&lt;&gt;"C",AQ194&lt;&gt;"P"),AQ195,IF(AND(AQ196&lt;&gt;AQ177,AQ196&lt;&gt;AQ179,AQ196&lt;&gt;"S",AQ196&lt;&gt;"C",AQ196&lt;&gt;"P"),AQ197,0)))))</f>
        <v>80</v>
      </c>
      <c r="AT183" s="78"/>
      <c r="AU183" s="78"/>
      <c r="AV183" s="60"/>
      <c r="AW183" s="59"/>
    </row>
    <row r="184" spans="2:49" ht="55.5" customHeight="1">
      <c r="B184" s="263"/>
      <c r="C184" s="263"/>
      <c r="D184" s="263"/>
      <c r="E184" s="263"/>
      <c r="F184" s="263"/>
      <c r="G184" s="263"/>
      <c r="H184" s="263"/>
      <c r="I184" s="263"/>
      <c r="J184" s="263"/>
      <c r="K184" s="263"/>
      <c r="L184" s="263"/>
      <c r="M184" s="263"/>
      <c r="N184" s="263"/>
      <c r="O184" s="263"/>
      <c r="P184" s="263"/>
      <c r="Q184" s="263"/>
      <c r="AQ184" s="59" t="str">
        <f ca="1">IF(MAX(I40:I42)&gt;=85,INDEX(F40:F42,MATCH(MAX(I40:I42),I40:I42,0)),"")</f>
        <v/>
      </c>
      <c r="AR184" s="58" t="str">
        <f>""</f>
        <v/>
      </c>
      <c r="AT184" s="78"/>
      <c r="AU184" s="78"/>
      <c r="AV184" s="60"/>
      <c r="AW184" s="59"/>
    </row>
    <row r="185" spans="2:49" ht="55.5" customHeight="1">
      <c r="B185" s="263"/>
      <c r="C185" s="263"/>
      <c r="D185" s="263"/>
      <c r="E185" s="263"/>
      <c r="F185" s="263"/>
      <c r="G185" s="263"/>
      <c r="H185" s="263"/>
      <c r="I185" s="263"/>
      <c r="J185" s="263"/>
      <c r="K185" s="263"/>
      <c r="L185" s="263"/>
      <c r="M185" s="263"/>
      <c r="N185" s="263"/>
      <c r="O185" s="263"/>
      <c r="P185" s="263"/>
      <c r="Q185" s="263"/>
      <c r="AQ185" s="59">
        <f ca="1">IF(MAX(I40:I42)&gt;=85,MAX(I40:I42),0)</f>
        <v>0</v>
      </c>
      <c r="AR185" s="58" t="str">
        <f>""</f>
        <v/>
      </c>
      <c r="AT185" s="78"/>
      <c r="AU185" s="78"/>
      <c r="AV185" s="60"/>
      <c r="AW185" s="59"/>
    </row>
    <row r="186" spans="2:49" ht="55.5" customHeight="1">
      <c r="B186" s="263"/>
      <c r="C186" s="263"/>
      <c r="D186" s="263"/>
      <c r="E186" s="263"/>
      <c r="F186" s="263"/>
      <c r="G186" s="263"/>
      <c r="H186" s="263"/>
      <c r="I186" s="263"/>
      <c r="J186" s="263"/>
      <c r="K186" s="263"/>
      <c r="L186" s="263"/>
      <c r="M186" s="263"/>
      <c r="N186" s="263"/>
      <c r="O186" s="263"/>
      <c r="P186" s="263"/>
      <c r="Q186" s="263"/>
      <c r="AP186" s="181" t="s">
        <v>718</v>
      </c>
      <c r="AQ186" s="59"/>
      <c r="AR186" s="214" t="str">
        <f ca="1">IF(AQ212&gt;=85,"Sobresale como configuración nuclear del perfil un cuadro "&amp;IF(AQ211="S","esquizotípico",IF(AQ211="C","límite",IF(AQ211="P","paranoide","")))&amp;", que "&amp;IF(AQ212&gt;=85,"alcanza el rango de un trastorno clínicamente significativo de la personalidad y organiza ",IF(AQ212&gt;=75,"alcanza el rango de un tipo de personalidad y organiza ","se sitúa en el rango de un estilo de personalidad y matiza, en consecuencia, "))&amp;"la interpretación del resto del perfil. ","")&amp;IF(AND(AQ212&gt;=85,AQ211="S"),"El evaluado(a) "&amp;IF(AQ212&gt;=85,"prefiere","muestra preferencia por")&amp;(" estar aislado socialmente y sostener mínimos vínculos y obligaciones personales; su funcionamiento cognitivo tiende a ser desorganizado, piensa tangencialmente y a menudo parece estar absorto en sí mismo y pensativo, se distingue por sus excentricidades "&amp;"y a menudo es visto por los demás como una persona rara o diferente, en tanto que si su patrón básico es activo muestra desconfianza ansiosa e hipersensibilidad y si es pasivo muestra aplanamiento emocional y afecto deficiente. "),"")&amp;IF(AND(AQ212&gt;=85,AQ211="C"),"El evaluado(a) se "&amp;IF(AQ212&gt;=85,"caracteriza","manifiesta")&amp;(" por su inestabilidad y labilidad afectiva, experimenta estados de ánimo endógenos intensos, con periodos recurrentes de abatimiento y apatía, a menudo intercalados con periodos de ira, ansiedad o euforia, alberga pensamientos recurrentes de autolesiones "&amp;"y suicidio, parece extremadamente preocupado por conservar el afecto de los demás y tiene dificultades para mantener el sentido de su propia identidad, en tanto que a menudo muestra una ambivalencia cognitivo-afectiva que se evidencia en sentimientos conf"&amp;"lictivos de rabia, amor y culpa hacia los demás. "),"")&amp;IF(AND(AQ212&gt;=85,AQ211="P"),"El evaluado(a) se "&amp;IF(AQ212&gt;=85,"muestra","manifiesta")&amp;(" desconfiado y en alerta hacia los demás, tenso y a la defensiva ante posibles críticas y engaños, presenta una irritabilidad desabrida y tiende a hacer que los demás se exasperen o se enfaden, se distingue, asimismo, por la inmutabilidad de sus sentimien"&amp;"tos y la inflexibilidad de su pensamiento, en tanto que a menudo expresa miedo a perder la independencia, lo que lo lleva a resistirse enérgicamente a las influencias y al control externo. "),"")</f>
        <v/>
      </c>
      <c r="AT186" s="78"/>
      <c r="AU186" s="78"/>
      <c r="AV186" s="60"/>
      <c r="AW186" s="59"/>
    </row>
    <row r="187" spans="2:49" ht="55.5" customHeight="1">
      <c r="B187" s="263"/>
      <c r="C187" s="263"/>
      <c r="D187" s="263"/>
      <c r="E187" s="263"/>
      <c r="F187" s="263"/>
      <c r="G187" s="263"/>
      <c r="H187" s="263"/>
      <c r="I187" s="263"/>
      <c r="J187" s="263"/>
      <c r="K187" s="263"/>
      <c r="L187" s="263"/>
      <c r="M187" s="263"/>
      <c r="N187" s="263"/>
      <c r="O187" s="263"/>
      <c r="P187" s="263"/>
      <c r="Q187" s="263"/>
      <c r="AP187" s="180" t="s">
        <v>719</v>
      </c>
      <c r="AQ187" s="59">
        <f ca="1">INDEX($F$27:$F$42,MATCH(LARGE($S$27:$S$42,1),$S$27:$S$42,0))</f>
        <v>1</v>
      </c>
      <c r="AR187" s="58" t="str">
        <f>""</f>
        <v/>
      </c>
      <c r="AT187" s="78"/>
      <c r="AU187" s="78"/>
      <c r="AV187" s="60"/>
      <c r="AW187" s="59"/>
    </row>
    <row r="188" spans="2:49" ht="21.75" customHeight="1">
      <c r="B188" s="170"/>
      <c r="C188" s="170"/>
      <c r="D188" s="170"/>
      <c r="E188" s="170"/>
      <c r="F188" s="170"/>
      <c r="G188" s="171"/>
      <c r="H188" s="171"/>
      <c r="I188" s="172"/>
      <c r="J188" s="170"/>
      <c r="K188" s="170"/>
      <c r="L188" s="170"/>
      <c r="M188" s="170"/>
      <c r="N188" s="170"/>
      <c r="O188" s="171"/>
      <c r="P188" s="171"/>
      <c r="Q188" s="171"/>
      <c r="AP188" s="180" t="s">
        <v>720</v>
      </c>
      <c r="AQ188" s="59">
        <f ca="1">INDEX($I$27:$I$42,MATCH(LARGE($S$27:$S$42,1),$S$27:$S$42,0))</f>
        <v>97</v>
      </c>
      <c r="AR188" s="58" t="str">
        <f>""</f>
        <v/>
      </c>
      <c r="AT188" s="78"/>
      <c r="AU188" s="78"/>
      <c r="AV188" s="60"/>
      <c r="AW188" s="59"/>
    </row>
    <row r="189" spans="2:49" ht="21.75" customHeight="1">
      <c r="B189" s="185" t="s">
        <v>618</v>
      </c>
      <c r="C189" s="170"/>
      <c r="D189" s="170"/>
      <c r="E189" s="170"/>
      <c r="F189" s="170"/>
      <c r="G189" s="171"/>
      <c r="H189" s="171"/>
      <c r="I189" s="172"/>
      <c r="J189" s="170"/>
      <c r="K189" s="170"/>
      <c r="L189" s="170"/>
      <c r="M189" s="170"/>
      <c r="N189" s="170"/>
      <c r="O189" s="171"/>
      <c r="P189" s="171"/>
      <c r="Q189" s="171"/>
      <c r="AP189" s="180" t="s">
        <v>721</v>
      </c>
      <c r="AQ189" s="59">
        <f ca="1">INDEX($F$27:$F$42,MATCH(LARGE($S$27:$S$42,2),$S$27:$S$42,0))</f>
        <v>7</v>
      </c>
      <c r="AR189" s="58" t="str">
        <f>""</f>
        <v/>
      </c>
      <c r="AT189" s="78"/>
      <c r="AU189" s="78"/>
      <c r="AV189" s="60"/>
      <c r="AW189" s="59"/>
    </row>
    <row r="190" spans="2:49" ht="36" customHeight="1">
      <c r="B190" s="263" t="s">
        <v>712</v>
      </c>
      <c r="C190" s="263"/>
      <c r="D190" s="263"/>
      <c r="E190" s="263"/>
      <c r="F190" s="263"/>
      <c r="G190" s="263"/>
      <c r="H190" s="263"/>
      <c r="I190" s="263"/>
      <c r="J190" s="263"/>
      <c r="K190" s="263"/>
      <c r="L190" s="263"/>
      <c r="M190" s="263"/>
      <c r="N190" s="263"/>
      <c r="O190" s="263"/>
      <c r="P190" s="263"/>
      <c r="Q190" s="263"/>
      <c r="AP190" s="180" t="s">
        <v>722</v>
      </c>
      <c r="AQ190" s="59">
        <f ca="1">INDEX($I$27:$I$42,MATCH(LARGE($S$27:$S$42,2),$S$27:$S$42,0))</f>
        <v>80</v>
      </c>
      <c r="AR190" s="58" t="str">
        <f ca="1">IF(AQ206&lt;60,"",IF(AQ212&gt;=85,"Sobre esta configuración nuclear se manifiesta, a la manera de un patrón clínico premórbido, ","El perfil del evaluado(a) refleja, como configuración principal del estilo básico de la personalidad, ")&amp;IF(AQ206&gt;=85,"un trastorno clínicamente significativo de la personalidad de tipo ",IF(AQ206&gt;=75,"un tipo de personalidad ","un estilo de personalidad "))&amp;_xlfn.SINGLE(IF(AQ205=1,("esquizoide. El evaluado(a) se caracteriza por su falta de deseo y su incapacidad para sentir placer o dolor intenso, se muestra indiferente ante las relaciones sociales y tiende a ser apático, distante y asocial; sus emociones y necesidades afectivas son "&amp;"mínimas y actúa como un observador pasivo, desligado del beneficio y del afecto que aportan las relaciones humanas, así como de los requerimientos de las mismas. "),""))&amp;_xlfn.SINGLE(IF(AQ205="2A",("evitativo. El evaluado(a) experimenta pocos refuerzos positivos procedentes de sí mismo o de los demás y está siempre alerta, preparado para distanciarse de las experiencias dolorosas o negativas de la vida; su estrategia adaptativa refleja miedo y descon"&amp;"fianza hacia los demás, en virtud de la cual mantiene una vigilancia constante para evitar que su anhelo de afecto resulte en la repetición del dolor y la angustia que ha experimentado con otras personas, de modo que, a pesar de sus deseos de relacionarse"&amp;" con los demás, ha aprendido que es mejor negar estos sentimientos y mantener la distancia interpersonal necesaria. "),""))&amp;_xlfn.SINGLE(IF(AQ205="2B",("melancólico. El evaluado(a) experimenta el dolor como un estado permanente en el que el placer ya no se considera posible y muestra un estilo de desesperanza ante las pérdidas importantes, todo lo cual configura una perspectiva sin esperanzas que puede es"&amp;"tar determinada tanto por una predisposición biológica o química hacia el pesimismo y el desánimo como por la experiencia de un entorno sin interés. "),""))&amp;_xlfn.SINGLE(IF(AQ205=3,("dependiente. El evaluado(a) destaca por su falta de iniciativa y autonomía, habiendo aprendido no solo a recurrir a los demás para obtener afecto, cuidados y seguridad, sino también a esperar pasivamente a que sean ellos quienes lo dirijan; tiende a busca"&amp;"r relaciones en las que pueda apoyarse para conseguir afecto y orientación, a asumir un rol pasivo en las relaciones interpersonales, a aceptar las atenciones y el apoyo que pueda encontrar y a someterse voluntariamente a los deseos de los demás a fin de "&amp;"conservar su afecto. "),""))&amp;_xlfn.SINGLE(IF(AQ205="4A",("histriónico. El evaluado(a), al igual que los sujetos dependientes, recurre a los demás, pero maximiza la atención y los favores que recibe, manipulando los hechos de una forma superficial y entusiasta; su comportamiento social inteligente y a menudo inge"&amp;"nioso transmite confianza y seguridad en sí mismo, si bien, bajo esta apariencia, subyace el miedo a la autonomía real y la necesidad de recibir señales recurrentes de aceptación y aprobación casi constantemente. "),""))&amp;_xlfn.SINGLE(IF(AQ205="4B",("tempestuoso. El evaluado(a) se muestra muy alegre y animado, si bien su persistente euforia, entrometimiento y volubilidad pueden resultar irritantes para los demás; aunque apasionado y entusiasta, se aburre con demasiada facilidad y carece de los recurso"&amp;"s y la regularidad necesarios para llevar a término sus objetivos y planes, todo lo cual da lugar a un patrón de conducta impredecible, de pensamiento disperso y de acciones y estados de ánimo impetuosos e impulsivos, interrumpidos por arrebatos de ira mo"&amp;"mentánea y ansiedad temerosa que, sin control, pueden derivar en una conducta más extrema, temeraria y errática y conducir, con bastante frecuencia, al agotamiento depresivo. "),"")))</f>
        <v xml:space="preserve">El perfil del evaluado(a) refleja, como configuración principal del estilo básico de la personalidad, un trastorno clínicamente significativo de la personalidad de tipo esquizoide. El evaluado(a) se caracteriza por su falta de deseo y su incapacidad para sentir placer o dolor intenso, se muestra indiferente ante las relaciones sociales y tiende a ser apático, distante y asocial; sus emociones y necesidades afectivas son mínimas y actúa como un observador pasivo, desligado del beneficio y del afecto que aportan las relaciones humanas, así como de los requerimientos de las mismas. </v>
      </c>
      <c r="AT190" s="78"/>
      <c r="AU190" s="78"/>
      <c r="AV190" s="60"/>
      <c r="AW190" s="59"/>
    </row>
    <row r="191" spans="2:49" ht="36" customHeight="1">
      <c r="B191" s="263"/>
      <c r="C191" s="263"/>
      <c r="D191" s="263"/>
      <c r="E191" s="263"/>
      <c r="F191" s="263"/>
      <c r="G191" s="263"/>
      <c r="H191" s="263"/>
      <c r="I191" s="263"/>
      <c r="J191" s="263"/>
      <c r="K191" s="263"/>
      <c r="L191" s="263"/>
      <c r="M191" s="263"/>
      <c r="N191" s="263"/>
      <c r="O191" s="263"/>
      <c r="P191" s="263"/>
      <c r="Q191" s="263"/>
      <c r="AP191" s="180" t="s">
        <v>723</v>
      </c>
      <c r="AQ191" s="59">
        <f ca="1">INDEX($F$27:$F$42,MATCH(LARGE($S$27:$S$42,3),$S$27:$S$42,0))</f>
        <v>3</v>
      </c>
      <c r="AR191" t="str">
        <f ca="1">IF(AQ206&lt;60,"",_xlfn.SINGLE(IF(AQ205=5,("narcisista. El evaluado(a) destaca por su egocentrismo egotista, por sentir placer simplemente centrándose en sí mismo; sus sentimientos de superioridad pueden no estar basados en logros reales o maduros, si bien conserva un aire arrogante de seguridad en"&amp;" sí mismo y, sin pensarlo demasiado ni pretenderlo conscientemente, explota a los demás en beneficio propio, no necesitando logros reales o aprobación social para mantener su aire de esnobismo y superioridad pretenciosa, todo lo cual da lugar a una confia"&amp;"nza extrema que hace que no se sienta motivado a implicarse en las interacciones propias de la vida social. "),""))&amp;_xlfn.SINGLE(IF(AQ205="6A",("antisocial. El evaluado(a) destaca por su desconfianza hacia los demás, su deseo de autonomía y su anhelo de venganza y recompensa por lo que considera injusticias del pasado; para contrarrestar el dolor y los estragos que prevé que le causen otras person"&amp;"as, se comporta de forma engañosa o comete actos ilegales en beneficio propio, es irresponsable e impulsivo y justifica estas cualidades porque considera que los demás son desleales y no se puede confiar en ellos, en tanto que su insensibilidad y crueldad"&amp;" constituyen sus únicos medios de evitar el abuso y la victimización. "),""))&amp;_xlfn.SINGLE(IF(AQ205="6B",("sádico. El evaluado(a), a diferencia de los sujetos antisociales, puede buscar placer y satisfacción personal humillando a otras personas y dejando a un lado sus derechos y sentimientos; por lo general es hostil y sumamente combativo y parece que las cons"&amp;"ecuencias destructivas de su conducta conflictiva, ofensiva y brutal le resultan indiferentes o satisfactorias; aunque puede encubrir sus tendencias más maliciosas y de búsqueda del poder con acciones o profesiones públicamente aceptadas, sus actos domina"&amp;"ntes, hostiles y a menudo persecutorios lo delatan. "),""))&amp;_xlfn.SINGLE(IF(AQ205=7,("compulsivo. El evaluado(a) ha sido intimidado y coaccionado para que acepte las exigencias y decisiones que los demás le imponen, de modo que su prudencia, control y perfeccionismo derivan de un conflicto entre la hostilidad hacia los demás y el miedo a l"&amp;"a desaprobación social; resuelve esta ambivalencia suprimiendo su resentimiento y exigiéndose mucho a sí mismo y exigiéndolo a los demás, en tanto que su disciplinada autocontención le permite controlar los sentimientos oposicionistas intensos, aunque ocu"&amp;"ltos, de lo cual resulta una pasividad manifiesta y una aparente sumisión pública. "),""))&amp;_xlfn.SINGLE(IF(AQ205="8A",("negativista. El evaluado(a) se debate entre aceptar las gratificaciones que los demás le ofrecen o perseguir sus propios deseos, vacilando entre la deferencia y el desafío y, a veces, entre la obediencia y la oposición agresiva, de modo que se enfrenta a "&amp;"interminables disputas y decepciones; esta batalla representa una incapacidad para resolver conflictos similar a la de los sujetos compulsivos, si bien sus conflictos persisten y permanecen cerca de la conciencia, en el contexto de una conducta caracteriz"&amp;"ada por un patrón errático de ira explosiva o resistencia completamente mezclado con periodos de culpa y vergüenza. "),""))&amp;_xlfn.SINGLE(IF(AQ205="8B",("masoquista. El evaluado(a) se relaciona con los demás de una forma servil y autosacrificada, les permite que abusen o se aprovechen de él e, incluso, en ocasiones, los alienta a hacerlo; cuando se muestran sus peores rasgos, puede llegar a sostener que me"&amp;"rece ser avergonzado y humillado, y para agravar su dolor y angustia, que puede vivirlos como reconfortantes, rememora activa y reiteradamente sus desgracias del pasado, en tanto que ante situaciones afortunadas espera que el resultado sea problemático. "),"")))</f>
        <v/>
      </c>
      <c r="AT191" s="78"/>
      <c r="AU191" s="78"/>
      <c r="AV191" s="60"/>
      <c r="AW191" s="59"/>
    </row>
    <row r="192" spans="2:49" ht="36" customHeight="1">
      <c r="B192" s="263"/>
      <c r="C192" s="263"/>
      <c r="D192" s="263"/>
      <c r="E192" s="263"/>
      <c r="F192" s="263"/>
      <c r="G192" s="263"/>
      <c r="H192" s="263"/>
      <c r="I192" s="263"/>
      <c r="J192" s="263"/>
      <c r="K192" s="263"/>
      <c r="L192" s="263"/>
      <c r="M192" s="263"/>
      <c r="N192" s="263"/>
      <c r="O192" s="263"/>
      <c r="P192" s="263"/>
      <c r="Q192" s="263"/>
      <c r="AP192" s="180" t="s">
        <v>724</v>
      </c>
      <c r="AQ192" s="59">
        <f ca="1">INDEX($I$27:$I$42,MATCH(LARGE($S$27:$S$42,3),$S$27:$S$42,0))</f>
        <v>80</v>
      </c>
      <c r="AR192" s="195" t="str">
        <f>""</f>
        <v/>
      </c>
      <c r="AS192" s="78" t="s">
        <v>736</v>
      </c>
      <c r="AT192" s="78" t="s">
        <v>735</v>
      </c>
      <c r="AU192" s="78"/>
      <c r="AV192" s="60" t="s">
        <v>738</v>
      </c>
      <c r="AW192" s="78" t="s">
        <v>739</v>
      </c>
    </row>
    <row r="193" spans="2:49" ht="36" customHeight="1">
      <c r="B193" s="263"/>
      <c r="C193" s="263"/>
      <c r="D193" s="263"/>
      <c r="E193" s="263"/>
      <c r="F193" s="263"/>
      <c r="G193" s="263"/>
      <c r="H193" s="263"/>
      <c r="I193" s="263"/>
      <c r="J193" s="263"/>
      <c r="K193" s="263"/>
      <c r="L193" s="263"/>
      <c r="M193" s="263"/>
      <c r="N193" s="263"/>
      <c r="O193" s="263"/>
      <c r="P193" s="263"/>
      <c r="Q193" s="263"/>
      <c r="AP193" s="180" t="s">
        <v>725</v>
      </c>
      <c r="AQ193" s="59">
        <f ca="1">MAX(I40,I41,I42)</f>
        <v>63</v>
      </c>
      <c r="AR193" s="195" t="str">
        <f ca="1">IF(AQ208&gt;=60,"A este cuadro central se añaden, asimismo, "&amp;IF(AQ208&gt;=85,"rasgos propios de un trastorno clínicamente significativo de la personalidad de tipo ",IF(AQ208&gt;=75,"rasgos propios de un tipo de personalidad ","rasgos propios de un estilo de personalidad "))&amp;IF(AQ207=1,"esquizoide, ",IF(AQ207="2A","evitativo, ",IF(AQ207="2B","melancólico, ",IF(AQ207=3,"dependiente, ",IF(AQ207="4A","histriónico, ",IF(AQ207="4B","tempestuoso, ",IF(AQ207=5,"narcisista, ",IF(AQ207="6A","antisocial, ",IF(AQ207="6B","sádico, ",IF(AQ207=7,"compulsivo, ",IF(AQ207="8A","negativista, ",IF(AQ207="8B","masoquista, ",""))))))))))))&amp;"que se manifiestan en el evaluado(a) como ","")&amp;IF(AND(AQ208&gt;=60,AQ207=1),"una falta de deseo y una incapacidad para sentir placer o dolor intenso, una indiferencia ante las relaciones sociales y una desvinculación afectiva propia de un observador pasivo. ","")&amp;IF(AND(AQ208&gt;=60,AQ207="2A"),"una vigilancia constante ante las experiencias dolorosas, un miedo y desconfianza hacia los demás y la negación de los deseos de relación para mantener la distancia interpersonal necesaria. ","")&amp;IF(AND(AQ208&gt;=60,AQ207="2B"),"la vivencia del dolor como un estado permanente en el que el placer ya no se considera posible y un estilo de desesperanza ante las pérdidas importantes. ","")&amp;IF(AND(AQ208&gt;=60,AQ207=3),"una falta de iniciativa y autonomía, la búsqueda de figuras protectoras que orienten su conducta y la sumisión voluntaria a los deseos de los demás a fin de conservar su afecto. ","")&amp;IF(AND(AQ208&gt;=60,AQ207="4A"),"la búsqueda de la atención y los favores de los demás mediante una manipulación superficial y entusiasta de los hechos, una apariencia de confianza y seguridad bajo la cual subyace la necesidad de aceptación y aprobación constantes. ","")&amp;IF(AND(AQ208&gt;=60,AQ207="4B"),"una persistente euforia, entrometimiento y volubilidad, un entusiasmo apasionado que se aburre con facilidad y una conducta impredecible interrumpida por arrebatos de ira momentánea. ","")&amp;IF(AND(AQ208&gt;=60,AQ207=5),"un egocentrismo egotista, un aire arrogante de seguridad en sí mismo y la explotación de los demás en beneficio propio, sostenidos por sentimientos de superioridad no siempre basados en logros reales. ","")&amp;IF(AND(AQ208&gt;=60,AQ207="6A"),"la desconfianza hacia los demás, el deseo de autonomía y la justificación de conductas engañosas en beneficio propio sobre la base de que los demás son desleales. ","")&amp;IF(AND(AQ208&gt;=60,AQ207="6B"),"la búsqueda de placer y satisfacción personal humillando a los demás, una hostilidad sumamente combativa y la indiferencia ante las consecuencias destructivas de su conducta. ","")&amp;IF(AND(AQ208&gt;=60,AQ207=7),"una prudencia, control y perfeccionismo derivados del conflicto entre la hostilidad hacia los demás y el miedo a la desaprobación social, resuelto mediante la supresión del resentimiento y la disciplinada autocontención. ","")&amp;IF(AND(AQ208&gt;=60,AQ207="8A"),"la vacilación entre la deferencia y el desafío, las interminables disputas y decepciones y un patrón errático de ira explosiva o resistencia mezclado con periodos de culpa y vergüenza. ","")&amp;IF(AND(AQ208&gt;=60,AQ207="8B"),"una relación servil y autosacrificada con los demás, la sostenida convicción de merecer ser avergonzado y humillado y la rememoración activa y reiterada de las desgracias del pasado. ","")</f>
        <v xml:space="preserve">A este cuadro central se añaden, asimismo, rasgos propios de un tipo de personalidad compulsivo, que se manifiestan en el evaluado(a) como una prudencia, control y perfeccionismo derivados del conflicto entre la hostilidad hacia los demás y el miedo a la desaprobación social, resuelto mediante la supresión del resentimiento y la disciplinada autocontención. </v>
      </c>
      <c r="AS193" s="78">
        <f ca="1">IF(AR193="",0,I72*100-ROW()*0.01)</f>
        <v>8498.07</v>
      </c>
      <c r="AT193" s="78" t="str">
        <f ca="1">IFERROR(INDEX(AR193:AR201, MATCH(LARGE(AS193:AS201,1), AS193:AS201, 0)), "")</f>
        <v>3.2</v>
      </c>
      <c r="AU193" s="78"/>
      <c r="AV193" s="60">
        <v>1.1000000000000001</v>
      </c>
      <c r="AW193" s="78" t="s">
        <v>767</v>
      </c>
    </row>
    <row r="194" spans="2:49" ht="8.25" customHeight="1">
      <c r="B194" s="263"/>
      <c r="C194" s="263"/>
      <c r="D194" s="263"/>
      <c r="E194" s="263"/>
      <c r="F194" s="263"/>
      <c r="G194" s="263"/>
      <c r="H194" s="263"/>
      <c r="I194" s="263"/>
      <c r="J194" s="263"/>
      <c r="K194" s="263"/>
      <c r="L194" s="263"/>
      <c r="M194" s="263"/>
      <c r="N194" s="263"/>
      <c r="O194" s="263"/>
      <c r="P194" s="263"/>
      <c r="Q194" s="263"/>
      <c r="AP194" s="180" t="s">
        <v>726</v>
      </c>
      <c r="AQ194" s="59" t="str">
        <f ca="1">INDEX($F$27:$F$42,MATCH(LARGE($S$27:$S$42,4),$S$27:$S$42,0))</f>
        <v>2A</v>
      </c>
      <c r="AR194" s="195" t="str">
        <f>""</f>
        <v/>
      </c>
      <c r="AS194" s="78">
        <f>IF(AR194="",0,I73*100-ROW()*0.01)</f>
        <v>0</v>
      </c>
      <c r="AT194" s="78" t="str">
        <f ca="1">IFERROR(INDEX(AR193:AR201, MATCH(LARGE(AS193:AS201,2), AS193:AS201, 0)), "")</f>
        <v xml:space="preserve">A este cuadro central se añaden, asimismo, rasgos propios de un tipo de personalidad compulsivo, que se manifiestan en el evaluado(a) como una prudencia, control y perfeccionismo derivados del conflicto entre la hostilidad hacia los demás y el miedo a la desaprobación social, resuelto mediante la supresión del resentimiento y la disciplinada autocontención. </v>
      </c>
      <c r="AU194" s="78"/>
      <c r="AV194" s="60">
        <v>1.2</v>
      </c>
      <c r="AW194" s="78" t="s">
        <v>768</v>
      </c>
    </row>
    <row r="195" spans="2:49" ht="8.25" customHeight="1">
      <c r="B195" s="263"/>
      <c r="C195" s="263"/>
      <c r="D195" s="263"/>
      <c r="E195" s="263"/>
      <c r="F195" s="263"/>
      <c r="G195" s="263"/>
      <c r="H195" s="263"/>
      <c r="I195" s="263"/>
      <c r="J195" s="263"/>
      <c r="K195" s="263"/>
      <c r="L195" s="263"/>
      <c r="M195" s="263"/>
      <c r="N195" s="263"/>
      <c r="O195" s="263"/>
      <c r="P195" s="263"/>
      <c r="Q195" s="263"/>
      <c r="AP195" s="180" t="s">
        <v>727</v>
      </c>
      <c r="AQ195" s="59">
        <f ca="1">INDEX($I$27:$I$42,MATCH(LARGE($S$27:$S$42,4),$S$27:$S$42,0))</f>
        <v>79</v>
      </c>
      <c r="AR195" s="195" t="str">
        <f ca="1">IF(AND(AQ212&lt;85,AQ210&gt;=60),"A los rasgos anteriores se asocian, asimismo, "&amp;IF(AQ210&gt;=85,"manifestaciones propias de un trastorno clínicamente significativo de la personalidad de tipo ",IF(AQ210&gt;=75,"manifestaciones propias de un tipo de personalidad ","manifestaciones propias de un estilo de personalidad "))&amp;IF(AQ209=1,"esquizoide, ",IF(AQ209="2A","evitativo, ",IF(AQ209="2B","melancólico, ",IF(AQ209=3,"dependiente, ",IF(AQ209="4A","histriónico, ",IF(AQ209="4B","tempestuoso, ",IF(AQ209=5,"narcisista, ",IF(AQ209="6A","antisocial, ",IF(AQ209="6B","sádico, ",IF(AQ209=7,"compulsivo, ",IF(AQ209="8A","negativista, ",IF(AQ209="8B","masoquista, ",""))))))))))))&amp;"que se concretan en el evaluado(a) como ","")&amp;IF(AND(AQ212&lt;85,AQ210&gt;=60,AQ209=1),"una indiferencia ante las relaciones sociales y una desvinculación afectiva que aminoran la reactividad emocional general. ","")&amp;IF(AND(AQ212&lt;85,AQ210&gt;=60,AQ209="2A"),"la vigilancia constante ante las experiencias dolorosas y la negación de los deseos de relación para mantener la distancia interpersonal. ","")&amp;IF(AND(AQ212&lt;85,AQ210&gt;=60,AQ209="2B"),"la vivencia del dolor como un estado permanente y una perspectiva sin esperanzas frente a las pérdidas y los proyectos. ","")&amp;IF(AND(AQ212&lt;85,AQ210&gt;=60,AQ209=3),"la falta de iniciativa y la búsqueda de figuras protectoras que orienten su conducta. ","")&amp;IF(AND(AQ212&lt;85,AQ210&gt;=60,AQ209="4A"),"la búsqueda de atención mediante una manipulación superficial y entusiasta de los hechos. ","")&amp;IF(AND(AQ212&lt;85,AQ210&gt;=60,AQ209="4B"),"la persistente euforia, el entrometimiento y la volubilidad que pueden derivar en arrebatos impulsivos. ","")&amp;IF(AND(AQ212&lt;85,AQ210&gt;=60,AQ209=5),"el egocentrismo egotista y la explotación de los demás en beneficio propio. ","")&amp;IF(AND(AQ212&lt;85,AQ210&gt;=60,AQ209="6A"),"la desconfianza hacia los demás y la justificación de conductas engañosas en beneficio propio. ","")&amp;IF(AND(AQ212&lt;85,AQ210&gt;=60,AQ209="6B"),"la hostilidad combativa y la indiferencia ante las consecuencias destructivas de su conducta. ","")&amp;IF(AND(AQ212&lt;85,AQ210&gt;=60,AQ209=7),"la prudencia, el control y el perfeccionismo derivados de la supresión del resentimiento. ","")&amp;IF(AND(AQ212&lt;85,AQ210&gt;=60,AQ209="8A"),"la vacilación entre la deferencia y el desafío y un patrón errático de ira explosiva o resistencia. ","")&amp;IF(AND(AQ212&lt;85,AQ210&gt;=60,AQ209="8B"),"la relación servil y autosacrificada con los demás y la rememoración reiterada de las desgracias del pasado. ","")</f>
        <v xml:space="preserve">A los rasgos anteriores se asocian, asimismo, manifestaciones propias de un tipo de personalidad dependiente, que se concretan en el evaluado(a) como la falta de iniciativa y la búsqueda de figuras protectoras que orienten su conducta. </v>
      </c>
      <c r="AS195" s="78">
        <f ca="1">IF(AR195="",0,I74*100-ROW()*0.01)</f>
        <v>8498.0499999999993</v>
      </c>
      <c r="AT195" s="78" t="str">
        <f ca="1">IFERROR(INDEX(AR193:AR201, MATCH(LARGE(AS193:AS201,3), AS193:AS201, 0)), "")</f>
        <v xml:space="preserve">A los rasgos anteriores se asocian, asimismo, manifestaciones propias de un tipo de personalidad dependiente, que se concretan en el evaluado(a) como la falta de iniciativa y la búsqueda de figuras protectoras que orienten su conducta. </v>
      </c>
      <c r="AU195" s="78"/>
      <c r="AV195" s="60">
        <v>1.3</v>
      </c>
      <c r="AW195" s="78" t="s">
        <v>775</v>
      </c>
    </row>
    <row r="196" spans="2:49" ht="29.25" customHeight="1">
      <c r="B196" s="263" t="str">
        <f ca="1">TRIM(AR231&amp;AR232&amp;AR233&amp;AR234&amp;AR235&amp;AR236)</f>
        <v>En el perfil obtenido se identifican elevaciones en las escalas de síndromes clínicos cuya descripción se desarrolla a continuación, priorizando las elevaciones en las escalas de síndromes graves dado que, por su mayor vulnerabilidad clínica, pueden matizar el sentido de los restantes cuadros sintomáticos. Se identifica una elevación significativa en la escala de síntomas somáticos, que indica una preocupación frecuente por su mala salud y por toda una serie de dolores desmesurados pero en gran medida inespecíficos en distintas partes del cuerpo; tiende a interpretar los periodos persistentes de fatiga o las molestias físicas de poca importancia como indicadores de enfermedades graves y, cuando realmente padece alguna enfermedad, a sobrevalorarla pese a que los médicos le digan que puede estar tranquilo, en la medida en que utiliza los problemas somáticos para llamar la atención, cuadro que refleja una afectación significativa del funcionamiento general del evaluado(a). Se identifica, asimismo, una elevación significativa en la escala de depresión persistente, que indica una participación en la vida diaria pero, durante años, con angustia, sentimientos de desánimo o culpa, falta de iniciativa, apatía y baja autoestima, así como expresiones frecuentes de inutilidad y comentarios autodenigrantes; durante los periodos depresivos pueden observarse muchos momentos de llanto, ideación suicida, visión pesimista del futuro, aislamiento social, falta de apetito o apetito excesivo, fatiga crónica, falta de concentración y una notable pérdida de interés por las actividades placenteras, todo lo cual contribuye a que el evaluado(a) lleve a cabo las tareas cotidianas con menor eficacia, cuadro que refleja una afectación significativa del funcionamiento general del evaluado(a). Se constata, además, una elevación significativa en la escala de ansiedad generalizada, que indica un estado generalizado de tensión que se traduce en la incapacidad de relajarse, en movimientos nerviosos y en una tendencia a reaccionar y sobresaltarse fácilmente, sobre un sustrato de quejas frecuentes por molestias físicas de distinto tipo (dolores musculares mal definidos, sudoración excesiva, náuseas), junto con inquietud y temor por problemas que cree inminentes, un estado de alerta excesivo hacia todo lo que lo rodea y una irritabilidad generalizada, cuadro que refleja una afectación significativa del funcionamiento general del evaluado(a). La coelevación simultánea de las escalas Depresión mayor y Depresión persistente configura el cuadro clínicamente reconocido como doble depresión, situación cualitativa y cuantitativamente distinta a la presencia aislada de cualquiera de los dos síndromes y que conlleva vulnerabilidades específicas, en particular la tendencia a evitar o retrasar el tratamiento, en la medida en que el evaluado(a) puede llegar a aceptar el empeoramiento sintomático como inevitable. Estos síndromes reflejan y acentúan, por consiguiente, varios de los aspectos más persistentes y arraigados del patrón personológico básico del evaluado(a), de modo que su evolución dependerá tanto del manejo terapéutico inmediato de los síntomas como del abordaje de la configuración personológica subyacente.</v>
      </c>
      <c r="C196" s="263"/>
      <c r="D196" s="263"/>
      <c r="E196" s="263"/>
      <c r="F196" s="263"/>
      <c r="G196" s="263"/>
      <c r="H196" s="263"/>
      <c r="I196" s="263"/>
      <c r="J196" s="263"/>
      <c r="K196" s="263"/>
      <c r="L196" s="263"/>
      <c r="M196" s="263"/>
      <c r="N196" s="263"/>
      <c r="O196" s="263"/>
      <c r="P196" s="263"/>
      <c r="Q196" s="263"/>
      <c r="AP196" s="180" t="s">
        <v>728</v>
      </c>
      <c r="AQ196" s="59" t="str">
        <f ca="1">INDEX($F$27:$F$42,MATCH(LARGE($S$27:$S$42,5),$S$27:$S$42,0))</f>
        <v>2B</v>
      </c>
      <c r="AR196" s="195" t="str">
        <f>""</f>
        <v/>
      </c>
      <c r="AS196" s="78">
        <f>IF(AR196="",0,I76*100-ROW()*0.01)</f>
        <v>0</v>
      </c>
      <c r="AT196" s="78" t="str">
        <f ca="1">IFERROR(INDEX(AR193:AR201, MATCH(LARGE(AS193:AS201,4), AS193:AS201, 0)), "")</f>
        <v>3.3</v>
      </c>
      <c r="AU196" s="78"/>
      <c r="AV196" s="60" t="s">
        <v>298</v>
      </c>
      <c r="AW196" s="78" t="s">
        <v>740</v>
      </c>
    </row>
    <row r="197" spans="2:49" ht="29.25" customHeight="1">
      <c r="B197" s="263"/>
      <c r="C197" s="263"/>
      <c r="D197" s="263"/>
      <c r="E197" s="263"/>
      <c r="F197" s="263"/>
      <c r="G197" s="263"/>
      <c r="H197" s="263"/>
      <c r="I197" s="263"/>
      <c r="J197" s="263"/>
      <c r="K197" s="263"/>
      <c r="L197" s="263"/>
      <c r="M197" s="263"/>
      <c r="N197" s="263"/>
      <c r="O197" s="263"/>
      <c r="P197" s="263"/>
      <c r="Q197" s="263"/>
      <c r="AP197" s="180" t="s">
        <v>729</v>
      </c>
      <c r="AQ197" s="59">
        <f ca="1">INDEX($I$27:$I$42,MATCH(LARGE($S$27:$S$42,5),$S$27:$S$42,0))</f>
        <v>74</v>
      </c>
      <c r="AR197" s="195" t="str">
        <f>""</f>
        <v/>
      </c>
      <c r="AS197" s="78">
        <f>IF(AR197="",0,I77*100-ROW()*0.01)</f>
        <v>0</v>
      </c>
      <c r="AT197" s="78" t="s">
        <v>737</v>
      </c>
      <c r="AU197" s="78"/>
      <c r="AV197" s="60" t="s">
        <v>299</v>
      </c>
      <c r="AW197" s="78" t="s">
        <v>741</v>
      </c>
    </row>
    <row r="198" spans="2:49" ht="29.25" customHeight="1">
      <c r="B198" s="263"/>
      <c r="C198" s="263"/>
      <c r="D198" s="263"/>
      <c r="E198" s="263"/>
      <c r="F198" s="263"/>
      <c r="G198" s="263"/>
      <c r="H198" s="263"/>
      <c r="I198" s="263"/>
      <c r="J198" s="263"/>
      <c r="K198" s="263"/>
      <c r="L198" s="263"/>
      <c r="M198" s="263"/>
      <c r="N198" s="263"/>
      <c r="O198" s="263"/>
      <c r="P198" s="263"/>
      <c r="Q198" s="263"/>
      <c r="AP198" s="180" t="s">
        <v>730</v>
      </c>
      <c r="AQ198" s="59">
        <f ca="1">INDEX($I$27:$I$38,MATCH(LARGE($S$27:$S$38,1),$S$27:$S$38,0))</f>
        <v>97</v>
      </c>
      <c r="AR198" s="195" t="str">
        <f>""</f>
        <v/>
      </c>
      <c r="AS198" s="78">
        <f>IF(AR198="",0,I78*100-ROW()*0.01)</f>
        <v>0</v>
      </c>
      <c r="AT198" s="78">
        <f ca="1">COUNTIF(AS193:AS201,"&gt;0")</f>
        <v>4</v>
      </c>
      <c r="AU198" s="78"/>
      <c r="AV198" s="60" t="s">
        <v>300</v>
      </c>
      <c r="AW198" s="78" t="s">
        <v>776</v>
      </c>
    </row>
    <row r="199" spans="2:49" ht="29.25" customHeight="1">
      <c r="B199" s="263"/>
      <c r="C199" s="263"/>
      <c r="D199" s="263"/>
      <c r="E199" s="263"/>
      <c r="F199" s="263"/>
      <c r="G199" s="263"/>
      <c r="H199" s="263"/>
      <c r="I199" s="263"/>
      <c r="J199" s="263"/>
      <c r="K199" s="263"/>
      <c r="L199" s="263"/>
      <c r="M199" s="263"/>
      <c r="N199" s="263"/>
      <c r="O199" s="263"/>
      <c r="P199" s="263"/>
      <c r="Q199" s="263"/>
      <c r="AP199" s="180" t="s">
        <v>731</v>
      </c>
      <c r="AQ199" s="59">
        <f ca="1">INDEX($F$27:$F$38,MATCH(LARGE($S$27:$S$38,2),$S$27:$S$38,0))</f>
        <v>7</v>
      </c>
      <c r="AR199" s="195" t="str">
        <f>""</f>
        <v/>
      </c>
      <c r="AS199" s="78">
        <f>IF(AR199="",0,I80*100-ROW()*0.01)</f>
        <v>0</v>
      </c>
      <c r="AT199" s="78"/>
      <c r="AU199" s="78"/>
      <c r="AV199" s="60" t="s">
        <v>301</v>
      </c>
      <c r="AW199" s="78" t="s">
        <v>769</v>
      </c>
    </row>
    <row r="200" spans="2:49" ht="29.25" customHeight="1">
      <c r="B200" s="263"/>
      <c r="C200" s="263"/>
      <c r="D200" s="263"/>
      <c r="E200" s="263"/>
      <c r="F200" s="263"/>
      <c r="G200" s="263"/>
      <c r="H200" s="263"/>
      <c r="I200" s="263"/>
      <c r="J200" s="263"/>
      <c r="K200" s="263"/>
      <c r="L200" s="263"/>
      <c r="M200" s="263"/>
      <c r="N200" s="263"/>
      <c r="O200" s="263"/>
      <c r="P200" s="263"/>
      <c r="Q200" s="263"/>
      <c r="AP200" s="180" t="s">
        <v>732</v>
      </c>
      <c r="AQ200" s="59">
        <f ca="1">INDEX($I$27:$I$38,MATCH(LARGE($S$27:$S$38,2),$S$27:$S$38,0))</f>
        <v>80</v>
      </c>
      <c r="AR200" s="195" t="str">
        <f ca="1">IF(AND(INT(LARGE($S$27:$S$42,3))&gt;=60,I81&gt;=75),F81,"")</f>
        <v>3.2</v>
      </c>
      <c r="AS200" s="78">
        <f ca="1">IF(AR200="",0,I81*100-ROW()*0.01)</f>
        <v>9298</v>
      </c>
      <c r="AT200" s="78"/>
      <c r="AU200" s="78"/>
      <c r="AV200" s="60" t="s">
        <v>302</v>
      </c>
      <c r="AW200" s="78" t="s">
        <v>770</v>
      </c>
    </row>
    <row r="201" spans="2:49" ht="29.25" customHeight="1">
      <c r="B201" s="263"/>
      <c r="C201" s="263"/>
      <c r="D201" s="263"/>
      <c r="E201" s="263"/>
      <c r="F201" s="263"/>
      <c r="G201" s="263"/>
      <c r="H201" s="263"/>
      <c r="I201" s="263"/>
      <c r="J201" s="263"/>
      <c r="K201" s="263"/>
      <c r="L201" s="263"/>
      <c r="M201" s="263"/>
      <c r="N201" s="263"/>
      <c r="O201" s="263"/>
      <c r="P201" s="263"/>
      <c r="Q201" s="263"/>
      <c r="AP201" s="180" t="s">
        <v>733</v>
      </c>
      <c r="AQ201" s="59">
        <f ca="1">INDEX($F$27:$F$38,MATCH(LARGE($S$27:$S$38,3),$S$27:$S$38,0))</f>
        <v>3</v>
      </c>
      <c r="AR201" s="78" t="str">
        <f ca="1">IF(AND(INT(LARGE($S$27:$S$42,3))&gt;=60,I82&gt;=75),F82,"")</f>
        <v>3.3</v>
      </c>
      <c r="AS201" s="78">
        <f ca="1">IF(AR201="",0,I82*100-ROW()*0.01)</f>
        <v>8497.99</v>
      </c>
      <c r="AT201" s="78"/>
      <c r="AU201" s="78"/>
      <c r="AV201" s="60" t="s">
        <v>303</v>
      </c>
      <c r="AW201" s="78" t="s">
        <v>777</v>
      </c>
    </row>
    <row r="202" spans="2:49" ht="29.25" customHeight="1">
      <c r="B202" s="263"/>
      <c r="C202" s="263"/>
      <c r="D202" s="263"/>
      <c r="E202" s="263"/>
      <c r="F202" s="263"/>
      <c r="G202" s="263"/>
      <c r="H202" s="263"/>
      <c r="I202" s="263"/>
      <c r="J202" s="263"/>
      <c r="K202" s="263"/>
      <c r="L202" s="263"/>
      <c r="M202" s="263"/>
      <c r="N202" s="263"/>
      <c r="O202" s="263"/>
      <c r="P202" s="263"/>
      <c r="Q202" s="263"/>
      <c r="AP202" s="180" t="s">
        <v>734</v>
      </c>
      <c r="AQ202" s="59">
        <f ca="1">INDEX($I$27:$I$38,MATCH(LARGE($S$27:$S$38,3),$S$27:$S$38,0))</f>
        <v>80</v>
      </c>
      <c r="AR202" s="78">
        <f ca="1">AT215</f>
        <v>7</v>
      </c>
      <c r="AS202" s="78"/>
      <c r="AT202" s="78"/>
      <c r="AU202" s="78"/>
      <c r="AV202" s="60">
        <v>3.1</v>
      </c>
      <c r="AW202" s="78" t="s">
        <v>778</v>
      </c>
    </row>
    <row r="203" spans="2:49" ht="29.25" customHeight="1">
      <c r="B203" s="263"/>
      <c r="C203" s="263"/>
      <c r="D203" s="263"/>
      <c r="E203" s="263"/>
      <c r="F203" s="263"/>
      <c r="G203" s="263"/>
      <c r="H203" s="263"/>
      <c r="I203" s="263"/>
      <c r="J203" s="263"/>
      <c r="K203" s="263"/>
      <c r="L203" s="263"/>
      <c r="M203" s="263"/>
      <c r="N203" s="263"/>
      <c r="O203" s="263"/>
      <c r="P203" s="263"/>
      <c r="Q203" s="263"/>
      <c r="AQ203" s="59">
        <f ca="1">COUNTIF(I27:I42,"&gt;=75")</f>
        <v>4</v>
      </c>
      <c r="AR203" s="78" t="str">
        <f ca="1">_xlfn.SINGLE(IF(AR202&gt;=1,("Asimismo, mediante el análisis de las facetas de Grossman elevadas en las escalas de los patrones clínicos de la personalidad y de la patología grave de la personalidad, resulta posible identificar los dominios funcionales y estructurales más problemático"&amp;"s o clínicamente significativos del evaluado(a), tales como la autoimagen, la expresión emocional o el comportamiento interpersonal. Un análisis detenido de dichas puntuaciones indica que las siguientes características figuran entre los rasgos más promine"&amp;"ntes de su personalidad. "),("En el conjunto de las facetas de Grossman no se identifican puntuaciones que alcancen el umbral de significación clínica considerado; por consiguiente, el nivel más molecular del análisis de los dominios funcionales y estructurales no aporta, en este caso"&amp;", información adicional relevante a la ya derivada de la interpretación de los patrones de personalidad. ")))</f>
        <v xml:space="preserve">Asimismo, mediante el análisis de las facetas de Grossman elevadas en las escalas de los patrones clínicos de la personalidad y de la patología grave de la personalidad, resulta posible identificar los dominios funcionales y estructurales más problemáticos o clínicamente significativos del evaluado(a), tales como la autoimagen, la expresión emocional o el comportamiento interpersonal. Un análisis detenido de dichas puntuaciones indica que las siguientes características figuran entre los rasgos más prominentes de su personalidad. </v>
      </c>
      <c r="AS203" s="78"/>
      <c r="AT203" s="78"/>
      <c r="AU203" s="78"/>
      <c r="AV203" s="60">
        <v>3.2</v>
      </c>
      <c r="AW203" s="78" t="s">
        <v>779</v>
      </c>
    </row>
    <row r="204" spans="2:49" ht="29.25" customHeight="1">
      <c r="B204" s="263"/>
      <c r="C204" s="263"/>
      <c r="D204" s="263"/>
      <c r="E204" s="263"/>
      <c r="F204" s="263"/>
      <c r="G204" s="263"/>
      <c r="H204" s="263"/>
      <c r="I204" s="263"/>
      <c r="J204" s="263"/>
      <c r="K204" s="263"/>
      <c r="L204" s="263"/>
      <c r="M204" s="263"/>
      <c r="N204" s="263"/>
      <c r="O204" s="263"/>
      <c r="P204" s="263"/>
      <c r="Q204" s="263"/>
      <c r="AQ204" s="58">
        <f ca="1">COUNTIF(I27:I42,"&gt;=85")</f>
        <v>1</v>
      </c>
      <c r="AR204" s="78" t="str">
        <f ca="1">IF(AT210="","","Lo más destacable es "&amp;IFERROR(INDEX($AW$193:$AW$237,MATCH(AT210,$AV$193:$AV$237,0)),"")&amp;". ")</f>
        <v xml:space="preserve">Lo más destacable es . </v>
      </c>
      <c r="AS204" s="78"/>
      <c r="AT204" s="78"/>
      <c r="AU204" s="78"/>
      <c r="AV204" s="60">
        <v>3.3</v>
      </c>
      <c r="AW204" s="78" t="s">
        <v>780</v>
      </c>
    </row>
    <row r="205" spans="2:49" ht="29.25" customHeight="1">
      <c r="B205" s="263"/>
      <c r="C205" s="263"/>
      <c r="D205" s="263"/>
      <c r="E205" s="263"/>
      <c r="F205" s="263"/>
      <c r="G205" s="263"/>
      <c r="H205" s="263"/>
      <c r="I205" s="263"/>
      <c r="J205" s="263"/>
      <c r="K205" s="263"/>
      <c r="L205" s="263"/>
      <c r="M205" s="263"/>
      <c r="N205" s="263"/>
      <c r="O205" s="263"/>
      <c r="P205" s="263"/>
      <c r="Q205" s="263"/>
      <c r="AQ205" s="58">
        <f ca="1">IF(AND(AQ187&lt;&gt;"S",AQ187&lt;&gt;"C",AQ187&lt;&gt;"P"),AQ187,IF(AND(AQ189&lt;&gt;"S",AQ189&lt;&gt;"C",AQ189&lt;&gt;"P"),AQ189,IF(AND(AQ191&lt;&gt;"S",AQ191&lt;&gt;"C",AQ191&lt;&gt;"P"),AQ191,IF(AND(AQ194&lt;&gt;"S",AQ194&lt;&gt;"C",AQ194&lt;&gt;"P"),AQ194,IF(AND(AQ196&lt;&gt;"S",AQ196&lt;&gt;"C",AQ196&lt;&gt;"P"),AQ196,"")))))</f>
        <v>1</v>
      </c>
      <c r="AR205" s="78" t="str">
        <f ca="1">IF(AT211="","","Asimismo sobresale "&amp;IFERROR(INDEX($AW$193:$AW$237,MATCH(AT211,$AV$193:$AV$237,0)),"")&amp;". ")</f>
        <v xml:space="preserve">Asimismo sobresale . </v>
      </c>
      <c r="AS205" s="78"/>
      <c r="AT205" s="78"/>
      <c r="AU205" s="78"/>
      <c r="AV205" s="60" t="s">
        <v>307</v>
      </c>
      <c r="AW205" s="78" t="s">
        <v>781</v>
      </c>
    </row>
    <row r="206" spans="2:49" ht="29.25" customHeight="1">
      <c r="B206" s="263"/>
      <c r="C206" s="263"/>
      <c r="D206" s="263"/>
      <c r="E206" s="263"/>
      <c r="F206" s="263"/>
      <c r="G206" s="263"/>
      <c r="H206" s="263"/>
      <c r="I206" s="263"/>
      <c r="J206" s="263"/>
      <c r="K206" s="263"/>
      <c r="L206" s="263"/>
      <c r="M206" s="263"/>
      <c r="N206" s="263"/>
      <c r="O206" s="263"/>
      <c r="P206" s="263"/>
      <c r="Q206" s="263"/>
      <c r="AQ206" s="58">
        <f ca="1">IF(AND(AQ187&lt;&gt;"S",AQ187&lt;&gt;"C",AQ187&lt;&gt;"P"),AQ188,IF(AND(AQ189&lt;&gt;"S",AQ189&lt;&gt;"C",AQ189&lt;&gt;"P"),AQ190,IF(AND(AQ191&lt;&gt;"S",AQ191&lt;&gt;"C",AQ191&lt;&gt;"P"),AQ192,IF(AND(AQ194&lt;&gt;"S",AQ194&lt;&gt;"C",AQ194&lt;&gt;"P"),AQ195,IF(AND(AQ196&lt;&gt;"S",AQ196&lt;&gt;"C",AQ196&lt;&gt;"P"),AQ197,0)))))</f>
        <v>97</v>
      </c>
      <c r="AR206" s="78" t="str">
        <f ca="1">IF(AT212="","","Es también digna de atención "&amp;IFERROR(INDEX($AW$193:$AW$237,MATCH(AT212,$AV$193:$AV$237,0)),"")&amp;". ")</f>
        <v xml:space="preserve">Es también digna de atención . </v>
      </c>
      <c r="AS206" s="78"/>
      <c r="AT206" s="78"/>
      <c r="AU206" s="78"/>
      <c r="AV206" s="60" t="s">
        <v>308</v>
      </c>
      <c r="AW206" s="78" t="s">
        <v>742</v>
      </c>
    </row>
    <row r="207" spans="2:49" ht="29.25" customHeight="1">
      <c r="B207" s="263"/>
      <c r="C207" s="263"/>
      <c r="D207" s="263"/>
      <c r="E207" s="263"/>
      <c r="F207" s="263"/>
      <c r="G207" s="263"/>
      <c r="H207" s="263"/>
      <c r="I207" s="263"/>
      <c r="J207" s="263"/>
      <c r="K207" s="263"/>
      <c r="L207" s="263"/>
      <c r="M207" s="263"/>
      <c r="N207" s="263"/>
      <c r="O207" s="263"/>
      <c r="P207" s="263"/>
      <c r="Q207" s="263"/>
      <c r="AQ207" s="58">
        <f ca="1">IF(AND(AQ189&lt;&gt;AQ205,AQ189&lt;&gt;"S",AQ189&lt;&gt;"C",AQ189&lt;&gt;"P"),AQ189,IF(AND(AQ191&lt;&gt;AQ205,AQ191&lt;&gt;"S",AQ191&lt;&gt;"C",AQ191&lt;&gt;"P"),AQ191,IF(AND(AQ194&lt;&gt;AQ205,AQ194&lt;&gt;"S",AQ194&lt;&gt;"C",AQ194&lt;&gt;"P"),AQ194,IF(AND(AQ196&lt;&gt;AQ205,AQ196&lt;&gt;"S",AQ196&lt;&gt;"C",AQ196&lt;&gt;"P"),AQ196,""))))</f>
        <v>7</v>
      </c>
      <c r="AR207" s="78" t="str">
        <f ca="1">IF(AT213="","","Merece asimismo señalarse "&amp;IFERROR(INDEX($AW$193:$AW$237,MATCH(AT213,$AV$193:$AV$237,0)),"")&amp;". ")</f>
        <v xml:space="preserve">Merece asimismo señalarse . </v>
      </c>
      <c r="AS207" s="78"/>
      <c r="AT207" s="78"/>
      <c r="AU207" s="78"/>
      <c r="AV207" s="60" t="s">
        <v>309</v>
      </c>
      <c r="AW207" s="78" t="s">
        <v>782</v>
      </c>
    </row>
    <row r="208" spans="2:49" ht="29.25" customHeight="1">
      <c r="B208" s="263"/>
      <c r="C208" s="263"/>
      <c r="D208" s="263"/>
      <c r="E208" s="263"/>
      <c r="F208" s="263"/>
      <c r="G208" s="263"/>
      <c r="H208" s="263"/>
      <c r="I208" s="263"/>
      <c r="J208" s="263"/>
      <c r="K208" s="263"/>
      <c r="L208" s="263"/>
      <c r="M208" s="263"/>
      <c r="N208" s="263"/>
      <c r="O208" s="263"/>
      <c r="P208" s="263"/>
      <c r="Q208" s="263"/>
      <c r="AQ208" s="58">
        <f ca="1">IF(AND(AQ189&lt;&gt;AQ205,AQ189&lt;&gt;"S",AQ189&lt;&gt;"C",AQ189&lt;&gt;"P"),AQ190,IF(AND(AQ191&lt;&gt;AQ205,AQ191&lt;&gt;"S",AQ191&lt;&gt;"C",AQ191&lt;&gt;"P"),AQ192,IF(AND(AQ194&lt;&gt;AQ205,AQ194&lt;&gt;"S",AQ194&lt;&gt;"C",AQ194&lt;&gt;"P"),AQ195,IF(AND(AQ196&lt;&gt;AQ205,AQ196&lt;&gt;"S",AQ196&lt;&gt;"C",AQ196&lt;&gt;"P"),AQ197,0))))</f>
        <v>80</v>
      </c>
      <c r="AR208" s="78" t="str">
        <f ca="1">IF(AT215&gt;=1,"Los esfuerzos terapéuticos iniciales tenderán a producir resultados óptimos si se orientan a la modificación de estos rasgos de la personalidad.","")</f>
        <v>Los esfuerzos terapéuticos iniciales tenderán a producir resultados óptimos si se orientan a la modificación de estos rasgos de la personalidad.</v>
      </c>
      <c r="AS208" s="78"/>
      <c r="AT208" s="78"/>
      <c r="AU208" s="78"/>
      <c r="AV208" s="60" t="s">
        <v>310</v>
      </c>
      <c r="AW208" s="78" t="s">
        <v>783</v>
      </c>
    </row>
    <row r="209" spans="2:56" ht="29.25" customHeight="1">
      <c r="B209" s="263"/>
      <c r="C209" s="263"/>
      <c r="D209" s="263"/>
      <c r="E209" s="263"/>
      <c r="F209" s="263"/>
      <c r="G209" s="263"/>
      <c r="H209" s="263"/>
      <c r="I209" s="263"/>
      <c r="J209" s="263"/>
      <c r="K209" s="263"/>
      <c r="L209" s="263"/>
      <c r="M209" s="263"/>
      <c r="N209" s="263"/>
      <c r="O209" s="263"/>
      <c r="P209" s="263"/>
      <c r="Q209" s="263"/>
      <c r="AQ209" s="58">
        <f ca="1">IF(AND(AQ191&lt;&gt;AQ205,AQ191&lt;&gt;AQ207,AQ191&lt;&gt;"S",AQ191&lt;&gt;"C",AQ191&lt;&gt;"P"),AQ191,IF(AND(AQ194&lt;&gt;AQ205,AQ194&lt;&gt;AQ207,AQ194&lt;&gt;"S",AQ194&lt;&gt;"C",AQ194&lt;&gt;"P"),AQ194,IF(AND(AQ196&lt;&gt;AQ205,AQ196&lt;&gt;AQ207,AQ196&lt;&gt;"S",AQ196&lt;&gt;"C",AQ196&lt;&gt;"P"),AQ196,"")))</f>
        <v>3</v>
      </c>
      <c r="AR209" s="78"/>
      <c r="AS209" s="78"/>
      <c r="AT209" s="78"/>
      <c r="AU209" s="78"/>
      <c r="AV209" s="60" t="s">
        <v>311</v>
      </c>
      <c r="AW209" s="78" t="s">
        <v>771</v>
      </c>
    </row>
    <row r="210" spans="2:56" ht="29.25" customHeight="1">
      <c r="B210" s="263"/>
      <c r="C210" s="263"/>
      <c r="D210" s="263"/>
      <c r="E210" s="263"/>
      <c r="F210" s="263"/>
      <c r="G210" s="263"/>
      <c r="H210" s="263"/>
      <c r="I210" s="263"/>
      <c r="J210" s="263"/>
      <c r="K210" s="263"/>
      <c r="L210" s="263"/>
      <c r="M210" s="263"/>
      <c r="N210" s="263"/>
      <c r="O210" s="263"/>
      <c r="P210" s="263"/>
      <c r="Q210" s="263"/>
      <c r="AQ210" s="58">
        <f ca="1">IF(AND(AQ191&lt;&gt;AQ205,AQ191&lt;&gt;AQ207,AQ191&lt;&gt;"S",AQ191&lt;&gt;"C",AQ191&lt;&gt;"P"),AQ192,IF(AND(AQ194&lt;&gt;AQ205,AQ194&lt;&gt;AQ207,AQ194&lt;&gt;"S",AQ194&lt;&gt;"C",AQ194&lt;&gt;"P"),AQ195,IF(AND(AQ196&lt;&gt;AQ205,AQ196&lt;&gt;AQ207,AQ196&lt;&gt;"S",AQ196&lt;&gt;"C",AQ196&lt;&gt;"P"),AQ197,0)))</f>
        <v>80</v>
      </c>
      <c r="AR210" s="78"/>
      <c r="AS210" s="78">
        <f ca="1">IF(AND(INT(LARGE($S$27:$S$42,1))&gt;=60,I72&gt;=75),I72+0.009,0)</f>
        <v>85.009</v>
      </c>
      <c r="AT210" s="78" t="str">
        <f ca="1">IFERROR(INDEX(CHOOSE(MATCH(LARGE($AS$210:$AS$218,1),$AS$210:$AS$218,0),F72,F73,F74,F76,F77,F78,F80,F81,F82),1),"")</f>
        <v>3.2</v>
      </c>
      <c r="AU210" s="78"/>
      <c r="AV210" s="60" t="s">
        <v>312</v>
      </c>
      <c r="AW210" s="78" t="s">
        <v>743</v>
      </c>
      <c r="BD210" s="179"/>
    </row>
    <row r="211" spans="2:56" ht="29.25" customHeight="1">
      <c r="B211" s="263"/>
      <c r="C211" s="263"/>
      <c r="D211" s="263"/>
      <c r="E211" s="263"/>
      <c r="F211" s="263"/>
      <c r="G211" s="263"/>
      <c r="H211" s="263"/>
      <c r="I211" s="263"/>
      <c r="J211" s="263"/>
      <c r="K211" s="263"/>
      <c r="L211" s="263"/>
      <c r="M211" s="263"/>
      <c r="N211" s="263"/>
      <c r="O211" s="263"/>
      <c r="P211" s="263"/>
      <c r="Q211" s="263"/>
      <c r="AQ211" s="58" t="str">
        <f ca="1">IF(MAX(I40:I42)&gt;=85,INDEX(F40:F42,MATCH(MAX(I40:I42),I40:I42,0)),"")</f>
        <v/>
      </c>
      <c r="AR211" s="78"/>
      <c r="AS211" s="78">
        <f ca="1">IF(AND(INT(LARGE($S$27:$S$42,1))&gt;=60,I73&gt;=75),I73+0.008,0)</f>
        <v>85.007999999999996</v>
      </c>
      <c r="AT211" s="78" t="str">
        <f ca="1">IFERROR(INDEX(CHOOSE(MATCH(LARGE($AS$210:$AS$218,2),$AS$210:$AS$218,0),F72,F73,F74,F76,F77,F78,F80,F81,F82),1),"")</f>
        <v>1.1</v>
      </c>
      <c r="AU211" s="78"/>
      <c r="AV211" s="60">
        <v>5.0999999999999996</v>
      </c>
      <c r="AW211" s="78" t="s">
        <v>784</v>
      </c>
      <c r="BD211" s="179"/>
    </row>
    <row r="212" spans="2:56" ht="29.25" customHeight="1">
      <c r="B212" s="263"/>
      <c r="C212" s="263"/>
      <c r="D212" s="263"/>
      <c r="E212" s="263"/>
      <c r="F212" s="263"/>
      <c r="G212" s="263"/>
      <c r="H212" s="263"/>
      <c r="I212" s="263"/>
      <c r="J212" s="263"/>
      <c r="K212" s="263"/>
      <c r="L212" s="263"/>
      <c r="M212" s="263"/>
      <c r="N212" s="263"/>
      <c r="O212" s="263"/>
      <c r="P212" s="263"/>
      <c r="Q212" s="263"/>
      <c r="AQ212" s="58">
        <f ca="1">IF(MAX(I40:I42)&gt;=85,MAX(I40:I42),0)</f>
        <v>0</v>
      </c>
      <c r="AR212" s="78"/>
      <c r="AS212" s="78">
        <f ca="1">IF(AND(INT(LARGE($S$27:$S$42,1))&gt;=60,I74&gt;=75),I74+0.007,0)</f>
        <v>85.007000000000005</v>
      </c>
      <c r="AT212" s="78" t="str">
        <f ca="1">IFERROR(INDEX(CHOOSE(MATCH(LARGE($AS$210:$AS$218,3),$AS$210:$AS$218,0),F72,F73,F74,F76,F77,F78,F80,F81,F82),1),"")</f>
        <v>1.2</v>
      </c>
      <c r="AU212" s="78"/>
      <c r="AV212" s="60">
        <v>5.2</v>
      </c>
      <c r="AW212" s="78" t="s">
        <v>772</v>
      </c>
      <c r="BD212" s="179"/>
    </row>
    <row r="213" spans="2:56" ht="29.25" customHeight="1">
      <c r="B213" s="263"/>
      <c r="C213" s="263"/>
      <c r="D213" s="263"/>
      <c r="E213" s="263"/>
      <c r="F213" s="263"/>
      <c r="G213" s="263"/>
      <c r="H213" s="263"/>
      <c r="I213" s="263"/>
      <c r="J213" s="263"/>
      <c r="K213" s="263"/>
      <c r="L213" s="263"/>
      <c r="M213" s="263"/>
      <c r="N213" s="263"/>
      <c r="O213" s="263"/>
      <c r="P213" s="263"/>
      <c r="Q213" s="263"/>
      <c r="AR213" s="78"/>
      <c r="AS213" s="78">
        <f ca="1">IF(AND(INT(LARGE($S$27:$S$42,2))&gt;=60,I76&gt;=75),I76+0.006,0)</f>
        <v>0</v>
      </c>
      <c r="AT213" s="78" t="str">
        <f ca="1">IFERROR(INDEX(CHOOSE(MATCH(LARGE($AS$210:$AS$218,4),$AS$210:$AS$218,0),F72,F73,F74,F76,F77,F78,F80,F81,F82),1),"")</f>
        <v>1.3</v>
      </c>
      <c r="AU213" s="78"/>
      <c r="AV213" s="60">
        <v>5.3</v>
      </c>
      <c r="AW213" s="78" t="s">
        <v>785</v>
      </c>
      <c r="BD213" s="179"/>
    </row>
    <row r="214" spans="2:56" ht="29.25" customHeight="1">
      <c r="B214" s="263"/>
      <c r="C214" s="263"/>
      <c r="D214" s="263"/>
      <c r="E214" s="263"/>
      <c r="F214" s="263"/>
      <c r="G214" s="263"/>
      <c r="H214" s="263"/>
      <c r="I214" s="263"/>
      <c r="J214" s="263"/>
      <c r="K214" s="263"/>
      <c r="L214" s="263"/>
      <c r="M214" s="263"/>
      <c r="N214" s="263"/>
      <c r="O214" s="263"/>
      <c r="P214" s="263"/>
      <c r="Q214" s="263"/>
      <c r="AR214" s="78"/>
      <c r="AS214" s="78">
        <f ca="1">IF(AND(INT(LARGE($S$27:$S$42,2))&gt;=60,I77&gt;=75),I77+0.005,0)</f>
        <v>85.004999999999995</v>
      </c>
      <c r="AT214" s="78"/>
      <c r="AU214" s="78"/>
      <c r="AV214" s="60" t="s">
        <v>316</v>
      </c>
      <c r="AW214" s="78" t="s">
        <v>744</v>
      </c>
      <c r="BD214" s="179"/>
    </row>
    <row r="215" spans="2:56" ht="29.25" customHeight="1">
      <c r="B215" s="263"/>
      <c r="C215" s="263"/>
      <c r="D215" s="263"/>
      <c r="E215" s="263"/>
      <c r="F215" s="263"/>
      <c r="G215" s="263"/>
      <c r="H215" s="263"/>
      <c r="I215" s="263"/>
      <c r="J215" s="263"/>
      <c r="K215" s="263"/>
      <c r="L215" s="263"/>
      <c r="M215" s="263"/>
      <c r="N215" s="263"/>
      <c r="O215" s="263"/>
      <c r="P215" s="263"/>
      <c r="Q215" s="263"/>
      <c r="AR215" s="78" t="str">
        <f ca="1">IFERROR(INDEX(F47:F57,MATCH(LARGE(S47:S57,1),S47:S57,0)),"")</f>
        <v>H</v>
      </c>
      <c r="AS215" s="78">
        <f ca="1">IF(AND(INT(LARGE($S$27:$S$42,2))&gt;=60,I78&gt;=75),I78+0.004,0)</f>
        <v>85.004000000000005</v>
      </c>
      <c r="AT215" s="78">
        <f ca="1">COUNTIF(AS210:AS218,"&gt;0")</f>
        <v>7</v>
      </c>
      <c r="AU215" s="78"/>
      <c r="AV215" s="60" t="s">
        <v>317</v>
      </c>
      <c r="AW215" s="78" t="s">
        <v>745</v>
      </c>
      <c r="BD215" s="179"/>
    </row>
    <row r="216" spans="2:56" ht="29.25" customHeight="1">
      <c r="B216" s="263"/>
      <c r="C216" s="263"/>
      <c r="D216" s="263"/>
      <c r="E216" s="263"/>
      <c r="F216" s="263"/>
      <c r="G216" s="263"/>
      <c r="H216" s="263"/>
      <c r="I216" s="263"/>
      <c r="J216" s="263"/>
      <c r="K216" s="263"/>
      <c r="L216" s="263"/>
      <c r="M216" s="263"/>
      <c r="N216" s="263"/>
      <c r="O216" s="263"/>
      <c r="P216" s="263"/>
      <c r="Q216" s="263"/>
      <c r="AR216" s="78">
        <f ca="1">IFERROR(INDEX(I47:I57,MATCH(LARGE(S47:S57,1),S47:S57,0)),0)</f>
        <v>115</v>
      </c>
      <c r="AS216" s="78">
        <f ca="1">IF(AND(INT(LARGE($S$27:$S$42,3))&gt;=60,I80&gt;=75),I80+0.003,0)</f>
        <v>0</v>
      </c>
      <c r="AT216" s="78"/>
      <c r="AU216" s="78"/>
      <c r="AV216" s="60" t="s">
        <v>318</v>
      </c>
      <c r="AW216" s="78" t="s">
        <v>746</v>
      </c>
      <c r="BD216" s="179"/>
    </row>
    <row r="217" spans="2:56" ht="29.25" customHeight="1">
      <c r="B217" s="263"/>
      <c r="C217" s="263"/>
      <c r="D217" s="263"/>
      <c r="E217" s="263"/>
      <c r="F217" s="263"/>
      <c r="G217" s="263"/>
      <c r="H217" s="263"/>
      <c r="I217" s="263"/>
      <c r="J217" s="263"/>
      <c r="K217" s="263"/>
      <c r="L217" s="263"/>
      <c r="M217" s="263"/>
      <c r="N217" s="263"/>
      <c r="O217" s="263"/>
      <c r="P217" s="263"/>
      <c r="Q217" s="263"/>
      <c r="AR217" s="59" t="str">
        <f ca="1">IFERROR(INDEX(F47:F57,MATCH(LARGE(S47:S57,2),S47:S57,0)),"")</f>
        <v>D</v>
      </c>
      <c r="AS217" s="58">
        <f ca="1">IF(AND(INT(LARGE($S$27:$S$42,3))&gt;=60,I81&gt;=75),I81+0.002,0)</f>
        <v>93.001999999999995</v>
      </c>
      <c r="AT217" s="78"/>
      <c r="AU217" s="78"/>
      <c r="AV217" s="60" t="s">
        <v>319</v>
      </c>
      <c r="AW217" s="78" t="s">
        <v>786</v>
      </c>
      <c r="BD217" s="179"/>
    </row>
    <row r="218" spans="2:56" ht="29.25" customHeight="1">
      <c r="B218" s="263"/>
      <c r="C218" s="263"/>
      <c r="D218" s="263"/>
      <c r="E218" s="263"/>
      <c r="F218" s="263"/>
      <c r="G218" s="263"/>
      <c r="H218" s="263"/>
      <c r="I218" s="263"/>
      <c r="J218" s="263"/>
      <c r="K218" s="263"/>
      <c r="L218" s="263"/>
      <c r="M218" s="263"/>
      <c r="N218" s="263"/>
      <c r="O218" s="263"/>
      <c r="P218" s="263"/>
      <c r="Q218" s="263"/>
      <c r="AQ218" s="59"/>
      <c r="AR218" s="58">
        <f ca="1">IFERROR(INDEX(I47:I57,MATCH(LARGE(S47:S57,2),S47:S57,0)),0)</f>
        <v>100</v>
      </c>
      <c r="AS218" s="58">
        <f ca="1">IF(AND(INT(LARGE($S$27:$S$42,3))&gt;=60,I82&gt;=75),I82+0.001,0)</f>
        <v>85.001000000000005</v>
      </c>
      <c r="AT218" s="78"/>
      <c r="AU218" s="78"/>
      <c r="AV218" s="60" t="s">
        <v>320</v>
      </c>
      <c r="AW218" s="78" t="s">
        <v>747</v>
      </c>
      <c r="BD218" s="179"/>
    </row>
    <row r="219" spans="2:56" ht="29.25" customHeight="1">
      <c r="B219" s="263"/>
      <c r="C219" s="263"/>
      <c r="D219" s="263"/>
      <c r="E219" s="263"/>
      <c r="F219" s="263"/>
      <c r="G219" s="263"/>
      <c r="H219" s="263"/>
      <c r="I219" s="263"/>
      <c r="J219" s="263"/>
      <c r="K219" s="263"/>
      <c r="L219" s="263"/>
      <c r="M219" s="263"/>
      <c r="N219" s="263"/>
      <c r="O219" s="263"/>
      <c r="P219" s="263"/>
      <c r="Q219" s="263"/>
      <c r="AP219" s="78"/>
      <c r="AQ219" s="78"/>
      <c r="AR219" s="78" t="str">
        <f ca="1">IFERROR(INDEX(F47:F57,MATCH(LARGE(S47:S57,3),S47:S57,0)),"")</f>
        <v>A</v>
      </c>
      <c r="AS219" s="78"/>
      <c r="AT219" s="78"/>
      <c r="AU219" s="78"/>
      <c r="AV219" s="60" t="s">
        <v>321</v>
      </c>
      <c r="AW219" s="78" t="s">
        <v>787</v>
      </c>
      <c r="BD219" s="179"/>
    </row>
    <row r="220" spans="2:56" ht="29.25" customHeight="1">
      <c r="B220" s="263"/>
      <c r="C220" s="263"/>
      <c r="D220" s="263"/>
      <c r="E220" s="263"/>
      <c r="F220" s="263"/>
      <c r="G220" s="263"/>
      <c r="H220" s="263"/>
      <c r="I220" s="263"/>
      <c r="J220" s="263"/>
      <c r="K220" s="263"/>
      <c r="L220" s="263"/>
      <c r="M220" s="263"/>
      <c r="N220" s="263"/>
      <c r="O220" s="263"/>
      <c r="P220" s="263"/>
      <c r="Q220" s="263"/>
      <c r="AP220" s="78"/>
      <c r="AQ220" s="78"/>
      <c r="AR220" s="78">
        <f ca="1">IFERROR(INDEX(I47:I57,MATCH(LARGE(S47:S57,3),S47:S57,0)),0)</f>
        <v>95</v>
      </c>
      <c r="AS220" s="78"/>
      <c r="AT220" s="78"/>
      <c r="AU220" s="78"/>
      <c r="AV220" s="60">
        <v>7.1</v>
      </c>
      <c r="AW220" s="78" t="s">
        <v>748</v>
      </c>
      <c r="BD220" s="179"/>
    </row>
    <row r="221" spans="2:56" ht="21.75" customHeight="1">
      <c r="B221" s="170"/>
      <c r="C221" s="170"/>
      <c r="D221" s="170"/>
      <c r="E221" s="170"/>
      <c r="F221" s="170"/>
      <c r="G221" s="171"/>
      <c r="H221" s="171"/>
      <c r="I221" s="172"/>
      <c r="J221" s="170"/>
      <c r="K221" s="170"/>
      <c r="L221" s="170"/>
      <c r="M221" s="170"/>
      <c r="N221" s="170"/>
      <c r="O221" s="171"/>
      <c r="P221" s="171"/>
      <c r="Q221" s="171"/>
      <c r="AF221" s="78"/>
      <c r="AG221" s="78"/>
      <c r="AH221" s="78"/>
      <c r="AI221" s="78"/>
      <c r="AJ221" s="78"/>
      <c r="AK221" s="78"/>
      <c r="AL221" s="78"/>
      <c r="AM221" s="78"/>
      <c r="AN221" s="78"/>
      <c r="AP221" s="78"/>
      <c r="AQ221" s="78"/>
      <c r="AR221" s="78" t="str">
        <f ca="1">IFERROR(INDEX(F55:F57,MATCH(LARGE(S55:S57,1),S55:S57,0)),"")</f>
        <v>CC</v>
      </c>
      <c r="AS221" s="78"/>
      <c r="AT221" s="78"/>
      <c r="AU221" s="78"/>
      <c r="AV221" s="60">
        <v>7.2</v>
      </c>
      <c r="AW221" s="78" t="s">
        <v>749</v>
      </c>
      <c r="BD221" s="179"/>
    </row>
    <row r="222" spans="2:56" ht="21.75" customHeight="1">
      <c r="B222" s="185" t="s">
        <v>537</v>
      </c>
      <c r="C222" s="170"/>
      <c r="D222" s="170"/>
      <c r="E222" s="170"/>
      <c r="F222" s="170"/>
      <c r="G222" s="171"/>
      <c r="H222" s="171"/>
      <c r="I222" s="172"/>
      <c r="J222" s="170"/>
      <c r="K222" s="170"/>
      <c r="L222" s="170"/>
      <c r="M222" s="170"/>
      <c r="N222" s="170"/>
      <c r="O222" s="171"/>
      <c r="P222" s="171"/>
      <c r="Q222" s="171"/>
      <c r="AF222" s="78"/>
      <c r="AG222" s="78"/>
      <c r="AH222" s="78"/>
      <c r="AI222" s="78"/>
      <c r="AJ222" s="78"/>
      <c r="AK222" s="78"/>
      <c r="AL222" s="78"/>
      <c r="AM222" s="78"/>
      <c r="AN222" s="78"/>
      <c r="AP222" s="78"/>
      <c r="AQ222" s="78"/>
      <c r="AR222" s="78">
        <f ca="1">IFERROR(INDEX(I55:I57,MATCH(LARGE(S55:S57,1),S55:S57,0)),0)</f>
        <v>85</v>
      </c>
      <c r="AS222" s="78"/>
      <c r="AT222" s="78"/>
      <c r="AU222" s="78"/>
      <c r="AV222" s="78">
        <v>7.3</v>
      </c>
      <c r="AW222" s="78" t="s">
        <v>788</v>
      </c>
      <c r="AX222" s="78"/>
      <c r="AY222" s="78"/>
      <c r="AZ222" s="78"/>
      <c r="BA222" s="78"/>
      <c r="BD222" s="179"/>
    </row>
    <row r="223" spans="2:56" ht="10.5" customHeight="1">
      <c r="B223" s="170"/>
      <c r="C223" s="170"/>
      <c r="D223" s="170"/>
      <c r="E223" s="170"/>
      <c r="F223" s="170"/>
      <c r="G223" s="171"/>
      <c r="H223" s="171"/>
      <c r="I223" s="172"/>
      <c r="J223" s="170"/>
      <c r="K223" s="170"/>
      <c r="L223" s="170"/>
      <c r="M223" s="170"/>
      <c r="N223" s="170"/>
      <c r="O223" s="171"/>
      <c r="P223" s="171"/>
      <c r="Q223" s="171"/>
      <c r="AF223" s="78"/>
      <c r="AG223" s="78"/>
      <c r="AH223" s="78"/>
      <c r="AI223" s="78"/>
      <c r="AJ223" s="78"/>
      <c r="AK223" s="78"/>
      <c r="AL223" s="78"/>
      <c r="AM223" s="78"/>
      <c r="AN223" s="78"/>
      <c r="AP223" s="78"/>
      <c r="AQ223" s="78"/>
      <c r="AR223" s="78">
        <f ca="1">COUNTIF(I47:I57,"&gt;=75")</f>
        <v>5</v>
      </c>
      <c r="AS223" s="78"/>
      <c r="AT223" s="78"/>
      <c r="AU223" s="78"/>
      <c r="AV223" s="78" t="s">
        <v>325</v>
      </c>
      <c r="AW223" s="78" t="s">
        <v>789</v>
      </c>
      <c r="AX223" s="78"/>
      <c r="AY223" s="78"/>
      <c r="AZ223" s="78"/>
      <c r="BA223" s="78"/>
      <c r="BD223" s="179"/>
    </row>
    <row r="224" spans="2:56" ht="21.75" customHeight="1">
      <c r="B224" s="263" t="s">
        <v>715</v>
      </c>
      <c r="C224" s="263"/>
      <c r="D224" s="263"/>
      <c r="E224" s="263"/>
      <c r="F224" s="263"/>
      <c r="G224" s="263"/>
      <c r="H224" s="263"/>
      <c r="I224" s="263"/>
      <c r="J224" s="263"/>
      <c r="K224" s="263"/>
      <c r="L224" s="263"/>
      <c r="M224" s="263"/>
      <c r="N224" s="263"/>
      <c r="O224" s="263"/>
      <c r="P224" s="263"/>
      <c r="Q224" s="263"/>
      <c r="AF224" s="78"/>
      <c r="AG224" s="78"/>
      <c r="AH224" s="78"/>
      <c r="AI224" s="78"/>
      <c r="AJ224" s="78"/>
      <c r="AK224" s="78"/>
      <c r="AL224" s="78"/>
      <c r="AM224" s="78"/>
      <c r="AN224" s="78"/>
      <c r="AP224" s="78"/>
      <c r="AQ224" s="78"/>
      <c r="AR224" s="78">
        <f ca="1">IF(AND(I50&gt;=75,I56&gt;=75),1,0)</f>
        <v>1</v>
      </c>
      <c r="AS224" s="78"/>
      <c r="AT224" s="78"/>
      <c r="AU224" s="78"/>
      <c r="AV224" s="78" t="s">
        <v>326</v>
      </c>
      <c r="AW224" s="78" t="s">
        <v>750</v>
      </c>
      <c r="AX224" s="78"/>
      <c r="AY224" s="78"/>
      <c r="AZ224" s="78"/>
      <c r="BA224" s="78"/>
      <c r="BD224" s="179"/>
    </row>
    <row r="225" spans="2:56" ht="21.75" customHeight="1">
      <c r="B225" s="263"/>
      <c r="C225" s="263"/>
      <c r="D225" s="263"/>
      <c r="E225" s="263"/>
      <c r="F225" s="263"/>
      <c r="G225" s="263"/>
      <c r="H225" s="263"/>
      <c r="I225" s="263"/>
      <c r="J225" s="263"/>
      <c r="K225" s="263"/>
      <c r="L225" s="263"/>
      <c r="M225" s="263"/>
      <c r="N225" s="263"/>
      <c r="O225" s="263"/>
      <c r="P225" s="263"/>
      <c r="Q225" s="263"/>
      <c r="AF225" s="78"/>
      <c r="AG225" s="78"/>
      <c r="AH225" s="78"/>
      <c r="AI225" s="78"/>
      <c r="AJ225" s="78"/>
      <c r="AK225" s="78"/>
      <c r="AL225" s="78"/>
      <c r="AM225" s="78"/>
      <c r="AN225" s="78"/>
      <c r="AP225" s="78"/>
      <c r="AQ225" s="78"/>
      <c r="AR225" s="78" t="str">
        <f ca="1">IF(OR(AR215="SS",AR215="CC",AR215="PP"),AR215,IF(OR(AR217="SS",AR217="CC",AR217="PP"),AR217,IF(OR(AR219="SS",AR219="CC",AR219="PP"),AR219,AR215)))</f>
        <v>H</v>
      </c>
      <c r="AS225" s="78"/>
      <c r="AT225" s="78"/>
      <c r="AU225" s="78"/>
      <c r="AV225" s="78" t="s">
        <v>327</v>
      </c>
      <c r="AW225" s="78" t="s">
        <v>790</v>
      </c>
      <c r="AX225" s="78"/>
      <c r="AY225" s="78"/>
      <c r="AZ225" s="78"/>
      <c r="BA225" s="78"/>
      <c r="BD225" s="179"/>
    </row>
    <row r="226" spans="2:56" ht="6.75" customHeight="1">
      <c r="B226" s="143"/>
      <c r="C226" s="143"/>
      <c r="D226" s="143"/>
      <c r="E226" s="170"/>
      <c r="F226" s="170"/>
      <c r="G226" s="171"/>
      <c r="H226" s="171"/>
      <c r="I226" s="172"/>
      <c r="J226" s="170"/>
      <c r="K226" s="170"/>
      <c r="L226" s="170"/>
      <c r="M226" s="170"/>
      <c r="N226" s="170"/>
      <c r="O226" s="171"/>
      <c r="P226" s="171"/>
      <c r="Q226" s="171"/>
      <c r="AF226" s="78"/>
      <c r="AG226" s="78"/>
      <c r="AH226" s="78"/>
      <c r="AI226" s="78"/>
      <c r="AJ226" s="78"/>
      <c r="AK226" s="78"/>
      <c r="AL226" s="78"/>
      <c r="AM226" s="78"/>
      <c r="AN226" s="78"/>
      <c r="AP226" s="78"/>
      <c r="AQ226" s="78"/>
      <c r="AR226" s="78">
        <f ca="1">IF(OR(AR215="SS",AR215="CC",AR215="PP"),AR216,IF(OR(AR217="SS",AR217="CC",AR217="PP"),AR218,IF(OR(AR219="SS",AR219="CC",AR219="PP"),AR220,AR216)))</f>
        <v>115</v>
      </c>
      <c r="AS226" s="78"/>
      <c r="AT226" s="78"/>
      <c r="AU226" s="78"/>
      <c r="AV226" s="78" t="s">
        <v>328</v>
      </c>
      <c r="AW226" s="78" t="s">
        <v>766</v>
      </c>
      <c r="AX226" s="78"/>
      <c r="AY226" s="78"/>
      <c r="AZ226" s="78"/>
      <c r="BA226" s="78"/>
      <c r="BD226" s="179"/>
    </row>
    <row r="227" spans="2:56" ht="21.75" customHeight="1">
      <c r="B227" s="191" t="str" cm="1">
        <f t="array" ref="B227">IF(SUMPRODUCT(--(LEN(TRIM(B228:B234))&gt;0))=0,"","Preocupación por su salud (" &amp;SUMPRODUCT(--(LEN(TRIM(B228:B234))&gt;0)) &amp;"/6)")</f>
        <v>Preocupación por su salud (6/6)</v>
      </c>
      <c r="C227" s="191"/>
      <c r="D227" s="191"/>
      <c r="E227" s="186"/>
      <c r="F227" s="186"/>
      <c r="G227" s="188"/>
      <c r="H227" s="188"/>
      <c r="I227" s="189"/>
      <c r="J227" s="186"/>
      <c r="K227" s="186"/>
      <c r="L227" s="186"/>
      <c r="M227" s="186"/>
      <c r="N227" s="186"/>
      <c r="O227" s="188"/>
      <c r="P227" s="188"/>
      <c r="Q227" s="188"/>
      <c r="AF227" s="78"/>
      <c r="AG227" s="78"/>
      <c r="AH227" s="78"/>
      <c r="AI227" s="78"/>
      <c r="AJ227" s="78"/>
      <c r="AK227" s="78"/>
      <c r="AL227" s="78"/>
      <c r="AM227" s="78"/>
      <c r="AN227" s="78"/>
      <c r="AP227" s="78"/>
      <c r="AQ227" s="78"/>
      <c r="AR227" s="78" t="str">
        <f ca="1">IF(AR215&lt;&gt;AR225,AR215,IF(AR217&lt;&gt;AR225,AR217,AR219))</f>
        <v>D</v>
      </c>
      <c r="AS227" s="78"/>
      <c r="AT227" s="78"/>
      <c r="AU227" s="78"/>
      <c r="AV227" s="78" t="s">
        <v>329</v>
      </c>
      <c r="AW227" s="78" t="s">
        <v>751</v>
      </c>
      <c r="AX227" s="78"/>
      <c r="AY227" s="78"/>
      <c r="AZ227" s="78"/>
      <c r="BA227" s="78"/>
      <c r="BD227" s="179"/>
    </row>
    <row r="228" spans="2:56" ht="21.75" customHeight="1">
      <c r="B228" s="186" t="str">
        <f>IF(LEN(TRIM(Protocolo!I44))=0, " ", Protocolo!H44 &amp; ". " &amp; Protocolo!I44 &amp; " (Verdadero)")</f>
        <v>7. Me cuesta mantener el equilibrio cuando camino. (Verdadero)</v>
      </c>
      <c r="C228" s="186"/>
      <c r="D228" s="186"/>
      <c r="E228" s="186"/>
      <c r="F228" s="186"/>
      <c r="G228" s="188"/>
      <c r="H228" s="188"/>
      <c r="I228" s="189"/>
      <c r="J228" s="186"/>
      <c r="K228" s="186"/>
      <c r="L228" s="186"/>
      <c r="M228" s="186"/>
      <c r="N228" s="186"/>
      <c r="O228" s="188"/>
      <c r="P228" s="188"/>
      <c r="Q228" s="188"/>
      <c r="AF228" s="78"/>
      <c r="AG228" s="78"/>
      <c r="AH228" s="78"/>
      <c r="AI228" s="78"/>
      <c r="AJ228" s="78"/>
      <c r="AK228" s="78"/>
      <c r="AL228" s="78"/>
      <c r="AM228" s="78"/>
      <c r="AN228" s="78"/>
      <c r="AP228" s="78"/>
      <c r="AQ228" s="78"/>
      <c r="AR228" s="78">
        <f ca="1">IF(AR215&lt;&gt;AR225,AR216,IF(AR217&lt;&gt;AR225,AR218,AR220))</f>
        <v>100</v>
      </c>
      <c r="AS228" s="78"/>
      <c r="AT228" s="78"/>
      <c r="AU228" s="78"/>
      <c r="AV228" s="78" t="s">
        <v>330</v>
      </c>
      <c r="AW228" s="78" t="s">
        <v>791</v>
      </c>
      <c r="AX228" s="78"/>
      <c r="AY228" s="78"/>
      <c r="AZ228" s="78"/>
      <c r="BA228" s="78"/>
      <c r="BD228" s="179"/>
    </row>
    <row r="229" spans="2:56" ht="21.75" customHeight="1">
      <c r="B229" s="186" t="str">
        <f>IF(LEN(TRIM(Protocolo!I45))=0, " ", Protocolo!H45 &amp; ". " &amp; Protocolo!I45 &amp; " (Verdadero)")</f>
        <v>41. Tengo la sensación de que no duermo, y me levanto tan cansado como al acostarme. (Verdadero)</v>
      </c>
      <c r="C229" s="186"/>
      <c r="D229" s="186"/>
      <c r="E229" s="186"/>
      <c r="F229" s="186"/>
      <c r="G229" s="188"/>
      <c r="H229" s="188"/>
      <c r="I229" s="189"/>
      <c r="J229" s="186"/>
      <c r="K229" s="186"/>
      <c r="L229" s="186"/>
      <c r="M229" s="186"/>
      <c r="N229" s="186"/>
      <c r="O229" s="188"/>
      <c r="P229" s="188"/>
      <c r="Q229" s="188"/>
      <c r="AF229" s="78"/>
      <c r="AG229" s="78"/>
      <c r="AH229" s="78"/>
      <c r="AI229" s="78"/>
      <c r="AJ229" s="78"/>
      <c r="AK229" s="78"/>
      <c r="AL229" s="78"/>
      <c r="AM229" s="78"/>
      <c r="AN229" s="78"/>
      <c r="AP229" s="78"/>
      <c r="AQ229" s="78"/>
      <c r="AR229" s="78" t="str">
        <f ca="1">IF(AND(AR215&lt;&gt;AR225,AR215&lt;&gt;AR227),AR215,IF(AND(AR217&lt;&gt;AR225,AR217&lt;&gt;AR227),AR217,AR219))</f>
        <v>A</v>
      </c>
      <c r="AS229" s="78"/>
      <c r="AT229" s="78"/>
      <c r="AU229" s="78"/>
      <c r="AV229" s="78" t="s">
        <v>331</v>
      </c>
      <c r="AW229" s="78" t="s">
        <v>792</v>
      </c>
      <c r="AX229" s="78"/>
      <c r="AY229" s="78"/>
      <c r="AZ229" s="78"/>
      <c r="BA229" s="78"/>
      <c r="BD229" s="179"/>
    </row>
    <row r="230" spans="2:56" ht="21.75" customHeight="1">
      <c r="B230" s="186" t="str">
        <f>IF(LEN(TRIM(Protocolo!I46))=0, " ", Protocolo!H46 &amp; ". " &amp; Protocolo!I46 &amp; " (Verdadero)")</f>
        <v>57. He perdido el apetito por completo, y la mayoría de las noches tengo problemas para dormir. (Verdadero)</v>
      </c>
      <c r="C230" s="186"/>
      <c r="D230" s="186"/>
      <c r="E230" s="186"/>
      <c r="F230" s="186"/>
      <c r="G230" s="188"/>
      <c r="H230" s="188"/>
      <c r="I230" s="189"/>
      <c r="J230" s="186"/>
      <c r="K230" s="186"/>
      <c r="L230" s="186"/>
      <c r="M230" s="186"/>
      <c r="N230" s="186"/>
      <c r="O230" s="188"/>
      <c r="P230" s="188"/>
      <c r="Q230" s="188"/>
      <c r="AF230" s="78"/>
      <c r="AG230" s="78"/>
      <c r="AH230" s="78"/>
      <c r="AI230" s="78"/>
      <c r="AJ230" s="78"/>
      <c r="AK230" s="78"/>
      <c r="AL230" s="78"/>
      <c r="AM230" s="78"/>
      <c r="AN230" s="78"/>
      <c r="AP230" s="78"/>
      <c r="AQ230" s="78"/>
      <c r="AR230" s="78">
        <f ca="1">IF(AND(AR215&lt;&gt;AR225,AR215&lt;&gt;AR227),AR216,IF(AND(AR217&lt;&gt;AR225,AR217&lt;&gt;AR227),AR218,AR220))</f>
        <v>95</v>
      </c>
      <c r="AS230" s="78"/>
      <c r="AT230" s="78"/>
      <c r="AU230" s="78"/>
      <c r="AV230" s="78" t="s">
        <v>332</v>
      </c>
      <c r="AW230" s="78" t="s">
        <v>822</v>
      </c>
      <c r="AX230" s="78"/>
      <c r="AY230" s="78"/>
      <c r="AZ230" s="78"/>
      <c r="BA230" s="78"/>
      <c r="BD230" s="179"/>
    </row>
    <row r="231" spans="2:56" ht="21.75" customHeight="1">
      <c r="B231" s="186" t="str">
        <f>IF(LEN(TRIM(Protocolo!I47))=0, " ", Protocolo!H47 &amp; ". " &amp; Protocolo!I47 &amp; " (Verdadero)")</f>
        <v>113. Últimamente sudo mucho y me siento muy tenso. (Verdadero)</v>
      </c>
      <c r="C231" s="186"/>
      <c r="D231" s="186"/>
      <c r="E231" s="186"/>
      <c r="F231" s="186"/>
      <c r="G231" s="188"/>
      <c r="H231" s="188"/>
      <c r="I231" s="189"/>
      <c r="J231" s="186"/>
      <c r="K231" s="186"/>
      <c r="L231" s="186"/>
      <c r="M231" s="186"/>
      <c r="N231" s="186"/>
      <c r="O231" s="188"/>
      <c r="P231" s="188"/>
      <c r="Q231" s="188"/>
      <c r="AF231" s="78"/>
      <c r="AG231" s="78"/>
      <c r="AH231" s="78"/>
      <c r="AI231" s="78"/>
      <c r="AJ231" s="78"/>
      <c r="AK231" s="78"/>
      <c r="AL231" s="78"/>
      <c r="AM231" s="78"/>
      <c r="AN231" s="78"/>
      <c r="AP231" s="78"/>
      <c r="AQ231" s="78"/>
      <c r="AR231" s="78" t="str">
        <f ca="1">_xlfn.SINGLE(IF(AR226&lt;60,("En el perfil obtenido no se evidencian elevaciones en las escalas de síndromes; las tasas base se sitúan por debajo del rango interpretativo, por lo que no se identifican estados sintomáticos que requieran ser leídos como ampliaciones manifiestas del patr"&amp;"ón premórbido. "),IF(AR226&lt;75,("En el perfil obtenido las elevaciones en las escalas de síndromes se sitúan en el rango sugerente, es decir, entre tasas base 60 y 74; estas puntuaciones sugieren los síntomas patológicos de la escala correspondiente pero no son suficientemente indicativa"&amp;"s de ellos, por lo que no se considera que el síndrome esté presente y no se desarrolla, por consiguiente, su descripción detallada. "),("En el perfil obtenido se identifican elevaciones en las escalas de síndromes clínicos cuya descripción se desarrolla a continuación, priorizando las elevaciones en las escalas de síndromes graves dado que, por su mayor vulnerabilidad clínica, pueden matiz"&amp;"ar el sentido de los restantes cuadros sintomáticos. "))))</f>
        <v xml:space="preserve">En el perfil obtenido se identifican elevaciones en las escalas de síndromes clínicos cuya descripción se desarrolla a continuación, priorizando las elevaciones en las escalas de síndromes graves dado que, por su mayor vulnerabilidad clínica, pueden matizar el sentido de los restantes cuadros sintomáticos. </v>
      </c>
      <c r="AS231" s="78"/>
      <c r="AT231" s="78"/>
      <c r="AU231" s="78"/>
      <c r="AV231" s="78" t="s">
        <v>333</v>
      </c>
      <c r="AW231" s="78" t="s">
        <v>752</v>
      </c>
      <c r="AX231" s="78"/>
      <c r="AY231" s="78"/>
      <c r="AZ231" s="78"/>
      <c r="BA231" s="78"/>
      <c r="BD231" s="179"/>
    </row>
    <row r="232" spans="2:56" ht="21.75" customHeight="1">
      <c r="B232" s="186" t="str">
        <f>IF(LEN(TRIM(Protocolo!I48))=0, " ", Protocolo!H48 &amp; ". " &amp; Protocolo!I48 &amp; " (Verdadero)")</f>
        <v>120. Me siento débil y cansado la mayor parte del tiempo. (Verdadero)</v>
      </c>
      <c r="C232" s="186"/>
      <c r="D232" s="186"/>
      <c r="E232" s="186"/>
      <c r="F232" s="186"/>
      <c r="G232" s="188"/>
      <c r="H232" s="188"/>
      <c r="I232" s="189"/>
      <c r="J232" s="186"/>
      <c r="K232" s="186"/>
      <c r="L232" s="186"/>
      <c r="M232" s="186"/>
      <c r="N232" s="186"/>
      <c r="O232" s="188"/>
      <c r="P232" s="188"/>
      <c r="Q232" s="188"/>
      <c r="AF232" s="78"/>
      <c r="AG232" s="78"/>
      <c r="AH232" s="78"/>
      <c r="AI232" s="78"/>
      <c r="AJ232" s="78"/>
      <c r="AK232" s="78"/>
      <c r="AL232" s="78"/>
      <c r="AM232" s="78"/>
      <c r="AN232" s="78"/>
      <c r="AP232" s="78"/>
      <c r="AQ232" s="78"/>
      <c r="AR232" s="78" t="str">
        <f ca="1">IF(AR226&lt;75,"","Se identifica una elevación "&amp;IF(AR226&gt;=85,"significativa ","")&amp;"en la escala "&amp;IFERROR(INDEX($AX$242:$AX$251,MATCH(AR225,$AV$242:$AV$251,0)),"")&amp;", que indica "&amp;IFERROR(INDEX($AW$242:$AW$251,MATCH(AR225,$AV$242:$AV$251,0)),"")&amp;IF(AR226&gt;=85,", cuadro que refleja una afectación significativa del funcionamiento general del evaluado(a). ",", cuadro cuya manifestación podría considerarse transitoria y no persistente, sin afectación significativa del funcionamiento general. "))</f>
        <v xml:space="preserve">Se identifica una elevación significativa en la escala de síntomas somáticos, que indica una preocupación frecuente por su mala salud y por toda una serie de dolores desmesurados pero en gran medida inespecíficos en distintas partes del cuerpo; tiende a interpretar los periodos persistentes de fatiga o las molestias físicas de poca importancia como indicadores de enfermedades graves y, cuando realmente padece alguna enfermedad, a sobrevalorarla pese a que los médicos le digan que puede estar tranquilo, en la medida en que utiliza los problemas somáticos para llamar la atención, cuadro que refleja una afectación significativa del funcionamiento general del evaluado(a). </v>
      </c>
      <c r="AS232" s="78"/>
      <c r="AT232" s="78"/>
      <c r="AU232" s="78"/>
      <c r="AV232" s="78" t="s">
        <v>334</v>
      </c>
      <c r="AW232" s="78" t="s">
        <v>753</v>
      </c>
      <c r="AX232" s="78"/>
      <c r="AY232" s="78"/>
      <c r="AZ232" s="78"/>
      <c r="BA232" s="78"/>
      <c r="BD232" s="179"/>
    </row>
    <row r="233" spans="2:56" ht="21.75" customHeight="1">
      <c r="B233" s="186" t="str">
        <f>IF(LEN(TRIM(Protocolo!I49))=0, " ", Protocolo!H49 &amp; ". " &amp; Protocolo!I49 &amp; " (Verdadero)")</f>
        <v>146. Me preocupa que mi cuerpo se desgaste rápidamente. (Verdadero)</v>
      </c>
      <c r="C233" s="186"/>
      <c r="D233" s="186"/>
      <c r="E233" s="186"/>
      <c r="F233" s="186"/>
      <c r="G233" s="188"/>
      <c r="H233" s="188"/>
      <c r="I233" s="189"/>
      <c r="J233" s="186"/>
      <c r="K233" s="186"/>
      <c r="L233" s="186"/>
      <c r="M233" s="186"/>
      <c r="N233" s="186"/>
      <c r="O233" s="188"/>
      <c r="P233" s="188"/>
      <c r="Q233" s="188"/>
      <c r="AF233" s="78"/>
      <c r="AG233" s="78"/>
      <c r="AH233" s="78"/>
      <c r="AI233" s="78"/>
      <c r="AJ233" s="78"/>
      <c r="AK233" s="78"/>
      <c r="AL233" s="78"/>
      <c r="AM233" s="78"/>
      <c r="AN233" s="78"/>
      <c r="AP233" s="78"/>
      <c r="AQ233" s="78"/>
      <c r="AR233" s="78" t="str">
        <f ca="1">IF(AR228&lt;75,"","Se identifica, asimismo, una elevación "&amp;IF(AR228&gt;=85,"significativa ","")&amp;"en la escala "&amp;IFERROR(INDEX($AX$242:$AX$251,MATCH(AR227,$AV$242:$AV$251,0)),"")&amp;", que indica "&amp;IFERROR(INDEX($AW$242:$AW$251,MATCH(AR227,$AV$242:$AV$251,0)),"")&amp;IF(AR228&gt;=85,", cuadro que refleja una afectación significativa del funcionamiento general del evaluado(a). ",", cuadro cuya manifestación podría considerarse transitoria y no persistente, sin afectación significativa del funcionamiento general. "))</f>
        <v xml:space="preserve">Se identifica, asimismo, una elevación significativa en la escala de depresión persistente, que indica una participación en la vida diaria pero, durante años, con angustia, sentimientos de desánimo o culpa, falta de iniciativa, apatía y baja autoestima, así como expresiones frecuentes de inutilidad y comentarios autodenigrantes; durante los periodos depresivos pueden observarse muchos momentos de llanto, ideación suicida, visión pesimista del futuro, aislamiento social, falta de apetito o apetito excesivo, fatiga crónica, falta de concentración y una notable pérdida de interés por las actividades placenteras, todo lo cual contribuye a que el evaluado(a) lleve a cabo las tareas cotidianas con menor eficacia, cuadro que refleja una afectación significativa del funcionamiento general del evaluado(a). </v>
      </c>
      <c r="AS233" s="78"/>
      <c r="AT233" s="78"/>
      <c r="AU233" s="78"/>
      <c r="AV233" s="78" t="s">
        <v>335</v>
      </c>
      <c r="AW233" s="78" t="s">
        <v>793</v>
      </c>
      <c r="AX233" s="78"/>
      <c r="AY233" s="78"/>
      <c r="AZ233" s="78"/>
      <c r="BA233" s="78"/>
      <c r="BD233" s="179"/>
    </row>
    <row r="234" spans="2:56" ht="21.75" customHeight="1">
      <c r="B234" s="186"/>
      <c r="C234" s="186"/>
      <c r="D234" s="186"/>
      <c r="E234" s="186"/>
      <c r="F234" s="186"/>
      <c r="G234" s="188"/>
      <c r="H234" s="188"/>
      <c r="I234" s="189"/>
      <c r="J234" s="186"/>
      <c r="K234" s="186"/>
      <c r="L234" s="186"/>
      <c r="M234" s="186"/>
      <c r="N234" s="186"/>
      <c r="O234" s="188"/>
      <c r="P234" s="188"/>
      <c r="Q234" s="188"/>
      <c r="AF234" s="78"/>
      <c r="AG234" s="78"/>
      <c r="AH234" s="78"/>
      <c r="AI234" s="78"/>
      <c r="AJ234" s="78"/>
      <c r="AK234" s="78"/>
      <c r="AL234" s="78"/>
      <c r="AM234" s="78"/>
      <c r="AN234" s="78"/>
      <c r="AP234" s="78"/>
      <c r="AQ234" s="78"/>
      <c r="AR234" s="78" t="str">
        <f ca="1">IF(AR230&lt;75,"","Se constata, además, una elevación "&amp;IF(AR230&gt;=85,"significativa ","")&amp;"en la escala "&amp;IFERROR(INDEX($AX$242:$AX$251,MATCH(AR229,$AV$242:$AV$251,0)),"")&amp;", que indica "&amp;IFERROR(INDEX($AW$242:$AW$251,MATCH(AR229,$AV$242:$AV$251,0)),"")&amp;IF(AR230&gt;=85,", cuadro que refleja una afectación significativa del funcionamiento general del evaluado(a). ",", cuadro cuya manifestación podría considerarse transitoria y no persistente, sin afectación significativa del funcionamiento general. "))</f>
        <v xml:space="preserve">Se constata, además, una elevación significativa en la escala de ansiedad generalizada, que indica un estado generalizado de tensión que se traduce en la incapacidad de relajarse, en movimientos nerviosos y en una tendencia a reaccionar y sobresaltarse fácilmente, sobre un sustrato de quejas frecuentes por molestias físicas de distinto tipo (dolores musculares mal definidos, sudoración excesiva, náuseas), junto con inquietud y temor por problemas que cree inminentes, un estado de alerta excesivo hacia todo lo que lo rodea y una irritabilidad generalizada, cuadro que refleja una afectación significativa del funcionamiento general del evaluado(a). </v>
      </c>
      <c r="AS234" s="78"/>
      <c r="AT234" s="78"/>
      <c r="AU234" s="78"/>
      <c r="AV234" s="78" t="s">
        <v>336</v>
      </c>
      <c r="AW234" s="78" t="s">
        <v>794</v>
      </c>
      <c r="AX234" s="78"/>
      <c r="AY234" s="78"/>
      <c r="AZ234" s="78"/>
      <c r="BA234" s="78"/>
      <c r="BD234" s="179"/>
    </row>
    <row r="235" spans="2:56" ht="21.75" customHeight="1">
      <c r="B235" s="190" t="str" cm="1">
        <f t="array" ref="B235">IF(SUMPRODUCT(--(LEN(TRIM(B236:B241))&gt;0))=0,"","Alienación interpersonal (" &amp;SUMPRODUCT(--(LEN(TRIM(B236:B241))&gt;0)) &amp;"/4)")</f>
        <v>Alienación interpersonal (1/4)</v>
      </c>
      <c r="C235" s="186"/>
      <c r="D235" s="186"/>
      <c r="E235" s="186"/>
      <c r="F235" s="186"/>
      <c r="G235" s="188"/>
      <c r="H235" s="188"/>
      <c r="I235" s="189"/>
      <c r="J235" s="186"/>
      <c r="K235" s="186"/>
      <c r="L235" s="186"/>
      <c r="M235" s="186"/>
      <c r="N235" s="186"/>
      <c r="O235" s="188"/>
      <c r="P235" s="188"/>
      <c r="Q235" s="188"/>
      <c r="AF235" s="78"/>
      <c r="AG235" s="78"/>
      <c r="AH235" s="78"/>
      <c r="AI235" s="78"/>
      <c r="AJ235" s="78"/>
      <c r="AK235" s="78"/>
      <c r="AL235" s="78"/>
      <c r="AM235" s="78"/>
      <c r="AN235" s="78"/>
      <c r="AP235" s="78"/>
      <c r="AQ235" s="78"/>
      <c r="AR235" s="78" t="str">
        <f ca="1">_xlfn.SINGLE(IF(AR224=1,("La coelevación simultánea de las escalas Depresión mayor y Depresión persistente configura el cuadro clínicamente reconocido como doble depresión, situación cualitativa y cuantitativamente distinta a la presencia aislada de cualquiera de los dos síndromes"&amp;" y que conlleva vulnerabilidades específicas, en particular la tendencia a evitar o retrasar el tratamiento, en la medida en que el evaluado(a) puede llegar a aceptar el empeoramiento sintomático como inevitable. "),""))</f>
        <v xml:space="preserve">La coelevación simultánea de las escalas Depresión mayor y Depresión persistente configura el cuadro clínicamente reconocido como doble depresión, situación cualitativa y cuantitativamente distinta a la presencia aislada de cualquiera de los dos síndromes y que conlleva vulnerabilidades específicas, en particular la tendencia a evitar o retrasar el tratamiento, en la medida en que el evaluado(a) puede llegar a aceptar el empeoramiento sintomático como inevitable. </v>
      </c>
      <c r="AS235" s="78"/>
      <c r="AT235" s="78"/>
      <c r="AU235" s="78"/>
      <c r="AV235" s="78" t="s">
        <v>337</v>
      </c>
      <c r="AW235" s="78" t="s">
        <v>795</v>
      </c>
      <c r="AX235" s="78"/>
      <c r="AY235" s="78"/>
      <c r="AZ235" s="78"/>
      <c r="BA235" s="78"/>
      <c r="BD235" s="179"/>
    </row>
    <row r="236" spans="2:56" ht="21.75" customHeight="1">
      <c r="B236" s="187" t="str">
        <f>IF(LEN(TRIM(Protocolo!K44))=0, " ",Protocolo!J44 &amp; ". " &amp; Protocolo!K44 &amp; " (Verdadero)")</f>
        <v xml:space="preserve"> </v>
      </c>
      <c r="C236" s="186"/>
      <c r="D236" s="186"/>
      <c r="E236" s="186"/>
      <c r="F236" s="186"/>
      <c r="G236" s="188"/>
      <c r="H236" s="188"/>
      <c r="I236" s="189"/>
      <c r="J236" s="186"/>
      <c r="K236" s="186"/>
      <c r="L236" s="186"/>
      <c r="M236" s="186"/>
      <c r="N236" s="186"/>
      <c r="O236" s="188"/>
      <c r="P236" s="188"/>
      <c r="Q236" s="188"/>
      <c r="AF236" s="78"/>
      <c r="AG236" s="78"/>
      <c r="AH236" s="78"/>
      <c r="AI236" s="78"/>
      <c r="AJ236" s="78"/>
      <c r="AK236" s="78"/>
      <c r="AL236" s="78"/>
      <c r="AM236" s="78"/>
      <c r="AN236" s="78"/>
      <c r="AR236" s="58" t="str">
        <f ca="1">_xlfn.SINGLE(IF(AR223&gt;=1,("Estos síndromes reflejan y acentúan, por consiguiente, varios de los aspectos más persistentes y arraigados del patrón personológico básico del evaluado(a), de modo que su evolución dependerá tanto del manejo terapéutico inmediato de los síntomas como del"&amp;" abordaje de la configuración personológica subyacente."),""))</f>
        <v>Estos síndromes reflejan y acentúan, por consiguiente, varios de los aspectos más persistentes y arraigados del patrón personológico básico del evaluado(a), de modo que su evolución dependerá tanto del manejo terapéutico inmediato de los síntomas como del abordaje de la configuración personológica subyacente.</v>
      </c>
      <c r="AT236" s="78"/>
      <c r="AU236" s="78"/>
      <c r="AV236" s="78" t="s">
        <v>338</v>
      </c>
      <c r="AW236" s="78" t="s">
        <v>773</v>
      </c>
      <c r="AX236" s="78"/>
      <c r="AY236" s="78"/>
      <c r="AZ236" s="78"/>
      <c r="BA236" s="78"/>
      <c r="BD236" s="179"/>
    </row>
    <row r="237" spans="2:56" ht="21.75" customHeight="1">
      <c r="B237" s="267" t="str">
        <f>IF(LEN(TRIM(Protocolo!K45))=0, " ",Protocolo!J45 &amp; ". " &amp; Protocolo!K45 &amp; " (Verdadero)")</f>
        <v>104. Tengo mucho cuidado en mantener mi vida como algo privado, para que nadie pueda aprovecharse de mí. (Verdadero)</v>
      </c>
      <c r="C237" s="267"/>
      <c r="D237" s="267"/>
      <c r="E237" s="267"/>
      <c r="F237" s="267"/>
      <c r="G237" s="267"/>
      <c r="H237" s="267"/>
      <c r="I237" s="267"/>
      <c r="J237" s="267"/>
      <c r="K237" s="267"/>
      <c r="L237" s="267"/>
      <c r="M237" s="267"/>
      <c r="N237" s="267"/>
      <c r="O237" s="267"/>
      <c r="P237" s="267"/>
      <c r="Q237" s="267"/>
      <c r="AF237" s="78"/>
      <c r="AG237" s="78"/>
      <c r="AH237" s="78"/>
      <c r="AI237" s="78"/>
      <c r="AJ237" s="78"/>
      <c r="AK237" s="78"/>
      <c r="AL237" s="78"/>
      <c r="AM237" s="78"/>
      <c r="AN237" s="78"/>
      <c r="AT237" s="78"/>
      <c r="AU237" s="78"/>
      <c r="AV237" s="78" t="s">
        <v>339</v>
      </c>
      <c r="AW237" s="78" t="s">
        <v>774</v>
      </c>
      <c r="AX237" s="78"/>
      <c r="AY237" s="78"/>
      <c r="AZ237" s="78"/>
      <c r="BA237" s="78"/>
      <c r="BD237" s="179"/>
    </row>
    <row r="238" spans="2:56" ht="21.75" customHeight="1">
      <c r="B238" s="267"/>
      <c r="C238" s="267"/>
      <c r="D238" s="267"/>
      <c r="E238" s="267"/>
      <c r="F238" s="267"/>
      <c r="G238" s="267"/>
      <c r="H238" s="267"/>
      <c r="I238" s="267"/>
      <c r="J238" s="267"/>
      <c r="K238" s="267"/>
      <c r="L238" s="267"/>
      <c r="M238" s="267"/>
      <c r="N238" s="267"/>
      <c r="O238" s="267"/>
      <c r="P238" s="267"/>
      <c r="Q238" s="267"/>
      <c r="AF238" s="78"/>
      <c r="AG238" s="78"/>
      <c r="AH238" s="78"/>
      <c r="AI238" s="78"/>
      <c r="AJ238" s="78"/>
      <c r="AK238" s="78"/>
      <c r="AL238" s="78"/>
      <c r="AM238" s="78"/>
      <c r="AN238" s="78"/>
      <c r="AT238" s="78"/>
      <c r="AU238" s="78"/>
      <c r="AV238" s="78"/>
      <c r="AW238" s="78"/>
      <c r="AX238" s="78"/>
      <c r="AY238" s="78"/>
      <c r="AZ238" s="78"/>
      <c r="BA238" s="78"/>
      <c r="BD238" s="179"/>
    </row>
    <row r="239" spans="2:56" ht="21.75" customHeight="1">
      <c r="B239" s="186" t="str">
        <f>IF(LEN(TRIM(Protocolo!K46))=0, " ",Protocolo!J46 &amp; ". " &amp; Protocolo!K46 &amp; " (Verdadero)")</f>
        <v xml:space="preserve"> </v>
      </c>
      <c r="C239" s="186"/>
      <c r="D239" s="186"/>
      <c r="E239" s="186"/>
      <c r="F239" s="186"/>
      <c r="G239" s="188"/>
      <c r="H239" s="188"/>
      <c r="I239" s="189"/>
      <c r="J239" s="186"/>
      <c r="K239" s="186"/>
      <c r="L239" s="186"/>
      <c r="M239" s="186"/>
      <c r="N239" s="186"/>
      <c r="O239" s="188"/>
      <c r="P239" s="188"/>
      <c r="Q239" s="188"/>
      <c r="AF239" s="78"/>
      <c r="AG239" s="78"/>
      <c r="AH239" s="78"/>
      <c r="AI239" s="78"/>
      <c r="AJ239" s="78"/>
      <c r="AK239" s="78"/>
      <c r="AL239" s="78"/>
      <c r="AM239" s="78"/>
      <c r="AN239" s="78"/>
      <c r="AT239" s="78"/>
      <c r="AU239" s="78"/>
      <c r="AV239" s="78"/>
      <c r="AW239" s="78"/>
      <c r="AX239" s="78"/>
      <c r="AY239" s="78"/>
      <c r="AZ239" s="78"/>
      <c r="BA239" s="78"/>
      <c r="BD239" s="179"/>
    </row>
    <row r="240" spans="2:56" ht="21.75" customHeight="1">
      <c r="B240" s="186" t="str">
        <f>IF(LEN(TRIM(Protocolo!K47))=0, " ",Protocolo!J47 &amp; ". " &amp; Protocolo!K47 &amp; " (Verdadero)")</f>
        <v xml:space="preserve"> </v>
      </c>
      <c r="C240" s="186"/>
      <c r="D240" s="186"/>
      <c r="E240" s="186"/>
      <c r="F240" s="186"/>
      <c r="G240" s="188"/>
      <c r="H240" s="188"/>
      <c r="I240" s="189"/>
      <c r="J240" s="186"/>
      <c r="K240" s="186"/>
      <c r="L240" s="186"/>
      <c r="M240" s="186"/>
      <c r="N240" s="186"/>
      <c r="O240" s="188"/>
      <c r="P240" s="188"/>
      <c r="Q240" s="188"/>
      <c r="AF240" s="78"/>
      <c r="AG240" s="78"/>
      <c r="AH240" s="78"/>
      <c r="AI240" s="78"/>
      <c r="AJ240" s="78"/>
      <c r="AK240" s="78"/>
      <c r="AL240" s="78"/>
      <c r="AM240" s="78"/>
      <c r="AN240" s="78"/>
      <c r="AP240" s="78"/>
      <c r="AQ240" s="78"/>
      <c r="AR240" s="78"/>
      <c r="AS240" s="78"/>
      <c r="AT240" s="78"/>
      <c r="AU240" s="78"/>
      <c r="AV240" s="78"/>
      <c r="AW240" s="78"/>
      <c r="AX240" s="78"/>
      <c r="AY240" s="78"/>
      <c r="AZ240" s="78"/>
      <c r="BA240" s="78"/>
      <c r="BD240" s="179"/>
    </row>
    <row r="241" spans="2:56" ht="21.75" customHeight="1">
      <c r="B241" s="186"/>
      <c r="C241" s="186"/>
      <c r="D241" s="186"/>
      <c r="E241" s="186"/>
      <c r="F241" s="186"/>
      <c r="G241" s="188"/>
      <c r="H241" s="188"/>
      <c r="I241" s="189"/>
      <c r="J241" s="186"/>
      <c r="K241" s="186"/>
      <c r="L241" s="186"/>
      <c r="M241" s="186"/>
      <c r="N241" s="186"/>
      <c r="O241" s="188"/>
      <c r="P241" s="188"/>
      <c r="Q241" s="188"/>
      <c r="AF241" s="78"/>
      <c r="AG241" s="78"/>
      <c r="AH241" s="78"/>
      <c r="AI241" s="78"/>
      <c r="AJ241" s="78"/>
      <c r="AK241" s="78"/>
      <c r="AL241" s="78"/>
      <c r="AM241" s="78"/>
      <c r="AN241" s="78"/>
      <c r="AP241" s="78"/>
      <c r="AQ241" s="78"/>
      <c r="AR241" s="78"/>
      <c r="AS241" s="78"/>
      <c r="AT241" s="78"/>
      <c r="AU241" s="78"/>
      <c r="AV241" s="78" t="s">
        <v>754</v>
      </c>
      <c r="AW241" s="78" t="s">
        <v>739</v>
      </c>
      <c r="AX241" s="78" t="s">
        <v>755</v>
      </c>
      <c r="AY241" s="78"/>
      <c r="AZ241" s="78"/>
      <c r="BA241" s="78"/>
      <c r="BD241" s="179"/>
    </row>
    <row r="242" spans="2:56" ht="21.75" customHeight="1">
      <c r="B242" s="190" t="str" cm="1">
        <f t="array" ref="B242">IF(SUMPRODUCT(--(LEN(TRIM(B243:B252))&gt;0))=0,"","Falta de control emocional (" &amp;SUMPRODUCT(--(LEN(TRIM(B243:B252))&gt;0)) &amp;"/8)")</f>
        <v>Falta de control emocional (2/8)</v>
      </c>
      <c r="C242" s="186"/>
      <c r="D242" s="186"/>
      <c r="E242" s="186"/>
      <c r="F242" s="186"/>
      <c r="G242" s="188"/>
      <c r="H242" s="188"/>
      <c r="I242" s="189"/>
      <c r="J242" s="186"/>
      <c r="K242" s="186"/>
      <c r="L242" s="186"/>
      <c r="M242" s="186"/>
      <c r="N242" s="186"/>
      <c r="O242" s="188"/>
      <c r="P242" s="188"/>
      <c r="Q242" s="188"/>
      <c r="AF242" s="78"/>
      <c r="AG242" s="78"/>
      <c r="AH242" s="78"/>
      <c r="AI242" s="78"/>
      <c r="AJ242" s="78"/>
      <c r="AK242" s="78"/>
      <c r="AL242" s="78"/>
      <c r="AM242" s="78"/>
      <c r="AN242" s="78"/>
      <c r="AP242" s="78"/>
      <c r="AQ242" s="78"/>
      <c r="AR242" s="78"/>
      <c r="AS242" s="78"/>
      <c r="AT242" s="78"/>
      <c r="AU242" s="78"/>
      <c r="AV242" s="78" t="s">
        <v>248</v>
      </c>
      <c r="AW242" s="78" t="s">
        <v>801</v>
      </c>
      <c r="AX242" s="78" t="s">
        <v>756</v>
      </c>
      <c r="AY242" s="78"/>
      <c r="AZ242" s="78"/>
      <c r="BA242" s="78"/>
      <c r="BD242" s="179"/>
    </row>
    <row r="243" spans="2:56" ht="21.75" customHeight="1">
      <c r="B243" s="186" t="str">
        <f>IF(LEN(TRIM(Protocolo!M44))=0, " ",Protocolo!L44 &amp; ". " &amp; Protocolo!M44 &amp; " (Verdadero)")</f>
        <v xml:space="preserve"> </v>
      </c>
      <c r="C243" s="186"/>
      <c r="D243" s="186"/>
      <c r="E243" s="186"/>
      <c r="F243" s="186"/>
      <c r="G243" s="188"/>
      <c r="H243" s="188"/>
      <c r="I243" s="189"/>
      <c r="J243" s="186"/>
      <c r="K243" s="186"/>
      <c r="L243" s="186"/>
      <c r="M243" s="186"/>
      <c r="N243" s="186"/>
      <c r="O243" s="188"/>
      <c r="P243" s="188"/>
      <c r="Q243" s="188"/>
      <c r="AF243" s="78"/>
      <c r="AG243" s="78"/>
      <c r="AH243" s="78"/>
      <c r="AI243" s="78"/>
      <c r="AJ243" s="78"/>
      <c r="AK243" s="78"/>
      <c r="AL243" s="78"/>
      <c r="AM243" s="78"/>
      <c r="AN243" s="78"/>
      <c r="AP243" s="78"/>
      <c r="AQ243" s="78"/>
      <c r="AR243" s="78"/>
      <c r="AS243" s="78"/>
      <c r="AT243" s="78"/>
      <c r="AU243" s="78"/>
      <c r="AV243" s="78" t="s">
        <v>249</v>
      </c>
      <c r="AW243" s="78" t="s">
        <v>796</v>
      </c>
      <c r="AX243" s="78" t="s">
        <v>757</v>
      </c>
      <c r="AY243" s="78"/>
      <c r="AZ243" s="78"/>
      <c r="BA243" s="78"/>
      <c r="BD243" s="179"/>
    </row>
    <row r="244" spans="2:56" ht="21.75" customHeight="1">
      <c r="B244" s="186" t="str">
        <f>IF(LEN(TRIM(Protocolo!M45))=0, " ",Protocolo!L45 &amp; ". " &amp; Protocolo!M45 &amp; " (Verdadero)")</f>
        <v xml:space="preserve"> </v>
      </c>
      <c r="C244" s="186"/>
      <c r="D244" s="186"/>
      <c r="E244" s="186"/>
      <c r="F244" s="186"/>
      <c r="G244" s="188"/>
      <c r="H244" s="188"/>
      <c r="I244" s="189"/>
      <c r="J244" s="186"/>
      <c r="K244" s="186"/>
      <c r="L244" s="186"/>
      <c r="M244" s="186"/>
      <c r="N244" s="186"/>
      <c r="O244" s="188"/>
      <c r="P244" s="188"/>
      <c r="Q244" s="188"/>
      <c r="AF244" s="78"/>
      <c r="AG244" s="78"/>
      <c r="AH244" s="78"/>
      <c r="AI244" s="78"/>
      <c r="AJ244" s="78"/>
      <c r="AK244" s="78"/>
      <c r="AL244" s="78"/>
      <c r="AM244" s="78"/>
      <c r="AN244" s="78"/>
      <c r="AP244" s="78"/>
      <c r="AQ244" s="78"/>
      <c r="AR244"/>
      <c r="AS244" s="78"/>
      <c r="AT244" s="78"/>
      <c r="AU244" s="78"/>
      <c r="AV244" s="78" t="s">
        <v>250</v>
      </c>
      <c r="AW244" s="78" t="s">
        <v>805</v>
      </c>
      <c r="AX244" s="78" t="s">
        <v>758</v>
      </c>
      <c r="AY244" s="78"/>
      <c r="AZ244" s="78"/>
      <c r="BA244" s="78"/>
      <c r="BD244" s="179"/>
    </row>
    <row r="245" spans="2:56" ht="21.75" customHeight="1">
      <c r="B245" s="186" t="str">
        <f>IF(LEN(TRIM(Protocolo!M46))=0, " ",Protocolo!L46 &amp; ". " &amp; Protocolo!M46 &amp; " (Verdadero)")</f>
        <v xml:space="preserve"> </v>
      </c>
      <c r="C245" s="186"/>
      <c r="D245" s="186"/>
      <c r="E245" s="186"/>
      <c r="F245" s="186"/>
      <c r="G245" s="188"/>
      <c r="H245" s="188"/>
      <c r="I245" s="189"/>
      <c r="J245" s="186"/>
      <c r="K245" s="186"/>
      <c r="L245" s="186"/>
      <c r="M245" s="186"/>
      <c r="N245" s="186"/>
      <c r="O245" s="188"/>
      <c r="P245" s="188"/>
      <c r="Q245" s="188"/>
      <c r="AF245" s="78"/>
      <c r="AG245" s="78"/>
      <c r="AH245" s="78"/>
      <c r="AI245" s="78"/>
      <c r="AJ245" s="78"/>
      <c r="AK245" s="78"/>
      <c r="AL245" s="78"/>
      <c r="AM245" s="78"/>
      <c r="AN245" s="78"/>
      <c r="AP245" s="78"/>
      <c r="AQ245" s="78"/>
      <c r="AR245"/>
      <c r="AS245" s="78"/>
      <c r="AT245" s="78"/>
      <c r="AU245" s="78"/>
      <c r="AV245" s="78" t="s">
        <v>251</v>
      </c>
      <c r="AW245" s="78" t="s">
        <v>802</v>
      </c>
      <c r="AX245" s="78" t="s">
        <v>759</v>
      </c>
      <c r="AY245" s="78"/>
      <c r="AZ245" s="78"/>
      <c r="BA245" s="78"/>
      <c r="BD245" s="179"/>
    </row>
    <row r="246" spans="2:56" ht="21.75" customHeight="1">
      <c r="B246" s="186" t="str">
        <f>IF(LEN(TRIM(Protocolo!M47))=0, " ",Protocolo!L47 &amp; ". " &amp; Protocolo!M47 &amp; " (Verdadero)")</f>
        <v>56. Antes la gente decía que me interesaba y me entusiasmaba demasiado por muchas cosas. (Verdadero)</v>
      </c>
      <c r="C246" s="186"/>
      <c r="D246" s="186"/>
      <c r="E246" s="186"/>
      <c r="F246" s="186"/>
      <c r="G246" s="188"/>
      <c r="H246" s="188"/>
      <c r="I246" s="189"/>
      <c r="J246" s="186"/>
      <c r="K246" s="186"/>
      <c r="L246" s="186"/>
      <c r="M246" s="186"/>
      <c r="N246" s="186"/>
      <c r="O246" s="188"/>
      <c r="P246" s="188"/>
      <c r="Q246" s="188"/>
      <c r="AF246" s="78"/>
      <c r="AG246" s="78"/>
      <c r="AH246" s="78"/>
      <c r="AI246" s="78"/>
      <c r="AJ246" s="78"/>
      <c r="AK246" s="78"/>
      <c r="AL246" s="78"/>
      <c r="AM246" s="78"/>
      <c r="AN246" s="78"/>
      <c r="AP246" s="78"/>
      <c r="AQ246" s="78"/>
      <c r="AR246"/>
      <c r="AS246" s="78"/>
      <c r="AT246" s="78"/>
      <c r="AU246" s="78"/>
      <c r="AV246" s="78" t="s">
        <v>252</v>
      </c>
      <c r="AW246" s="78" t="s">
        <v>797</v>
      </c>
      <c r="AX246" s="78" t="s">
        <v>760</v>
      </c>
      <c r="AY246" s="78"/>
      <c r="AZ246" s="78"/>
      <c r="BA246" s="78"/>
      <c r="BD246" s="179"/>
    </row>
    <row r="247" spans="2:56" ht="24.75" customHeight="1">
      <c r="B247" s="267" t="str">
        <f>IF(LEN(TRIM(Protocolo!M48))=0, " ",Protocolo!L48 &amp; ". " &amp; Protocolo!M48 &amp; " (Verdadero)")</f>
        <v xml:space="preserve"> </v>
      </c>
      <c r="C247" s="267"/>
      <c r="D247" s="267"/>
      <c r="E247" s="267"/>
      <c r="F247" s="267"/>
      <c r="G247" s="267"/>
      <c r="H247" s="267"/>
      <c r="I247" s="267"/>
      <c r="J247" s="267"/>
      <c r="K247" s="267"/>
      <c r="L247" s="267"/>
      <c r="M247" s="267"/>
      <c r="N247" s="267"/>
      <c r="O247" s="267"/>
      <c r="P247" s="267"/>
      <c r="Q247" s="267"/>
      <c r="AF247" s="78"/>
      <c r="AG247" s="78"/>
      <c r="AH247" s="78"/>
      <c r="AI247" s="78"/>
      <c r="AJ247" s="78"/>
      <c r="AK247" s="78"/>
      <c r="AL247" s="78"/>
      <c r="AM247" s="78"/>
      <c r="AN247" s="78"/>
      <c r="AP247" s="78"/>
      <c r="AQ247" s="78"/>
      <c r="AR247"/>
      <c r="AS247" s="78"/>
      <c r="AT247" s="78"/>
      <c r="AU247" s="78"/>
      <c r="AV247" s="78" t="s">
        <v>253</v>
      </c>
      <c r="AW247" s="78" t="s">
        <v>798</v>
      </c>
      <c r="AX247" s="78" t="s">
        <v>761</v>
      </c>
      <c r="AY247" s="78"/>
      <c r="AZ247" s="78"/>
      <c r="BA247" s="78"/>
      <c r="BD247" s="179"/>
    </row>
    <row r="248" spans="2:56" ht="17.25" customHeight="1">
      <c r="B248" s="267"/>
      <c r="C248" s="267"/>
      <c r="D248" s="267"/>
      <c r="E248" s="267"/>
      <c r="F248" s="267"/>
      <c r="G248" s="267"/>
      <c r="H248" s="267"/>
      <c r="I248" s="267"/>
      <c r="J248" s="267"/>
      <c r="K248" s="267"/>
      <c r="L248" s="267"/>
      <c r="M248" s="267"/>
      <c r="N248" s="267"/>
      <c r="O248" s="267"/>
      <c r="P248" s="267"/>
      <c r="Q248" s="267"/>
      <c r="AF248" s="78"/>
      <c r="AG248" s="78"/>
      <c r="AH248" s="78"/>
      <c r="AI248" s="78"/>
      <c r="AJ248" s="78"/>
      <c r="AK248" s="78"/>
      <c r="AL248" s="78"/>
      <c r="AM248" s="78"/>
      <c r="AN248" s="78"/>
      <c r="AP248" s="78"/>
      <c r="AQ248" s="78"/>
      <c r="AR248"/>
      <c r="AS248" s="78"/>
      <c r="AT248" s="78"/>
      <c r="AU248" s="78"/>
      <c r="AV248" s="78" t="s">
        <v>254</v>
      </c>
      <c r="AW248" s="78" t="s">
        <v>803</v>
      </c>
      <c r="AX248" s="78" t="s">
        <v>762</v>
      </c>
      <c r="AY248" s="78"/>
      <c r="AZ248" s="78"/>
      <c r="BA248" s="78"/>
      <c r="BD248" s="179"/>
    </row>
    <row r="249" spans="2:56" ht="21.75" customHeight="1">
      <c r="B249" s="186" t="str">
        <f>IF(LEN(TRIM(Protocolo!M49))=0, " ",Protocolo!L49 &amp; ". " &amp; Protocolo!M49 &amp; " (Verdadero)")</f>
        <v xml:space="preserve"> </v>
      </c>
      <c r="C249" s="186"/>
      <c r="D249" s="186"/>
      <c r="E249" s="186"/>
      <c r="F249" s="186"/>
      <c r="G249" s="188"/>
      <c r="H249" s="188"/>
      <c r="I249" s="189"/>
      <c r="J249" s="186"/>
      <c r="K249" s="186"/>
      <c r="L249" s="186"/>
      <c r="M249" s="186"/>
      <c r="N249" s="186"/>
      <c r="O249" s="188"/>
      <c r="P249" s="188"/>
      <c r="Q249" s="188"/>
      <c r="AF249" s="78"/>
      <c r="AG249" s="78"/>
      <c r="AH249" s="78"/>
      <c r="AI249" s="78"/>
      <c r="AJ249" s="78"/>
      <c r="AK249" s="78"/>
      <c r="AL249" s="78"/>
      <c r="AM249" s="78"/>
      <c r="AN249" s="78"/>
      <c r="AP249" s="78"/>
      <c r="AQ249" s="78"/>
      <c r="AR249"/>
      <c r="AS249" s="78"/>
      <c r="AT249" s="78"/>
      <c r="AU249" s="78"/>
      <c r="AV249" s="78" t="s">
        <v>255</v>
      </c>
      <c r="AW249" s="78" t="s">
        <v>799</v>
      </c>
      <c r="AX249" s="78" t="s">
        <v>763</v>
      </c>
      <c r="AY249" s="78"/>
      <c r="AZ249" s="78"/>
      <c r="BA249" s="78"/>
      <c r="BD249" s="179"/>
    </row>
    <row r="250" spans="2:56" ht="21.75" customHeight="1">
      <c r="B250" s="186" t="str">
        <f>IF(LEN(TRIM(Protocolo!M50))=0, " ",Protocolo!L50 &amp; ". " &amp; Protocolo!M50 &amp; " (Verdadero)")</f>
        <v xml:space="preserve"> </v>
      </c>
      <c r="C250" s="186"/>
      <c r="D250" s="186"/>
      <c r="E250" s="186"/>
      <c r="F250" s="186"/>
      <c r="G250" s="188"/>
      <c r="H250" s="188"/>
      <c r="I250" s="189"/>
      <c r="J250" s="186"/>
      <c r="K250" s="186"/>
      <c r="L250" s="186"/>
      <c r="M250" s="186"/>
      <c r="N250" s="186"/>
      <c r="O250" s="188"/>
      <c r="P250" s="188"/>
      <c r="Q250" s="188"/>
      <c r="AF250" s="78"/>
      <c r="AG250" s="78"/>
      <c r="AH250" s="78"/>
      <c r="AI250" s="78"/>
      <c r="AJ250" s="78"/>
      <c r="AK250" s="78"/>
      <c r="AL250" s="78"/>
      <c r="AM250" s="78"/>
      <c r="AN250" s="78"/>
      <c r="AP250" s="78"/>
      <c r="AQ250" s="78"/>
      <c r="AR250"/>
      <c r="AS250" s="78"/>
      <c r="AT250" s="78"/>
      <c r="AU250" s="78"/>
      <c r="AV250" s="78" t="s">
        <v>256</v>
      </c>
      <c r="AW250" s="78" t="s">
        <v>804</v>
      </c>
      <c r="AX250" s="78" t="s">
        <v>764</v>
      </c>
      <c r="AY250" s="78"/>
      <c r="AZ250" s="78"/>
      <c r="BA250" s="78"/>
      <c r="BD250" s="179"/>
    </row>
    <row r="251" spans="2:56" ht="21.75" customHeight="1">
      <c r="B251" s="266" t="str">
        <f>IF(LEN(TRIM(Protocolo!M51))=0, " ",Protocolo!L51 &amp; ". " &amp; Protocolo!M51 &amp; " (Verdadero)")</f>
        <v>177. En muchos periodos de mi vida he estado tan animado y he consumido tanta energía que luego me he sentido muy bajo de ánimo. (Verdadero)</v>
      </c>
      <c r="C251" s="266"/>
      <c r="D251" s="266"/>
      <c r="E251" s="266"/>
      <c r="F251" s="266"/>
      <c r="G251" s="266"/>
      <c r="H251" s="266"/>
      <c r="I251" s="266"/>
      <c r="J251" s="266"/>
      <c r="K251" s="266"/>
      <c r="L251" s="266"/>
      <c r="M251" s="266"/>
      <c r="N251" s="266"/>
      <c r="O251" s="266"/>
      <c r="P251" s="266"/>
      <c r="Q251" s="266"/>
      <c r="AF251" s="78"/>
      <c r="AG251" s="78"/>
      <c r="AH251" s="78"/>
      <c r="AI251" s="78"/>
      <c r="AJ251" s="78"/>
      <c r="AK251" s="78"/>
      <c r="AL251" s="78"/>
      <c r="AM251" s="78"/>
      <c r="AN251" s="78"/>
      <c r="AP251" s="78"/>
      <c r="AQ251" s="78"/>
      <c r="AR251" s="78"/>
      <c r="AS251" s="78"/>
      <c r="AT251" s="78"/>
      <c r="AU251" s="78"/>
      <c r="AV251" s="78" t="s">
        <v>257</v>
      </c>
      <c r="AW251" s="78" t="s">
        <v>800</v>
      </c>
      <c r="AX251" s="78" t="s">
        <v>765</v>
      </c>
      <c r="AY251" s="78"/>
      <c r="AZ251" s="78"/>
      <c r="BA251" s="78"/>
      <c r="BD251" s="179"/>
    </row>
    <row r="252" spans="2:56" ht="21.75" customHeight="1">
      <c r="B252" s="266"/>
      <c r="C252" s="266"/>
      <c r="D252" s="266"/>
      <c r="E252" s="266"/>
      <c r="F252" s="266"/>
      <c r="G252" s="266"/>
      <c r="H252" s="266"/>
      <c r="I252" s="266"/>
      <c r="J252" s="266"/>
      <c r="K252" s="266"/>
      <c r="L252" s="266"/>
      <c r="M252" s="266"/>
      <c r="N252" s="266"/>
      <c r="O252" s="266"/>
      <c r="P252" s="266"/>
      <c r="Q252" s="266"/>
      <c r="AF252" s="78"/>
      <c r="AG252" s="78"/>
      <c r="AH252" s="78"/>
      <c r="AI252" s="78"/>
      <c r="AJ252" s="78"/>
      <c r="AK252" s="78"/>
      <c r="AL252" s="78"/>
      <c r="AM252" s="78"/>
      <c r="AN252" s="78"/>
      <c r="AP252" s="78"/>
      <c r="AQ252" s="78"/>
      <c r="AR252" s="78"/>
      <c r="AS252" s="78"/>
      <c r="AT252" s="78"/>
      <c r="AU252" s="78"/>
      <c r="AY252" s="78"/>
      <c r="AZ252" s="78"/>
      <c r="BA252" s="78"/>
      <c r="BD252" s="179"/>
    </row>
    <row r="253" spans="2:56" ht="21.75" customHeight="1">
      <c r="B253" s="190" t="str" cm="1">
        <f t="array" ref="B253">IF(SUMPRODUCT(--(LEN(TRIM(B254:B266))&gt;0))=0,"","Potencial conducta autodestructiva (" &amp;SUMPRODUCT(--(LEN(TRIM(B254:B266))&gt;0)) &amp;"/12)")</f>
        <v>Potencial conducta autodestructiva (7/12)</v>
      </c>
      <c r="C253" s="186"/>
      <c r="D253" s="186"/>
      <c r="E253" s="186"/>
      <c r="F253" s="186"/>
      <c r="G253" s="188"/>
      <c r="H253" s="188"/>
      <c r="I253" s="189"/>
      <c r="J253" s="186"/>
      <c r="K253" s="186"/>
      <c r="L253" s="186"/>
      <c r="M253" s="186"/>
      <c r="N253" s="186"/>
      <c r="O253" s="188"/>
      <c r="P253" s="188"/>
      <c r="Q253" s="188"/>
      <c r="AF253" s="78"/>
      <c r="AG253" s="78"/>
      <c r="AH253" s="78"/>
      <c r="AI253" s="78"/>
      <c r="AJ253" s="78"/>
      <c r="AK253" s="78"/>
      <c r="AL253" s="78"/>
      <c r="AM253" s="78"/>
      <c r="AN253" s="78"/>
      <c r="AP253" s="78"/>
      <c r="AQ253" s="78"/>
      <c r="AR253" s="78"/>
      <c r="AS253" s="78"/>
      <c r="AT253" s="78"/>
      <c r="AU253" s="78"/>
      <c r="AV253" s="78"/>
      <c r="AW253" s="78"/>
      <c r="AX253" s="78"/>
      <c r="AY253" s="78"/>
      <c r="AZ253" s="78"/>
      <c r="BA253" s="78"/>
      <c r="BD253" s="179"/>
    </row>
    <row r="254" spans="2:56" ht="21.75" customHeight="1">
      <c r="B254" s="186" t="str">
        <f>IF(LEN(TRIM(Protocolo!O44))=0, " ",Protocolo!N44 &amp; ". " &amp; Protocolo!O44 &amp; " (Verdadero)")</f>
        <v>14. Hace unos años comencé a sentirme un fracasado. (Verdadero)</v>
      </c>
      <c r="C254" s="186"/>
      <c r="D254" s="186"/>
      <c r="E254" s="186"/>
      <c r="F254" s="186"/>
      <c r="G254" s="188"/>
      <c r="H254" s="188"/>
      <c r="I254" s="189"/>
      <c r="J254" s="186"/>
      <c r="K254" s="186"/>
      <c r="L254" s="186"/>
      <c r="M254" s="186"/>
      <c r="N254" s="186"/>
      <c r="O254" s="188"/>
      <c r="P254" s="188"/>
      <c r="Q254" s="188"/>
      <c r="AF254" s="78"/>
      <c r="AG254" s="78"/>
      <c r="AH254" s="78"/>
      <c r="AI254" s="78"/>
      <c r="AJ254" s="78"/>
      <c r="AK254" s="78"/>
      <c r="AL254" s="78"/>
      <c r="AM254" s="78"/>
      <c r="AN254" s="78"/>
      <c r="AP254" s="78"/>
      <c r="AQ254" s="78"/>
      <c r="AR254" s="78"/>
      <c r="AS254" s="78"/>
      <c r="AT254" s="78"/>
      <c r="AU254" s="78"/>
      <c r="AV254" s="78"/>
      <c r="AW254" s="78"/>
      <c r="AX254" s="78"/>
      <c r="AY254" s="78"/>
      <c r="AZ254" s="78"/>
      <c r="BA254" s="78"/>
      <c r="BD254" s="179"/>
    </row>
    <row r="255" spans="2:56" ht="21.75" customHeight="1">
      <c r="B255" s="186" t="str">
        <f>IF(LEN(TRIM(Protocolo!O45))=0, " ",Protocolo!N45 &amp; ". " &amp; Protocolo!O45 &amp; " (Verdadero)")</f>
        <v xml:space="preserve"> </v>
      </c>
      <c r="C255" s="186"/>
      <c r="D255" s="186"/>
      <c r="E255" s="186"/>
      <c r="F255" s="186"/>
      <c r="G255" s="188"/>
      <c r="H255" s="188"/>
      <c r="I255" s="189"/>
      <c r="J255" s="186"/>
      <c r="K255" s="186"/>
      <c r="L255" s="186"/>
      <c r="M255" s="186"/>
      <c r="N255" s="186"/>
      <c r="O255" s="188"/>
      <c r="P255" s="188"/>
      <c r="Q255" s="188"/>
      <c r="AF255" s="78"/>
      <c r="AG255" s="78"/>
      <c r="AH255" s="78"/>
      <c r="AI255" s="78"/>
      <c r="AJ255" s="78"/>
      <c r="AK255" s="78"/>
      <c r="AL255" s="78"/>
      <c r="AM255" s="78"/>
      <c r="AN255" s="78"/>
      <c r="AP255" s="78"/>
      <c r="AQ255" s="78"/>
      <c r="AR255" s="78"/>
      <c r="AS255" s="78"/>
      <c r="AT255" s="78"/>
      <c r="AU255" s="78"/>
      <c r="AV255" s="78"/>
      <c r="AW255" s="78"/>
      <c r="AX255" s="78"/>
      <c r="AY255" s="78"/>
      <c r="AZ255" s="78"/>
      <c r="BA255" s="78"/>
      <c r="BD255" s="179"/>
    </row>
    <row r="256" spans="2:56" ht="21.75" customHeight="1">
      <c r="B256" s="267" t="str">
        <f>IF(LEN(TRIM(Protocolo!O46))=0, " ",Protocolo!N46 &amp; ". " &amp; Protocolo!O46 &amp; " (Verdadero)")</f>
        <v>34. Desde hace uno o dos años, al pensar sobre la vida, me siento muy triste y desanimado. (Verdadero)</v>
      </c>
      <c r="C256" s="267"/>
      <c r="D256" s="267"/>
      <c r="E256" s="267"/>
      <c r="F256" s="267"/>
      <c r="G256" s="267"/>
      <c r="H256" s="267"/>
      <c r="I256" s="267"/>
      <c r="J256" s="267"/>
      <c r="K256" s="267"/>
      <c r="L256" s="267"/>
      <c r="M256" s="267"/>
      <c r="N256" s="267"/>
      <c r="O256" s="267"/>
      <c r="P256" s="267"/>
      <c r="Q256" s="267"/>
      <c r="AF256" s="78"/>
      <c r="AG256" s="78"/>
      <c r="AH256" s="78"/>
      <c r="AI256" s="78"/>
      <c r="AJ256" s="78"/>
      <c r="AK256" s="78"/>
      <c r="AL256" s="78"/>
      <c r="AM256" s="78"/>
      <c r="AN256" s="78"/>
      <c r="AP256" s="78"/>
      <c r="AQ256" s="78"/>
      <c r="AR256" s="78"/>
      <c r="AS256" s="78"/>
      <c r="AT256" s="78"/>
      <c r="AU256" s="78"/>
      <c r="AV256" s="78"/>
      <c r="AW256" s="78"/>
      <c r="AX256" s="78"/>
      <c r="AY256" s="78"/>
      <c r="AZ256" s="78"/>
      <c r="BA256" s="78"/>
      <c r="BD256" s="179"/>
    </row>
    <row r="257" spans="2:56" ht="21.75" customHeight="1">
      <c r="B257" s="267"/>
      <c r="C257" s="267"/>
      <c r="D257" s="267"/>
      <c r="E257" s="267"/>
      <c r="F257" s="267"/>
      <c r="G257" s="267"/>
      <c r="H257" s="267"/>
      <c r="I257" s="267"/>
      <c r="J257" s="267"/>
      <c r="K257" s="267"/>
      <c r="L257" s="267"/>
      <c r="M257" s="267"/>
      <c r="N257" s="267"/>
      <c r="O257" s="267"/>
      <c r="P257" s="267"/>
      <c r="Q257" s="267"/>
      <c r="AF257" s="78"/>
      <c r="AG257" s="78"/>
      <c r="AH257" s="78"/>
      <c r="AI257" s="78"/>
      <c r="AJ257" s="78"/>
      <c r="AK257" s="78"/>
      <c r="AL257" s="78"/>
      <c r="AM257" s="78"/>
      <c r="AN257" s="78"/>
      <c r="AP257" s="78"/>
      <c r="AQ257" s="78"/>
      <c r="AR257" s="78"/>
      <c r="AS257" s="78"/>
      <c r="AT257" s="78"/>
      <c r="AU257" s="78"/>
      <c r="AV257" s="78"/>
      <c r="AW257" s="78"/>
      <c r="AX257" s="78"/>
      <c r="AY257" s="78"/>
      <c r="AZ257" s="78"/>
      <c r="BA257" s="78"/>
      <c r="BD257" s="179"/>
    </row>
    <row r="258" spans="2:56" ht="21.75" customHeight="1">
      <c r="B258" s="186" t="str">
        <f>IF(LEN(TRIM(Protocolo!O47))=0, " ",Protocolo!N47 &amp; ". " &amp; Protocolo!O47 &amp; " (Verdadero)")</f>
        <v>39. A menudo pienso que no merezco las cosas buenas que me pasan. (Verdadero)</v>
      </c>
      <c r="C258" s="186"/>
      <c r="D258" s="186"/>
      <c r="E258" s="186"/>
      <c r="F258" s="186"/>
      <c r="G258" s="188"/>
      <c r="H258" s="188"/>
      <c r="I258" s="189"/>
      <c r="J258" s="186"/>
      <c r="K258" s="186"/>
      <c r="L258" s="186"/>
      <c r="M258" s="186"/>
      <c r="N258" s="186"/>
      <c r="O258" s="188"/>
      <c r="P258" s="188"/>
      <c r="Q258" s="188"/>
      <c r="AF258" s="78"/>
      <c r="AG258" s="78"/>
      <c r="AH258" s="78"/>
      <c r="AI258" s="78"/>
      <c r="AJ258" s="78"/>
      <c r="AK258" s="78"/>
      <c r="AL258" s="78"/>
      <c r="AM258" s="78"/>
      <c r="AN258" s="78"/>
      <c r="AP258" s="78"/>
      <c r="AQ258" s="78"/>
      <c r="AR258" s="78"/>
      <c r="AS258" s="78"/>
      <c r="AT258" s="78"/>
      <c r="AU258" s="78"/>
      <c r="AV258" s="78"/>
      <c r="AW258" s="78"/>
      <c r="AX258" s="78"/>
      <c r="AY258" s="78"/>
      <c r="AZ258" s="78"/>
      <c r="BA258" s="78"/>
    </row>
    <row r="259" spans="2:56" ht="21.75" customHeight="1">
      <c r="B259" s="186" t="str">
        <f>IF(LEN(TRIM(Protocolo!O48))=0, " ",Protocolo!N48 &amp; ". " &amp; Protocolo!O48 &amp; " (Verdadero)")</f>
        <v xml:space="preserve"> </v>
      </c>
      <c r="C259" s="186"/>
      <c r="D259" s="186"/>
      <c r="E259" s="186"/>
      <c r="F259" s="186"/>
      <c r="G259" s="188"/>
      <c r="H259" s="188"/>
      <c r="I259" s="189"/>
      <c r="J259" s="186"/>
      <c r="K259" s="186"/>
      <c r="L259" s="186"/>
      <c r="M259" s="186"/>
      <c r="N259" s="186"/>
      <c r="O259" s="188"/>
      <c r="P259" s="188"/>
      <c r="Q259" s="188"/>
      <c r="AF259" s="78"/>
      <c r="AG259" s="78"/>
      <c r="AH259" s="78"/>
      <c r="AI259" s="78"/>
      <c r="AJ259" s="78"/>
      <c r="AK259" s="78"/>
      <c r="AL259" s="78"/>
      <c r="AM259" s="78"/>
      <c r="AN259" s="78"/>
      <c r="AP259" s="78"/>
      <c r="AQ259" s="78"/>
      <c r="AR259" s="78"/>
      <c r="AS259" s="78"/>
      <c r="AT259" s="78"/>
      <c r="AU259" s="78"/>
      <c r="AV259" s="78"/>
      <c r="AW259" s="78"/>
      <c r="AX259" s="78"/>
      <c r="AY259" s="78"/>
      <c r="AZ259" s="78"/>
      <c r="BA259" s="78"/>
    </row>
    <row r="260" spans="2:56" ht="21.75" customHeight="1">
      <c r="B260" s="186" t="str">
        <f>IF(LEN(TRIM(Protocolo!O49))=0, " ",Protocolo!N49 &amp; ". " &amp; Protocolo!O49 &amp; " (Verdadero)")</f>
        <v xml:space="preserve"> </v>
      </c>
      <c r="C260" s="186"/>
      <c r="D260" s="186"/>
      <c r="E260" s="186"/>
      <c r="F260" s="186"/>
      <c r="G260" s="188"/>
      <c r="H260" s="188"/>
      <c r="I260" s="189"/>
      <c r="J260" s="186"/>
      <c r="K260" s="186"/>
      <c r="L260" s="186"/>
      <c r="M260" s="186"/>
      <c r="N260" s="186"/>
      <c r="O260" s="188"/>
      <c r="P260" s="188"/>
      <c r="Q260" s="188"/>
      <c r="AF260" s="78"/>
      <c r="AG260" s="78"/>
      <c r="AH260" s="78"/>
      <c r="AI260" s="78"/>
      <c r="AJ260" s="78"/>
      <c r="AK260" s="78"/>
      <c r="AL260" s="78"/>
      <c r="AM260" s="78"/>
      <c r="AN260" s="78"/>
      <c r="AP260" s="78"/>
      <c r="AQ260" s="78"/>
      <c r="AR260" s="78"/>
      <c r="AS260" s="78"/>
      <c r="AT260" s="78"/>
      <c r="AU260" s="78"/>
      <c r="AV260" s="78"/>
      <c r="AW260" s="78"/>
      <c r="AX260" s="78"/>
      <c r="AY260" s="78"/>
      <c r="AZ260" s="78"/>
      <c r="BA260" s="78"/>
    </row>
    <row r="261" spans="2:56" ht="21.75" customHeight="1">
      <c r="B261" s="186" t="str">
        <f>IF(LEN(TRIM(Protocolo!O50))=0, " ",Protocolo!N50 &amp; ". " &amp; Protocolo!O50 &amp; " (Verdadero)")</f>
        <v>101. Me siento profundamente deprimido sin saber por qué. (Verdadero)</v>
      </c>
      <c r="C261" s="186"/>
      <c r="D261" s="186"/>
      <c r="E261" s="186"/>
      <c r="F261" s="186"/>
      <c r="G261" s="188"/>
      <c r="H261" s="188"/>
      <c r="I261" s="189"/>
      <c r="J261" s="186"/>
      <c r="K261" s="186"/>
      <c r="L261" s="186"/>
      <c r="M261" s="186"/>
      <c r="N261" s="186"/>
      <c r="O261" s="188"/>
      <c r="P261" s="188"/>
      <c r="Q261" s="188"/>
      <c r="AF261" s="78"/>
      <c r="AG261" s="78"/>
      <c r="AH261" s="78"/>
      <c r="AI261" s="78"/>
      <c r="AJ261" s="78"/>
      <c r="AK261" s="78"/>
      <c r="AL261" s="78"/>
      <c r="AM261" s="78"/>
      <c r="AN261" s="78"/>
      <c r="AP261" s="78"/>
      <c r="AQ261" s="78"/>
      <c r="AR261" s="78"/>
      <c r="AS261" s="78"/>
      <c r="AT261" s="78"/>
      <c r="AU261" s="78"/>
      <c r="AV261" s="78"/>
      <c r="AW261" s="78"/>
      <c r="AX261" s="78"/>
      <c r="AY261" s="78"/>
      <c r="AZ261" s="78"/>
      <c r="BA261" s="78"/>
    </row>
    <row r="262" spans="2:56" ht="21.75" customHeight="1">
      <c r="B262" s="186" t="str">
        <f>IF(LEN(TRIM(Protocolo!O51))=0, " ",Protocolo!N51 &amp; ". " &amp; Protocolo!O51 &amp; " (Verdadero)")</f>
        <v xml:space="preserve"> </v>
      </c>
      <c r="C262" s="186"/>
      <c r="D262" s="186"/>
      <c r="E262" s="186"/>
      <c r="F262" s="186"/>
      <c r="G262" s="188"/>
      <c r="H262" s="188"/>
      <c r="I262" s="189"/>
      <c r="J262" s="186"/>
      <c r="K262" s="186"/>
      <c r="L262" s="186"/>
      <c r="M262" s="186"/>
      <c r="N262" s="186"/>
      <c r="O262" s="188"/>
      <c r="P262" s="188"/>
      <c r="Q262" s="188"/>
      <c r="AF262" s="78"/>
      <c r="AG262" s="78"/>
      <c r="AH262" s="78"/>
      <c r="AI262" s="78"/>
      <c r="AJ262" s="78"/>
      <c r="AK262" s="78"/>
      <c r="AL262" s="78"/>
      <c r="AM262" s="78"/>
      <c r="AN262" s="78"/>
      <c r="AP262" s="78"/>
      <c r="AQ262" s="78"/>
      <c r="AR262" s="78"/>
      <c r="AS262" s="78"/>
      <c r="AT262" s="78"/>
      <c r="AU262" s="78"/>
      <c r="AV262" s="78"/>
      <c r="AW262" s="78"/>
      <c r="AX262" s="78"/>
      <c r="AY262" s="78"/>
      <c r="AZ262" s="78"/>
      <c r="BA262" s="78"/>
    </row>
    <row r="263" spans="2:56" ht="21.75" customHeight="1">
      <c r="B263" s="186" t="str">
        <f>IF(LEN(TRIM(Protocolo!O52))=0, " ",Protocolo!N52 &amp; ". " &amp; Protocolo!O52 &amp; " (Verdadero)")</f>
        <v>114. Estas últimas semanas me he sentido cada vez más triste. (Verdadero)</v>
      </c>
      <c r="C263" s="186"/>
      <c r="D263" s="186"/>
      <c r="E263" s="186"/>
      <c r="F263" s="186"/>
      <c r="G263" s="188"/>
      <c r="H263" s="188"/>
      <c r="I263" s="189"/>
      <c r="J263" s="186"/>
      <c r="K263" s="186"/>
      <c r="L263" s="186"/>
      <c r="M263" s="186"/>
      <c r="N263" s="186"/>
      <c r="O263" s="188"/>
      <c r="P263" s="188"/>
      <c r="Q263" s="188"/>
      <c r="AF263" s="78"/>
      <c r="AG263" s="78"/>
      <c r="AH263" s="78"/>
      <c r="AI263" s="78"/>
      <c r="AJ263" s="78"/>
      <c r="AK263" s="78"/>
      <c r="AL263" s="78"/>
      <c r="AM263" s="78"/>
      <c r="AN263" s="78"/>
      <c r="AP263" s="78"/>
      <c r="AQ263" s="78"/>
      <c r="AR263" s="78"/>
      <c r="AS263" s="78"/>
      <c r="AT263" s="78"/>
      <c r="AU263" s="78"/>
      <c r="AV263" s="78"/>
      <c r="AW263" s="78"/>
      <c r="AX263" s="78"/>
      <c r="AY263" s="78"/>
      <c r="AZ263" s="78"/>
      <c r="BA263" s="78"/>
    </row>
    <row r="264" spans="2:56" ht="21.75" customHeight="1">
      <c r="B264" s="186" t="str">
        <f>IF(LEN(TRIM(Protocolo!O53))=0, " ",Protocolo!N53 &amp; ". " &amp; Protocolo!O53 &amp; " (Verdadero)")</f>
        <v>126. A menudo echo a perder las cosas buenas que me ocurren. (Verdadero)</v>
      </c>
      <c r="C264" s="186"/>
      <c r="D264" s="186"/>
      <c r="E264" s="186"/>
      <c r="F264" s="186"/>
      <c r="G264" s="188"/>
      <c r="H264" s="188"/>
      <c r="I264" s="189"/>
      <c r="J264" s="186"/>
      <c r="K264" s="186"/>
      <c r="L264" s="186"/>
      <c r="M264" s="186"/>
      <c r="N264" s="186"/>
      <c r="O264" s="188"/>
      <c r="P264" s="188"/>
      <c r="Q264" s="188"/>
      <c r="AF264" s="78"/>
      <c r="AG264" s="78"/>
      <c r="AH264" s="78"/>
      <c r="AI264" s="78"/>
      <c r="AJ264" s="78"/>
      <c r="AK264" s="78"/>
      <c r="AL264" s="78"/>
      <c r="AM264" s="78"/>
      <c r="AN264" s="78"/>
      <c r="AP264" s="78"/>
      <c r="AQ264" s="78"/>
      <c r="AR264" s="78"/>
      <c r="AS264" s="78"/>
      <c r="AT264" s="78"/>
      <c r="AU264" s="78"/>
      <c r="AV264" s="78"/>
      <c r="AW264" s="78"/>
      <c r="AX264" s="78"/>
      <c r="AY264" s="78"/>
      <c r="AZ264" s="78"/>
      <c r="BA264" s="78"/>
    </row>
    <row r="265" spans="2:56" ht="21.75" customHeight="1">
      <c r="B265" s="186" t="str">
        <f>IF(LEN(TRIM(Protocolo!O54))=0, " ",Protocolo!N54 &amp; ". " &amp; Protocolo!O54 &amp; " (Verdadero)")</f>
        <v>151. Últimamente me he sentido muy culpable porque ya no soy capaz de hacer nada bien. (Verdadero)</v>
      </c>
      <c r="C265" s="186"/>
      <c r="D265" s="186"/>
      <c r="E265" s="186"/>
      <c r="F265" s="186"/>
      <c r="G265" s="188"/>
      <c r="H265" s="188"/>
      <c r="I265" s="189"/>
      <c r="J265" s="186"/>
      <c r="K265" s="186"/>
      <c r="L265" s="186"/>
      <c r="M265" s="186"/>
      <c r="N265" s="186"/>
      <c r="O265" s="188"/>
      <c r="P265" s="188"/>
      <c r="Q265" s="188"/>
      <c r="AF265" s="78"/>
      <c r="AG265" s="78"/>
      <c r="AH265" s="78"/>
      <c r="AI265" s="78"/>
      <c r="AJ265" s="78"/>
      <c r="AK265" s="78"/>
      <c r="AL265" s="78"/>
      <c r="AM265" s="78"/>
      <c r="AN265" s="78"/>
      <c r="AP265" s="78"/>
      <c r="AQ265" s="78"/>
      <c r="AR265" s="78"/>
      <c r="AS265" s="78"/>
      <c r="AT265" s="78"/>
      <c r="AU265" s="78"/>
      <c r="AV265" s="78"/>
      <c r="AW265" s="78"/>
      <c r="AX265" s="78"/>
      <c r="AY265" s="78"/>
      <c r="AZ265" s="78"/>
      <c r="BA265" s="78"/>
    </row>
    <row r="266" spans="2:56" ht="21.75" customHeight="1">
      <c r="B266" s="186" t="str">
        <f>IF(LEN(TRIM(Protocolo!O55))=0, " ",Protocolo!N55 &amp; ". " &amp; Protocolo!O55 &amp; " (Verdadero)")</f>
        <v xml:space="preserve"> </v>
      </c>
      <c r="C266" s="186"/>
      <c r="D266" s="186"/>
      <c r="E266" s="186"/>
      <c r="F266" s="186"/>
      <c r="G266" s="188"/>
      <c r="H266" s="188"/>
      <c r="I266" s="189"/>
      <c r="J266" s="186"/>
      <c r="K266" s="186"/>
      <c r="L266" s="186"/>
      <c r="M266" s="186"/>
      <c r="N266" s="186"/>
      <c r="O266" s="188"/>
      <c r="P266" s="188"/>
      <c r="Q266" s="188"/>
      <c r="AF266" s="78"/>
      <c r="AG266" s="78"/>
      <c r="AH266" s="78"/>
      <c r="AI266" s="78"/>
      <c r="AJ266" s="78"/>
      <c r="AK266" s="78"/>
      <c r="AL266" s="78"/>
      <c r="AM266" s="78"/>
      <c r="AN266" s="78"/>
      <c r="AP266" s="78"/>
      <c r="AQ266" s="78"/>
      <c r="AR266" s="78"/>
      <c r="AS266" s="78"/>
      <c r="AT266" s="78"/>
      <c r="AU266" s="78"/>
      <c r="AV266" s="78"/>
      <c r="AW266" s="78"/>
      <c r="AX266" s="78"/>
      <c r="AY266" s="78"/>
      <c r="AZ266" s="78"/>
      <c r="BA266" s="78"/>
    </row>
    <row r="267" spans="2:56" ht="21.75" customHeight="1">
      <c r="B267" s="186"/>
      <c r="C267" s="186"/>
      <c r="D267" s="186"/>
      <c r="E267" s="186"/>
      <c r="F267" s="186"/>
      <c r="G267" s="188"/>
      <c r="H267" s="188"/>
      <c r="I267" s="189"/>
      <c r="J267" s="186"/>
      <c r="K267" s="186"/>
      <c r="L267" s="186"/>
      <c r="M267" s="186"/>
      <c r="N267" s="186"/>
      <c r="O267" s="188"/>
      <c r="P267" s="188"/>
      <c r="Q267" s="188"/>
      <c r="AF267" s="78"/>
      <c r="AG267" s="78"/>
      <c r="AH267" s="78"/>
      <c r="AI267" s="78"/>
      <c r="AJ267" s="78"/>
      <c r="AK267" s="78"/>
      <c r="AL267" s="78"/>
      <c r="AM267" s="78"/>
      <c r="AN267" s="78"/>
      <c r="AP267" s="78"/>
      <c r="AQ267" s="78"/>
      <c r="AR267" s="78"/>
      <c r="AS267" s="78"/>
      <c r="AT267" s="78"/>
      <c r="AU267" s="78"/>
      <c r="AV267" s="78"/>
      <c r="AW267" s="78"/>
      <c r="AX267" s="78"/>
      <c r="AY267" s="78"/>
      <c r="AZ267" s="78"/>
      <c r="BA267" s="78"/>
    </row>
    <row r="268" spans="2:56" ht="21.75" customHeight="1">
      <c r="B268" s="190" t="str" cm="1">
        <f t="array" ref="B268">IF(SUMPRODUCT(--(LEN(TRIM(B269:B270))&gt;0))=0,"","Maltrato infantil (" &amp;SUMPRODUCT(--(LEN(TRIM(B269:B270))&gt;0)) &amp;"/2)")</f>
        <v>Maltrato infantil (1/2)</v>
      </c>
      <c r="C268" s="186"/>
      <c r="D268" s="186"/>
      <c r="E268" s="186"/>
      <c r="F268" s="186"/>
      <c r="G268" s="188"/>
      <c r="H268" s="188"/>
      <c r="I268" s="189"/>
      <c r="J268" s="186"/>
      <c r="K268" s="186"/>
      <c r="L268" s="186"/>
      <c r="M268" s="186"/>
      <c r="N268" s="186"/>
      <c r="O268" s="188"/>
      <c r="P268" s="188"/>
      <c r="Q268" s="188"/>
      <c r="AF268" s="78"/>
      <c r="AG268" s="78"/>
      <c r="AH268" s="78"/>
      <c r="AI268" s="78"/>
      <c r="AJ268" s="78"/>
      <c r="AK268" s="78"/>
      <c r="AL268" s="78"/>
      <c r="AM268" s="78"/>
      <c r="AN268" s="78"/>
      <c r="AP268" s="78"/>
      <c r="AQ268" s="78"/>
      <c r="AR268" s="78"/>
      <c r="AS268" s="78"/>
      <c r="AT268" s="78"/>
      <c r="AU268" s="78"/>
      <c r="AV268" s="78"/>
      <c r="AW268" s="78"/>
      <c r="AX268" s="78"/>
      <c r="AY268" s="78"/>
      <c r="AZ268" s="78"/>
      <c r="BA268" s="78"/>
    </row>
    <row r="269" spans="2:56" ht="21.75" customHeight="1">
      <c r="B269" s="186" t="str">
        <f>IF(LEN(TRIM(Protocolo!Q44))=0, " ",Protocolo!P44 &amp; ". " &amp; Protocolo!Q44 &amp; " (Verdadero)")</f>
        <v>47. Me da vergüenza el maltrato que sufrí cuando era joven. (Verdadero)</v>
      </c>
      <c r="C269" s="186"/>
      <c r="D269" s="186"/>
      <c r="E269" s="186"/>
      <c r="F269" s="186"/>
      <c r="G269" s="188"/>
      <c r="H269" s="188"/>
      <c r="I269" s="189"/>
      <c r="J269" s="186"/>
      <c r="K269" s="186"/>
      <c r="L269" s="186"/>
      <c r="M269" s="186"/>
      <c r="N269" s="186"/>
      <c r="O269" s="188"/>
      <c r="P269" s="188"/>
      <c r="Q269" s="188"/>
      <c r="AF269" s="78"/>
      <c r="AG269" s="78"/>
      <c r="AH269" s="78"/>
      <c r="AI269" s="78"/>
      <c r="AJ269" s="78"/>
      <c r="AK269" s="78"/>
      <c r="AL269" s="78"/>
      <c r="AM269" s="78"/>
      <c r="AN269" s="78"/>
      <c r="AP269" s="78"/>
      <c r="AQ269" s="78"/>
      <c r="AR269" s="78"/>
      <c r="AS269" s="78"/>
      <c r="AT269" s="78"/>
      <c r="AU269" s="78"/>
      <c r="AV269" s="78"/>
      <c r="AW269" s="78"/>
      <c r="AX269" s="78"/>
      <c r="AY269" s="78"/>
      <c r="AZ269" s="78"/>
      <c r="BA269" s="78"/>
    </row>
    <row r="270" spans="2:56" ht="21.75" customHeight="1">
      <c r="B270" s="186" t="str">
        <f>IF(LEN(TRIM(Protocolo!Q45))=0, " ",Protocolo!P45 &amp; ". " &amp; Protocolo!Q45 &amp; " (Verdadero)")</f>
        <v xml:space="preserve"> </v>
      </c>
      <c r="C270" s="186"/>
      <c r="D270" s="186"/>
      <c r="E270" s="186"/>
      <c r="F270" s="186"/>
      <c r="G270" s="188"/>
      <c r="H270" s="188"/>
      <c r="I270" s="189"/>
      <c r="J270" s="186"/>
      <c r="K270" s="186"/>
      <c r="L270" s="186"/>
      <c r="M270" s="186"/>
      <c r="N270" s="186"/>
      <c r="O270" s="188"/>
      <c r="P270" s="188"/>
      <c r="Q270" s="188"/>
      <c r="AF270" s="78"/>
      <c r="AG270" s="78"/>
      <c r="AH270" s="78"/>
      <c r="AI270" s="78"/>
      <c r="AJ270" s="78"/>
      <c r="AK270" s="78"/>
      <c r="AL270" s="78"/>
      <c r="AM270" s="78"/>
      <c r="AN270" s="78"/>
      <c r="AP270" s="78"/>
      <c r="AQ270" s="78"/>
      <c r="AR270" s="78"/>
      <c r="AS270" s="78"/>
      <c r="AT270" s="78"/>
      <c r="AU270" s="78"/>
      <c r="AV270" s="78"/>
      <c r="AW270" s="78"/>
      <c r="AX270" s="78"/>
      <c r="AY270" s="78"/>
      <c r="AZ270" s="78"/>
      <c r="BA270" s="78"/>
    </row>
    <row r="271" spans="2:56" ht="21.75" customHeight="1">
      <c r="B271" s="186"/>
      <c r="C271" s="186"/>
      <c r="D271" s="186"/>
      <c r="E271" s="186"/>
      <c r="F271" s="186"/>
      <c r="G271" s="188"/>
      <c r="H271" s="188"/>
      <c r="I271" s="189"/>
      <c r="J271" s="186"/>
      <c r="K271" s="186"/>
      <c r="L271" s="186"/>
      <c r="M271" s="186"/>
      <c r="N271" s="186"/>
      <c r="O271" s="188"/>
      <c r="P271" s="188"/>
      <c r="Q271" s="188"/>
      <c r="AF271" s="78"/>
      <c r="AG271" s="78"/>
      <c r="AH271" s="78"/>
      <c r="AI271" s="78"/>
      <c r="AJ271" s="78"/>
      <c r="AK271" s="78"/>
      <c r="AL271" s="78"/>
      <c r="AM271" s="78"/>
      <c r="AN271" s="78"/>
      <c r="AP271" s="78"/>
      <c r="AQ271" s="78"/>
      <c r="AR271" s="78"/>
      <c r="AS271" s="78"/>
      <c r="AT271" s="78"/>
      <c r="AU271" s="78"/>
      <c r="AV271" s="78"/>
      <c r="AW271" s="78"/>
      <c r="AX271" s="78"/>
      <c r="AY271" s="78"/>
      <c r="AZ271" s="78"/>
      <c r="BA271" s="78"/>
    </row>
    <row r="272" spans="2:56" ht="21.75" customHeight="1">
      <c r="B272" s="190" t="str" cm="1">
        <f t="array" ref="B272">IF(SUMPRODUCT(--(LEN(TRIM(B273:B277))&gt;0))=0,"","Trastorno de la conducta alimentaria (" &amp;SUMPRODUCT(--(LEN(TRIM(B273:B277))&gt;0)) &amp;"/4)")</f>
        <v>Trastorno de la conducta alimentaria (1/4)</v>
      </c>
      <c r="C272" s="186"/>
      <c r="D272" s="186"/>
      <c r="E272" s="186"/>
      <c r="F272" s="186"/>
      <c r="G272" s="188"/>
      <c r="H272" s="188"/>
      <c r="I272" s="189"/>
      <c r="J272" s="186"/>
      <c r="K272" s="186"/>
      <c r="L272" s="186"/>
      <c r="M272" s="186"/>
      <c r="N272" s="186"/>
      <c r="O272" s="188"/>
      <c r="P272" s="188"/>
      <c r="Q272" s="188"/>
      <c r="AF272" s="78"/>
      <c r="AG272" s="78"/>
      <c r="AH272" s="78"/>
      <c r="AI272" s="78"/>
      <c r="AJ272" s="78"/>
      <c r="AK272" s="78"/>
      <c r="AL272" s="78"/>
      <c r="AM272" s="78"/>
      <c r="AN272" s="78"/>
      <c r="AP272" s="78"/>
      <c r="AQ272" s="78"/>
      <c r="AR272" s="78"/>
      <c r="AS272" s="78"/>
      <c r="AT272" s="78"/>
      <c r="AU272" s="78"/>
      <c r="AV272" s="78"/>
      <c r="AW272" s="78"/>
      <c r="AX272" s="78"/>
      <c r="AY272" s="78"/>
      <c r="AZ272" s="78"/>
      <c r="BA272" s="78"/>
    </row>
    <row r="273" spans="2:53" ht="21.75" customHeight="1">
      <c r="B273" s="186" t="str">
        <f>IF(LEN(TRIM(Protocolo!S44))=0, " ",Protocolo!R44 &amp; ". " &amp; Protocolo!S44 &amp; " (Verdadero)")</f>
        <v>69. Me doy atracones de comida un par de veces en la semana. (Verdadero)</v>
      </c>
      <c r="C273" s="186"/>
      <c r="D273" s="186"/>
      <c r="E273" s="186"/>
      <c r="F273" s="186"/>
      <c r="G273" s="188"/>
      <c r="H273" s="188"/>
      <c r="I273" s="189"/>
      <c r="J273" s="186"/>
      <c r="K273" s="186"/>
      <c r="L273" s="186"/>
      <c r="M273" s="186"/>
      <c r="N273" s="186"/>
      <c r="O273" s="188"/>
      <c r="P273" s="188"/>
      <c r="Q273" s="188"/>
      <c r="AF273" s="78"/>
      <c r="AG273" s="78"/>
      <c r="AH273" s="78"/>
      <c r="AI273" s="78"/>
      <c r="AJ273" s="78"/>
      <c r="AK273" s="78"/>
      <c r="AL273" s="78"/>
      <c r="AM273" s="78"/>
      <c r="AN273" s="78"/>
      <c r="AP273" s="78"/>
      <c r="AQ273" s="78"/>
      <c r="AR273" s="78"/>
      <c r="AS273" s="78"/>
      <c r="AT273" s="78"/>
      <c r="AU273" s="78"/>
      <c r="AV273" s="78"/>
      <c r="AW273" s="78"/>
      <c r="AX273" s="78"/>
      <c r="AY273" s="78"/>
      <c r="AZ273" s="78"/>
      <c r="BA273" s="78"/>
    </row>
    <row r="274" spans="2:53" ht="21.75" customHeight="1">
      <c r="B274" s="186" t="str">
        <f>IF(LEN(TRIM(Protocolo!S45))=0, " ",Protocolo!R45 &amp; ". " &amp; Protocolo!S45 &amp; " (Verdadero)")</f>
        <v xml:space="preserve"> </v>
      </c>
      <c r="C274" s="186"/>
      <c r="D274" s="186"/>
      <c r="E274" s="186"/>
      <c r="F274" s="186"/>
      <c r="G274" s="188"/>
      <c r="H274" s="188"/>
      <c r="I274" s="189"/>
      <c r="J274" s="186"/>
      <c r="K274" s="186"/>
      <c r="L274" s="186"/>
      <c r="M274" s="186"/>
      <c r="N274" s="186"/>
      <c r="O274" s="188"/>
      <c r="P274" s="188"/>
      <c r="Q274" s="188"/>
      <c r="AF274" s="78"/>
      <c r="AG274" s="78"/>
      <c r="AH274" s="78"/>
      <c r="AI274" s="78"/>
      <c r="AJ274" s="78"/>
      <c r="AK274" s="78"/>
      <c r="AL274" s="78"/>
      <c r="AM274" s="78"/>
      <c r="AN274" s="78"/>
      <c r="AP274" s="78"/>
      <c r="AQ274" s="78"/>
      <c r="AR274" s="78"/>
      <c r="AS274" s="78"/>
      <c r="AT274" s="78"/>
      <c r="AU274" s="78"/>
      <c r="AV274" s="78"/>
      <c r="AW274" s="78"/>
      <c r="AX274" s="78"/>
      <c r="AY274" s="78"/>
      <c r="AZ274" s="78"/>
      <c r="BA274" s="78"/>
    </row>
    <row r="275" spans="2:53" ht="21.75" customHeight="1">
      <c r="B275" s="267" t="str">
        <f>IF(LEN(TRIM(Protocolo!S46))=0, " ",Protocolo!R46 &amp; ". " &amp; Protocolo!S46 &amp; " (Verdadero)")</f>
        <v xml:space="preserve"> </v>
      </c>
      <c r="C275" s="267"/>
      <c r="D275" s="267"/>
      <c r="E275" s="267"/>
      <c r="F275" s="267"/>
      <c r="G275" s="267"/>
      <c r="H275" s="267"/>
      <c r="I275" s="267"/>
      <c r="J275" s="267"/>
      <c r="K275" s="267"/>
      <c r="L275" s="267"/>
      <c r="M275" s="267"/>
      <c r="N275" s="267"/>
      <c r="O275" s="267"/>
      <c r="P275" s="267"/>
      <c r="Q275" s="267"/>
      <c r="AF275" s="78"/>
      <c r="AG275" s="78"/>
      <c r="AH275" s="78"/>
      <c r="AI275" s="78"/>
      <c r="AJ275" s="78"/>
      <c r="AK275" s="78"/>
      <c r="AL275" s="78"/>
      <c r="AM275" s="78"/>
      <c r="AN275" s="78"/>
      <c r="AP275" s="78"/>
      <c r="AQ275" s="78"/>
      <c r="AR275" s="78"/>
      <c r="AS275" s="78"/>
      <c r="AT275" s="78"/>
      <c r="AU275" s="78"/>
      <c r="AV275" s="78"/>
      <c r="AW275" s="78"/>
      <c r="AX275" s="78"/>
      <c r="AY275" s="78"/>
      <c r="AZ275" s="78"/>
      <c r="BA275" s="78"/>
    </row>
    <row r="276" spans="2:53" ht="21.75" customHeight="1">
      <c r="B276" s="267"/>
      <c r="C276" s="267"/>
      <c r="D276" s="267"/>
      <c r="E276" s="267"/>
      <c r="F276" s="267"/>
      <c r="G276" s="267"/>
      <c r="H276" s="267"/>
      <c r="I276" s="267"/>
      <c r="J276" s="267"/>
      <c r="K276" s="267"/>
      <c r="L276" s="267"/>
      <c r="M276" s="267"/>
      <c r="N276" s="267"/>
      <c r="O276" s="267"/>
      <c r="P276" s="267"/>
      <c r="Q276" s="267"/>
      <c r="AF276" s="78"/>
      <c r="AG276" s="78"/>
      <c r="AH276" s="78"/>
      <c r="AI276" s="78"/>
      <c r="AJ276" s="78"/>
      <c r="AK276" s="78"/>
      <c r="AL276" s="78"/>
      <c r="AM276" s="78"/>
      <c r="AN276" s="78"/>
      <c r="AP276" s="78"/>
      <c r="AQ276" s="78"/>
      <c r="AR276" s="78"/>
      <c r="AS276" s="78"/>
      <c r="AT276" s="78"/>
      <c r="AU276" s="78"/>
      <c r="AV276" s="78"/>
      <c r="AW276" s="78"/>
      <c r="AX276" s="78"/>
      <c r="AY276" s="78"/>
      <c r="AZ276" s="78"/>
      <c r="BA276" s="78"/>
    </row>
    <row r="277" spans="2:53" ht="21.75" customHeight="1">
      <c r="B277" s="186" t="str">
        <f>IF(LEN(TRIM(Protocolo!S47))=0, " ",Protocolo!R47 &amp; ". " &amp; Protocolo!S47 &amp; " (Verdadero)")</f>
        <v xml:space="preserve"> </v>
      </c>
      <c r="C277" s="186"/>
      <c r="D277" s="186"/>
      <c r="E277" s="186"/>
      <c r="F277" s="186"/>
      <c r="G277" s="188"/>
      <c r="H277" s="188"/>
      <c r="I277" s="189"/>
      <c r="J277" s="186"/>
      <c r="K277" s="186"/>
      <c r="L277" s="186"/>
      <c r="M277" s="186"/>
      <c r="N277" s="186"/>
      <c r="O277" s="188"/>
      <c r="P277" s="188"/>
      <c r="Q277" s="188"/>
      <c r="AF277" s="78"/>
      <c r="AG277" s="78"/>
      <c r="AH277" s="78"/>
      <c r="AI277" s="78"/>
      <c r="AJ277" s="78"/>
      <c r="AK277" s="78"/>
      <c r="AL277" s="78"/>
      <c r="AM277" s="78"/>
      <c r="AN277" s="78"/>
      <c r="AP277" s="78"/>
      <c r="AQ277" s="78"/>
      <c r="AR277" s="78"/>
      <c r="AS277" s="78"/>
      <c r="AT277" s="78"/>
      <c r="AU277" s="78"/>
      <c r="AV277" s="78"/>
      <c r="AW277" s="78"/>
      <c r="AX277" s="78"/>
      <c r="AY277" s="78"/>
      <c r="AZ277" s="78"/>
      <c r="BA277" s="78"/>
    </row>
    <row r="278" spans="2:53" ht="21.75" customHeight="1">
      <c r="B278" s="186"/>
      <c r="C278" s="186"/>
      <c r="D278" s="186"/>
      <c r="E278" s="186"/>
      <c r="F278" s="186"/>
      <c r="G278" s="188"/>
      <c r="H278" s="188"/>
      <c r="I278" s="189"/>
      <c r="J278" s="186"/>
      <c r="K278" s="186"/>
      <c r="L278" s="186"/>
      <c r="M278" s="186"/>
      <c r="N278" s="186"/>
      <c r="O278" s="188"/>
      <c r="P278" s="188"/>
      <c r="Q278" s="188"/>
      <c r="AF278" s="78"/>
      <c r="AG278" s="78"/>
      <c r="AH278" s="78"/>
      <c r="AI278" s="78"/>
      <c r="AJ278" s="78"/>
      <c r="AK278" s="78"/>
      <c r="AL278" s="78"/>
      <c r="AM278" s="78"/>
      <c r="AN278" s="78"/>
      <c r="AP278" s="78"/>
      <c r="AQ278" s="78"/>
      <c r="AR278" s="78"/>
      <c r="AS278" s="78"/>
      <c r="AT278" s="78"/>
      <c r="AU278" s="78"/>
      <c r="AV278" s="78"/>
      <c r="AW278" s="78"/>
      <c r="AX278" s="78"/>
      <c r="AY278" s="78"/>
      <c r="AZ278" s="78"/>
      <c r="BA278" s="78"/>
    </row>
    <row r="279" spans="2:53" ht="21.75" customHeight="1">
      <c r="B279" s="190" t="str" cm="1">
        <f t="array" ref="B279">IF(SUMPRODUCT(--(LEN(TRIM(B280:B288))&gt;0))=0,"","Tendencias vengativas (" &amp;SUMPRODUCT(--(LEN(TRIM(B280:B288))&gt;0)) &amp;"/9)")</f>
        <v>Tendencias vengativas (5/9)</v>
      </c>
      <c r="C279" s="186"/>
      <c r="D279" s="186"/>
      <c r="E279" s="186"/>
      <c r="F279" s="186"/>
      <c r="G279" s="188"/>
      <c r="H279" s="188"/>
      <c r="I279" s="189"/>
      <c r="J279" s="186"/>
      <c r="K279" s="186"/>
      <c r="L279" s="186"/>
      <c r="M279" s="186"/>
      <c r="N279" s="186"/>
      <c r="O279" s="188"/>
      <c r="P279" s="188"/>
      <c r="Q279" s="188"/>
      <c r="AF279" s="78"/>
      <c r="AG279" s="78"/>
      <c r="AH279" s="78"/>
      <c r="AI279" s="78"/>
      <c r="AJ279" s="78"/>
      <c r="AK279" s="78"/>
      <c r="AL279" s="78"/>
      <c r="AM279" s="78"/>
      <c r="AN279" s="78"/>
      <c r="AP279" s="78"/>
      <c r="AQ279" s="78"/>
      <c r="AR279" s="78"/>
      <c r="AS279" s="78"/>
      <c r="AT279" s="78"/>
      <c r="AU279" s="78"/>
      <c r="AV279" s="78"/>
      <c r="AW279" s="78"/>
      <c r="AX279" s="78"/>
      <c r="AY279" s="78"/>
      <c r="AZ279" s="78"/>
      <c r="BA279" s="78"/>
    </row>
    <row r="280" spans="2:53" ht="21.75" customHeight="1">
      <c r="B280" s="186" t="str">
        <f>IF(LEN(TRIM(Protocolo!U44))=0, " ",Protocolo!T44 &amp; ". " &amp; Protocolo!U44 &amp; " (Verdadero)")</f>
        <v>22. Me siento extremadamente deprimido y triste gran parte del tiempo. (Verdadero)</v>
      </c>
      <c r="C280" s="186"/>
      <c r="D280" s="186"/>
      <c r="E280" s="186"/>
      <c r="F280" s="186"/>
      <c r="G280" s="188"/>
      <c r="H280" s="188"/>
      <c r="I280" s="189"/>
      <c r="J280" s="186"/>
      <c r="K280" s="186"/>
      <c r="L280" s="186"/>
      <c r="M280" s="186"/>
      <c r="N280" s="186"/>
      <c r="O280" s="188"/>
      <c r="P280" s="188"/>
      <c r="Q280" s="188"/>
      <c r="AP280" s="78"/>
      <c r="AQ280" s="78"/>
      <c r="AR280" s="78"/>
      <c r="AS280" s="78"/>
      <c r="AT280" s="78"/>
      <c r="AU280" s="78"/>
      <c r="AV280" s="78"/>
      <c r="AW280" s="78"/>
      <c r="AX280" s="78"/>
      <c r="AY280" s="78"/>
      <c r="AZ280" s="78"/>
      <c r="BA280" s="78"/>
    </row>
    <row r="281" spans="2:53" ht="21.75" customHeight="1">
      <c r="B281" s="186" t="str">
        <f>IF(LEN(TRIM(Protocolo!U45))=0, " ",Protocolo!T45 &amp; ". " &amp; Protocolo!U45 &amp; " (Verdadero)")</f>
        <v>37. Mi estado de ánimo varía mucho de un día para otro. (Verdadero)</v>
      </c>
      <c r="C281" s="186"/>
      <c r="D281" s="186"/>
      <c r="E281" s="186"/>
      <c r="F281" s="186"/>
      <c r="G281" s="188"/>
      <c r="H281" s="188"/>
      <c r="I281" s="189"/>
      <c r="J281" s="186"/>
      <c r="K281" s="186"/>
      <c r="L281" s="186"/>
      <c r="M281" s="186"/>
      <c r="N281" s="186"/>
      <c r="O281" s="188"/>
      <c r="P281" s="188"/>
      <c r="Q281" s="188"/>
      <c r="AP281" s="59"/>
      <c r="AS281" s="59"/>
      <c r="AT281" s="78"/>
      <c r="AU281" s="78"/>
      <c r="AV281" s="60"/>
      <c r="AW281" s="59"/>
    </row>
    <row r="282" spans="2:53" ht="21.75" customHeight="1">
      <c r="B282" s="186" t="str">
        <f>IF(LEN(TRIM(Protocolo!U46))=0, " ",Protocolo!T46 &amp; ". " &amp; Protocolo!U46 &amp; " (Verdadero)")</f>
        <v>100. Creo que provoco situaciones en las que resulto herido o me siento rechazado. (Verdadero)</v>
      </c>
      <c r="C282" s="186"/>
      <c r="D282" s="186"/>
      <c r="E282" s="186"/>
      <c r="F282" s="186"/>
      <c r="G282" s="188"/>
      <c r="H282" s="188"/>
      <c r="I282" s="189"/>
      <c r="J282" s="186"/>
      <c r="K282" s="186"/>
      <c r="L282" s="186"/>
      <c r="M282" s="186"/>
      <c r="N282" s="186"/>
      <c r="O282" s="188"/>
      <c r="P282" s="188"/>
      <c r="Q282" s="188"/>
      <c r="AP282" s="59"/>
      <c r="AS282" s="59"/>
      <c r="AT282" s="78"/>
      <c r="AU282" s="78"/>
      <c r="AV282" s="60"/>
      <c r="AW282" s="59"/>
    </row>
    <row r="283" spans="2:53" ht="21.75" customHeight="1">
      <c r="B283" s="186" t="str">
        <f>IF(LEN(TRIM(Protocolo!U47))=0, " ",Protocolo!T47 &amp; ". " &amp; Protocolo!U47 &amp; " (Verdadero)")</f>
        <v xml:space="preserve"> </v>
      </c>
      <c r="C283" s="186"/>
      <c r="D283" s="186"/>
      <c r="E283" s="186"/>
      <c r="F283" s="186"/>
      <c r="G283" s="188"/>
      <c r="H283" s="188"/>
      <c r="I283" s="189"/>
      <c r="J283" s="186"/>
      <c r="K283" s="186"/>
      <c r="L283" s="186"/>
      <c r="M283" s="186"/>
      <c r="N283" s="186"/>
      <c r="O283" s="188"/>
      <c r="P283" s="188"/>
      <c r="Q283" s="188"/>
      <c r="AP283" s="78"/>
      <c r="AS283" s="59"/>
      <c r="AT283" s="78"/>
      <c r="AU283" s="78"/>
      <c r="AV283" s="60"/>
      <c r="AW283" s="59"/>
    </row>
    <row r="284" spans="2:53" ht="21.75" customHeight="1">
      <c r="B284" s="186" t="str">
        <f>IF(LEN(TRIM(Protocolo!U48))=0, " ",Protocolo!T48 &amp; ". " &amp; Protocolo!U48 &amp; " (Verdadero)")</f>
        <v xml:space="preserve"> </v>
      </c>
      <c r="C284" s="186"/>
      <c r="D284" s="186"/>
      <c r="E284" s="186"/>
      <c r="F284" s="186"/>
      <c r="G284" s="188"/>
      <c r="H284" s="188"/>
      <c r="I284" s="189"/>
      <c r="J284" s="186"/>
      <c r="K284" s="186"/>
      <c r="L284" s="186"/>
      <c r="M284" s="186"/>
      <c r="N284" s="186"/>
      <c r="O284" s="188"/>
      <c r="P284" s="188"/>
      <c r="Q284" s="188"/>
      <c r="AP284" s="78"/>
      <c r="AS284" s="59"/>
      <c r="AT284" s="78"/>
      <c r="AU284" s="78"/>
      <c r="AV284" s="60"/>
      <c r="AW284" s="59"/>
    </row>
    <row r="285" spans="2:53" ht="21.75" customHeight="1">
      <c r="B285" s="186" t="str">
        <f>IF(LEN(TRIM(Protocolo!U49))=0, " ",Protocolo!T49 &amp; ". " &amp; Protocolo!U49 &amp; " (Verdadero)")</f>
        <v xml:space="preserve"> </v>
      </c>
      <c r="C285" s="186"/>
      <c r="D285" s="186"/>
      <c r="E285" s="186"/>
      <c r="F285" s="186"/>
      <c r="G285" s="188"/>
      <c r="H285" s="188"/>
      <c r="I285" s="189"/>
      <c r="J285" s="186"/>
      <c r="K285" s="186"/>
      <c r="L285" s="186"/>
      <c r="M285" s="186"/>
      <c r="N285" s="186"/>
      <c r="O285" s="188"/>
      <c r="P285" s="188"/>
      <c r="Q285" s="188"/>
      <c r="AP285" s="78"/>
      <c r="AS285" s="59"/>
      <c r="AT285" s="78"/>
      <c r="AU285" s="78"/>
      <c r="AV285" s="60"/>
      <c r="AW285" s="59"/>
    </row>
    <row r="286" spans="2:53" ht="21.75" customHeight="1">
      <c r="B286" s="186" t="str">
        <f>IF(LEN(TRIM(Protocolo!U50))=0, " ",Protocolo!T50 &amp; ". " &amp; Protocolo!U50 &amp; " (Verdadero)")</f>
        <v>167. A menudo creo que me han tratado injustamente. (Verdadero)</v>
      </c>
      <c r="C286" s="186"/>
      <c r="D286" s="186"/>
      <c r="E286" s="186"/>
      <c r="F286" s="186"/>
      <c r="G286" s="188"/>
      <c r="H286" s="188"/>
      <c r="I286" s="189"/>
      <c r="J286" s="186"/>
      <c r="K286" s="186"/>
      <c r="L286" s="186"/>
      <c r="M286" s="186"/>
      <c r="N286" s="186"/>
      <c r="O286" s="188"/>
      <c r="P286" s="188"/>
      <c r="Q286" s="188"/>
      <c r="AP286" s="78"/>
      <c r="AS286" s="59"/>
      <c r="AT286" s="78"/>
      <c r="AU286" s="78"/>
      <c r="AV286" s="60"/>
      <c r="AW286" s="59"/>
    </row>
    <row r="287" spans="2:53" ht="21.75" customHeight="1">
      <c r="B287" s="186" t="str">
        <f>IF(LEN(TRIM(Protocolo!U51))=0, " ",Protocolo!T51 &amp; ". " &amp; Protocolo!U51 &amp; " (Verdadero)")</f>
        <v>178. A menudo me siento muy infeliz conmigo mismo. (Verdadero)</v>
      </c>
      <c r="C287" s="186"/>
      <c r="D287" s="186"/>
      <c r="E287" s="186"/>
      <c r="F287" s="186"/>
      <c r="G287" s="188"/>
      <c r="H287" s="188"/>
      <c r="I287" s="189"/>
      <c r="J287" s="186"/>
      <c r="K287" s="186"/>
      <c r="L287" s="186"/>
      <c r="M287" s="186"/>
      <c r="N287" s="186"/>
      <c r="O287" s="188"/>
      <c r="P287" s="188"/>
      <c r="Q287" s="188"/>
      <c r="AP287" s="78"/>
      <c r="AS287" s="59"/>
      <c r="AT287" s="78"/>
      <c r="AU287" s="78"/>
      <c r="AV287" s="60"/>
      <c r="AW287" s="59"/>
    </row>
    <row r="288" spans="2:53" ht="21.75" customHeight="1">
      <c r="B288" s="186" t="str">
        <f>IF(LEN(TRIM(Protocolo!U52))=0, " ",Protocolo!T52 &amp; ". " &amp; Protocolo!U52 &amp; " (Verdadero)")</f>
        <v xml:space="preserve"> </v>
      </c>
      <c r="C288" s="186"/>
      <c r="D288" s="186"/>
      <c r="E288" s="186"/>
      <c r="F288" s="186"/>
      <c r="G288" s="188"/>
      <c r="H288" s="188"/>
      <c r="I288" s="189"/>
      <c r="J288" s="186"/>
      <c r="K288" s="186"/>
      <c r="L288" s="186"/>
      <c r="M288" s="186"/>
      <c r="N288" s="186"/>
      <c r="O288" s="188"/>
      <c r="P288" s="188"/>
      <c r="Q288" s="188"/>
      <c r="AP288" s="78"/>
      <c r="AS288" s="59"/>
      <c r="AT288" s="78"/>
      <c r="AU288" s="78"/>
      <c r="AV288" s="60"/>
      <c r="AW288" s="59"/>
    </row>
    <row r="289" spans="2:49" ht="21.75" customHeight="1">
      <c r="B289" s="186"/>
      <c r="C289" s="186"/>
      <c r="D289" s="186"/>
      <c r="E289" s="186"/>
      <c r="F289" s="186"/>
      <c r="G289" s="188"/>
      <c r="H289" s="188"/>
      <c r="I289" s="189"/>
      <c r="J289" s="186"/>
      <c r="K289" s="186"/>
      <c r="L289" s="186"/>
      <c r="M289" s="186"/>
      <c r="N289" s="186"/>
      <c r="O289" s="188"/>
      <c r="P289" s="188"/>
      <c r="Q289" s="188"/>
      <c r="AP289" s="78"/>
      <c r="AS289" s="59"/>
      <c r="AT289" s="78"/>
      <c r="AU289" s="78"/>
      <c r="AV289" s="60"/>
      <c r="AW289" s="59"/>
    </row>
    <row r="290" spans="2:49" ht="21.75" customHeight="1">
      <c r="B290" s="190" t="str" cm="1">
        <f t="array" ref="B290">IF(SUMPRODUCT(--(LEN(TRIM(B291:B292))&gt;0))=0,"","Abuso de la medicación (" &amp;SUMPRODUCT(--(LEN(TRIM(B291:B292))&gt;0)) &amp;"/2)")</f>
        <v/>
      </c>
      <c r="C290" s="186"/>
      <c r="D290" s="186"/>
      <c r="E290" s="186"/>
      <c r="F290" s="186"/>
      <c r="G290" s="188"/>
      <c r="H290" s="188"/>
      <c r="I290" s="189"/>
      <c r="J290" s="186"/>
      <c r="K290" s="186"/>
      <c r="L290" s="186"/>
      <c r="M290" s="186"/>
      <c r="N290" s="186"/>
      <c r="O290" s="188"/>
      <c r="P290" s="188"/>
      <c r="Q290" s="188"/>
      <c r="AP290" s="78"/>
      <c r="AS290" s="59"/>
      <c r="AT290" s="78"/>
      <c r="AU290" s="78"/>
      <c r="AV290" s="60"/>
      <c r="AW290" s="59"/>
    </row>
    <row r="291" spans="2:49" ht="21.75" customHeight="1">
      <c r="B291" s="186" t="str">
        <f>IF(LEN(TRIM(Protocolo!AC44))=0, " ",Protocolo!AB44 &amp; ". " &amp; Protocolo!AC44 &amp; "(Verdadero)")</f>
        <v xml:space="preserve"> </v>
      </c>
      <c r="C291" s="186"/>
      <c r="D291" s="186"/>
      <c r="E291" s="186"/>
      <c r="F291" s="186"/>
      <c r="G291" s="188"/>
      <c r="H291" s="188"/>
      <c r="I291" s="189"/>
      <c r="J291" s="186"/>
      <c r="K291" s="186"/>
      <c r="L291" s="186"/>
      <c r="M291" s="186"/>
      <c r="N291" s="186"/>
      <c r="O291" s="188"/>
      <c r="P291" s="188"/>
      <c r="Q291" s="188"/>
      <c r="AP291" s="78"/>
      <c r="AS291" s="59"/>
      <c r="AT291" s="78"/>
      <c r="AU291" s="78"/>
      <c r="AV291" s="60"/>
      <c r="AW291" s="59"/>
    </row>
    <row r="292" spans="2:49" ht="21.75" customHeight="1">
      <c r="B292" s="267" t="str">
        <f>IF(LEN(TRIM(Protocolo!AC45))=0, " ",Protocolo!AB45 &amp; ". " &amp; Protocolo!AC45 &amp;  " (Verdadero)")</f>
        <v xml:space="preserve"> </v>
      </c>
      <c r="C292" s="267"/>
      <c r="D292" s="267"/>
      <c r="E292" s="267"/>
      <c r="F292" s="267"/>
      <c r="G292" s="267"/>
      <c r="H292" s="267"/>
      <c r="I292" s="267"/>
      <c r="J292" s="267"/>
      <c r="K292" s="267"/>
      <c r="L292" s="267"/>
      <c r="M292" s="267"/>
      <c r="N292" s="267"/>
      <c r="O292" s="267"/>
      <c r="P292" s="267"/>
      <c r="Q292" s="267"/>
      <c r="AP292" s="78"/>
      <c r="AS292" s="59"/>
      <c r="AT292" s="78"/>
      <c r="AU292" s="78"/>
      <c r="AV292" s="60"/>
      <c r="AW292" s="59"/>
    </row>
    <row r="293" spans="2:49" ht="21.75" customHeight="1">
      <c r="B293" s="267"/>
      <c r="C293" s="267"/>
      <c r="D293" s="267"/>
      <c r="E293" s="267"/>
      <c r="F293" s="267"/>
      <c r="G293" s="267"/>
      <c r="H293" s="267"/>
      <c r="I293" s="267"/>
      <c r="J293" s="267"/>
      <c r="K293" s="267"/>
      <c r="L293" s="267"/>
      <c r="M293" s="267"/>
      <c r="N293" s="267"/>
      <c r="O293" s="267"/>
      <c r="P293" s="267"/>
      <c r="Q293" s="267"/>
      <c r="AP293" s="59"/>
      <c r="AS293" s="59"/>
      <c r="AT293" s="78"/>
      <c r="AU293" s="78"/>
      <c r="AV293" s="60"/>
      <c r="AW293" s="59"/>
    </row>
    <row r="294" spans="2:49" ht="16.5" customHeight="1">
      <c r="B294" s="192"/>
      <c r="C294" s="192"/>
      <c r="D294" s="192"/>
      <c r="E294" s="192"/>
      <c r="F294" s="192"/>
      <c r="G294" s="192"/>
      <c r="H294" s="192"/>
      <c r="I294" s="192"/>
      <c r="J294" s="192"/>
      <c r="K294" s="192"/>
      <c r="L294" s="192"/>
      <c r="M294" s="192"/>
      <c r="N294" s="192"/>
      <c r="O294" s="192"/>
      <c r="P294" s="192"/>
      <c r="Q294" s="192"/>
      <c r="AP294" s="59"/>
      <c r="AS294" s="59"/>
      <c r="AT294" s="78"/>
      <c r="AU294" s="78"/>
      <c r="AV294" s="60"/>
      <c r="AW294" s="59"/>
    </row>
    <row r="295" spans="2:49" ht="21.75" customHeight="1">
      <c r="B295" s="190" t="str" cm="1">
        <f t="array" ref="B295">IF(SUMPRODUCT(--(LEN(TRIM(B296:B297))&gt;0))=0,"","Conductas/tendencias autolesivas (" &amp;SUMPRODUCT(--(LEN(TRIM(B296:B297))&gt;0)) &amp;"/2)")</f>
        <v/>
      </c>
      <c r="C295" s="186"/>
      <c r="D295" s="186"/>
      <c r="E295" s="186"/>
      <c r="F295" s="186"/>
      <c r="G295" s="188"/>
      <c r="H295" s="188"/>
      <c r="I295" s="189"/>
      <c r="J295" s="186"/>
      <c r="K295" s="186"/>
      <c r="L295" s="186"/>
      <c r="M295" s="186"/>
      <c r="N295" s="186"/>
      <c r="O295" s="188"/>
      <c r="P295" s="188"/>
      <c r="Q295" s="188"/>
      <c r="AP295" s="59"/>
      <c r="AS295" s="59"/>
      <c r="AT295" s="78"/>
      <c r="AU295" s="78"/>
      <c r="AV295" s="60"/>
      <c r="AW295" s="59"/>
    </row>
    <row r="296" spans="2:49" ht="21.75" customHeight="1">
      <c r="B296" s="186" t="str">
        <f>IF(LEN(TRIM(Protocolo!AE44))=0, " ",Protocolo!AD44 &amp; ". " &amp; Protocolo!AE44 &amp; " (Verdadero)")</f>
        <v xml:space="preserve"> </v>
      </c>
      <c r="C296" s="186"/>
      <c r="D296" s="186"/>
      <c r="E296" s="186"/>
      <c r="F296" s="186"/>
      <c r="G296" s="188"/>
      <c r="H296" s="188"/>
      <c r="I296" s="189"/>
      <c r="J296" s="186"/>
      <c r="K296" s="186"/>
      <c r="L296" s="186"/>
      <c r="M296" s="186"/>
      <c r="N296" s="186"/>
      <c r="O296" s="188"/>
      <c r="P296" s="188"/>
      <c r="Q296" s="188"/>
      <c r="AP296" s="59"/>
      <c r="AS296" s="59"/>
      <c r="AT296" s="78"/>
      <c r="AU296" s="78"/>
      <c r="AV296" s="60"/>
      <c r="AW296" s="59"/>
    </row>
    <row r="297" spans="2:49" ht="21.75" customHeight="1">
      <c r="B297" s="186" t="str">
        <f>IF(LEN(TRIM(Protocolo!AE45))=0, " ",Protocolo!AD45 &amp; ". " &amp; Protocolo!AE45 &amp; " (Verdadero)")</f>
        <v xml:space="preserve"> </v>
      </c>
      <c r="C297" s="186"/>
      <c r="D297" s="186"/>
      <c r="E297" s="186"/>
      <c r="F297" s="186"/>
      <c r="G297" s="188"/>
      <c r="H297" s="188"/>
      <c r="I297" s="189"/>
      <c r="J297" s="186"/>
      <c r="K297" s="186"/>
      <c r="L297" s="186"/>
      <c r="M297" s="186"/>
      <c r="N297" s="186"/>
      <c r="O297" s="188"/>
      <c r="P297" s="188"/>
      <c r="Q297" s="188"/>
      <c r="AP297" s="59"/>
      <c r="AS297" s="142"/>
      <c r="AT297" s="78"/>
      <c r="AU297" s="78"/>
      <c r="AV297" s="60"/>
      <c r="AW297" s="59"/>
    </row>
    <row r="298" spans="2:49" ht="21.75" customHeight="1">
      <c r="B298" s="186"/>
      <c r="C298" s="186"/>
      <c r="D298" s="186"/>
      <c r="E298" s="186"/>
      <c r="F298" s="186"/>
      <c r="G298" s="188"/>
      <c r="H298" s="188"/>
      <c r="I298" s="189"/>
      <c r="J298" s="186"/>
      <c r="K298" s="186"/>
      <c r="L298" s="186"/>
      <c r="M298" s="186"/>
      <c r="N298" s="186"/>
      <c r="O298" s="188"/>
      <c r="P298" s="188"/>
      <c r="Q298" s="188"/>
      <c r="AP298" s="59"/>
      <c r="AS298" s="142" t="s">
        <v>227</v>
      </c>
      <c r="AT298" s="142" t="s">
        <v>621</v>
      </c>
      <c r="AU298" s="142" t="s">
        <v>622</v>
      </c>
      <c r="AV298" s="144" t="s">
        <v>672</v>
      </c>
      <c r="AW298" s="135" t="s">
        <v>673</v>
      </c>
    </row>
    <row r="299" spans="2:49" ht="21.75" customHeight="1">
      <c r="B299" s="190" t="str" cm="1">
        <f t="array" ref="B299">IF(SUMPRODUCT(--(LEN(TRIM(B300:B307))&gt;0))=0,"","Explosiones de ira (" &amp;SUMPRODUCT(--(LEN(TRIM(B300:B307))&gt;0)) &amp;"/6)")</f>
        <v/>
      </c>
      <c r="C299" s="186"/>
      <c r="D299" s="186"/>
      <c r="E299" s="186"/>
      <c r="F299" s="186"/>
      <c r="G299" s="188"/>
      <c r="H299" s="188"/>
      <c r="I299" s="189"/>
      <c r="J299" s="186"/>
      <c r="K299" s="186"/>
      <c r="L299" s="186"/>
      <c r="M299" s="186"/>
      <c r="N299" s="186"/>
      <c r="O299" s="188"/>
      <c r="P299" s="188"/>
      <c r="Q299" s="188"/>
      <c r="AP299" s="59"/>
      <c r="AS299" s="78" t="s">
        <v>186</v>
      </c>
      <c r="AT299" s="78" t="s">
        <v>623</v>
      </c>
      <c r="AU299" s="78" t="s">
        <v>649</v>
      </c>
      <c r="AV299" s="59" t="s">
        <v>674</v>
      </c>
      <c r="AW299" s="59" t="s">
        <v>686</v>
      </c>
    </row>
    <row r="300" spans="2:49" ht="21.75" customHeight="1">
      <c r="B300" s="267" t="str">
        <f>IF(LEN(TRIM(Protocolo!W44))=0, " ",Protocolo!V44 &amp; ". " &amp; Protocolo!W44 &amp; " (Verdadero)")</f>
        <v xml:space="preserve"> </v>
      </c>
      <c r="C300" s="267"/>
      <c r="D300" s="267"/>
      <c r="E300" s="267"/>
      <c r="F300" s="267"/>
      <c r="G300" s="267"/>
      <c r="H300" s="267"/>
      <c r="I300" s="267"/>
      <c r="J300" s="267"/>
      <c r="K300" s="267"/>
      <c r="L300" s="267"/>
      <c r="M300" s="267"/>
      <c r="N300" s="267"/>
      <c r="O300" s="267"/>
      <c r="P300" s="267"/>
      <c r="Q300" s="267"/>
      <c r="AP300" s="59"/>
      <c r="AS300" s="78" t="s">
        <v>187</v>
      </c>
      <c r="AT300" s="78" t="s">
        <v>624</v>
      </c>
      <c r="AU300" s="78" t="s">
        <v>655</v>
      </c>
      <c r="AV300" s="59" t="s">
        <v>675</v>
      </c>
      <c r="AW300" s="59" t="s">
        <v>687</v>
      </c>
    </row>
    <row r="301" spans="2:49" ht="21.75" customHeight="1">
      <c r="B301" s="267"/>
      <c r="C301" s="267"/>
      <c r="D301" s="267"/>
      <c r="E301" s="267"/>
      <c r="F301" s="267"/>
      <c r="G301" s="267"/>
      <c r="H301" s="267"/>
      <c r="I301" s="267"/>
      <c r="J301" s="267"/>
      <c r="K301" s="267"/>
      <c r="L301" s="267"/>
      <c r="M301" s="267"/>
      <c r="N301" s="267"/>
      <c r="O301" s="267"/>
      <c r="P301" s="267"/>
      <c r="Q301" s="267"/>
      <c r="AP301" s="59"/>
      <c r="AS301" s="78"/>
      <c r="AT301" s="78"/>
      <c r="AU301" s="78"/>
      <c r="AV301" s="59"/>
      <c r="AW301" s="59"/>
    </row>
    <row r="302" spans="2:49" ht="21.75" customHeight="1">
      <c r="B302" s="186" t="str">
        <f>IF(LEN(TRIM(Protocolo!W45))=0, " ",Protocolo!V45 &amp; ". " &amp; Protocolo!W45 &amp; " (Verdadero)")</f>
        <v xml:space="preserve"> </v>
      </c>
      <c r="C302" s="186"/>
      <c r="D302" s="186"/>
      <c r="E302" s="186"/>
      <c r="F302" s="186"/>
      <c r="G302" s="188"/>
      <c r="H302" s="188"/>
      <c r="I302" s="189"/>
      <c r="J302" s="186"/>
      <c r="K302" s="186"/>
      <c r="L302" s="186"/>
      <c r="M302" s="186"/>
      <c r="N302" s="186"/>
      <c r="O302" s="188"/>
      <c r="P302" s="188"/>
      <c r="Q302" s="188"/>
      <c r="AP302" s="59"/>
      <c r="AS302" s="78" t="s">
        <v>188</v>
      </c>
      <c r="AT302" s="78" t="s">
        <v>625</v>
      </c>
      <c r="AU302" s="78" t="s">
        <v>658</v>
      </c>
      <c r="AV302" s="59" t="s">
        <v>676</v>
      </c>
      <c r="AW302" s="59" t="s">
        <v>688</v>
      </c>
    </row>
    <row r="303" spans="2:49" ht="21.75" customHeight="1">
      <c r="B303" s="186" t="str">
        <f>IF(LEN(TRIM(Protocolo!W46))=0, " ",Protocolo!V46 &amp; ". " &amp; Protocolo!W46 &amp; " (Verdadero)")</f>
        <v xml:space="preserve"> </v>
      </c>
      <c r="C303" s="186"/>
      <c r="D303" s="186"/>
      <c r="E303" s="186"/>
      <c r="F303" s="186"/>
      <c r="G303" s="188"/>
      <c r="H303" s="188"/>
      <c r="I303" s="189"/>
      <c r="J303" s="186"/>
      <c r="K303" s="186"/>
      <c r="L303" s="186"/>
      <c r="M303" s="186"/>
      <c r="N303" s="186"/>
      <c r="O303" s="188"/>
      <c r="P303" s="188"/>
      <c r="Q303" s="188"/>
      <c r="AP303" s="59"/>
      <c r="AS303" s="78" t="s">
        <v>189</v>
      </c>
      <c r="AT303" s="78" t="s">
        <v>626</v>
      </c>
      <c r="AU303" s="78" t="s">
        <v>656</v>
      </c>
      <c r="AV303" s="59" t="s">
        <v>677</v>
      </c>
      <c r="AW303" s="59" t="s">
        <v>689</v>
      </c>
    </row>
    <row r="304" spans="2:49" ht="21.75" customHeight="1">
      <c r="B304" s="267" t="str">
        <f>IF(LEN(TRIM(Protocolo!W47))=0, " ",Protocolo!V47 &amp; ". " &amp; Protocolo!W47 &amp; " (Verdadero)")</f>
        <v xml:space="preserve"> </v>
      </c>
      <c r="C304" s="267"/>
      <c r="D304" s="267"/>
      <c r="E304" s="267"/>
      <c r="F304" s="267"/>
      <c r="G304" s="267"/>
      <c r="H304" s="267"/>
      <c r="I304" s="267"/>
      <c r="J304" s="267"/>
      <c r="K304" s="267"/>
      <c r="L304" s="267"/>
      <c r="M304" s="267"/>
      <c r="N304" s="267"/>
      <c r="O304" s="267"/>
      <c r="P304" s="267"/>
      <c r="Q304" s="267"/>
      <c r="AP304" s="59"/>
      <c r="AS304" s="78" t="s">
        <v>190</v>
      </c>
      <c r="AT304" s="78" t="s">
        <v>627</v>
      </c>
      <c r="AU304" s="78" t="s">
        <v>653</v>
      </c>
      <c r="AV304" s="59" t="s">
        <v>678</v>
      </c>
      <c r="AW304" s="59" t="s">
        <v>690</v>
      </c>
    </row>
    <row r="305" spans="2:49" ht="21.75" customHeight="1">
      <c r="B305" s="267"/>
      <c r="C305" s="267"/>
      <c r="D305" s="267"/>
      <c r="E305" s="267"/>
      <c r="F305" s="267"/>
      <c r="G305" s="267"/>
      <c r="H305" s="267"/>
      <c r="I305" s="267"/>
      <c r="J305" s="267"/>
      <c r="K305" s="267"/>
      <c r="L305" s="267"/>
      <c r="M305" s="267"/>
      <c r="N305" s="267"/>
      <c r="O305" s="267"/>
      <c r="P305" s="267"/>
      <c r="Q305" s="267"/>
      <c r="AP305" s="59"/>
      <c r="AS305" s="78"/>
      <c r="AT305" s="78"/>
      <c r="AU305" s="78"/>
      <c r="AV305" s="59"/>
      <c r="AW305" s="59"/>
    </row>
    <row r="306" spans="2:49" ht="21.75" customHeight="1">
      <c r="B306" s="186" t="str">
        <f>IF(LEN(TRIM(Protocolo!W48))=0, " ",Protocolo!V48 &amp; ". " &amp; Protocolo!W48 &amp; " (Verdadero)")</f>
        <v xml:space="preserve"> </v>
      </c>
      <c r="C306" s="186"/>
      <c r="D306" s="186"/>
      <c r="E306" s="186"/>
      <c r="F306" s="186"/>
      <c r="G306" s="188"/>
      <c r="H306" s="188"/>
      <c r="I306" s="189"/>
      <c r="J306" s="186"/>
      <c r="K306" s="186"/>
      <c r="L306" s="186"/>
      <c r="M306" s="186"/>
      <c r="N306" s="186"/>
      <c r="O306" s="188"/>
      <c r="P306" s="188"/>
      <c r="Q306" s="188"/>
      <c r="AP306" s="59"/>
      <c r="AS306" s="78" t="s">
        <v>191</v>
      </c>
      <c r="AT306" s="78" t="s">
        <v>628</v>
      </c>
      <c r="AU306" s="78" t="s">
        <v>658</v>
      </c>
      <c r="AV306" s="59" t="s">
        <v>679</v>
      </c>
      <c r="AW306" s="59" t="s">
        <v>823</v>
      </c>
    </row>
    <row r="307" spans="2:49" ht="21.75" customHeight="1">
      <c r="B307" s="186" t="str">
        <f>IF(LEN(TRIM(Protocolo!W49))=0, " ",Protocolo!V49 &amp; ". " &amp; Protocolo!W49 &amp; " (Verdadero)")</f>
        <v xml:space="preserve"> </v>
      </c>
      <c r="C307" s="186"/>
      <c r="D307" s="186"/>
      <c r="E307" s="186"/>
      <c r="F307" s="186"/>
      <c r="G307" s="188"/>
      <c r="H307" s="188"/>
      <c r="I307" s="189"/>
      <c r="J307" s="186"/>
      <c r="K307" s="186"/>
      <c r="L307" s="186"/>
      <c r="M307" s="186"/>
      <c r="N307" s="186"/>
      <c r="O307" s="188"/>
      <c r="P307" s="188"/>
      <c r="Q307" s="188"/>
      <c r="AP307" s="59"/>
      <c r="AS307" s="78" t="s">
        <v>192</v>
      </c>
      <c r="AT307" s="78" t="s">
        <v>629</v>
      </c>
      <c r="AU307" s="78" t="s">
        <v>654</v>
      </c>
      <c r="AV307" s="59" t="s">
        <v>680</v>
      </c>
      <c r="AW307" s="59" t="s">
        <v>691</v>
      </c>
    </row>
    <row r="308" spans="2:49" ht="21.75" customHeight="1">
      <c r="B308" s="186"/>
      <c r="C308" s="186"/>
      <c r="D308" s="186"/>
      <c r="E308" s="186"/>
      <c r="F308" s="186"/>
      <c r="G308" s="188"/>
      <c r="H308" s="188"/>
      <c r="I308" s="189"/>
      <c r="J308" s="186"/>
      <c r="K308" s="186"/>
      <c r="L308" s="186"/>
      <c r="M308" s="186"/>
      <c r="N308" s="186"/>
      <c r="O308" s="188"/>
      <c r="P308" s="188"/>
      <c r="Q308" s="188"/>
      <c r="AP308" s="59"/>
      <c r="AS308" s="78" t="s">
        <v>193</v>
      </c>
      <c r="AT308" s="78" t="s">
        <v>630</v>
      </c>
      <c r="AU308" s="78" t="s">
        <v>651</v>
      </c>
      <c r="AV308" s="59" t="s">
        <v>681</v>
      </c>
      <c r="AW308" s="59" t="s">
        <v>692</v>
      </c>
    </row>
    <row r="309" spans="2:49" ht="21.75" customHeight="1">
      <c r="B309" s="190" t="str" cm="1">
        <f t="array" ref="B309">IF(SUMPRODUCT(--(LEN(TRIM(B310:B317))&gt;0))=0,"","TDAH (" &amp;SUMPRODUCT(--(LEN(TRIM(B310:B317))&gt;0)) &amp;"/6)")</f>
        <v>TDAH (3/6)</v>
      </c>
      <c r="C309" s="186"/>
      <c r="D309" s="186"/>
      <c r="E309" s="186"/>
      <c r="F309" s="186"/>
      <c r="G309" s="188"/>
      <c r="H309" s="188"/>
      <c r="I309" s="189"/>
      <c r="J309" s="186"/>
      <c r="K309" s="186"/>
      <c r="L309" s="186"/>
      <c r="M309" s="186"/>
      <c r="N309" s="186"/>
      <c r="O309" s="188"/>
      <c r="P309" s="188"/>
      <c r="Q309" s="188"/>
      <c r="AP309" s="59"/>
      <c r="AS309" s="78" t="s">
        <v>194</v>
      </c>
      <c r="AT309" s="78" t="s">
        <v>631</v>
      </c>
      <c r="AU309" s="78" t="s">
        <v>658</v>
      </c>
      <c r="AV309" s="59" t="s">
        <v>682</v>
      </c>
      <c r="AW309" s="59" t="s">
        <v>693</v>
      </c>
    </row>
    <row r="310" spans="2:49" ht="21.75" customHeight="1">
      <c r="B310" s="186" t="str">
        <f>IF(LEN(TRIM(Protocolo!Y44))=0, " ",Protocolo!X44 &amp; ". " &amp; Protocolo!Y44 &amp; "(Verdadero)")</f>
        <v>56. Antes la gente decía que me interesaba y me entusiasmaba demasiado por muchas cosas.(Verdadero)</v>
      </c>
      <c r="C310" s="186"/>
      <c r="D310" s="186"/>
      <c r="E310" s="186"/>
      <c r="F310" s="186"/>
      <c r="G310" s="188"/>
      <c r="H310" s="188"/>
      <c r="I310" s="189"/>
      <c r="J310" s="186"/>
      <c r="K310" s="186"/>
      <c r="L310" s="186"/>
      <c r="M310" s="186"/>
      <c r="N310" s="186"/>
      <c r="O310" s="188"/>
      <c r="P310" s="188"/>
      <c r="Q310" s="188"/>
      <c r="AP310" s="59"/>
      <c r="AS310" s="78" t="s">
        <v>195</v>
      </c>
      <c r="AT310" s="78" t="s">
        <v>632</v>
      </c>
      <c r="AU310" s="78" t="s">
        <v>657</v>
      </c>
      <c r="AV310" s="59" t="s">
        <v>683</v>
      </c>
      <c r="AW310" s="59" t="s">
        <v>694</v>
      </c>
    </row>
    <row r="311" spans="2:49" ht="21.75" customHeight="1">
      <c r="B311" s="186" t="str">
        <f>IF(LEN(TRIM(Protocolo!Y45))=0, " ",Protocolo!X45 &amp; ". " &amp; Protocolo!Y45 &amp; " (Verdadero)")</f>
        <v>77. Me parece que necesito que alguien me oriente para hacer las cosas. (Verdadero)</v>
      </c>
      <c r="C311" s="186"/>
      <c r="D311" s="186"/>
      <c r="E311" s="186"/>
      <c r="F311" s="186"/>
      <c r="G311" s="188"/>
      <c r="H311" s="188"/>
      <c r="I311" s="189"/>
      <c r="J311" s="186"/>
      <c r="K311" s="186"/>
      <c r="L311" s="186"/>
      <c r="M311" s="186"/>
      <c r="N311" s="186"/>
      <c r="O311" s="188"/>
      <c r="P311" s="188"/>
      <c r="Q311" s="188"/>
      <c r="AP311" s="59"/>
      <c r="AS311" s="78" t="s">
        <v>196</v>
      </c>
      <c r="AT311" s="78" t="s">
        <v>633</v>
      </c>
      <c r="AU311" s="78" t="s">
        <v>658</v>
      </c>
      <c r="AV311" s="59" t="s">
        <v>684</v>
      </c>
      <c r="AW311" s="59" t="s">
        <v>695</v>
      </c>
    </row>
    <row r="312" spans="2:49" ht="21.75" customHeight="1">
      <c r="B312" s="186" t="str">
        <f>IF(LEN(TRIM(Protocolo!Y46))=0, " ",Protocolo!X46 &amp; ". " &amp; Protocolo!Y46 &amp; " (Verdadero)")</f>
        <v xml:space="preserve"> </v>
      </c>
      <c r="C312" s="186"/>
      <c r="D312" s="186"/>
      <c r="E312" s="186"/>
      <c r="F312" s="186"/>
      <c r="G312" s="188"/>
      <c r="H312" s="188"/>
      <c r="I312" s="189"/>
      <c r="J312" s="186"/>
      <c r="K312" s="186"/>
      <c r="L312" s="186"/>
      <c r="M312" s="186"/>
      <c r="N312" s="186"/>
      <c r="O312" s="188"/>
      <c r="P312" s="188"/>
      <c r="Q312" s="188"/>
      <c r="AP312" s="59"/>
      <c r="AS312" s="78" t="s">
        <v>197</v>
      </c>
      <c r="AT312" s="78" t="s">
        <v>634</v>
      </c>
      <c r="AU312" s="78" t="s">
        <v>658</v>
      </c>
      <c r="AV312" s="59" t="s">
        <v>685</v>
      </c>
      <c r="AW312" s="59" t="s">
        <v>696</v>
      </c>
    </row>
    <row r="313" spans="2:49" ht="21.75" customHeight="1">
      <c r="B313" s="268" t="str">
        <f>IF(LEN(TRIM(Protocolo!Y47))=0, " ",Protocolo!X47 &amp; ". " &amp; Protocolo!Y47 &amp; " (Verdadero)")</f>
        <v>92. A menudo me pierdo en mis pensamientos y me olvido de lo que está pasando a mi alrededor. (Verdadero)</v>
      </c>
      <c r="C313" s="268"/>
      <c r="D313" s="268"/>
      <c r="E313" s="268"/>
      <c r="F313" s="268"/>
      <c r="G313" s="268"/>
      <c r="H313" s="268"/>
      <c r="I313" s="268"/>
      <c r="J313" s="268"/>
      <c r="K313" s="268"/>
      <c r="L313" s="268"/>
      <c r="M313" s="268"/>
      <c r="N313" s="268"/>
      <c r="O313" s="268"/>
      <c r="P313" s="268"/>
      <c r="Q313" s="268"/>
      <c r="AP313" s="59"/>
      <c r="AS313" s="142" t="s">
        <v>228</v>
      </c>
      <c r="AT313" s="78"/>
      <c r="AU313" s="78"/>
      <c r="AV313" s="135" t="s">
        <v>228</v>
      </c>
      <c r="AW313" s="59"/>
    </row>
    <row r="314" spans="2:49" ht="21.75" customHeight="1">
      <c r="B314" s="268"/>
      <c r="C314" s="268"/>
      <c r="D314" s="268"/>
      <c r="E314" s="268"/>
      <c r="F314" s="268"/>
      <c r="G314" s="268"/>
      <c r="H314" s="268"/>
      <c r="I314" s="268"/>
      <c r="J314" s="268"/>
      <c r="K314" s="268"/>
      <c r="L314" s="268"/>
      <c r="M314" s="268"/>
      <c r="N314" s="268"/>
      <c r="O314" s="268"/>
      <c r="P314" s="268"/>
      <c r="Q314" s="268"/>
      <c r="AP314" s="59"/>
      <c r="AS314" s="142"/>
      <c r="AT314" s="78"/>
      <c r="AU314" s="78"/>
      <c r="AV314" s="135"/>
      <c r="AW314" s="59"/>
    </row>
    <row r="315" spans="2:49" ht="21.75" customHeight="1">
      <c r="B315" s="267" t="str">
        <f>IF(LEN(TRIM(Protocolo!Y48))=0, " ",Protocolo!X48 &amp; ". " &amp; Protocolo!Y48 &amp; " (Verdadero)")</f>
        <v xml:space="preserve"> </v>
      </c>
      <c r="C315" s="267"/>
      <c r="D315" s="267"/>
      <c r="E315" s="267"/>
      <c r="F315" s="267"/>
      <c r="G315" s="267"/>
      <c r="H315" s="267"/>
      <c r="I315" s="267"/>
      <c r="J315" s="267"/>
      <c r="K315" s="267"/>
      <c r="L315" s="267"/>
      <c r="M315" s="267"/>
      <c r="N315" s="267"/>
      <c r="O315" s="267"/>
      <c r="P315" s="267"/>
      <c r="Q315" s="267"/>
      <c r="AP315" s="59"/>
      <c r="AS315" s="78" t="s">
        <v>231</v>
      </c>
      <c r="AT315" s="78" t="s">
        <v>635</v>
      </c>
      <c r="AU315" s="78" t="s">
        <v>650</v>
      </c>
      <c r="AV315" s="59" t="s">
        <v>701</v>
      </c>
      <c r="AW315" s="59" t="s">
        <v>704</v>
      </c>
    </row>
    <row r="316" spans="2:49" ht="21.75" customHeight="1">
      <c r="B316" s="267"/>
      <c r="C316" s="267"/>
      <c r="D316" s="267"/>
      <c r="E316" s="267"/>
      <c r="F316" s="267"/>
      <c r="G316" s="267"/>
      <c r="H316" s="267"/>
      <c r="I316" s="267"/>
      <c r="J316" s="267"/>
      <c r="K316" s="267"/>
      <c r="L316" s="267"/>
      <c r="M316" s="267"/>
      <c r="N316" s="267"/>
      <c r="O316" s="267"/>
      <c r="P316" s="267"/>
      <c r="Q316" s="267"/>
      <c r="AP316" s="59"/>
      <c r="AS316" s="78"/>
      <c r="AT316" s="78"/>
      <c r="AU316" s="78"/>
      <c r="AV316" s="59"/>
      <c r="AW316" s="59"/>
    </row>
    <row r="317" spans="2:49" ht="21.75" customHeight="1">
      <c r="B317" s="186" t="str">
        <f>IF(LEN(TRIM(Protocolo!Y49))=0, " ",Protocolo!X49 &amp; ". " &amp; Protocolo!Y49 &amp; " (Falso)")</f>
        <v xml:space="preserve"> </v>
      </c>
      <c r="C317" s="186"/>
      <c r="D317" s="186"/>
      <c r="E317" s="186"/>
      <c r="F317" s="186"/>
      <c r="G317" s="188"/>
      <c r="H317" s="188"/>
      <c r="I317" s="189"/>
      <c r="J317" s="186"/>
      <c r="K317" s="186"/>
      <c r="L317" s="186"/>
      <c r="M317" s="186"/>
      <c r="N317" s="186"/>
      <c r="O317" s="188"/>
      <c r="P317" s="188"/>
      <c r="Q317" s="188"/>
      <c r="AP317" s="59"/>
      <c r="AS317" s="78" t="s">
        <v>232</v>
      </c>
      <c r="AT317" s="78" t="s">
        <v>636</v>
      </c>
      <c r="AU317" s="78" t="s">
        <v>652</v>
      </c>
      <c r="AV317" s="59" t="s">
        <v>702</v>
      </c>
      <c r="AW317" s="59" t="s">
        <v>705</v>
      </c>
    </row>
    <row r="318" spans="2:49" ht="21.75" customHeight="1">
      <c r="B318" s="186"/>
      <c r="C318" s="186"/>
      <c r="D318" s="186"/>
      <c r="E318" s="186"/>
      <c r="F318" s="186"/>
      <c r="G318" s="188"/>
      <c r="H318" s="188"/>
      <c r="I318" s="189"/>
      <c r="J318" s="186"/>
      <c r="K318" s="186"/>
      <c r="L318" s="186"/>
      <c r="M318" s="186"/>
      <c r="N318" s="186"/>
      <c r="O318" s="188"/>
      <c r="P318" s="188"/>
      <c r="Q318" s="188"/>
      <c r="AP318" s="59"/>
      <c r="AS318" s="78" t="s">
        <v>233</v>
      </c>
      <c r="AT318" s="78" t="s">
        <v>637</v>
      </c>
      <c r="AU318" s="78" t="s">
        <v>648</v>
      </c>
      <c r="AV318" s="59" t="s">
        <v>703</v>
      </c>
      <c r="AW318" s="59" t="s">
        <v>706</v>
      </c>
    </row>
    <row r="319" spans="2:49" ht="21.75" customHeight="1">
      <c r="B319" s="190" t="str" cm="1">
        <f t="array" ref="B319">IF(SUMPRODUCT(--(LEN(TRIM(B320:B328))&gt;0))=0,"","Espectro autista (" &amp;SUMPRODUCT(--(LEN(TRIM(B320:B328))&gt;0)) &amp;"/7)")</f>
        <v>Espectro autista (4/7)</v>
      </c>
      <c r="C319" s="186"/>
      <c r="D319" s="186"/>
      <c r="E319" s="186"/>
      <c r="F319" s="186"/>
      <c r="G319" s="188"/>
      <c r="H319" s="188"/>
      <c r="I319" s="189"/>
      <c r="J319" s="186"/>
      <c r="K319" s="186"/>
      <c r="L319" s="186"/>
      <c r="M319" s="186"/>
      <c r="N319" s="186"/>
      <c r="O319" s="188"/>
      <c r="P319" s="188"/>
      <c r="Q319" s="188"/>
      <c r="AP319" s="59"/>
      <c r="AS319" s="78"/>
      <c r="AT319" s="78"/>
      <c r="AU319" s="78"/>
      <c r="AV319" s="60"/>
      <c r="AW319" s="59"/>
    </row>
    <row r="320" spans="2:49" ht="21.75" customHeight="1">
      <c r="B320" s="267" t="str">
        <f>IF(LEN(TRIM(Protocolo!AA44))=0, " ",Protocolo!Z44 &amp; ". " &amp; Protocolo!AA44 &amp; " (Verdadero)")</f>
        <v>92. A menudo me pierdo en mis pensamientos y me olvido de lo que está pasando a mi alrededor. (Verdadero)</v>
      </c>
      <c r="C320" s="267"/>
      <c r="D320" s="267"/>
      <c r="E320" s="267"/>
      <c r="F320" s="267"/>
      <c r="G320" s="267"/>
      <c r="H320" s="267"/>
      <c r="I320" s="267"/>
      <c r="J320" s="267"/>
      <c r="K320" s="267"/>
      <c r="L320" s="267"/>
      <c r="M320" s="267"/>
      <c r="N320" s="267"/>
      <c r="O320" s="267"/>
      <c r="P320" s="267"/>
      <c r="Q320" s="267"/>
      <c r="AP320" s="59"/>
      <c r="AS320" s="142" t="s">
        <v>620</v>
      </c>
      <c r="AT320" s="78"/>
      <c r="AU320" s="78"/>
      <c r="AV320" s="60"/>
      <c r="AW320" s="59"/>
    </row>
    <row r="321" spans="2:49" ht="21.75" customHeight="1">
      <c r="B321" s="267"/>
      <c r="C321" s="267"/>
      <c r="D321" s="267"/>
      <c r="E321" s="267"/>
      <c r="F321" s="267"/>
      <c r="G321" s="267"/>
      <c r="H321" s="267"/>
      <c r="I321" s="267"/>
      <c r="J321" s="267"/>
      <c r="K321" s="267"/>
      <c r="L321" s="267"/>
      <c r="M321" s="267"/>
      <c r="N321" s="267"/>
      <c r="O321" s="267"/>
      <c r="P321" s="267"/>
      <c r="Q321" s="267"/>
      <c r="AP321" s="59"/>
      <c r="AS321" s="78" t="s">
        <v>237</v>
      </c>
      <c r="AT321" s="78" t="s">
        <v>638</v>
      </c>
      <c r="AU321" s="78" t="s">
        <v>659</v>
      </c>
      <c r="AV321" s="60"/>
      <c r="AW321" s="59"/>
    </row>
    <row r="322" spans="2:49" ht="21.75" customHeight="1">
      <c r="B322" s="186" t="str">
        <f>IF(LEN(TRIM(Protocolo!AA45))=0, " ",Protocolo!Z45 &amp; ". " &amp; Protocolo!AA45 &amp; " (Verdadero)")</f>
        <v>119. Mis emociones no parecen ser tan intensas como las del resto de la gente. (Verdadero)</v>
      </c>
      <c r="C322" s="186"/>
      <c r="D322" s="186"/>
      <c r="E322" s="186"/>
      <c r="F322" s="186"/>
      <c r="G322" s="188"/>
      <c r="H322" s="188"/>
      <c r="I322" s="189"/>
      <c r="J322" s="186"/>
      <c r="K322" s="186"/>
      <c r="L322" s="186"/>
      <c r="M322" s="186"/>
      <c r="N322" s="186"/>
      <c r="O322" s="188"/>
      <c r="P322" s="188"/>
      <c r="Q322" s="188"/>
      <c r="AP322" s="59"/>
      <c r="AS322" s="78" t="s">
        <v>238</v>
      </c>
      <c r="AT322" s="78" t="s">
        <v>639</v>
      </c>
      <c r="AU322" s="78" t="s">
        <v>660</v>
      </c>
      <c r="AV322" s="60"/>
      <c r="AW322" s="59"/>
    </row>
    <row r="323" spans="2:49" ht="21.75" customHeight="1">
      <c r="B323" s="186" t="str">
        <f>IF(LEN(TRIM(Protocolo!AA46))=0, " ",Protocolo!Z46 &amp; ". " &amp; Protocolo!AA46 &amp; " (Verdadero)")</f>
        <v xml:space="preserve"> </v>
      </c>
      <c r="C323" s="186"/>
      <c r="D323" s="186"/>
      <c r="E323" s="186"/>
      <c r="F323" s="186"/>
      <c r="G323" s="188"/>
      <c r="H323" s="188"/>
      <c r="I323" s="189"/>
      <c r="J323" s="186"/>
      <c r="K323" s="186"/>
      <c r="L323" s="186"/>
      <c r="M323" s="186"/>
      <c r="N323" s="186"/>
      <c r="O323" s="188"/>
      <c r="P323" s="188"/>
      <c r="Q323" s="188"/>
      <c r="AP323" s="59"/>
      <c r="AS323" s="78" t="s">
        <v>239</v>
      </c>
      <c r="AT323" s="78" t="s">
        <v>642</v>
      </c>
      <c r="AU323" s="78" t="s">
        <v>662</v>
      </c>
      <c r="AV323" s="60"/>
      <c r="AW323" s="59"/>
    </row>
    <row r="324" spans="2:49" ht="21.75" customHeight="1">
      <c r="B324" s="186" t="str">
        <f>IF(LEN(TRIM(Protocolo!AA47))=0, " ",Protocolo!Z47 &amp; ". " &amp; Protocolo!AA47 &amp; " (Verdadero)")</f>
        <v>163. A menudo me vienen ideas a la mente mucho más rápido de lo que puedo expresarlas. (Verdadero)</v>
      </c>
      <c r="C324" s="186"/>
      <c r="D324" s="186"/>
      <c r="E324" s="186"/>
      <c r="F324" s="186"/>
      <c r="G324" s="188"/>
      <c r="H324" s="188"/>
      <c r="I324" s="189"/>
      <c r="J324" s="186"/>
      <c r="K324" s="186"/>
      <c r="L324" s="186"/>
      <c r="M324" s="186"/>
      <c r="N324" s="186"/>
      <c r="O324" s="188"/>
      <c r="P324" s="188"/>
      <c r="Q324" s="188"/>
      <c r="AP324" s="59"/>
      <c r="AS324" s="78" t="s">
        <v>240</v>
      </c>
      <c r="AT324" s="78" t="s">
        <v>643</v>
      </c>
      <c r="AU324" s="78" t="s">
        <v>661</v>
      </c>
      <c r="AV324" s="60"/>
      <c r="AW324" s="59"/>
    </row>
    <row r="325" spans="2:49" ht="21.75" customHeight="1">
      <c r="B325" s="186" t="str">
        <f>IF(LEN(TRIM(Protocolo!AA48))=0, " ",Protocolo!Z48 &amp; ". " &amp; Protocolo!AA48 &amp; " (Verdadero)")</f>
        <v xml:space="preserve"> </v>
      </c>
      <c r="C325" s="186"/>
      <c r="D325" s="186"/>
      <c r="E325" s="186"/>
      <c r="F325" s="186"/>
      <c r="G325" s="188"/>
      <c r="H325" s="188"/>
      <c r="I325" s="189"/>
      <c r="J325" s="186"/>
      <c r="K325" s="186"/>
      <c r="L325" s="186"/>
      <c r="M325" s="186"/>
      <c r="N325" s="186"/>
      <c r="O325" s="188"/>
      <c r="P325" s="188"/>
      <c r="Q325" s="188"/>
      <c r="AP325" s="59"/>
      <c r="AS325" s="78" t="s">
        <v>241</v>
      </c>
      <c r="AT325" s="78" t="s">
        <v>644</v>
      </c>
      <c r="AU325" s="78" t="s">
        <v>665</v>
      </c>
      <c r="AV325" s="60"/>
      <c r="AW325" s="59"/>
    </row>
    <row r="326" spans="2:49" ht="21.75" customHeight="1">
      <c r="B326" s="186" t="str">
        <f>IF(LEN(TRIM(Protocolo!AA49))=0, " ",Protocolo!Z49 &amp; ". " &amp; Protocolo!AA49 &amp; " (Verdadero)")</f>
        <v>179. No me gusta cambiar mi rutina. (Verdadero)</v>
      </c>
      <c r="C326" s="186"/>
      <c r="D326" s="186"/>
      <c r="E326" s="186"/>
      <c r="F326" s="186"/>
      <c r="G326" s="188"/>
      <c r="H326" s="188"/>
      <c r="I326" s="189"/>
      <c r="J326" s="186"/>
      <c r="K326" s="186"/>
      <c r="L326" s="186"/>
      <c r="M326" s="186"/>
      <c r="N326" s="186"/>
      <c r="O326" s="188"/>
      <c r="P326" s="188"/>
      <c r="Q326" s="188"/>
      <c r="AP326" s="59"/>
      <c r="AS326" s="78" t="s">
        <v>242</v>
      </c>
      <c r="AT326" s="78" t="s">
        <v>645</v>
      </c>
      <c r="AU326" s="78" t="s">
        <v>666</v>
      </c>
      <c r="AV326" s="60"/>
      <c r="AW326" s="59"/>
    </row>
    <row r="327" spans="2:49" ht="21.75" customHeight="1">
      <c r="B327" s="186" t="str">
        <f>IF(LEN(TRIM(Protocolo!AA50))=0, " ",Protocolo!Z50 &amp; ". " &amp; Protocolo!AA50 &amp; " (Verdadero)")</f>
        <v xml:space="preserve"> </v>
      </c>
      <c r="C327" s="186"/>
      <c r="D327" s="186"/>
      <c r="E327" s="186"/>
      <c r="F327" s="186"/>
      <c r="G327" s="188"/>
      <c r="H327" s="188"/>
      <c r="I327" s="189"/>
      <c r="J327" s="186"/>
      <c r="K327" s="186"/>
      <c r="L327" s="186"/>
      <c r="M327" s="186"/>
      <c r="N327" s="186"/>
      <c r="O327" s="188"/>
      <c r="P327" s="188"/>
      <c r="Q327" s="188"/>
      <c r="AP327" s="59"/>
      <c r="AS327" s="78" t="s">
        <v>243</v>
      </c>
      <c r="AT327" s="78" t="s">
        <v>640</v>
      </c>
      <c r="AU327" s="78" t="s">
        <v>664</v>
      </c>
      <c r="AV327" s="60"/>
      <c r="AW327" s="59"/>
    </row>
    <row r="328" spans="2:49" ht="21.75" customHeight="1">
      <c r="B328" s="186"/>
      <c r="C328" s="186"/>
      <c r="D328" s="186"/>
      <c r="E328" s="186"/>
      <c r="F328" s="186"/>
      <c r="G328" s="188"/>
      <c r="H328" s="188"/>
      <c r="I328" s="189"/>
      <c r="J328" s="186"/>
      <c r="K328" s="186"/>
      <c r="L328" s="186"/>
      <c r="M328" s="186"/>
      <c r="N328" s="186"/>
      <c r="O328" s="188"/>
      <c r="P328" s="188"/>
      <c r="Q328" s="188"/>
      <c r="AP328" s="59"/>
      <c r="AS328" s="142" t="s">
        <v>244</v>
      </c>
      <c r="AT328" s="78"/>
      <c r="AU328" s="78"/>
      <c r="AV328" s="60"/>
      <c r="AW328" s="59"/>
    </row>
    <row r="329" spans="2:49" ht="21.75" customHeight="1">
      <c r="B329" s="190"/>
      <c r="C329" s="186"/>
      <c r="D329" s="186"/>
      <c r="E329" s="186"/>
      <c r="F329" s="186"/>
      <c r="G329" s="188"/>
      <c r="H329" s="188"/>
      <c r="I329" s="189"/>
      <c r="J329" s="186"/>
      <c r="K329" s="186"/>
      <c r="L329" s="186"/>
      <c r="M329" s="186"/>
      <c r="N329" s="186"/>
      <c r="O329" s="188"/>
      <c r="P329" s="188"/>
      <c r="Q329" s="188"/>
      <c r="AP329" s="59"/>
      <c r="AS329" s="78" t="s">
        <v>245</v>
      </c>
      <c r="AT329" s="78" t="s">
        <v>646</v>
      </c>
      <c r="AU329" s="78" t="s">
        <v>668</v>
      </c>
      <c r="AV329" s="60"/>
      <c r="AW329" s="59"/>
    </row>
    <row r="330" spans="2:49" ht="21.75" customHeight="1">
      <c r="B330" s="145" t="s">
        <v>619</v>
      </c>
      <c r="C330" s="170"/>
      <c r="D330" s="170"/>
      <c r="E330" s="170"/>
      <c r="F330" s="170"/>
      <c r="G330" s="171"/>
      <c r="H330" s="171"/>
      <c r="I330" s="172"/>
      <c r="J330" s="170"/>
      <c r="K330" s="170"/>
      <c r="L330" s="170"/>
      <c r="M330" s="170"/>
      <c r="N330" s="170"/>
      <c r="O330" s="171"/>
      <c r="P330" s="171"/>
      <c r="Q330" s="171"/>
      <c r="AP330" s="59"/>
      <c r="AS330" s="78" t="s">
        <v>246</v>
      </c>
      <c r="AT330" s="78" t="s">
        <v>641</v>
      </c>
      <c r="AU330" s="78" t="s">
        <v>663</v>
      </c>
      <c r="AV330" s="60"/>
      <c r="AW330" s="59"/>
    </row>
    <row r="331" spans="2:49" ht="3" customHeight="1">
      <c r="B331" s="170"/>
      <c r="C331" s="170"/>
      <c r="D331" s="170"/>
      <c r="E331" s="170"/>
      <c r="F331" s="170"/>
      <c r="G331" s="171"/>
      <c r="H331" s="171"/>
      <c r="I331" s="172"/>
      <c r="J331" s="170"/>
      <c r="K331" s="170"/>
      <c r="L331" s="170"/>
      <c r="M331" s="170"/>
      <c r="N331" s="170"/>
      <c r="O331" s="171"/>
      <c r="P331" s="171"/>
      <c r="Q331" s="171"/>
      <c r="AP331" s="59"/>
      <c r="AS331" s="78" t="s">
        <v>247</v>
      </c>
      <c r="AT331" s="78" t="s">
        <v>647</v>
      </c>
      <c r="AU331" s="78" t="s">
        <v>667</v>
      </c>
      <c r="AV331" s="60"/>
      <c r="AW331" s="59"/>
    </row>
    <row r="332" spans="2:49" ht="21.75" customHeight="1">
      <c r="B332" s="263" t="s">
        <v>820</v>
      </c>
      <c r="C332" s="264"/>
      <c r="D332" s="264"/>
      <c r="E332" s="264"/>
      <c r="F332" s="264"/>
      <c r="G332" s="264"/>
      <c r="H332" s="264"/>
      <c r="I332" s="264"/>
      <c r="J332" s="264"/>
      <c r="K332" s="264"/>
      <c r="L332" s="264"/>
      <c r="M332" s="264"/>
      <c r="N332" s="264"/>
      <c r="O332" s="264"/>
      <c r="P332" s="264"/>
      <c r="Q332" s="264"/>
      <c r="AP332" s="59"/>
      <c r="AW332" s="59"/>
    </row>
    <row r="333" spans="2:49" ht="21.75" customHeight="1">
      <c r="B333" s="264"/>
      <c r="C333" s="264"/>
      <c r="D333" s="264"/>
      <c r="E333" s="264"/>
      <c r="F333" s="264"/>
      <c r="G333" s="264"/>
      <c r="H333" s="264"/>
      <c r="I333" s="264"/>
      <c r="J333" s="264"/>
      <c r="K333" s="264"/>
      <c r="L333" s="264"/>
      <c r="M333" s="264"/>
      <c r="N333" s="264"/>
      <c r="O333" s="264"/>
      <c r="P333" s="264"/>
      <c r="Q333" s="264"/>
      <c r="AP333" s="59"/>
      <c r="AS333" s="59"/>
      <c r="AT333" s="78"/>
      <c r="AU333" s="78"/>
      <c r="AV333" s="60"/>
      <c r="AW333" s="59"/>
    </row>
    <row r="334" spans="2:49" ht="21.75" customHeight="1">
      <c r="B334" s="264"/>
      <c r="C334" s="264"/>
      <c r="D334" s="264"/>
      <c r="E334" s="264"/>
      <c r="F334" s="264"/>
      <c r="G334" s="264"/>
      <c r="H334" s="264"/>
      <c r="I334" s="264"/>
      <c r="J334" s="264"/>
      <c r="K334" s="264"/>
      <c r="L334" s="264"/>
      <c r="M334" s="264"/>
      <c r="N334" s="264"/>
      <c r="O334" s="264"/>
      <c r="P334" s="264"/>
      <c r="Q334" s="264"/>
      <c r="AP334" s="59"/>
      <c r="AS334" s="59"/>
      <c r="AT334" s="78"/>
      <c r="AU334" s="78"/>
      <c r="AV334" s="60"/>
      <c r="AW334" s="59"/>
    </row>
    <row r="335" spans="2:49" ht="21.75" customHeight="1">
      <c r="B335" s="264"/>
      <c r="C335" s="264"/>
      <c r="D335" s="264"/>
      <c r="E335" s="264"/>
      <c r="F335" s="264"/>
      <c r="G335" s="264"/>
      <c r="H335" s="264"/>
      <c r="I335" s="264"/>
      <c r="J335" s="264"/>
      <c r="K335" s="264"/>
      <c r="L335" s="264"/>
      <c r="M335" s="264"/>
      <c r="N335" s="264"/>
      <c r="O335" s="264"/>
      <c r="P335" s="264"/>
      <c r="Q335" s="264"/>
      <c r="AP335" s="59"/>
      <c r="AS335" s="59"/>
      <c r="AT335" s="78"/>
      <c r="AU335" s="78"/>
      <c r="AV335" s="60"/>
      <c r="AW335" s="59"/>
    </row>
    <row r="336" spans="2:49" ht="21.75" customHeight="1">
      <c r="B336" s="264"/>
      <c r="C336" s="264"/>
      <c r="D336" s="264"/>
      <c r="E336" s="264"/>
      <c r="F336" s="264"/>
      <c r="G336" s="264"/>
      <c r="H336" s="264"/>
      <c r="I336" s="264"/>
      <c r="J336" s="264"/>
      <c r="K336" s="264"/>
      <c r="L336" s="264"/>
      <c r="M336" s="264"/>
      <c r="N336" s="264"/>
      <c r="O336" s="264"/>
      <c r="P336" s="264"/>
      <c r="Q336" s="264"/>
      <c r="AP336" s="59"/>
      <c r="AS336" s="59"/>
      <c r="AT336" s="78"/>
      <c r="AU336" s="78"/>
      <c r="AV336" s="60"/>
      <c r="AW336" s="59"/>
    </row>
    <row r="337" spans="2:49" ht="21.75" customHeight="1">
      <c r="B337" s="264"/>
      <c r="C337" s="264"/>
      <c r="D337" s="264"/>
      <c r="E337" s="264"/>
      <c r="F337" s="264"/>
      <c r="G337" s="264"/>
      <c r="H337" s="264"/>
      <c r="I337" s="264"/>
      <c r="J337" s="264"/>
      <c r="K337" s="264"/>
      <c r="L337" s="264"/>
      <c r="M337" s="264"/>
      <c r="N337" s="264"/>
      <c r="O337" s="264"/>
      <c r="P337" s="264"/>
      <c r="Q337" s="264"/>
      <c r="AP337" s="59"/>
      <c r="AS337" s="59"/>
      <c r="AT337" s="78"/>
      <c r="AU337" s="78"/>
      <c r="AV337" s="60"/>
      <c r="AW337" s="59"/>
    </row>
    <row r="338" spans="2:49" ht="21.75" customHeight="1">
      <c r="B338" s="264"/>
      <c r="C338" s="264"/>
      <c r="D338" s="264"/>
      <c r="E338" s="264"/>
      <c r="F338" s="264"/>
      <c r="G338" s="264"/>
      <c r="H338" s="264"/>
      <c r="I338" s="264"/>
      <c r="J338" s="264"/>
      <c r="K338" s="264"/>
      <c r="L338" s="264"/>
      <c r="M338" s="264"/>
      <c r="N338" s="264"/>
      <c r="O338" s="264"/>
      <c r="P338" s="264"/>
      <c r="Q338" s="264"/>
      <c r="AP338" s="59"/>
      <c r="AS338" s="59"/>
      <c r="AT338" s="78"/>
      <c r="AU338" s="78"/>
      <c r="AV338" s="60"/>
      <c r="AW338" s="59"/>
    </row>
    <row r="339" spans="2:49" ht="21.75" customHeight="1">
      <c r="B339" s="170"/>
      <c r="C339" s="170"/>
      <c r="D339" s="170"/>
      <c r="E339" s="170"/>
      <c r="F339" s="170"/>
      <c r="G339" s="171"/>
      <c r="H339" s="171"/>
      <c r="I339" s="172"/>
      <c r="J339" s="170"/>
      <c r="K339" s="170"/>
      <c r="L339" s="170"/>
      <c r="M339" s="170"/>
      <c r="N339" s="170"/>
      <c r="O339" s="171"/>
      <c r="P339" s="171"/>
      <c r="Q339" s="171"/>
      <c r="AP339" s="59"/>
      <c r="AS339" s="59"/>
      <c r="AT339" s="78"/>
      <c r="AU339" s="78"/>
      <c r="AV339" s="60"/>
      <c r="AW339" s="59"/>
    </row>
    <row r="340" spans="2:49" ht="21.75" customHeight="1">
      <c r="B340" s="145" t="s">
        <v>620</v>
      </c>
      <c r="C340" s="170"/>
      <c r="D340" s="170"/>
      <c r="E340" s="170"/>
      <c r="F340" s="170"/>
      <c r="G340" s="171"/>
      <c r="H340" s="171"/>
      <c r="I340" s="172"/>
      <c r="J340" s="170"/>
      <c r="K340" s="170"/>
      <c r="L340" s="170"/>
      <c r="M340" s="170"/>
      <c r="N340" s="170"/>
      <c r="O340" s="171"/>
      <c r="P340" s="171"/>
      <c r="Q340" s="171"/>
      <c r="AP340" s="59"/>
      <c r="AS340" s="59"/>
      <c r="AT340" s="78"/>
      <c r="AU340" s="78"/>
      <c r="AV340" s="60"/>
      <c r="AW340" s="59"/>
    </row>
    <row r="341" spans="2:49" ht="21.75" customHeight="1">
      <c r="B341" s="263" t="s">
        <v>821</v>
      </c>
      <c r="C341" s="263"/>
      <c r="D341" s="263"/>
      <c r="E341" s="263"/>
      <c r="F341" s="263"/>
      <c r="G341" s="263"/>
      <c r="H341" s="263"/>
      <c r="I341" s="263"/>
      <c r="J341" s="263"/>
      <c r="K341" s="263"/>
      <c r="L341" s="263"/>
      <c r="M341" s="263"/>
      <c r="N341" s="263"/>
      <c r="O341" s="263"/>
      <c r="P341" s="263"/>
      <c r="Q341" s="263"/>
      <c r="AP341" s="59"/>
      <c r="AS341" s="59"/>
      <c r="AT341" s="78"/>
      <c r="AU341" s="78"/>
      <c r="AV341" s="60"/>
      <c r="AW341" s="59"/>
    </row>
    <row r="342" spans="2:49" ht="21.75" customHeight="1">
      <c r="B342" s="263"/>
      <c r="C342" s="263"/>
      <c r="D342" s="263"/>
      <c r="E342" s="263"/>
      <c r="F342" s="263"/>
      <c r="G342" s="263"/>
      <c r="H342" s="263"/>
      <c r="I342" s="263"/>
      <c r="J342" s="263"/>
      <c r="K342" s="263"/>
      <c r="L342" s="263"/>
      <c r="M342" s="263"/>
      <c r="N342" s="263"/>
      <c r="O342" s="263"/>
      <c r="P342" s="263"/>
      <c r="Q342" s="263"/>
      <c r="AP342" s="59"/>
      <c r="AS342" s="59"/>
      <c r="AT342" s="78"/>
      <c r="AU342" s="78"/>
      <c r="AV342" s="60"/>
      <c r="AW342" s="59"/>
    </row>
    <row r="343" spans="2:49" ht="21.75" customHeight="1">
      <c r="B343" s="265" t="str">
        <f ca="1">IF(
  COUNTBLANK(AQ344:AR346)=ROWS(AQ344:AR346)*COLUMNS(AQ344:AR346),
  "Las tasas base obtenidas en las escalas correspondientes a síndromes clínicos se encuentran por debajo del umbral menores (TB ≥ 75 a 85), por lo que, no se identifica la presencia de un cuadro clínico específico.",
  ""
)</f>
        <v/>
      </c>
      <c r="C343" s="265"/>
      <c r="D343" s="265"/>
      <c r="E343" s="265"/>
      <c r="F343" s="265"/>
      <c r="G343" s="265"/>
      <c r="H343" s="265"/>
      <c r="I343" s="265"/>
      <c r="J343" s="265"/>
      <c r="K343" s="265"/>
      <c r="L343" s="265"/>
      <c r="M343" s="265"/>
      <c r="N343" s="265"/>
      <c r="O343" s="265"/>
      <c r="P343" s="265"/>
      <c r="Q343" s="265"/>
      <c r="AP343" s="59"/>
      <c r="AQ343" s="141" t="s">
        <v>618</v>
      </c>
      <c r="AS343" s="59"/>
      <c r="AT343" s="78"/>
      <c r="AU343" s="78"/>
      <c r="AV343" s="60"/>
      <c r="AW343" s="59"/>
    </row>
    <row r="344" spans="2:49" ht="21.75" customHeight="1">
      <c r="B344" s="265"/>
      <c r="C344" s="265"/>
      <c r="D344" s="265"/>
      <c r="E344" s="265"/>
      <c r="F344" s="265"/>
      <c r="G344" s="265"/>
      <c r="H344" s="265"/>
      <c r="I344" s="265"/>
      <c r="J344" s="265"/>
      <c r="K344" s="265"/>
      <c r="L344" s="265"/>
      <c r="M344" s="265"/>
      <c r="N344" s="265"/>
      <c r="O344" s="265"/>
      <c r="P344" s="265"/>
      <c r="Q344" s="265"/>
      <c r="AP344" s="59"/>
      <c r="AQ344" s="58" t="str" cm="1">
        <f t="array" aca="1" ref="AQ344" ca="1">IF(
  SUMPRODUCT(($S$47:$S$57&gt;=85)*($S$47:$S$57&lt;=115.999))=0,
  "",
  INDEX(
    $B$47:$B$57,
    MATCH(
      _xlfn.AGGREGATE(
        14,6,
        ($S$47:$S$57+(ROW($S$47:$S$57)-ROW($S$47)+1)/10000)/
        (($S$47:$S$57&gt;=85)*($S$47:$S$57&lt;=115.999)),
        1
      ),
      $S$47:$S$57+(ROW($S$47:$S$57)-ROW($S$47)+1)/10000,
      0
    )
  )
)</f>
        <v>Síntomas somáticos</v>
      </c>
      <c r="AR344" s="58" t="str">
        <f ca="1">IF(AQ344="","",INDEX($AU$321:$AU$331,MATCH(AQ344,$AS$321:$AS$331,0)) &amp; " " &amp; INDEX($AT$321:$AT$331,MATCH(AQ344,$AS$321:$AS$331,0)) &amp; " ""(Prominente)""")</f>
        <v>300.82 (F45.1) Trastorno de síntomas somáticos "(Prominente)"</v>
      </c>
      <c r="AS344" s="59"/>
      <c r="AT344" s="78"/>
      <c r="AU344" s="78"/>
      <c r="AV344" s="60"/>
      <c r="AW344" s="59"/>
    </row>
    <row r="345" spans="2:49" ht="21.75" customHeight="1">
      <c r="B345" s="265"/>
      <c r="C345" s="265"/>
      <c r="D345" s="265"/>
      <c r="E345" s="265"/>
      <c r="F345" s="265"/>
      <c r="G345" s="265"/>
      <c r="H345" s="265"/>
      <c r="I345" s="265"/>
      <c r="J345" s="265"/>
      <c r="K345" s="265"/>
      <c r="L345" s="265"/>
      <c r="M345" s="265"/>
      <c r="N345" s="265"/>
      <c r="O345" s="265"/>
      <c r="P345" s="265"/>
      <c r="Q345" s="265"/>
      <c r="AP345" s="59"/>
      <c r="AQ345" s="58" t="str" cm="1">
        <f t="array" aca="1" ref="AQ345" ca="1">IF(
  SUMPRODUCT(($S$47:$S$57&gt;=85)*($S$47:$S$57&lt;=115.999))&lt;2,
  "",
  INDEX(
    $B$47:$B$57,
    MATCH(
      _xlfn.AGGREGATE(
        14,6,
        ($S$47:$S$57+(ROW($S$47:$S$57)-ROW($S$47)+1)/10000)/
        (($S$47:$S$57&gt;=85)*($S$47:$S$57&lt;=115.999)),
        2
      ),
      $S$47:$S$57+(ROW($S$47:$S$57)-ROW($S$47)+1)/10000,
      0
    )
  )
)</f>
        <v>Depresión persistente</v>
      </c>
      <c r="AR345" s="58" t="str">
        <f ca="1">IF(AQ345="","",INDEX($AU$321:$AU$331,MATCH(AQ345,$AS$321:$AS$331,0)) &amp; " " &amp; INDEX($AT$321:$AT$331,MATCH(AQ345,$AS$321:$AS$331,0)) &amp; " ""(Prominente)""")</f>
        <v>300.4 (F34.1) Trastorno depresivo persistente (Distimia) "(Prominente)"</v>
      </c>
      <c r="AS345" s="59"/>
      <c r="AT345" s="78"/>
      <c r="AU345" s="78"/>
      <c r="AV345" s="60"/>
      <c r="AW345" s="59"/>
    </row>
    <row r="346" spans="2:49" ht="21.75" customHeight="1">
      <c r="B346" s="170"/>
      <c r="C346" s="170"/>
      <c r="D346" s="170"/>
      <c r="E346" s="170" t="str">
        <f ca="1">IF(  AND(LEN(TRIM(AQ344))&gt;0, LEN(TRIM(AR344))&gt;0),  AR344,  " ")</f>
        <v>300.82 (F45.1) Trastorno de síntomas somáticos "(Prominente)"</v>
      </c>
      <c r="F346" s="170"/>
      <c r="G346" s="171"/>
      <c r="H346" s="171"/>
      <c r="I346" s="172"/>
      <c r="J346" s="170"/>
      <c r="K346" s="170"/>
      <c r="L346" s="170"/>
      <c r="M346" s="170"/>
      <c r="N346" s="170"/>
      <c r="O346" s="171"/>
      <c r="P346" s="171"/>
      <c r="Q346" s="171"/>
      <c r="AP346" s="59"/>
      <c r="AQ346" s="58" t="str" cm="1">
        <f t="array" aca="1" ref="AQ346" ca="1">IF(
  SUMPRODUCT(($S$47:$S$57&gt;=75)*($S$47:$S$57&lt;85))=0,
  "",
  INDEX(
    $B$47:$B$57,
    MATCH(
      _xlfn.AGGREGATE(
        14,6,
        ($S$47:$S$57+(ROW($S$47:$S$57)-ROW($S$47)+1)/10000)/
        (($S$47:$S$57&gt;=75)*($S$47:$S$57&lt;85)),
        1
      ),
      $S$47:$S$57+(ROW($S$47:$S$57)-ROW($S$47)+1)/10000,
      0
    )
  )
)</f>
        <v/>
      </c>
      <c r="AR346" s="58" t="str">
        <f ca="1">IF(AQ346="","",INDEX($AU$321:$AU$331,MATCH(AQ346,$AS$321:$AS$331,0)) &amp; " " &amp; INDEX($AT$321:$AT$331,MATCH(AQ346,$AS$321:$AS$331,0)) &amp; " ""(Presente)""")</f>
        <v/>
      </c>
      <c r="AS346" s="59"/>
      <c r="AT346" s="78"/>
      <c r="AU346" s="78"/>
      <c r="AV346" s="60"/>
      <c r="AW346" s="59"/>
    </row>
    <row r="347" spans="2:49" ht="21.75" customHeight="1">
      <c r="B347" s="170"/>
      <c r="C347" s="170"/>
      <c r="D347" s="170"/>
      <c r="E347" s="173" t="str">
        <f ca="1">IF(  AND(  LEN(TRIM(AQ345))=0, LEN(TRIM(AR345))=0 ), "", AR345)</f>
        <v>300.4 (F34.1) Trastorno depresivo persistente (Distimia) "(Prominente)"</v>
      </c>
      <c r="F347" s="170"/>
      <c r="G347" s="171"/>
      <c r="H347" s="171"/>
      <c r="I347" s="172"/>
      <c r="J347" s="170"/>
      <c r="K347" s="170"/>
      <c r="L347" s="170"/>
      <c r="M347" s="170"/>
      <c r="N347" s="170"/>
      <c r="O347" s="171"/>
      <c r="P347" s="171"/>
      <c r="Q347" s="171"/>
      <c r="AP347" s="59"/>
      <c r="AS347" s="59"/>
      <c r="AT347" s="78"/>
      <c r="AU347" s="78"/>
      <c r="AV347" s="60"/>
      <c r="AW347" s="59"/>
    </row>
    <row r="348" spans="2:49" ht="21.75" customHeight="1">
      <c r="B348" s="170"/>
      <c r="C348" s="170"/>
      <c r="D348" s="170"/>
      <c r="E348" s="174" t="str">
        <f ca="1">IF(  AND(  LEN(TRIM(AQ346))=0, LEN(TRIM(AR346))=0 ), "", AR346)</f>
        <v/>
      </c>
      <c r="F348" s="170"/>
      <c r="G348" s="171"/>
      <c r="H348" s="171"/>
      <c r="I348" s="172"/>
      <c r="J348" s="170"/>
      <c r="K348" s="170"/>
      <c r="L348" s="170"/>
      <c r="M348" s="170"/>
      <c r="N348" s="170"/>
      <c r="O348" s="171"/>
      <c r="P348" s="171"/>
      <c r="Q348" s="171"/>
      <c r="AP348" s="59"/>
      <c r="AS348" s="59"/>
      <c r="AT348" s="78"/>
      <c r="AU348" s="78"/>
      <c r="AV348" s="60"/>
      <c r="AW348" s="59"/>
    </row>
    <row r="349" spans="2:49" ht="21.75" customHeight="1">
      <c r="B349" s="170"/>
      <c r="C349" s="170"/>
      <c r="D349" s="170"/>
      <c r="E349" s="170"/>
      <c r="F349" s="170"/>
      <c r="G349" s="171"/>
      <c r="H349" s="171"/>
      <c r="I349" s="172"/>
      <c r="J349" s="170"/>
      <c r="K349" s="170"/>
      <c r="L349" s="170"/>
      <c r="M349" s="170"/>
      <c r="N349" s="170"/>
      <c r="O349" s="171"/>
      <c r="P349" s="171"/>
      <c r="Q349" s="171"/>
      <c r="AP349" s="59"/>
      <c r="AS349" s="59"/>
      <c r="AT349" s="78"/>
      <c r="AU349" s="78"/>
      <c r="AV349" s="60"/>
      <c r="AW349" s="59"/>
    </row>
    <row r="350" spans="2:49" ht="21.75" customHeight="1">
      <c r="B350" s="145" t="s">
        <v>669</v>
      </c>
      <c r="C350" s="170"/>
      <c r="D350" s="170"/>
      <c r="E350" s="170"/>
      <c r="F350" s="170"/>
      <c r="G350" s="171"/>
      <c r="H350" s="171"/>
      <c r="I350" s="172"/>
      <c r="J350" s="170"/>
      <c r="K350" s="170"/>
      <c r="L350" s="170"/>
      <c r="M350" s="170"/>
      <c r="N350" s="170"/>
      <c r="O350" s="171"/>
      <c r="P350" s="171"/>
      <c r="Q350" s="171"/>
      <c r="AP350" s="59"/>
      <c r="AS350" s="59"/>
      <c r="AT350" s="78"/>
      <c r="AU350" s="78"/>
      <c r="AV350" s="60"/>
      <c r="AW350" s="59"/>
    </row>
    <row r="351" spans="2:49" ht="21.75" customHeight="1">
      <c r="B351" s="263" t="s">
        <v>670</v>
      </c>
      <c r="C351" s="263"/>
      <c r="D351" s="263"/>
      <c r="E351" s="263"/>
      <c r="F351" s="263"/>
      <c r="G351" s="263"/>
      <c r="H351" s="263"/>
      <c r="I351" s="263"/>
      <c r="J351" s="263"/>
      <c r="K351" s="263"/>
      <c r="L351" s="263"/>
      <c r="M351" s="263"/>
      <c r="N351" s="263"/>
      <c r="O351" s="263"/>
      <c r="P351" s="263"/>
      <c r="Q351" s="263"/>
      <c r="AP351" s="59"/>
      <c r="AQ351" s="141" t="s">
        <v>671</v>
      </c>
      <c r="AS351" s="59"/>
      <c r="AT351" s="78"/>
      <c r="AU351" s="78"/>
      <c r="AV351" s="60"/>
      <c r="AW351" s="59"/>
    </row>
    <row r="352" spans="2:49" ht="21.75" customHeight="1">
      <c r="B352" s="263"/>
      <c r="C352" s="263"/>
      <c r="D352" s="263"/>
      <c r="E352" s="263"/>
      <c r="F352" s="263"/>
      <c r="G352" s="263"/>
      <c r="H352" s="263"/>
      <c r="I352" s="263"/>
      <c r="J352" s="263"/>
      <c r="K352" s="263"/>
      <c r="L352" s="263"/>
      <c r="M352" s="263"/>
      <c r="N352" s="263"/>
      <c r="O352" s="263"/>
      <c r="P352" s="263"/>
      <c r="Q352" s="263"/>
      <c r="AP352" s="59"/>
      <c r="AQ352" s="58" t="str" cm="1">
        <f t="array" aca="1" ref="AQ352" ca="1">IF(
  SUMPRODUCT(($S$27:$S$42&gt;=85)*($S$27:$S$42&lt;=115.999))&lt;1,
  "",
  INDEX($B$27:$B$42,
    MATCH(
      _xlfn.AGGREGATE(14,6,
        ($S$27:$S$42+(ROW($S$27:$S$42)-ROW($S$27)+1)/10000)/
        (($S$27:$S$42&gt;=85)*($S$27:$S$42&lt;=115.999)),
        1
      ),
      $S$27:$S$42+(ROW($S$27:$S$42)-ROW($S$27)+1)/10000,
      0
    )
  )
)</f>
        <v>Esquizoide</v>
      </c>
      <c r="AR352" s="58" t="str">
        <f ca="1">IF(AQ352="","",INDEX($AU$299:$AU$318,MATCH(AQ352,$AS$299:$AS$318,0)) &amp; " " &amp;INDEX($AT$299:$AT$318,MATCH(AQ352,$AS$299:$AS$318,0)))</f>
        <v xml:space="preserve"> 301.20 (F60.1) Trastorno de la personalidad esquizoide</v>
      </c>
      <c r="AS352" s="59"/>
      <c r="AT352" s="78"/>
      <c r="AU352" s="78"/>
      <c r="AV352" s="60"/>
      <c r="AW352" s="59"/>
    </row>
    <row r="353" spans="2:49" ht="21.75" customHeight="1">
      <c r="B353" s="263"/>
      <c r="C353" s="263"/>
      <c r="D353" s="263"/>
      <c r="E353" s="263"/>
      <c r="F353" s="263"/>
      <c r="G353" s="263"/>
      <c r="H353" s="263"/>
      <c r="I353" s="263"/>
      <c r="J353" s="263"/>
      <c r="K353" s="263"/>
      <c r="L353" s="263"/>
      <c r="M353" s="263"/>
      <c r="N353" s="263"/>
      <c r="O353" s="263"/>
      <c r="P353" s="263"/>
      <c r="Q353" s="263"/>
      <c r="AP353" s="59"/>
      <c r="AQ353" s="58" t="str" cm="1">
        <f t="array" aca="1" ref="AQ353" ca="1">IF(
  SUMPRODUCT(($S$27:$S$42&gt;=85)*($S$27:$S$42&lt;=115.999))&lt;2,
  "",
  INDEX($B$27:$B$42,
    MATCH(
      _xlfn.AGGREGATE(14,6,
        ($S$27:$S$42+(ROW($S$27:$S$42)-ROW($S$27)+1)/10000)/
        (($S$27:$S$42&gt;=85)*($S$27:$S$42&lt;=115.999)),
        2
      ),
      $S$27:$S$42+(ROW($S$27:$S$42)-ROW($S$27)+1)/10000,
      0
    )
  )
)</f>
        <v/>
      </c>
      <c r="AR353" s="58" t="str">
        <f ca="1">IF(AQ353="","",INDEX($AU$299:$AU$318,MATCH(AQ353,$AS$299:$AS$318,0)) &amp; " " &amp;INDEX($AT$299:$AT$318,MATCH(AQ353,$AS$299:$AS$318,0)))</f>
        <v/>
      </c>
      <c r="AS353" s="59"/>
      <c r="AT353" s="78"/>
      <c r="AU353" s="78"/>
      <c r="AV353" s="60"/>
      <c r="AW353" s="59"/>
    </row>
    <row r="354" spans="2:49" ht="27.75" customHeight="1">
      <c r="B354" s="263"/>
      <c r="C354" s="263"/>
      <c r="D354" s="263"/>
      <c r="E354" s="263"/>
      <c r="F354" s="263"/>
      <c r="G354" s="263"/>
      <c r="H354" s="263"/>
      <c r="I354" s="263"/>
      <c r="J354" s="263"/>
      <c r="K354" s="263"/>
      <c r="L354" s="263"/>
      <c r="M354" s="263"/>
      <c r="N354" s="263"/>
      <c r="O354" s="263"/>
      <c r="P354" s="263"/>
      <c r="Q354" s="263"/>
      <c r="AP354" s="59"/>
      <c r="AQ354" s="58" t="str" cm="1">
        <f t="array" aca="1" ref="AQ354" ca="1">IF(
  SUMPRODUCT(($S$27:$S$42&gt;=85)*($S$27:$S$42&lt;=115.999))&lt;3,
  "",
  INDEX($B$27:$B$42,
    MATCH(
      _xlfn.AGGREGATE(14,6,
        ($S$27:$S$42+(ROW($S$27:$S$42)-ROW($S$27)+1)/10000)/
        (($S$27:$S$42&gt;=85)*($S$27:$S$42&lt;=115.999)),
        3
      ),
      $S$27:$S$42+(ROW($S$27:$S$42)-ROW($S$27)+1)/10000,
      0
    )
  )
)</f>
        <v/>
      </c>
      <c r="AR354" s="58" t="str">
        <f ca="1">IF(AQ354="","",INDEX($AU$299:$AU$318,MATCH(AQ354,$AS$299:$AS$318,0)) &amp; " " &amp;INDEX($AT$299:$AT$318,MATCH(AQ354,$AS$299:$AS$318,0)))</f>
        <v/>
      </c>
      <c r="AS354" s="59"/>
      <c r="AT354" s="78"/>
      <c r="AU354" s="78"/>
      <c r="AV354" s="60"/>
      <c r="AW354" s="59"/>
    </row>
    <row r="355" spans="2:49" ht="31.5" customHeight="1">
      <c r="B355" s="263"/>
      <c r="C355" s="263"/>
      <c r="D355" s="263"/>
      <c r="E355" s="263"/>
      <c r="F355" s="263"/>
      <c r="G355" s="263"/>
      <c r="H355" s="263"/>
      <c r="I355" s="263"/>
      <c r="J355" s="263"/>
      <c r="K355" s="263"/>
      <c r="L355" s="263"/>
      <c r="M355" s="263"/>
      <c r="N355" s="263"/>
      <c r="O355" s="263"/>
      <c r="P355" s="263"/>
      <c r="Q355" s="263"/>
      <c r="AP355" s="59"/>
      <c r="AQ355" s="58" t="str" cm="1">
        <f t="array" aca="1" ref="AQ355" ca="1">IF(
  SUMPRODUCT(($S$27:$S$42&gt;=75)*($S$27:$S$42&lt;85))&lt;1,
  "",
  INDEX($B$27:$B$42,
    MATCH(
      _xlfn.AGGREGATE(14,6,
        ($S$27:$S$42+(ROW($S$27:$S$42)-ROW($S$27)+1)/10000)/
        (($S$27:$S$42&gt;=75)*($S$27:$S$42&lt;85)),
        1
      ),
      $S$27:$S$42+(ROW($S$27:$S$42)-ROW($S$27)+1)/10000,
      0
    )
  )
)</f>
        <v>Compulsivo</v>
      </c>
      <c r="AR355" s="58" t="str">
        <f ca="1">IF(AQ355="","",VLOOKUP(AQ355,$AS$299:$AW$318,4,0))</f>
        <v>Tipo de personalidad obsesivo-compulsiva</v>
      </c>
      <c r="AS355" s="59"/>
      <c r="AT355" s="78"/>
      <c r="AU355" s="78"/>
      <c r="AV355" s="60"/>
      <c r="AW355" s="59"/>
    </row>
    <row r="356" spans="2:49" ht="21.75" customHeight="1">
      <c r="B356" s="170"/>
      <c r="C356" s="170"/>
      <c r="D356" s="170"/>
      <c r="E356" s="170" t="str">
        <f ca="1">IF(  AND(LEN(TRIM(AQ352))&gt;0, LEN(TRIM(AR352))&gt;0),  AR352,  " ")</f>
        <v xml:space="preserve"> 301.20 (F60.1) Trastorno de la personalidad esquizoide</v>
      </c>
      <c r="F356" s="170"/>
      <c r="G356" s="171"/>
      <c r="H356" s="171"/>
      <c r="I356" s="172"/>
      <c r="J356" s="170"/>
      <c r="K356" s="170"/>
      <c r="L356" s="170"/>
      <c r="M356" s="170"/>
      <c r="N356" s="170"/>
      <c r="O356" s="171"/>
      <c r="P356" s="171"/>
      <c r="Q356" s="171"/>
      <c r="AP356" s="59"/>
      <c r="AQ356" s="58" t="str" cm="1">
        <f t="array" aca="1" ref="AQ356" ca="1">IF(
  SUMPRODUCT(($S$27:$S$42&gt;=60)*($S$27:$S$42&lt;75))&lt;1,
  "",
  INDEX($B$27:$B$42,
    MATCH(
      _xlfn.AGGREGATE(14,6,
        ($S$27:$S$42+(ROW($S$27:$S$42)-ROW($S$27)+1)/10000)/
        (($S$27:$S$42&gt;=60)*($S$27:$S$42&lt;75)),
        1
      ),
      $S$27:$S$42+(ROW($S$27:$S$42)-ROW($S$27)+1)/10000,
      0
    )
  )
)</f>
        <v>Melancólico</v>
      </c>
      <c r="AR356" s="58" t="str">
        <f ca="1">IF(AQ356="","",VLOOKUP(AQ356,$AS$299:$AW$318,5,0))</f>
        <v>Estilo de personalidad especificado (Patrón Melancólico)</v>
      </c>
      <c r="AS356" s="59"/>
      <c r="AT356" s="78"/>
      <c r="AU356" s="78"/>
      <c r="AV356" s="60"/>
      <c r="AW356" s="59"/>
    </row>
    <row r="357" spans="2:49" ht="21.75" customHeight="1">
      <c r="B357" s="170"/>
      <c r="C357" s="170"/>
      <c r="D357" s="170"/>
      <c r="E357" s="170" t="str">
        <f ca="1">IF(  AND(LEN(TRIM(AQ353))&gt;0, LEN(TRIM(AR353))&gt;0),  AR353,  " ")</f>
        <v xml:space="preserve"> </v>
      </c>
      <c r="F357" s="170"/>
      <c r="G357" s="171"/>
      <c r="H357" s="171"/>
      <c r="I357" s="172"/>
      <c r="J357" s="170"/>
      <c r="K357" s="170"/>
      <c r="L357" s="170"/>
      <c r="M357" s="170"/>
      <c r="N357" s="170"/>
      <c r="O357" s="171"/>
      <c r="P357" s="171"/>
      <c r="Q357" s="171"/>
      <c r="AP357" s="59"/>
      <c r="AS357" s="59"/>
      <c r="AT357" s="78"/>
      <c r="AU357" s="78"/>
      <c r="AV357" s="60"/>
      <c r="AW357" s="59"/>
    </row>
    <row r="358" spans="2:49" ht="21.75" customHeight="1">
      <c r="B358" s="170"/>
      <c r="C358" s="170"/>
      <c r="D358" s="170"/>
      <c r="E358" s="170" t="str">
        <f ca="1">IF(  AND(LEN(TRIM(AQ354))&gt;0, LEN(TRIM(AR354))&gt;0),  AR354,  " ")</f>
        <v xml:space="preserve"> </v>
      </c>
      <c r="F358" s="170"/>
      <c r="G358" s="171"/>
      <c r="H358" s="171"/>
      <c r="I358" s="172"/>
      <c r="J358" s="170"/>
      <c r="K358" s="170"/>
      <c r="L358" s="170"/>
      <c r="M358" s="170"/>
      <c r="N358" s="170"/>
      <c r="O358" s="171"/>
      <c r="P358" s="171"/>
      <c r="Q358" s="171"/>
      <c r="AP358" s="59"/>
      <c r="AS358" s="59"/>
      <c r="AT358" s="78"/>
      <c r="AU358" s="78"/>
      <c r="AV358" s="60"/>
      <c r="AW358" s="59"/>
    </row>
    <row r="359" spans="2:49" ht="21.75" customHeight="1">
      <c r="B359" s="170"/>
      <c r="C359" s="170"/>
      <c r="D359" s="170"/>
      <c r="E359" s="173" t="str">
        <f ca="1">IF(  AND(LEN(TRIM(AQ355))&gt;0, LEN(TRIM(AR355))&gt;0),  AR355,  " ")</f>
        <v>Tipo de personalidad obsesivo-compulsiva</v>
      </c>
      <c r="F359" s="170"/>
      <c r="G359" s="171"/>
      <c r="H359" s="171"/>
      <c r="I359" s="172"/>
      <c r="J359" s="170"/>
      <c r="K359" s="170"/>
      <c r="L359" s="170"/>
      <c r="M359" s="170"/>
      <c r="N359" s="170"/>
      <c r="O359" s="171"/>
      <c r="P359" s="171"/>
      <c r="Q359" s="171"/>
    </row>
    <row r="360" spans="2:49" ht="21.75" customHeight="1">
      <c r="B360" s="170"/>
      <c r="C360" s="170"/>
      <c r="D360" s="170"/>
      <c r="E360" s="175" t="str">
        <f ca="1">IF(  AND(LEN(TRIM(AQ356))&gt;0, LEN(TRIM(AR356))&gt;0),  AR356,  " ")</f>
        <v>Estilo de personalidad especificado (Patrón Melancólico)</v>
      </c>
      <c r="F360" s="170"/>
      <c r="G360" s="171"/>
      <c r="H360" s="171"/>
      <c r="I360" s="172"/>
      <c r="J360" s="170"/>
      <c r="K360" s="170"/>
      <c r="L360" s="170"/>
      <c r="M360" s="170"/>
      <c r="N360" s="170"/>
      <c r="O360" s="171"/>
      <c r="P360" s="171"/>
      <c r="Q360" s="171"/>
    </row>
    <row r="361" spans="2:49">
      <c r="B361" s="145" t="s">
        <v>697</v>
      </c>
      <c r="C361" s="170"/>
      <c r="D361" s="170"/>
      <c r="E361" s="170"/>
      <c r="F361" s="170"/>
      <c r="G361" s="171"/>
      <c r="H361" s="171"/>
      <c r="I361" s="172"/>
      <c r="J361" s="170"/>
      <c r="K361" s="170"/>
      <c r="L361" s="170"/>
      <c r="M361" s="170"/>
      <c r="N361" s="170"/>
      <c r="O361" s="171"/>
      <c r="P361" s="171"/>
      <c r="Q361" s="171"/>
    </row>
    <row r="362" spans="2:49" ht="8.25" customHeight="1">
      <c r="B362" s="170"/>
      <c r="C362" s="170"/>
      <c r="D362" s="170"/>
      <c r="E362" s="170"/>
      <c r="F362" s="170"/>
      <c r="G362" s="171"/>
      <c r="H362" s="171"/>
      <c r="I362" s="172"/>
      <c r="J362" s="170"/>
      <c r="K362" s="170"/>
      <c r="L362" s="170"/>
      <c r="M362" s="170"/>
      <c r="N362" s="170"/>
      <c r="O362" s="171"/>
      <c r="P362" s="171"/>
      <c r="Q362" s="171"/>
    </row>
    <row r="363" spans="2:49">
      <c r="B363" s="170" t="s">
        <v>698</v>
      </c>
      <c r="C363" s="170"/>
      <c r="D363" s="170"/>
      <c r="E363" s="170"/>
      <c r="F363" s="170"/>
      <c r="G363" s="171"/>
      <c r="H363" s="171"/>
      <c r="I363" s="172"/>
      <c r="J363" s="170"/>
      <c r="K363" s="170"/>
      <c r="L363" s="170"/>
      <c r="M363" s="170"/>
      <c r="N363" s="170"/>
      <c r="O363" s="171"/>
      <c r="P363" s="171"/>
      <c r="Q363" s="171"/>
    </row>
    <row r="364" spans="2:49"/>
    <row r="365" spans="2:49"/>
    <row r="404"/>
    <row r="405"/>
    <row r="417" spans="22:22"/>
    <row r="418" spans="22:22"/>
    <row r="419" spans="22:22"/>
    <row r="420" spans="22:22" hidden="1">
      <c r="V420" s="179"/>
    </row>
    <row r="421" spans="22:22" hidden="1">
      <c r="V421" s="179"/>
    </row>
    <row r="422" spans="22:22" hidden="1">
      <c r="V422" s="179"/>
    </row>
    <row r="423" spans="22:22" hidden="1">
      <c r="V423" s="179"/>
    </row>
    <row r="424" spans="22:22" hidden="1">
      <c r="V424" s="179"/>
    </row>
    <row r="425" spans="22:22" hidden="1">
      <c r="V425" s="179"/>
    </row>
    <row r="426" spans="22:22" hidden="1">
      <c r="V426" s="179"/>
    </row>
    <row r="427" spans="22:22" hidden="1">
      <c r="V427" s="179"/>
    </row>
    <row r="428" spans="22:22" hidden="1">
      <c r="V428" s="179"/>
    </row>
    <row r="429" spans="22:22" hidden="1">
      <c r="V429" s="179"/>
    </row>
    <row r="430" spans="22:22" hidden="1">
      <c r="V430" s="179"/>
    </row>
    <row r="431" spans="22:22" hidden="1">
      <c r="V431" s="179"/>
    </row>
    <row r="432" spans="22:22" hidden="1">
      <c r="V432" s="179"/>
    </row>
    <row r="433" spans="22:22" hidden="1">
      <c r="V433" s="179"/>
    </row>
    <row r="434" spans="22:22" hidden="1">
      <c r="V434" s="179"/>
    </row>
    <row r="435" spans="22:22" hidden="1">
      <c r="V435" s="179"/>
    </row>
    <row r="436" spans="22:22" hidden="1">
      <c r="V436" s="179"/>
    </row>
    <row r="437" spans="22:22" hidden="1">
      <c r="V437" s="179"/>
    </row>
    <row r="438" spans="22:22" hidden="1">
      <c r="V438" s="179"/>
    </row>
    <row r="439" spans="22:22" hidden="1">
      <c r="V439" s="179"/>
    </row>
    <row r="440" spans="22:22" hidden="1">
      <c r="V440" s="179"/>
    </row>
    <row r="441" spans="22:22" hidden="1">
      <c r="V441" s="179"/>
    </row>
    <row r="442" spans="22:22" hidden="1">
      <c r="V442" s="179"/>
    </row>
    <row r="443" spans="22:22" hidden="1">
      <c r="V443" s="179"/>
    </row>
    <row r="444" spans="22:22" hidden="1">
      <c r="V444" s="179"/>
    </row>
    <row r="445" spans="22:22" hidden="1">
      <c r="V445" s="179"/>
    </row>
    <row r="446" spans="22:22" hidden="1">
      <c r="V446" s="179"/>
    </row>
    <row r="447" spans="22:22" hidden="1">
      <c r="V447" s="179"/>
    </row>
    <row r="448" spans="22:22" hidden="1">
      <c r="V448" s="179"/>
    </row>
    <row r="449" spans="22:22" hidden="1">
      <c r="V449" s="179"/>
    </row>
    <row r="450" spans="22:22" hidden="1">
      <c r="V450" s="179"/>
    </row>
    <row r="451" spans="22:22" hidden="1">
      <c r="V451" s="179"/>
    </row>
    <row r="452" spans="22:22" hidden="1">
      <c r="V452" s="179"/>
    </row>
    <row r="453" spans="22:22" hidden="1">
      <c r="V453" s="179"/>
    </row>
    <row r="454" spans="22:22" hidden="1">
      <c r="V454" s="179"/>
    </row>
    <row r="455" spans="22:22" hidden="1">
      <c r="V455" s="179"/>
    </row>
    <row r="456" spans="22:22" hidden="1">
      <c r="V456" s="179"/>
    </row>
    <row r="457" spans="22:22" hidden="1">
      <c r="V457" s="179"/>
    </row>
    <row r="458" spans="22:22" hidden="1">
      <c r="V458" s="179"/>
    </row>
    <row r="459" spans="22:22" hidden="1">
      <c r="V459" s="179"/>
    </row>
    <row r="460" spans="22:22" hidden="1">
      <c r="V460" s="179"/>
    </row>
    <row r="461" spans="22:22" hidden="1">
      <c r="V461" s="179"/>
    </row>
    <row r="462" spans="22:22" hidden="1">
      <c r="V462" s="179"/>
    </row>
    <row r="463" spans="22:22" hidden="1">
      <c r="V463" s="179"/>
    </row>
    <row r="464" spans="22:22" hidden="1">
      <c r="V464" s="179"/>
    </row>
  </sheetData>
  <mergeCells count="160">
    <mergeCell ref="B196:Q220"/>
    <mergeCell ref="B343:Q345"/>
    <mergeCell ref="B351:Q355"/>
    <mergeCell ref="B190:Q195"/>
    <mergeCell ref="B224:Q225"/>
    <mergeCell ref="B332:Q338"/>
    <mergeCell ref="B341:Q342"/>
    <mergeCell ref="B251:Q252"/>
    <mergeCell ref="B161:Q172"/>
    <mergeCell ref="B174:Q176"/>
    <mergeCell ref="B177:Q187"/>
    <mergeCell ref="B247:Q248"/>
    <mergeCell ref="B256:Q257"/>
    <mergeCell ref="B292:Q293"/>
    <mergeCell ref="B313:Q314"/>
    <mergeCell ref="B320:Q321"/>
    <mergeCell ref="B237:Q238"/>
    <mergeCell ref="B275:Q276"/>
    <mergeCell ref="B315:Q316"/>
    <mergeCell ref="B300:Q301"/>
    <mergeCell ref="B304:Q305"/>
    <mergeCell ref="D108:F108"/>
    <mergeCell ref="L100:N100"/>
    <mergeCell ref="L102:N102"/>
    <mergeCell ref="D122:F122"/>
    <mergeCell ref="D110:F110"/>
    <mergeCell ref="D112:F112"/>
    <mergeCell ref="D113:F113"/>
    <mergeCell ref="L120:N120"/>
    <mergeCell ref="L114:N114"/>
    <mergeCell ref="L115:N115"/>
    <mergeCell ref="L117:N117"/>
    <mergeCell ref="L118:N118"/>
    <mergeCell ref="L119:N119"/>
    <mergeCell ref="D100:F100"/>
    <mergeCell ref="D102:F102"/>
    <mergeCell ref="D109:F109"/>
    <mergeCell ref="J69:Q69"/>
    <mergeCell ref="B53:E53"/>
    <mergeCell ref="B55:E55"/>
    <mergeCell ref="B56:E56"/>
    <mergeCell ref="B136:Q141"/>
    <mergeCell ref="B142:Q144"/>
    <mergeCell ref="B146:Q154"/>
    <mergeCell ref="B156:Q160"/>
    <mergeCell ref="D124:F124"/>
    <mergeCell ref="D125:F125"/>
    <mergeCell ref="L103:N103"/>
    <mergeCell ref="L104:N104"/>
    <mergeCell ref="L105:N105"/>
    <mergeCell ref="L107:N107"/>
    <mergeCell ref="D117:F117"/>
    <mergeCell ref="D118:F118"/>
    <mergeCell ref="D119:F119"/>
    <mergeCell ref="D120:F120"/>
    <mergeCell ref="L108:N108"/>
    <mergeCell ref="L109:N109"/>
    <mergeCell ref="L110:N110"/>
    <mergeCell ref="L112:N112"/>
    <mergeCell ref="L113:N113"/>
    <mergeCell ref="D103:F103"/>
    <mergeCell ref="B28:E28"/>
    <mergeCell ref="B29:E29"/>
    <mergeCell ref="B30:E30"/>
    <mergeCell ref="J44:Q44"/>
    <mergeCell ref="B31:E31"/>
    <mergeCell ref="B32:E32"/>
    <mergeCell ref="B33:E33"/>
    <mergeCell ref="B34:E34"/>
    <mergeCell ref="B35:E35"/>
    <mergeCell ref="B36:E36"/>
    <mergeCell ref="B37:E37"/>
    <mergeCell ref="B38:E38"/>
    <mergeCell ref="B39:I39"/>
    <mergeCell ref="G44:I44"/>
    <mergeCell ref="B44:F45"/>
    <mergeCell ref="B40:E40"/>
    <mergeCell ref="B41:E41"/>
    <mergeCell ref="B42:E42"/>
    <mergeCell ref="J17:Q17"/>
    <mergeCell ref="B13:F13"/>
    <mergeCell ref="B20:F20"/>
    <mergeCell ref="B21:F21"/>
    <mergeCell ref="B22:F22"/>
    <mergeCell ref="B17:F18"/>
    <mergeCell ref="G24:I24"/>
    <mergeCell ref="G15:H15"/>
    <mergeCell ref="M13:O13"/>
    <mergeCell ref="P6:Q6"/>
    <mergeCell ref="B62:D62"/>
    <mergeCell ref="P61:Q61"/>
    <mergeCell ref="M61:O61"/>
    <mergeCell ref="M15:O15"/>
    <mergeCell ref="G13:H13"/>
    <mergeCell ref="B7:D7"/>
    <mergeCell ref="B54:I54"/>
    <mergeCell ref="B46:I46"/>
    <mergeCell ref="B47:E47"/>
    <mergeCell ref="B48:E48"/>
    <mergeCell ref="B49:E49"/>
    <mergeCell ref="B50:E50"/>
    <mergeCell ref="B51:E51"/>
    <mergeCell ref="B52:E52"/>
    <mergeCell ref="B26:I26"/>
    <mergeCell ref="B27:E27"/>
    <mergeCell ref="J24:Q24"/>
    <mergeCell ref="B24:F25"/>
    <mergeCell ref="B19:I19"/>
    <mergeCell ref="B10:Q10"/>
    <mergeCell ref="B12:Q12"/>
    <mergeCell ref="B15:F15"/>
    <mergeCell ref="H17:I17"/>
    <mergeCell ref="B57:E57"/>
    <mergeCell ref="L92:N92"/>
    <mergeCell ref="L93:N93"/>
    <mergeCell ref="L94:N94"/>
    <mergeCell ref="L95:N95"/>
    <mergeCell ref="L97:N97"/>
    <mergeCell ref="L98:N98"/>
    <mergeCell ref="L99:N99"/>
    <mergeCell ref="L6:O6"/>
    <mergeCell ref="B78:E78"/>
    <mergeCell ref="B80:E80"/>
    <mergeCell ref="B81:E81"/>
    <mergeCell ref="B82:E82"/>
    <mergeCell ref="B72:E72"/>
    <mergeCell ref="B73:E73"/>
    <mergeCell ref="B74:E74"/>
    <mergeCell ref="B76:E76"/>
    <mergeCell ref="B77:E77"/>
    <mergeCell ref="B71:E71"/>
    <mergeCell ref="B75:E75"/>
    <mergeCell ref="B65:Q65"/>
    <mergeCell ref="B67:Q67"/>
    <mergeCell ref="B69:F70"/>
    <mergeCell ref="G69:I69"/>
    <mergeCell ref="L132:O132"/>
    <mergeCell ref="B133:D133"/>
    <mergeCell ref="P132:Q132"/>
    <mergeCell ref="L89:N89"/>
    <mergeCell ref="L90:N90"/>
    <mergeCell ref="D89:F89"/>
    <mergeCell ref="D90:F90"/>
    <mergeCell ref="B84:Q84"/>
    <mergeCell ref="B79:E79"/>
    <mergeCell ref="D88:F88"/>
    <mergeCell ref="L88:N88"/>
    <mergeCell ref="D114:F114"/>
    <mergeCell ref="D115:F115"/>
    <mergeCell ref="D92:F92"/>
    <mergeCell ref="D93:F93"/>
    <mergeCell ref="D94:F94"/>
    <mergeCell ref="D95:F95"/>
    <mergeCell ref="D97:F97"/>
    <mergeCell ref="D98:F98"/>
    <mergeCell ref="D123:F123"/>
    <mergeCell ref="D99:F99"/>
    <mergeCell ref="D104:F104"/>
    <mergeCell ref="D105:F105"/>
    <mergeCell ref="D107:F107"/>
  </mergeCells>
  <pageMargins left="0.7" right="0.7" top="0.75" bottom="0.75" header="0.3" footer="0.3"/>
  <pageSetup paperSize="9" orientation="portrait" horizontalDpi="4294967292"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BA529-C2EE-4A3C-941E-E7B156A124C0}">
  <dimension ref="B2:G25"/>
  <sheetViews>
    <sheetView workbookViewId="0">
      <selection activeCell="C10" sqref="C10"/>
    </sheetView>
  </sheetViews>
  <sheetFormatPr baseColWidth="10" defaultRowHeight="15"/>
  <cols>
    <col min="2" max="2" width="21" customWidth="1"/>
    <col min="3" max="3" width="19" customWidth="1"/>
    <col min="4" max="4" width="62.85546875" customWidth="1"/>
    <col min="5" max="5" width="40" customWidth="1"/>
    <col min="6" max="6" width="32.42578125" customWidth="1"/>
    <col min="7" max="7" width="15.28515625" customWidth="1"/>
  </cols>
  <sheetData>
    <row r="2" spans="2:7" ht="18.75">
      <c r="B2" s="196" t="s">
        <v>825</v>
      </c>
    </row>
    <row r="3" spans="2:7">
      <c r="B3" t="s">
        <v>826</v>
      </c>
    </row>
    <row r="4" spans="2:7">
      <c r="B4" s="197" t="s">
        <v>827</v>
      </c>
    </row>
    <row r="6" spans="2:7">
      <c r="B6" s="208" t="s">
        <v>828</v>
      </c>
      <c r="C6" s="208" t="s">
        <v>829</v>
      </c>
      <c r="D6" s="208" t="s">
        <v>830</v>
      </c>
      <c r="E6" s="208" t="s">
        <v>831</v>
      </c>
      <c r="F6" s="208" t="s">
        <v>832</v>
      </c>
      <c r="G6" s="208" t="s">
        <v>833</v>
      </c>
    </row>
    <row r="7" spans="2:7">
      <c r="B7" s="211">
        <v>1</v>
      </c>
      <c r="C7" s="209" t="s">
        <v>834</v>
      </c>
      <c r="D7" s="210" t="s">
        <v>835</v>
      </c>
      <c r="E7" s="210" t="s">
        <v>836</v>
      </c>
      <c r="F7" s="210" t="s">
        <v>837</v>
      </c>
      <c r="G7" s="211">
        <v>1</v>
      </c>
    </row>
    <row r="8" spans="2:7" ht="30">
      <c r="B8" s="211">
        <v>2</v>
      </c>
      <c r="C8" s="209" t="s">
        <v>838</v>
      </c>
      <c r="D8" s="210" t="s">
        <v>839</v>
      </c>
      <c r="E8" s="210" t="s">
        <v>836</v>
      </c>
      <c r="F8" s="210" t="s">
        <v>837</v>
      </c>
      <c r="G8" s="211">
        <v>1</v>
      </c>
    </row>
    <row r="9" spans="2:7">
      <c r="B9" s="211">
        <v>3</v>
      </c>
      <c r="C9" s="209" t="s">
        <v>840</v>
      </c>
      <c r="D9" s="210" t="s">
        <v>841</v>
      </c>
      <c r="E9" s="210" t="s">
        <v>836</v>
      </c>
      <c r="F9" s="210" t="s">
        <v>837</v>
      </c>
      <c r="G9" s="211">
        <v>1</v>
      </c>
    </row>
    <row r="10" spans="2:7">
      <c r="B10" s="211">
        <v>4</v>
      </c>
      <c r="C10" s="209" t="s">
        <v>842</v>
      </c>
      <c r="D10" s="210" t="s">
        <v>843</v>
      </c>
      <c r="E10" s="210" t="s">
        <v>836</v>
      </c>
      <c r="F10" s="210" t="s">
        <v>837</v>
      </c>
      <c r="G10" s="211">
        <v>1</v>
      </c>
    </row>
    <row r="11" spans="2:7" ht="30">
      <c r="B11" s="211">
        <v>5</v>
      </c>
      <c r="C11" s="209" t="s">
        <v>844</v>
      </c>
      <c r="D11" s="210" t="s">
        <v>845</v>
      </c>
      <c r="E11" s="210" t="s">
        <v>846</v>
      </c>
      <c r="F11" s="210" t="s">
        <v>847</v>
      </c>
      <c r="G11" s="211">
        <v>4</v>
      </c>
    </row>
    <row r="12" spans="2:7" ht="30">
      <c r="B12" s="211">
        <v>6</v>
      </c>
      <c r="C12" s="209" t="s">
        <v>848</v>
      </c>
      <c r="D12" s="210" t="s">
        <v>849</v>
      </c>
      <c r="E12" s="210" t="s">
        <v>846</v>
      </c>
      <c r="F12" s="210" t="s">
        <v>847</v>
      </c>
      <c r="G12" s="211">
        <v>1</v>
      </c>
    </row>
    <row r="13" spans="2:7" ht="30">
      <c r="B13" s="211">
        <v>7</v>
      </c>
      <c r="C13" s="209" t="s">
        <v>850</v>
      </c>
      <c r="D13" s="210" t="s">
        <v>851</v>
      </c>
      <c r="E13" s="210" t="s">
        <v>852</v>
      </c>
      <c r="F13" s="210" t="s">
        <v>853</v>
      </c>
      <c r="G13" s="211">
        <v>13</v>
      </c>
    </row>
    <row r="15" spans="2:7" ht="15.75">
      <c r="B15" s="198" t="s">
        <v>854</v>
      </c>
    </row>
    <row r="16" spans="2:7">
      <c r="B16" s="205" t="s">
        <v>855</v>
      </c>
      <c r="C16" s="206" t="s">
        <v>216</v>
      </c>
      <c r="D16" s="206" t="s">
        <v>856</v>
      </c>
      <c r="E16" s="207" t="s">
        <v>857</v>
      </c>
    </row>
    <row r="17" spans="2:5">
      <c r="B17" s="199" t="s">
        <v>858</v>
      </c>
      <c r="C17" s="212">
        <f ca="1">Perfil!I40</f>
        <v>63</v>
      </c>
      <c r="D17" s="200" t="s">
        <v>859</v>
      </c>
      <c r="E17" s="201" t="s">
        <v>860</v>
      </c>
    </row>
    <row r="18" spans="2:5">
      <c r="B18" s="199" t="s">
        <v>861</v>
      </c>
      <c r="C18" s="212">
        <f ca="1">Perfil!I41</f>
        <v>56</v>
      </c>
      <c r="D18" s="200" t="s">
        <v>859</v>
      </c>
      <c r="E18" s="201" t="s">
        <v>860</v>
      </c>
    </row>
    <row r="19" spans="2:5">
      <c r="B19" s="202" t="s">
        <v>862</v>
      </c>
      <c r="C19" s="213">
        <f ca="1">Perfil!I42</f>
        <v>43</v>
      </c>
      <c r="D19" s="203" t="s">
        <v>863</v>
      </c>
      <c r="E19" s="204" t="s">
        <v>864</v>
      </c>
    </row>
    <row r="21" spans="2:5">
      <c r="B21" t="s">
        <v>865</v>
      </c>
      <c r="C21" t="str">
        <f ca="1">LEFT(Perfil!B161,180)&amp;"..."</f>
        <v>El perfil del evaluado(a) refleja, como configuración principal del estilo básico de la personalidad, un trastorno clínicamente significativo de la personalidad de tipo esquizoide....</v>
      </c>
    </row>
    <row r="23" spans="2:5" ht="15.75">
      <c r="B23" s="198" t="s">
        <v>866</v>
      </c>
    </row>
    <row r="24" spans="2:5">
      <c r="B24" t="s">
        <v>867</v>
      </c>
    </row>
    <row r="25" spans="2:5">
      <c r="B25" t="s">
        <v>868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323FC-BA3D-4338-913B-6B5A2069E878}">
  <sheetPr codeName="Hoja4"/>
  <dimension ref="A1:X128"/>
  <sheetViews>
    <sheetView showGridLines="0" zoomScale="85" zoomScaleNormal="85" workbookViewId="0">
      <selection activeCell="F12" sqref="F12"/>
    </sheetView>
  </sheetViews>
  <sheetFormatPr baseColWidth="10" defaultColWidth="0" defaultRowHeight="14.25" zeroHeight="1"/>
  <cols>
    <col min="1" max="1" width="9.140625" style="36" customWidth="1"/>
    <col min="2" max="2" width="40.85546875" style="36" bestFit="1" customWidth="1"/>
    <col min="3" max="3" width="5.140625" style="7" customWidth="1"/>
    <col min="4" max="4" width="9.140625" style="37" customWidth="1"/>
    <col min="5" max="7" width="9.140625" style="7" customWidth="1"/>
    <col min="8" max="8" width="13.85546875" style="7" bestFit="1" customWidth="1"/>
    <col min="9" max="11" width="11.42578125" style="36" customWidth="1"/>
    <col min="12" max="12" width="11.140625" style="37" customWidth="1"/>
    <col min="13" max="14" width="11.140625" style="7" customWidth="1"/>
    <col min="15" max="15" width="11.42578125" style="36" customWidth="1"/>
    <col min="16" max="18" width="9.7109375" style="7" customWidth="1"/>
    <col min="19" max="21" width="11.42578125" style="36" customWidth="1"/>
    <col min="22" max="23" width="5.28515625" style="36" customWidth="1"/>
    <col min="24" max="24" width="11.42578125" style="36" customWidth="1"/>
    <col min="25" max="16384" width="11.42578125" style="36" hidden="1"/>
  </cols>
  <sheetData>
    <row r="1" spans="2:23"/>
    <row r="2" spans="2:23" ht="15">
      <c r="B2" s="33" t="s">
        <v>218</v>
      </c>
      <c r="D2" s="34" t="s">
        <v>215</v>
      </c>
      <c r="E2" s="35" t="s">
        <v>216</v>
      </c>
      <c r="H2" s="35" t="s">
        <v>294</v>
      </c>
      <c r="L2" s="287" t="s">
        <v>261</v>
      </c>
      <c r="M2" s="287"/>
      <c r="N2" s="287"/>
      <c r="P2" s="288" t="s">
        <v>261</v>
      </c>
      <c r="Q2" s="288"/>
      <c r="R2" s="288"/>
    </row>
    <row r="3" spans="2:23" ht="15">
      <c r="B3" s="36" t="s">
        <v>219</v>
      </c>
      <c r="C3" s="7" t="s">
        <v>222</v>
      </c>
      <c r="D3" s="37">
        <f>+Perfil!H20</f>
        <v>50</v>
      </c>
      <c r="E3" s="7">
        <f>+VLOOKUP(Ajustes!D3,'Baremos Españoles'!$AC$6:$AF$120,2,0)</f>
        <v>62</v>
      </c>
      <c r="H3" s="7" t="str">
        <f ca="1">IF(AND(SUM(F10:F37)&lt;&gt;0,SUM(G10:G37)&lt;&gt;0),"X, A/CC",IF(SUM(F10:F37)&lt;&gt;0,"X",IF(SUM(G10:G37)&lt;&gt;0,"A/CC","Ninguno")))</f>
        <v>A/CC</v>
      </c>
      <c r="L3" s="34" t="s">
        <v>258</v>
      </c>
      <c r="M3" s="35" t="s">
        <v>259</v>
      </c>
      <c r="N3" s="35" t="s">
        <v>260</v>
      </c>
      <c r="P3" s="35" t="s">
        <v>262</v>
      </c>
      <c r="Q3" s="35" t="s">
        <v>263</v>
      </c>
      <c r="R3" s="35" t="s">
        <v>264</v>
      </c>
      <c r="U3" s="40" t="s">
        <v>248</v>
      </c>
      <c r="V3" s="36">
        <f ca="1">+E27</f>
        <v>95</v>
      </c>
      <c r="W3" s="36">
        <f ca="1">MAX(0, V3 - 75)</f>
        <v>20</v>
      </c>
    </row>
    <row r="4" spans="2:23" ht="15">
      <c r="B4" s="36" t="s">
        <v>220</v>
      </c>
      <c r="C4" s="7" t="s">
        <v>223</v>
      </c>
      <c r="D4" s="37">
        <f>+Perfil!H21</f>
        <v>8</v>
      </c>
      <c r="E4" s="7">
        <f>+VLOOKUP(Ajustes!D4,'Baremos Españoles'!$AC$6:$AF$120,3,0)</f>
        <v>39</v>
      </c>
      <c r="L4" s="7">
        <v>0</v>
      </c>
      <c r="M4" s="7">
        <v>10</v>
      </c>
      <c r="N4" s="7">
        <v>5</v>
      </c>
      <c r="P4" s="7">
        <v>0</v>
      </c>
      <c r="Q4" s="7">
        <v>0</v>
      </c>
      <c r="R4" s="7">
        <v>0</v>
      </c>
      <c r="U4" s="40" t="s">
        <v>256</v>
      </c>
      <c r="V4" s="36">
        <f ca="1">+E36</f>
        <v>85</v>
      </c>
      <c r="W4" s="36">
        <f ca="1">MAX(0, V4 - 75)</f>
        <v>10</v>
      </c>
    </row>
    <row r="5" spans="2:23" ht="15">
      <c r="B5" s="36" t="s">
        <v>221</v>
      </c>
      <c r="C5" s="7" t="s">
        <v>224</v>
      </c>
      <c r="D5" s="37">
        <f>+Perfil!H22</f>
        <v>19</v>
      </c>
      <c r="E5" s="7">
        <f>+VLOOKUP(Ajustes!D5,'Baremos Españoles'!$AC$6:$AF$120,4,0)</f>
        <v>73</v>
      </c>
      <c r="L5" s="7">
        <v>1</v>
      </c>
      <c r="M5" s="7">
        <v>10</v>
      </c>
      <c r="N5" s="7">
        <v>5</v>
      </c>
      <c r="P5" s="7">
        <v>1</v>
      </c>
      <c r="Q5" s="7">
        <v>-1</v>
      </c>
      <c r="R5" s="7">
        <v>-1</v>
      </c>
      <c r="U5" s="40" t="s">
        <v>262</v>
      </c>
      <c r="W5" s="36">
        <f ca="1">+W3+W4</f>
        <v>30</v>
      </c>
    </row>
    <row r="6" spans="2:23">
      <c r="L6" s="7">
        <v>2</v>
      </c>
      <c r="M6" s="7">
        <v>10</v>
      </c>
      <c r="N6" s="7">
        <v>5</v>
      </c>
      <c r="P6" s="7">
        <v>2</v>
      </c>
      <c r="Q6" s="7">
        <v>-1</v>
      </c>
      <c r="R6" s="7">
        <v>-1</v>
      </c>
    </row>
    <row r="7" spans="2:23">
      <c r="L7" s="7">
        <v>3</v>
      </c>
      <c r="M7" s="7">
        <v>10</v>
      </c>
      <c r="N7" s="7">
        <v>5</v>
      </c>
      <c r="P7" s="7">
        <v>3</v>
      </c>
      <c r="Q7" s="7">
        <v>-1</v>
      </c>
      <c r="R7" s="7">
        <v>-1</v>
      </c>
    </row>
    <row r="8" spans="2:23">
      <c r="L8" s="7">
        <v>4</v>
      </c>
      <c r="M8" s="7">
        <v>10</v>
      </c>
      <c r="N8" s="7">
        <v>5</v>
      </c>
      <c r="P8" s="7">
        <v>4</v>
      </c>
      <c r="Q8" s="7">
        <v>-1</v>
      </c>
      <c r="R8" s="7">
        <v>-1</v>
      </c>
    </row>
    <row r="9" spans="2:23" ht="15">
      <c r="B9" s="38" t="s">
        <v>227</v>
      </c>
      <c r="C9" s="35"/>
      <c r="D9" s="35" t="s">
        <v>215</v>
      </c>
      <c r="E9" s="35" t="s">
        <v>216</v>
      </c>
      <c r="F9" s="35" t="s">
        <v>222</v>
      </c>
      <c r="G9" s="35" t="s">
        <v>262</v>
      </c>
      <c r="H9" s="35" t="s">
        <v>216</v>
      </c>
      <c r="L9" s="7">
        <v>5</v>
      </c>
      <c r="M9" s="7">
        <v>10</v>
      </c>
      <c r="N9" s="7">
        <v>5</v>
      </c>
      <c r="P9" s="7">
        <v>5</v>
      </c>
      <c r="Q9" s="7">
        <v>-2</v>
      </c>
      <c r="R9" s="7">
        <v>-1</v>
      </c>
    </row>
    <row r="10" spans="2:23">
      <c r="B10" s="39" t="s">
        <v>186</v>
      </c>
      <c r="C10" s="7">
        <v>1</v>
      </c>
      <c r="D10" s="7">
        <f>+Perfil!G27</f>
        <v>20</v>
      </c>
      <c r="E10" s="7">
        <f ca="1">+INDEX(INDIRECT("B"&amp;VLOOKUP(Portada!C28,Portada!O5:P6,2,FALSE)),MATCH(ROUND(D10,2),INDIRECT("A"&amp;VLOOKUP(Portada!C28,Portada!O5:P6,2,FALSE)),0))</f>
        <v>97</v>
      </c>
      <c r="F10" s="7">
        <f>+VLOOKUP($D$3,$L$4:$M$118,2,0)</f>
        <v>0</v>
      </c>
      <c r="H10" s="7">
        <f ca="1">MAX(0,MIN(115,E10+F10))</f>
        <v>97</v>
      </c>
      <c r="L10" s="7">
        <v>6</v>
      </c>
      <c r="M10" s="7">
        <v>10</v>
      </c>
      <c r="N10" s="7">
        <v>5</v>
      </c>
      <c r="P10" s="7">
        <v>6</v>
      </c>
      <c r="Q10" s="7">
        <v>-2</v>
      </c>
      <c r="R10" s="7">
        <v>-1</v>
      </c>
    </row>
    <row r="11" spans="2:23">
      <c r="B11" s="39" t="s">
        <v>187</v>
      </c>
      <c r="C11" s="7" t="s">
        <v>199</v>
      </c>
      <c r="D11" s="7">
        <f>+Perfil!G28</f>
        <v>15</v>
      </c>
      <c r="E11" s="7">
        <f ca="1">+INDEX(INDIRECT("C"&amp;VLOOKUP(Portada!C28,Portada!O5:P6,2,FALSE)),MATCH(ROUND(D11,2),INDIRECT("A"&amp;VLOOKUP(Portada!C28,Portada!O5:P6,2,FALSE)),0))</f>
        <v>82</v>
      </c>
      <c r="F11" s="7">
        <f>+VLOOKUP($D$3,$L$4:$M$118,2,0)</f>
        <v>0</v>
      </c>
      <c r="G11" s="7">
        <f ca="1">+VLOOKUP(W5,P4:R84,3,0)</f>
        <v>-3</v>
      </c>
      <c r="H11" s="7">
        <f ca="1">MAX(0,MIN(115,E11+F11+G11))</f>
        <v>79</v>
      </c>
      <c r="L11" s="7">
        <v>7</v>
      </c>
      <c r="M11" s="7">
        <v>10</v>
      </c>
      <c r="N11" s="7">
        <v>5</v>
      </c>
      <c r="P11" s="7">
        <v>7</v>
      </c>
      <c r="Q11" s="7">
        <v>-2</v>
      </c>
      <c r="R11" s="7">
        <v>-1</v>
      </c>
    </row>
    <row r="12" spans="2:23">
      <c r="B12" s="39" t="s">
        <v>188</v>
      </c>
      <c r="C12" s="7" t="s">
        <v>200</v>
      </c>
      <c r="D12" s="7">
        <f>+Perfil!G29</f>
        <v>19</v>
      </c>
      <c r="E12" s="7">
        <f ca="1">+INDEX(INDIRECT("D"&amp;VLOOKUP(Portada!C28,Portada!O5:P6,2,FALSE)),MATCH(ROUND(D12,2),INDIRECT("A"&amp;VLOOKUP(Portada!C28,Portada!O5:P6,2,FALSE)),0))</f>
        <v>80</v>
      </c>
      <c r="F12" s="7">
        <f t="shared" ref="F12:F21" si="0">+VLOOKUP($D$3,$L$4:$M$118,2,0)</f>
        <v>0</v>
      </c>
      <c r="G12" s="7">
        <f ca="1">+VLOOKUP(W5,P4:R85,2,0)</f>
        <v>-6</v>
      </c>
      <c r="H12" s="7">
        <f ca="1">MAX(0,MIN(115,E12+F12+G12))</f>
        <v>74</v>
      </c>
      <c r="L12" s="7">
        <v>8</v>
      </c>
      <c r="M12" s="7">
        <v>9</v>
      </c>
      <c r="N12" s="7">
        <v>5</v>
      </c>
      <c r="P12" s="7">
        <v>8</v>
      </c>
      <c r="Q12" s="7">
        <v>-2</v>
      </c>
      <c r="R12" s="7">
        <v>-1</v>
      </c>
    </row>
    <row r="13" spans="2:23">
      <c r="B13" s="39" t="s">
        <v>189</v>
      </c>
      <c r="C13" s="7">
        <v>3</v>
      </c>
      <c r="D13" s="7">
        <f>+Perfil!G30</f>
        <v>14</v>
      </c>
      <c r="E13" s="7">
        <f ca="1">+INDEX(INDIRECT("E"&amp;VLOOKUP(Portada!C28,Portada!O5:P6,2,FALSE)),MATCH(ROUND(D13,2),INDIRECT("A"&amp;VLOOKUP(Portada!C28,Portada!O5:P6,2,FALSE)),0))</f>
        <v>80</v>
      </c>
      <c r="F13" s="7">
        <f t="shared" si="0"/>
        <v>0</v>
      </c>
      <c r="H13" s="7">
        <f ca="1">MAX(0,MIN(115,E13+F13))</f>
        <v>80</v>
      </c>
      <c r="L13" s="7">
        <v>9</v>
      </c>
      <c r="M13" s="7">
        <v>8</v>
      </c>
      <c r="N13" s="7">
        <v>4</v>
      </c>
      <c r="P13" s="7">
        <v>9</v>
      </c>
      <c r="Q13" s="7">
        <v>-2</v>
      </c>
      <c r="R13" s="7">
        <v>-1</v>
      </c>
    </row>
    <row r="14" spans="2:23">
      <c r="B14" s="39" t="s">
        <v>190</v>
      </c>
      <c r="C14" s="7" t="s">
        <v>201</v>
      </c>
      <c r="D14" s="7">
        <f>+Perfil!G31</f>
        <v>2</v>
      </c>
      <c r="E14" s="7">
        <f ca="1">+INDEX(INDIRECT("F"&amp;VLOOKUP(Portada!C28,Portada!O5:P6,2,FALSE)),MATCH(ROUND(D14,2),INDIRECT("A"&amp;VLOOKUP(Portada!C28,Portada!O5:P6,2,FALSE)),0))</f>
        <v>13</v>
      </c>
      <c r="F14" s="7">
        <f t="shared" si="0"/>
        <v>0</v>
      </c>
      <c r="H14" s="7">
        <f t="shared" ref="H14:H20" ca="1" si="1">MAX(0,MIN(115,E14+F14))</f>
        <v>13</v>
      </c>
      <c r="L14" s="7">
        <v>10</v>
      </c>
      <c r="M14" s="7">
        <v>7</v>
      </c>
      <c r="N14" s="7">
        <v>4</v>
      </c>
      <c r="P14" s="7">
        <v>10</v>
      </c>
      <c r="Q14" s="7">
        <v>-3</v>
      </c>
      <c r="R14" s="7">
        <v>-2</v>
      </c>
    </row>
    <row r="15" spans="2:23">
      <c r="B15" s="39" t="s">
        <v>191</v>
      </c>
      <c r="C15" s="7" t="s">
        <v>202</v>
      </c>
      <c r="D15" s="7">
        <f>+Perfil!G32</f>
        <v>2</v>
      </c>
      <c r="E15" s="7">
        <f ca="1">+INDEX(INDIRECT("G"&amp;VLOOKUP(Portada!C28,Portada!O5:P6,2,FALSE)),MATCH(ROUND(D15,2),INDIRECT("A"&amp;VLOOKUP(Portada!C28,Portada!O5:P6,2,FALSE)),0))</f>
        <v>12</v>
      </c>
      <c r="F15" s="7">
        <f t="shared" si="0"/>
        <v>0</v>
      </c>
      <c r="H15" s="7">
        <f t="shared" ca="1" si="1"/>
        <v>12</v>
      </c>
      <c r="L15" s="7">
        <v>11</v>
      </c>
      <c r="M15" s="7">
        <v>6</v>
      </c>
      <c r="N15" s="7">
        <v>3</v>
      </c>
      <c r="P15" s="7">
        <v>11</v>
      </c>
      <c r="Q15" s="7">
        <v>-3</v>
      </c>
      <c r="R15" s="7">
        <v>-2</v>
      </c>
    </row>
    <row r="16" spans="2:23">
      <c r="B16" s="39" t="s">
        <v>192</v>
      </c>
      <c r="C16" s="7">
        <v>5</v>
      </c>
      <c r="D16" s="7">
        <f>+Perfil!G33</f>
        <v>2</v>
      </c>
      <c r="E16" s="7">
        <f ca="1">+INDEX(INDIRECT("H"&amp;VLOOKUP(Portada!C28,Portada!O5:P6,2,FALSE)),MATCH(ROUND(D16,2),INDIRECT("A"&amp;VLOOKUP(Portada!C28,Portada!O5:P6,2,FALSE)),0))</f>
        <v>24</v>
      </c>
      <c r="F16" s="7">
        <f t="shared" si="0"/>
        <v>0</v>
      </c>
      <c r="H16" s="7">
        <f t="shared" ca="1" si="1"/>
        <v>24</v>
      </c>
      <c r="L16" s="7">
        <v>12</v>
      </c>
      <c r="M16" s="7">
        <v>5</v>
      </c>
      <c r="N16" s="7">
        <v>3</v>
      </c>
      <c r="P16" s="7">
        <v>12</v>
      </c>
      <c r="Q16" s="7">
        <v>-3</v>
      </c>
      <c r="R16" s="7">
        <v>-2</v>
      </c>
    </row>
    <row r="17" spans="2:18">
      <c r="B17" s="39" t="s">
        <v>193</v>
      </c>
      <c r="C17" s="7" t="s">
        <v>203</v>
      </c>
      <c r="D17" s="7">
        <f>+Perfil!G34</f>
        <v>0</v>
      </c>
      <c r="E17" s="7">
        <f ca="1">+INDEX(INDIRECT("I"&amp;VLOOKUP(Portada!C28,Portada!O5:P6,2,FALSE)),MATCH(ROUND(D17,2),INDIRECT("A"&amp;VLOOKUP(Portada!C28,Portada!O5:P6,2,FALSE)),0))</f>
        <v>0</v>
      </c>
      <c r="F17" s="7">
        <f t="shared" si="0"/>
        <v>0</v>
      </c>
      <c r="H17" s="7">
        <f t="shared" ca="1" si="1"/>
        <v>0</v>
      </c>
      <c r="L17" s="7">
        <v>13</v>
      </c>
      <c r="M17" s="7">
        <v>4</v>
      </c>
      <c r="N17" s="7">
        <v>2</v>
      </c>
      <c r="P17" s="7">
        <v>13</v>
      </c>
      <c r="Q17" s="7">
        <v>-3</v>
      </c>
      <c r="R17" s="7">
        <v>-2</v>
      </c>
    </row>
    <row r="18" spans="2:18">
      <c r="B18" s="39" t="s">
        <v>194</v>
      </c>
      <c r="C18" s="7" t="s">
        <v>204</v>
      </c>
      <c r="D18" s="7">
        <f>+Perfil!G35</f>
        <v>0</v>
      </c>
      <c r="E18" s="7">
        <f ca="1">+INDEX(INDIRECT("J"&amp;VLOOKUP(Portada!C28,Portada!O5:P6,2,FALSE)),MATCH(ROUND(D18,2),INDIRECT("A"&amp;VLOOKUP(Portada!C28,Portada!O5:P6,2,FALSE)),0))</f>
        <v>0</v>
      </c>
      <c r="F18" s="7">
        <f t="shared" si="0"/>
        <v>0</v>
      </c>
      <c r="H18" s="7">
        <f t="shared" ca="1" si="1"/>
        <v>0</v>
      </c>
      <c r="L18" s="7">
        <v>14</v>
      </c>
      <c r="M18" s="7">
        <v>4</v>
      </c>
      <c r="N18" s="7">
        <v>2</v>
      </c>
      <c r="P18" s="7">
        <v>14</v>
      </c>
      <c r="Q18" s="7">
        <v>-3</v>
      </c>
      <c r="R18" s="7">
        <v>-2</v>
      </c>
    </row>
    <row r="19" spans="2:18">
      <c r="B19" s="39" t="s">
        <v>195</v>
      </c>
      <c r="C19" s="7">
        <v>7</v>
      </c>
      <c r="D19" s="7">
        <f>+Perfil!G36</f>
        <v>21</v>
      </c>
      <c r="E19" s="7">
        <f ca="1">+INDEX(INDIRECT("K"&amp;VLOOKUP(Portada!C28,Portada!O5:P6,2,FALSE)),MATCH(ROUND(D19,2),INDIRECT("A"&amp;VLOOKUP(Portada!C28,Portada!O5:P6,2,FALSE)),0))</f>
        <v>80</v>
      </c>
      <c r="F19" s="7">
        <f t="shared" si="0"/>
        <v>0</v>
      </c>
      <c r="H19" s="7">
        <f t="shared" ca="1" si="1"/>
        <v>80</v>
      </c>
      <c r="L19" s="7">
        <v>15</v>
      </c>
      <c r="M19" s="7">
        <v>3</v>
      </c>
      <c r="N19" s="7">
        <v>2</v>
      </c>
      <c r="P19" s="7">
        <v>15</v>
      </c>
      <c r="Q19" s="7">
        <v>-4</v>
      </c>
      <c r="R19" s="7">
        <v>-2</v>
      </c>
    </row>
    <row r="20" spans="2:18">
      <c r="B20" s="39" t="s">
        <v>196</v>
      </c>
      <c r="C20" s="7" t="s">
        <v>205</v>
      </c>
      <c r="D20" s="7">
        <f>+Perfil!G37</f>
        <v>13</v>
      </c>
      <c r="E20" s="7">
        <f ca="1">+INDEX(INDIRECT("L"&amp;VLOOKUP(Portada!C28,Portada!O5:P6,2,FALSE)),MATCH(ROUND(D20,2),INDIRECT("A"&amp;VLOOKUP(Portada!C28,Portada!O5:P6,2,FALSE)),0))</f>
        <v>69</v>
      </c>
      <c r="F20" s="7">
        <f t="shared" si="0"/>
        <v>0</v>
      </c>
      <c r="H20" s="7">
        <f t="shared" ca="1" si="1"/>
        <v>69</v>
      </c>
      <c r="L20" s="7">
        <v>16</v>
      </c>
      <c r="M20" s="7">
        <v>3</v>
      </c>
      <c r="N20" s="7">
        <v>2</v>
      </c>
      <c r="P20" s="7">
        <v>16</v>
      </c>
      <c r="Q20" s="7">
        <v>-4</v>
      </c>
      <c r="R20" s="7">
        <v>-2</v>
      </c>
    </row>
    <row r="21" spans="2:18">
      <c r="B21" s="39" t="s">
        <v>197</v>
      </c>
      <c r="C21" s="7" t="s">
        <v>206</v>
      </c>
      <c r="D21" s="7">
        <f>+Perfil!G38</f>
        <v>14</v>
      </c>
      <c r="E21" s="7">
        <f ca="1">+INDEX(INDIRECT("M"&amp;VLOOKUP(Portada!C28,Portada!O5:P6,2,FALSE)),MATCH(ROUND(D21,2),INDIRECT("A"&amp;VLOOKUP(Portada!C28,Portada!O5:P6,2,FALSE)),0))</f>
        <v>70</v>
      </c>
      <c r="F21" s="7">
        <f t="shared" si="0"/>
        <v>0</v>
      </c>
      <c r="G21" s="7">
        <f ca="1">+VLOOKUP(W5,$P$4:$R$84,2,0)</f>
        <v>-6</v>
      </c>
      <c r="H21" s="7">
        <f ca="1">MAX(0,MIN(115,E21+F21+G21))</f>
        <v>64</v>
      </c>
      <c r="L21" s="7">
        <v>17</v>
      </c>
      <c r="M21" s="7">
        <v>2</v>
      </c>
      <c r="N21" s="7">
        <v>1</v>
      </c>
      <c r="P21" s="7">
        <v>17</v>
      </c>
      <c r="Q21" s="7">
        <v>-4</v>
      </c>
      <c r="R21" s="7">
        <v>-2</v>
      </c>
    </row>
    <row r="22" spans="2:18" ht="15">
      <c r="B22" s="38" t="s">
        <v>228</v>
      </c>
      <c r="C22" s="35"/>
      <c r="L22" s="7">
        <v>18</v>
      </c>
      <c r="M22" s="7">
        <v>2</v>
      </c>
      <c r="N22" s="7">
        <v>1</v>
      </c>
      <c r="P22" s="7">
        <v>18</v>
      </c>
      <c r="Q22" s="7">
        <v>-4</v>
      </c>
      <c r="R22" s="7">
        <v>-2</v>
      </c>
    </row>
    <row r="23" spans="2:18">
      <c r="B23" s="39" t="s">
        <v>231</v>
      </c>
      <c r="C23" s="7" t="s">
        <v>234</v>
      </c>
      <c r="D23" s="37">
        <f>+Perfil!G40</f>
        <v>14</v>
      </c>
      <c r="E23" s="7">
        <f ca="1">+INDEX(INDIRECT("N"&amp;VLOOKUP(Portada!C28,Portada!O5:P6,2,FALSE)),MATCH(ROUND(D23,2),INDIRECT("A"&amp;VLOOKUP(Portada!C28,Portada!O5:P6,2,FALSE)),0))</f>
        <v>66</v>
      </c>
      <c r="F23" s="7">
        <f>+VLOOKUP($D$3,$L$4:$N$118,3,0)</f>
        <v>0</v>
      </c>
      <c r="G23" s="7">
        <f ca="1">+VLOOKUP(W5,P4:R84,3,0)</f>
        <v>-3</v>
      </c>
      <c r="H23" s="7">
        <f ca="1">MAX(0,MIN(115,E23+F23+G23))</f>
        <v>63</v>
      </c>
      <c r="L23" s="7">
        <v>19</v>
      </c>
      <c r="M23" s="7">
        <v>1</v>
      </c>
      <c r="N23" s="7">
        <v>1</v>
      </c>
      <c r="P23" s="7">
        <v>19</v>
      </c>
      <c r="Q23" s="7">
        <v>-4</v>
      </c>
      <c r="R23" s="7">
        <v>-2</v>
      </c>
    </row>
    <row r="24" spans="2:18">
      <c r="B24" s="39" t="s">
        <v>232</v>
      </c>
      <c r="C24" s="7" t="s">
        <v>235</v>
      </c>
      <c r="D24" s="37">
        <f>+Perfil!G41</f>
        <v>9</v>
      </c>
      <c r="E24" s="7">
        <f ca="1">+INDEX(INDIRECT("P"&amp;VLOOKUP(Portada!C28,Portada!O5:P6,2,FALSE)),MATCH(ROUND(D24,2),INDIRECT("A"&amp;VLOOKUP(Portada!C28,Portada!O5:P6,2,FALSE)),0))</f>
        <v>62</v>
      </c>
      <c r="F24" s="7">
        <f>+VLOOKUP($D$3,$L$4:$N$118,3,0)</f>
        <v>0</v>
      </c>
      <c r="G24" s="7">
        <f ca="1">+VLOOKUP(W5,P4:R84,2,0)</f>
        <v>-6</v>
      </c>
      <c r="H24" s="7">
        <f ca="1">MAX(0,MIN(115,E24+F24+G24))</f>
        <v>56</v>
      </c>
      <c r="L24" s="7">
        <v>20</v>
      </c>
      <c r="M24" s="7">
        <v>1</v>
      </c>
      <c r="N24" s="7">
        <v>1</v>
      </c>
      <c r="P24" s="7">
        <v>20</v>
      </c>
      <c r="Q24" s="7">
        <v>-5</v>
      </c>
      <c r="R24" s="7">
        <v>-3</v>
      </c>
    </row>
    <row r="25" spans="2:18">
      <c r="B25" s="39" t="s">
        <v>233</v>
      </c>
      <c r="C25" s="7" t="s">
        <v>236</v>
      </c>
      <c r="D25" s="37">
        <f>+Perfil!G42</f>
        <v>5</v>
      </c>
      <c r="E25" s="7">
        <f ca="1">+INDEX(INDIRECT("Q"&amp;VLOOKUP(Portada!C28,Portada!O5:P6,2,FALSE)),MATCH(ROUND(D25,2),INDIRECT("A"&amp;VLOOKUP(Portada!C28,Portada!O5:P6,2,FALSE)),0))</f>
        <v>43</v>
      </c>
      <c r="F25" s="7">
        <f t="shared" ref="F25:F37" si="2">+VLOOKUP($D$3,$L$4:$N$118,3,0)</f>
        <v>0</v>
      </c>
      <c r="H25" s="7">
        <f t="shared" ref="H25" ca="1" si="3">MAX(0,MIN(115,E25+F25))</f>
        <v>43</v>
      </c>
      <c r="L25" s="7">
        <v>21</v>
      </c>
      <c r="M25" s="7">
        <v>0</v>
      </c>
      <c r="N25" s="7">
        <v>0</v>
      </c>
      <c r="P25" s="7">
        <v>21</v>
      </c>
      <c r="Q25" s="7">
        <v>-5</v>
      </c>
      <c r="R25" s="7">
        <v>-3</v>
      </c>
    </row>
    <row r="26" spans="2:18" ht="15">
      <c r="B26" s="38" t="s">
        <v>230</v>
      </c>
      <c r="L26" s="7">
        <v>22</v>
      </c>
      <c r="M26" s="7">
        <v>0</v>
      </c>
      <c r="N26" s="7">
        <v>0</v>
      </c>
      <c r="P26" s="7">
        <v>22</v>
      </c>
      <c r="Q26" s="7">
        <v>-5</v>
      </c>
      <c r="R26" s="7">
        <v>-3</v>
      </c>
    </row>
    <row r="27" spans="2:18">
      <c r="B27" s="39" t="s">
        <v>237</v>
      </c>
      <c r="C27" s="7" t="s">
        <v>248</v>
      </c>
      <c r="D27" s="37">
        <f>+Perfil!G47</f>
        <v>15</v>
      </c>
      <c r="E27" s="7">
        <f ca="1">+INDEX(INDIRECT("R"&amp;VLOOKUP(Portada!C28,Portada!O5:P6,2,FALSE)),MATCH(ROUND(D27,2),INDIRECT("A"&amp;VLOOKUP(Portada!C28,Portada!O5:P6,2,FALSE)),0))</f>
        <v>95</v>
      </c>
      <c r="F27" s="7">
        <f t="shared" si="2"/>
        <v>0</v>
      </c>
      <c r="H27" s="7">
        <f t="shared" ref="H27:H37" ca="1" si="4">MAX(0,MIN(115,E27+F27))</f>
        <v>95</v>
      </c>
      <c r="L27" s="7">
        <v>23</v>
      </c>
      <c r="M27" s="7">
        <v>0</v>
      </c>
      <c r="N27" s="7">
        <v>0</v>
      </c>
      <c r="P27" s="7">
        <v>23</v>
      </c>
      <c r="Q27" s="7">
        <v>-5</v>
      </c>
      <c r="R27" s="7">
        <v>-3</v>
      </c>
    </row>
    <row r="28" spans="2:18">
      <c r="B28" s="39" t="s">
        <v>238</v>
      </c>
      <c r="C28" s="7" t="s">
        <v>249</v>
      </c>
      <c r="D28" s="37">
        <f>+Perfil!G48</f>
        <v>15</v>
      </c>
      <c r="E28" s="7">
        <f ca="1">+INDEX(INDIRECT("S"&amp;VLOOKUP(Portada!C28,Portada!O5:P6,2,FALSE)),MATCH(ROUND(D28,2),INDIRECT("A"&amp;VLOOKUP(Portada!C28,Portada!O5:P6,2,FALSE)),0))</f>
        <v>115</v>
      </c>
      <c r="F28" s="7">
        <f>+VLOOKUP($D$3,$L$4:$N$118,3,0)</f>
        <v>0</v>
      </c>
      <c r="H28" s="7">
        <f t="shared" ca="1" si="4"/>
        <v>115</v>
      </c>
      <c r="L28" s="7">
        <v>24</v>
      </c>
      <c r="M28" s="7">
        <v>0</v>
      </c>
      <c r="N28" s="7">
        <v>0</v>
      </c>
      <c r="P28" s="7">
        <v>24</v>
      </c>
      <c r="Q28" s="7">
        <v>-5</v>
      </c>
      <c r="R28" s="7">
        <v>-3</v>
      </c>
    </row>
    <row r="29" spans="2:18">
      <c r="B29" s="39" t="s">
        <v>239</v>
      </c>
      <c r="C29" s="7" t="s">
        <v>250</v>
      </c>
      <c r="D29" s="37">
        <f>+Perfil!G49</f>
        <v>7</v>
      </c>
      <c r="E29" s="7">
        <f ca="1">+INDEX(INDIRECT("T"&amp;VLOOKUP(Portada!C28,Portada!O5:P6,2,FALSE)),MATCH(ROUND(D29,2),INDIRECT("A"&amp;VLOOKUP(Portada!C28,Portada!O5:P6,2,FALSE)),0))</f>
        <v>63</v>
      </c>
      <c r="F29" s="7">
        <f t="shared" si="2"/>
        <v>0</v>
      </c>
      <c r="H29" s="7">
        <f t="shared" ca="1" si="4"/>
        <v>63</v>
      </c>
      <c r="L29" s="7">
        <v>25</v>
      </c>
      <c r="M29" s="7">
        <v>0</v>
      </c>
      <c r="N29" s="7">
        <v>0</v>
      </c>
      <c r="P29" s="7">
        <v>25</v>
      </c>
      <c r="Q29" s="7">
        <v>-5</v>
      </c>
      <c r="R29" s="7">
        <v>-3</v>
      </c>
    </row>
    <row r="30" spans="2:18">
      <c r="B30" s="39" t="s">
        <v>240</v>
      </c>
      <c r="C30" s="7" t="s">
        <v>251</v>
      </c>
      <c r="D30" s="37">
        <f>+Perfil!G50</f>
        <v>24</v>
      </c>
      <c r="E30" s="7">
        <f ca="1">+INDEX(INDIRECT("U"&amp;VLOOKUP(Portada!C28,Portada!O5:P6,2,FALSE)),MATCH(ROUND(D30,2),INDIRECT("A"&amp;VLOOKUP(Portada!C28,Portada!O5:P6,2,FALSE)),0))</f>
        <v>100</v>
      </c>
      <c r="F30" s="7">
        <f t="shared" si="2"/>
        <v>0</v>
      </c>
      <c r="H30" s="7">
        <f t="shared" ca="1" si="4"/>
        <v>100</v>
      </c>
      <c r="L30" s="7">
        <v>26</v>
      </c>
      <c r="M30" s="7">
        <v>0</v>
      </c>
      <c r="N30" s="7">
        <v>0</v>
      </c>
      <c r="P30" s="7">
        <v>26</v>
      </c>
      <c r="Q30" s="7">
        <v>-5</v>
      </c>
      <c r="R30" s="7">
        <v>-3</v>
      </c>
    </row>
    <row r="31" spans="2:18">
      <c r="B31" s="39" t="s">
        <v>241</v>
      </c>
      <c r="C31" s="7" t="s">
        <v>252</v>
      </c>
      <c r="D31" s="37">
        <f>+Perfil!G51</f>
        <v>1</v>
      </c>
      <c r="E31" s="7">
        <f ca="1">+INDEX(INDIRECT("V"&amp;VLOOKUP(Portada!C28,Portada!O5:P6,2,FALSE)),MATCH(ROUND(D31,2),INDIRECT("A"&amp;VLOOKUP(Portada!C28,Portada!O5:P6,2,FALSE)),0))</f>
        <v>60</v>
      </c>
      <c r="F31" s="7">
        <f t="shared" si="2"/>
        <v>0</v>
      </c>
      <c r="H31" s="7">
        <f t="shared" ca="1" si="4"/>
        <v>60</v>
      </c>
      <c r="L31" s="7">
        <v>27</v>
      </c>
      <c r="M31" s="7">
        <v>0</v>
      </c>
      <c r="N31" s="7">
        <v>0</v>
      </c>
      <c r="P31" s="7">
        <v>27</v>
      </c>
      <c r="Q31" s="7">
        <v>-5</v>
      </c>
      <c r="R31" s="7">
        <v>-3</v>
      </c>
    </row>
    <row r="32" spans="2:18">
      <c r="B32" s="39" t="s">
        <v>242</v>
      </c>
      <c r="C32" s="7" t="s">
        <v>253</v>
      </c>
      <c r="D32" s="37">
        <f>+Perfil!G52</f>
        <v>0</v>
      </c>
      <c r="E32" s="7">
        <f ca="1">+INDEX(INDIRECT("W"&amp;VLOOKUP(Portada!C28,Portada!O5:P6,2,FALSE)),MATCH(ROUND(D32,2),INDIRECT("A"&amp;VLOOKUP(Portada!C28,Portada!O5:P6,2,FALSE)),0))</f>
        <v>0</v>
      </c>
      <c r="F32" s="7">
        <f t="shared" si="2"/>
        <v>0</v>
      </c>
      <c r="H32" s="7">
        <f t="shared" ca="1" si="4"/>
        <v>0</v>
      </c>
      <c r="L32" s="7">
        <v>28</v>
      </c>
      <c r="M32" s="7">
        <v>0</v>
      </c>
      <c r="N32" s="7">
        <v>0</v>
      </c>
      <c r="P32" s="7">
        <v>28</v>
      </c>
      <c r="Q32" s="7">
        <v>-5</v>
      </c>
      <c r="R32" s="7">
        <v>-3</v>
      </c>
    </row>
    <row r="33" spans="2:18">
      <c r="B33" s="39" t="s">
        <v>243</v>
      </c>
      <c r="C33" s="7" t="s">
        <v>254</v>
      </c>
      <c r="D33" s="37">
        <f>+Perfil!G53</f>
        <v>16</v>
      </c>
      <c r="E33" s="7">
        <f ca="1">+INDEX(INDIRECT("X"&amp;VLOOKUP(Portada!C28,Portada!O5:P6,2,FALSE)),MATCH(ROUND(D33,2),INDIRECT("A"&amp;VLOOKUP(Portada!C28,Portada!O5:P6,2,FALSE)),0))</f>
        <v>93</v>
      </c>
      <c r="F33" s="7">
        <f t="shared" si="2"/>
        <v>0</v>
      </c>
      <c r="H33" s="7">
        <f t="shared" ca="1" si="4"/>
        <v>93</v>
      </c>
      <c r="L33" s="7">
        <v>29</v>
      </c>
      <c r="M33" s="7">
        <v>0</v>
      </c>
      <c r="N33" s="7">
        <v>0</v>
      </c>
      <c r="P33" s="7">
        <v>29</v>
      </c>
      <c r="Q33" s="7">
        <v>-5</v>
      </c>
      <c r="R33" s="7">
        <v>-3</v>
      </c>
    </row>
    <row r="34" spans="2:18" ht="15">
      <c r="B34" s="38" t="s">
        <v>244</v>
      </c>
      <c r="C34" s="35"/>
      <c r="L34" s="7">
        <v>30</v>
      </c>
      <c r="M34" s="7">
        <v>0</v>
      </c>
      <c r="N34" s="7">
        <v>0</v>
      </c>
      <c r="P34" s="7">
        <v>30</v>
      </c>
      <c r="Q34" s="7">
        <v>-6</v>
      </c>
      <c r="R34" s="7">
        <v>-3</v>
      </c>
    </row>
    <row r="35" spans="2:18">
      <c r="B35" s="39" t="s">
        <v>245</v>
      </c>
      <c r="C35" s="7" t="s">
        <v>255</v>
      </c>
      <c r="D35" s="37">
        <f>+Perfil!G55</f>
        <v>11</v>
      </c>
      <c r="E35" s="7">
        <f ca="1">+INDEX(INDIRECT("Y"&amp;VLOOKUP(Portada!C28,Portada!O5:P6,2,FALSE)),MATCH(ROUND(D35,2),INDIRECT("A"&amp;VLOOKUP(Portada!C28,Portada!O5:P6,2,FALSE)),0))</f>
        <v>64</v>
      </c>
      <c r="F35" s="7">
        <f>+VLOOKUP($D$3,$L$4:$N$118,3,0)</f>
        <v>0</v>
      </c>
      <c r="H35" s="7">
        <f t="shared" ca="1" si="4"/>
        <v>64</v>
      </c>
      <c r="L35" s="7">
        <v>31</v>
      </c>
      <c r="M35" s="7">
        <v>0</v>
      </c>
      <c r="N35" s="7">
        <v>0</v>
      </c>
      <c r="P35" s="7">
        <v>31</v>
      </c>
      <c r="Q35" s="7">
        <v>-6</v>
      </c>
      <c r="R35" s="7">
        <v>-3</v>
      </c>
    </row>
    <row r="36" spans="2:18">
      <c r="B36" s="39" t="s">
        <v>246</v>
      </c>
      <c r="C36" s="7" t="s">
        <v>256</v>
      </c>
      <c r="D36" s="37">
        <f>+Perfil!G56</f>
        <v>17</v>
      </c>
      <c r="E36" s="7">
        <f ca="1">+INDEX(INDIRECT("Z"&amp;VLOOKUP(Portada!C28,Portada!O5:P6,2,FALSE)),MATCH(ROUND(D36,2),INDIRECT("A"&amp;VLOOKUP(Portada!C28,Portada!O5:P6,2,FALSE)),0))</f>
        <v>85</v>
      </c>
      <c r="F36" s="7">
        <f>+VLOOKUP($D$3,$L$4:$N$118,3,0)</f>
        <v>0</v>
      </c>
      <c r="H36" s="7">
        <f t="shared" ca="1" si="4"/>
        <v>85</v>
      </c>
      <c r="L36" s="7">
        <v>32</v>
      </c>
      <c r="M36" s="7">
        <v>0</v>
      </c>
      <c r="N36" s="7">
        <v>0</v>
      </c>
      <c r="P36" s="7">
        <v>32</v>
      </c>
      <c r="Q36" s="7">
        <v>-6</v>
      </c>
      <c r="R36" s="7">
        <v>-3</v>
      </c>
    </row>
    <row r="37" spans="2:18">
      <c r="B37" s="39" t="s">
        <v>247</v>
      </c>
      <c r="C37" s="7" t="s">
        <v>257</v>
      </c>
      <c r="D37" s="37">
        <f>+Perfil!G57</f>
        <v>1</v>
      </c>
      <c r="E37" s="7">
        <f ca="1">+INDEX(INDIRECT("AA"&amp;VLOOKUP(Portada!C28,Portada!O5:P6,2,FALSE)),MATCH(ROUND(D37,2),INDIRECT("A"&amp;VLOOKUP(Portada!C28,Portada!O5:P6,2,FALSE)),0))</f>
        <v>30</v>
      </c>
      <c r="F37" s="7">
        <f t="shared" si="2"/>
        <v>0</v>
      </c>
      <c r="H37" s="7">
        <f t="shared" ca="1" si="4"/>
        <v>30</v>
      </c>
      <c r="L37" s="7">
        <v>33</v>
      </c>
      <c r="M37" s="7">
        <v>0</v>
      </c>
      <c r="N37" s="7">
        <v>0</v>
      </c>
      <c r="P37" s="7">
        <v>33</v>
      </c>
      <c r="Q37" s="7">
        <v>-6</v>
      </c>
      <c r="R37" s="7">
        <v>-3</v>
      </c>
    </row>
    <row r="38" spans="2:18">
      <c r="L38" s="7">
        <v>34</v>
      </c>
      <c r="M38" s="7">
        <v>0</v>
      </c>
      <c r="N38" s="7">
        <v>0</v>
      </c>
      <c r="P38" s="7">
        <v>34</v>
      </c>
      <c r="Q38" s="7">
        <v>-6</v>
      </c>
      <c r="R38" s="7">
        <v>-3</v>
      </c>
    </row>
    <row r="39" spans="2:18">
      <c r="L39" s="7">
        <v>35</v>
      </c>
      <c r="M39" s="7">
        <v>0</v>
      </c>
      <c r="N39" s="7">
        <v>0</v>
      </c>
      <c r="P39" s="7">
        <v>35</v>
      </c>
      <c r="Q39" s="7">
        <v>-6</v>
      </c>
      <c r="R39" s="7">
        <v>-3</v>
      </c>
    </row>
    <row r="40" spans="2:18">
      <c r="L40" s="7">
        <v>36</v>
      </c>
      <c r="M40" s="7">
        <v>0</v>
      </c>
      <c r="N40" s="7">
        <v>0</v>
      </c>
      <c r="P40" s="7">
        <v>36</v>
      </c>
      <c r="Q40" s="7">
        <v>-6</v>
      </c>
      <c r="R40" s="7">
        <v>-3</v>
      </c>
    </row>
    <row r="41" spans="2:18">
      <c r="L41" s="7">
        <v>37</v>
      </c>
      <c r="M41" s="7">
        <v>0</v>
      </c>
      <c r="N41" s="7">
        <v>0</v>
      </c>
      <c r="P41" s="7">
        <v>37</v>
      </c>
      <c r="Q41" s="7">
        <v>-6</v>
      </c>
      <c r="R41" s="7">
        <v>-3</v>
      </c>
    </row>
    <row r="42" spans="2:18">
      <c r="L42" s="7">
        <v>38</v>
      </c>
      <c r="M42" s="7">
        <v>0</v>
      </c>
      <c r="N42" s="7">
        <v>0</v>
      </c>
      <c r="P42" s="7">
        <v>38</v>
      </c>
      <c r="Q42" s="7">
        <v>-6</v>
      </c>
      <c r="R42" s="7">
        <v>-3</v>
      </c>
    </row>
    <row r="43" spans="2:18">
      <c r="L43" s="7">
        <v>39</v>
      </c>
      <c r="M43" s="7">
        <v>0</v>
      </c>
      <c r="N43" s="7">
        <v>0</v>
      </c>
      <c r="P43" s="7">
        <v>39</v>
      </c>
      <c r="Q43" s="7">
        <v>-6</v>
      </c>
      <c r="R43" s="7">
        <v>-3</v>
      </c>
    </row>
    <row r="44" spans="2:18">
      <c r="L44" s="7">
        <v>40</v>
      </c>
      <c r="M44" s="7">
        <v>0</v>
      </c>
      <c r="N44" s="7">
        <v>0</v>
      </c>
      <c r="P44" s="7">
        <v>40</v>
      </c>
      <c r="Q44" s="7">
        <v>-7</v>
      </c>
      <c r="R44" s="7">
        <v>-4</v>
      </c>
    </row>
    <row r="45" spans="2:18">
      <c r="L45" s="7">
        <v>41</v>
      </c>
      <c r="M45" s="7">
        <v>0</v>
      </c>
      <c r="N45" s="7">
        <v>0</v>
      </c>
      <c r="P45" s="7">
        <v>41</v>
      </c>
      <c r="Q45" s="7">
        <v>-7</v>
      </c>
      <c r="R45" s="7">
        <v>-4</v>
      </c>
    </row>
    <row r="46" spans="2:18">
      <c r="L46" s="7">
        <v>42</v>
      </c>
      <c r="M46" s="7">
        <v>0</v>
      </c>
      <c r="N46" s="7">
        <v>0</v>
      </c>
      <c r="P46" s="7">
        <v>42</v>
      </c>
      <c r="Q46" s="7">
        <v>-7</v>
      </c>
      <c r="R46" s="7">
        <v>-4</v>
      </c>
    </row>
    <row r="47" spans="2:18">
      <c r="L47" s="7">
        <v>43</v>
      </c>
      <c r="M47" s="7">
        <v>0</v>
      </c>
      <c r="N47" s="7">
        <v>0</v>
      </c>
      <c r="P47" s="7">
        <v>43</v>
      </c>
      <c r="Q47" s="7">
        <v>-7</v>
      </c>
      <c r="R47" s="7">
        <v>-4</v>
      </c>
    </row>
    <row r="48" spans="2:18">
      <c r="L48" s="7">
        <v>44</v>
      </c>
      <c r="M48" s="7">
        <v>0</v>
      </c>
      <c r="N48" s="7">
        <v>0</v>
      </c>
      <c r="P48" s="7">
        <v>44</v>
      </c>
      <c r="Q48" s="7">
        <v>-7</v>
      </c>
      <c r="R48" s="7">
        <v>-4</v>
      </c>
    </row>
    <row r="49" spans="12:18">
      <c r="L49" s="7">
        <v>45</v>
      </c>
      <c r="M49" s="7">
        <v>0</v>
      </c>
      <c r="N49" s="7">
        <v>0</v>
      </c>
      <c r="P49" s="7">
        <v>45</v>
      </c>
      <c r="Q49" s="7">
        <v>-7</v>
      </c>
      <c r="R49" s="7">
        <v>-4</v>
      </c>
    </row>
    <row r="50" spans="12:18">
      <c r="L50" s="7">
        <v>46</v>
      </c>
      <c r="M50" s="7">
        <v>0</v>
      </c>
      <c r="N50" s="7">
        <v>0</v>
      </c>
      <c r="P50" s="7">
        <v>46</v>
      </c>
      <c r="Q50" s="7">
        <v>-7</v>
      </c>
      <c r="R50" s="7">
        <v>-4</v>
      </c>
    </row>
    <row r="51" spans="12:18">
      <c r="L51" s="7">
        <v>47</v>
      </c>
      <c r="M51" s="7">
        <v>0</v>
      </c>
      <c r="N51" s="7">
        <v>0</v>
      </c>
      <c r="P51" s="7">
        <v>47</v>
      </c>
      <c r="Q51" s="7">
        <v>-7</v>
      </c>
      <c r="R51" s="7">
        <v>-4</v>
      </c>
    </row>
    <row r="52" spans="12:18">
      <c r="L52" s="7">
        <v>48</v>
      </c>
      <c r="M52" s="7">
        <v>0</v>
      </c>
      <c r="N52" s="7">
        <v>0</v>
      </c>
      <c r="P52" s="7">
        <v>48</v>
      </c>
      <c r="Q52" s="7">
        <v>-7</v>
      </c>
      <c r="R52" s="7">
        <v>-4</v>
      </c>
    </row>
    <row r="53" spans="12:18">
      <c r="L53" s="7">
        <v>49</v>
      </c>
      <c r="M53" s="7">
        <v>0</v>
      </c>
      <c r="N53" s="7">
        <v>0</v>
      </c>
      <c r="P53" s="7">
        <v>49</v>
      </c>
      <c r="Q53" s="7">
        <v>-7</v>
      </c>
      <c r="R53" s="7">
        <v>-4</v>
      </c>
    </row>
    <row r="54" spans="12:18">
      <c r="L54" s="7">
        <v>50</v>
      </c>
      <c r="M54" s="7">
        <v>0</v>
      </c>
      <c r="N54" s="7">
        <v>0</v>
      </c>
      <c r="P54" s="7">
        <v>50</v>
      </c>
      <c r="Q54" s="7">
        <v>-8</v>
      </c>
      <c r="R54" s="7">
        <v>-4</v>
      </c>
    </row>
    <row r="55" spans="12:18">
      <c r="L55" s="7">
        <v>51</v>
      </c>
      <c r="M55" s="7">
        <v>0</v>
      </c>
      <c r="N55" s="7">
        <v>0</v>
      </c>
      <c r="P55" s="7">
        <v>51</v>
      </c>
      <c r="Q55" s="7">
        <v>-8</v>
      </c>
      <c r="R55" s="7">
        <v>-4</v>
      </c>
    </row>
    <row r="56" spans="12:18">
      <c r="L56" s="7">
        <v>52</v>
      </c>
      <c r="M56" s="7">
        <v>0</v>
      </c>
      <c r="N56" s="7">
        <v>0</v>
      </c>
      <c r="P56" s="7">
        <v>52</v>
      </c>
      <c r="Q56" s="7">
        <v>-8</v>
      </c>
      <c r="R56" s="7">
        <v>-4</v>
      </c>
    </row>
    <row r="57" spans="12:18">
      <c r="L57" s="7">
        <v>53</v>
      </c>
      <c r="M57" s="7">
        <v>0</v>
      </c>
      <c r="N57" s="7">
        <v>0</v>
      </c>
      <c r="P57" s="7">
        <v>53</v>
      </c>
      <c r="Q57" s="7">
        <v>-8</v>
      </c>
      <c r="R57" s="7">
        <v>-4</v>
      </c>
    </row>
    <row r="58" spans="12:18">
      <c r="L58" s="7">
        <v>54</v>
      </c>
      <c r="M58" s="7">
        <v>0</v>
      </c>
      <c r="N58" s="7">
        <v>0</v>
      </c>
      <c r="P58" s="7">
        <v>54</v>
      </c>
      <c r="Q58" s="7">
        <v>-8</v>
      </c>
      <c r="R58" s="7">
        <v>-4</v>
      </c>
    </row>
    <row r="59" spans="12:18">
      <c r="L59" s="7">
        <v>55</v>
      </c>
      <c r="M59" s="7">
        <v>0</v>
      </c>
      <c r="N59" s="7">
        <v>0</v>
      </c>
      <c r="P59" s="7">
        <v>55</v>
      </c>
      <c r="Q59" s="7">
        <v>-8</v>
      </c>
      <c r="R59" s="7">
        <v>-4</v>
      </c>
    </row>
    <row r="60" spans="12:18">
      <c r="L60" s="7">
        <v>56</v>
      </c>
      <c r="M60" s="7">
        <v>0</v>
      </c>
      <c r="N60" s="7">
        <v>0</v>
      </c>
      <c r="P60" s="7">
        <v>56</v>
      </c>
      <c r="Q60" s="7">
        <v>-8</v>
      </c>
      <c r="R60" s="7">
        <v>-4</v>
      </c>
    </row>
    <row r="61" spans="12:18">
      <c r="L61" s="7">
        <v>57</v>
      </c>
      <c r="M61" s="7">
        <v>0</v>
      </c>
      <c r="N61" s="7">
        <v>0</v>
      </c>
      <c r="P61" s="7">
        <v>57</v>
      </c>
      <c r="Q61" s="7">
        <v>-8</v>
      </c>
      <c r="R61" s="7">
        <v>-4</v>
      </c>
    </row>
    <row r="62" spans="12:18">
      <c r="L62" s="7">
        <v>58</v>
      </c>
      <c r="M62" s="7">
        <v>0</v>
      </c>
      <c r="N62" s="7">
        <v>0</v>
      </c>
      <c r="P62" s="7">
        <v>58</v>
      </c>
      <c r="Q62" s="7">
        <v>-8</v>
      </c>
      <c r="R62" s="7">
        <v>-4</v>
      </c>
    </row>
    <row r="63" spans="12:18">
      <c r="L63" s="7">
        <v>59</v>
      </c>
      <c r="M63" s="7">
        <v>0</v>
      </c>
      <c r="N63" s="7">
        <v>0</v>
      </c>
      <c r="P63" s="7">
        <v>59</v>
      </c>
      <c r="Q63" s="7">
        <v>-8</v>
      </c>
      <c r="R63" s="7">
        <v>-4</v>
      </c>
    </row>
    <row r="64" spans="12:18">
      <c r="L64" s="7">
        <v>60</v>
      </c>
      <c r="M64" s="7">
        <v>0</v>
      </c>
      <c r="N64" s="7">
        <v>0</v>
      </c>
      <c r="P64" s="7">
        <v>60</v>
      </c>
      <c r="Q64" s="7">
        <v>-9</v>
      </c>
      <c r="R64" s="7">
        <v>-5</v>
      </c>
    </row>
    <row r="65" spans="12:18">
      <c r="L65" s="7">
        <v>61</v>
      </c>
      <c r="M65" s="7">
        <v>-1</v>
      </c>
      <c r="N65" s="7">
        <v>-1</v>
      </c>
      <c r="P65" s="7">
        <v>61</v>
      </c>
      <c r="Q65" s="7">
        <v>-9</v>
      </c>
      <c r="R65" s="7">
        <v>-5</v>
      </c>
    </row>
    <row r="66" spans="12:18">
      <c r="L66" s="7">
        <v>62</v>
      </c>
      <c r="M66" s="7">
        <v>-1</v>
      </c>
      <c r="N66" s="7">
        <v>-1</v>
      </c>
      <c r="P66" s="7">
        <v>62</v>
      </c>
      <c r="Q66" s="7">
        <v>-9</v>
      </c>
      <c r="R66" s="7">
        <v>-5</v>
      </c>
    </row>
    <row r="67" spans="12:18">
      <c r="L67" s="7">
        <v>63</v>
      </c>
      <c r="M67" s="7">
        <v>-1</v>
      </c>
      <c r="N67" s="7">
        <v>-1</v>
      </c>
      <c r="P67" s="7">
        <v>63</v>
      </c>
      <c r="Q67" s="7">
        <v>-9</v>
      </c>
      <c r="R67" s="7">
        <v>-5</v>
      </c>
    </row>
    <row r="68" spans="12:18">
      <c r="L68" s="7">
        <v>64</v>
      </c>
      <c r="M68" s="7">
        <v>-1</v>
      </c>
      <c r="N68" s="7">
        <v>-1</v>
      </c>
      <c r="P68" s="7">
        <v>64</v>
      </c>
      <c r="Q68" s="7">
        <v>-9</v>
      </c>
      <c r="R68" s="7">
        <v>-5</v>
      </c>
    </row>
    <row r="69" spans="12:18">
      <c r="L69" s="7">
        <v>65</v>
      </c>
      <c r="M69" s="7">
        <v>-1</v>
      </c>
      <c r="N69" s="7">
        <v>-1</v>
      </c>
      <c r="P69" s="7">
        <v>65</v>
      </c>
      <c r="Q69" s="7">
        <v>-9</v>
      </c>
      <c r="R69" s="7">
        <v>-5</v>
      </c>
    </row>
    <row r="70" spans="12:18">
      <c r="L70" s="7">
        <v>66</v>
      </c>
      <c r="M70" s="7">
        <v>-1</v>
      </c>
      <c r="N70" s="7">
        <v>-1</v>
      </c>
      <c r="P70" s="7">
        <v>66</v>
      </c>
      <c r="Q70" s="7">
        <v>-9</v>
      </c>
      <c r="R70" s="7">
        <v>-5</v>
      </c>
    </row>
    <row r="71" spans="12:18">
      <c r="L71" s="7">
        <v>67</v>
      </c>
      <c r="M71" s="7">
        <v>-2</v>
      </c>
      <c r="N71" s="7">
        <v>-1</v>
      </c>
      <c r="P71" s="7">
        <v>67</v>
      </c>
      <c r="Q71" s="7">
        <v>-9</v>
      </c>
      <c r="R71" s="7">
        <v>-5</v>
      </c>
    </row>
    <row r="72" spans="12:18">
      <c r="L72" s="7">
        <v>68</v>
      </c>
      <c r="M72" s="7">
        <v>-2</v>
      </c>
      <c r="N72" s="7">
        <v>-1</v>
      </c>
      <c r="P72" s="7">
        <v>68</v>
      </c>
      <c r="Q72" s="7">
        <v>-9</v>
      </c>
      <c r="R72" s="7">
        <v>-5</v>
      </c>
    </row>
    <row r="73" spans="12:18">
      <c r="L73" s="7">
        <v>69</v>
      </c>
      <c r="M73" s="7">
        <v>-2</v>
      </c>
      <c r="N73" s="7">
        <v>-1</v>
      </c>
      <c r="P73" s="7">
        <v>69</v>
      </c>
      <c r="Q73" s="7">
        <v>-9</v>
      </c>
      <c r="R73" s="7">
        <v>-5</v>
      </c>
    </row>
    <row r="74" spans="12:18">
      <c r="L74" s="7">
        <v>70</v>
      </c>
      <c r="M74" s="7">
        <v>-2</v>
      </c>
      <c r="N74" s="7">
        <v>-1</v>
      </c>
      <c r="P74" s="7">
        <v>70</v>
      </c>
      <c r="Q74" s="7">
        <v>-10</v>
      </c>
      <c r="R74" s="7">
        <v>-5</v>
      </c>
    </row>
    <row r="75" spans="12:18">
      <c r="L75" s="7">
        <v>71</v>
      </c>
      <c r="M75" s="7">
        <v>-2</v>
      </c>
      <c r="N75" s="7">
        <v>-1</v>
      </c>
      <c r="P75" s="7">
        <v>71</v>
      </c>
      <c r="Q75" s="7">
        <v>-10</v>
      </c>
      <c r="R75" s="7">
        <v>-5</v>
      </c>
    </row>
    <row r="76" spans="12:18">
      <c r="L76" s="7">
        <v>72</v>
      </c>
      <c r="M76" s="7">
        <v>-3</v>
      </c>
      <c r="N76" s="7">
        <v>-2</v>
      </c>
      <c r="P76" s="7">
        <v>72</v>
      </c>
      <c r="Q76" s="7">
        <v>-10</v>
      </c>
      <c r="R76" s="7">
        <v>-5</v>
      </c>
    </row>
    <row r="77" spans="12:18">
      <c r="L77" s="7">
        <v>73</v>
      </c>
      <c r="M77" s="7">
        <v>-3</v>
      </c>
      <c r="N77" s="7">
        <v>-2</v>
      </c>
      <c r="P77" s="7">
        <v>73</v>
      </c>
      <c r="Q77" s="7">
        <v>-10</v>
      </c>
      <c r="R77" s="7">
        <v>-5</v>
      </c>
    </row>
    <row r="78" spans="12:18">
      <c r="L78" s="7">
        <v>74</v>
      </c>
      <c r="M78" s="7">
        <v>-3</v>
      </c>
      <c r="N78" s="7">
        <v>-2</v>
      </c>
      <c r="P78" s="7">
        <v>74</v>
      </c>
      <c r="Q78" s="7">
        <v>-10</v>
      </c>
      <c r="R78" s="7">
        <v>-5</v>
      </c>
    </row>
    <row r="79" spans="12:18">
      <c r="L79" s="7">
        <v>75</v>
      </c>
      <c r="M79" s="7">
        <v>-3</v>
      </c>
      <c r="N79" s="7">
        <v>-2</v>
      </c>
      <c r="P79" s="7">
        <v>75</v>
      </c>
      <c r="Q79" s="7">
        <v>-10</v>
      </c>
      <c r="R79" s="7">
        <v>-5</v>
      </c>
    </row>
    <row r="80" spans="12:18">
      <c r="L80" s="7">
        <v>76</v>
      </c>
      <c r="M80" s="7">
        <v>-3</v>
      </c>
      <c r="N80" s="7">
        <v>-2</v>
      </c>
      <c r="P80" s="7">
        <v>76</v>
      </c>
      <c r="Q80" s="7">
        <v>-10</v>
      </c>
      <c r="R80" s="7">
        <v>-5</v>
      </c>
    </row>
    <row r="81" spans="12:18">
      <c r="L81" s="7">
        <v>77</v>
      </c>
      <c r="M81" s="7">
        <v>-4</v>
      </c>
      <c r="N81" s="7">
        <v>-2</v>
      </c>
      <c r="P81" s="7">
        <v>77</v>
      </c>
      <c r="Q81" s="7">
        <v>-10</v>
      </c>
      <c r="R81" s="7">
        <v>-5</v>
      </c>
    </row>
    <row r="82" spans="12:18">
      <c r="L82" s="7">
        <v>78</v>
      </c>
      <c r="M82" s="7">
        <v>-4</v>
      </c>
      <c r="N82" s="7">
        <v>-2</v>
      </c>
      <c r="P82" s="7">
        <v>78</v>
      </c>
      <c r="Q82" s="7">
        <v>-10</v>
      </c>
      <c r="R82" s="7">
        <v>-5</v>
      </c>
    </row>
    <row r="83" spans="12:18">
      <c r="L83" s="7">
        <v>79</v>
      </c>
      <c r="M83" s="7">
        <v>-4</v>
      </c>
      <c r="N83" s="7">
        <v>-2</v>
      </c>
      <c r="P83" s="7">
        <v>79</v>
      </c>
      <c r="Q83" s="7">
        <v>-10</v>
      </c>
      <c r="R83" s="7">
        <v>-5</v>
      </c>
    </row>
    <row r="84" spans="12:18">
      <c r="L84" s="7">
        <v>80</v>
      </c>
      <c r="M84" s="7">
        <v>-4</v>
      </c>
      <c r="N84" s="7">
        <v>-2</v>
      </c>
      <c r="P84" s="7">
        <v>80</v>
      </c>
      <c r="Q84" s="7">
        <v>-10</v>
      </c>
      <c r="R84" s="7">
        <v>-5</v>
      </c>
    </row>
    <row r="85" spans="12:18">
      <c r="L85" s="7">
        <v>81</v>
      </c>
      <c r="M85" s="7">
        <v>-4</v>
      </c>
      <c r="N85" s="7">
        <v>-2</v>
      </c>
    </row>
    <row r="86" spans="12:18">
      <c r="L86" s="7">
        <v>82</v>
      </c>
      <c r="M86" s="7">
        <v>-4</v>
      </c>
      <c r="N86" s="7">
        <v>-2</v>
      </c>
    </row>
    <row r="87" spans="12:18">
      <c r="L87" s="7">
        <v>83</v>
      </c>
      <c r="M87" s="7">
        <v>-5</v>
      </c>
      <c r="N87" s="7">
        <v>-3</v>
      </c>
    </row>
    <row r="88" spans="12:18">
      <c r="L88" s="7">
        <v>84</v>
      </c>
      <c r="M88" s="7">
        <v>-5</v>
      </c>
      <c r="N88" s="7">
        <v>-3</v>
      </c>
    </row>
    <row r="89" spans="12:18">
      <c r="L89" s="7">
        <v>85</v>
      </c>
      <c r="M89" s="7">
        <v>-5</v>
      </c>
      <c r="N89" s="7">
        <v>-3</v>
      </c>
    </row>
    <row r="90" spans="12:18">
      <c r="L90" s="7">
        <v>86</v>
      </c>
      <c r="M90" s="7">
        <v>-5</v>
      </c>
      <c r="N90" s="7">
        <v>-3</v>
      </c>
    </row>
    <row r="91" spans="12:18">
      <c r="L91" s="7">
        <v>87</v>
      </c>
      <c r="M91" s="7">
        <v>-5</v>
      </c>
      <c r="N91" s="7">
        <v>-3</v>
      </c>
    </row>
    <row r="92" spans="12:18">
      <c r="L92" s="7">
        <v>88</v>
      </c>
      <c r="M92" s="7">
        <v>-6</v>
      </c>
      <c r="N92" s="7">
        <v>-3</v>
      </c>
    </row>
    <row r="93" spans="12:18">
      <c r="L93" s="7">
        <v>89</v>
      </c>
      <c r="M93" s="7">
        <v>-6</v>
      </c>
      <c r="N93" s="7">
        <v>-3</v>
      </c>
    </row>
    <row r="94" spans="12:18">
      <c r="L94" s="7">
        <v>90</v>
      </c>
      <c r="M94" s="7">
        <v>-6</v>
      </c>
      <c r="N94" s="7">
        <v>-3</v>
      </c>
    </row>
    <row r="95" spans="12:18">
      <c r="L95" s="7">
        <v>91</v>
      </c>
      <c r="M95" s="7">
        <v>-6</v>
      </c>
      <c r="N95" s="7">
        <v>-3</v>
      </c>
    </row>
    <row r="96" spans="12:18">
      <c r="L96" s="7">
        <v>92</v>
      </c>
      <c r="M96" s="7">
        <v>-6</v>
      </c>
      <c r="N96" s="7">
        <v>-3</v>
      </c>
    </row>
    <row r="97" spans="12:14">
      <c r="L97" s="7">
        <v>93</v>
      </c>
      <c r="M97" s="7">
        <v>-6</v>
      </c>
      <c r="N97" s="7">
        <v>-3</v>
      </c>
    </row>
    <row r="98" spans="12:14">
      <c r="L98" s="7">
        <v>94</v>
      </c>
      <c r="M98" s="7">
        <v>-7</v>
      </c>
      <c r="N98" s="7">
        <v>-4</v>
      </c>
    </row>
    <row r="99" spans="12:14">
      <c r="L99" s="7">
        <v>95</v>
      </c>
      <c r="M99" s="7">
        <v>-7</v>
      </c>
      <c r="N99" s="7">
        <v>-4</v>
      </c>
    </row>
    <row r="100" spans="12:14">
      <c r="L100" s="7">
        <v>96</v>
      </c>
      <c r="M100" s="7">
        <v>-7</v>
      </c>
      <c r="N100" s="7">
        <v>-4</v>
      </c>
    </row>
    <row r="101" spans="12:14">
      <c r="L101" s="7">
        <v>97</v>
      </c>
      <c r="M101" s="7">
        <v>-7</v>
      </c>
      <c r="N101" s="7">
        <v>-4</v>
      </c>
    </row>
    <row r="102" spans="12:14">
      <c r="L102" s="7">
        <v>98</v>
      </c>
      <c r="M102" s="7">
        <v>-7</v>
      </c>
      <c r="N102" s="7">
        <v>-4</v>
      </c>
    </row>
    <row r="103" spans="12:14">
      <c r="L103" s="7">
        <v>99</v>
      </c>
      <c r="M103" s="7">
        <v>-8</v>
      </c>
      <c r="N103" s="7">
        <v>-4</v>
      </c>
    </row>
    <row r="104" spans="12:14">
      <c r="L104" s="7">
        <v>100</v>
      </c>
      <c r="M104" s="7">
        <v>-8</v>
      </c>
      <c r="N104" s="7">
        <v>-4</v>
      </c>
    </row>
    <row r="105" spans="12:14">
      <c r="L105" s="7">
        <v>101</v>
      </c>
      <c r="M105" s="7">
        <v>-8</v>
      </c>
      <c r="N105" s="7">
        <v>-4</v>
      </c>
    </row>
    <row r="106" spans="12:14">
      <c r="L106" s="7">
        <v>102</v>
      </c>
      <c r="M106" s="7">
        <v>-8</v>
      </c>
      <c r="N106" s="7">
        <v>-4</v>
      </c>
    </row>
    <row r="107" spans="12:14">
      <c r="L107" s="7">
        <v>103</v>
      </c>
      <c r="M107" s="7">
        <v>-8</v>
      </c>
      <c r="N107" s="7">
        <v>-4</v>
      </c>
    </row>
    <row r="108" spans="12:14">
      <c r="L108" s="7">
        <v>104</v>
      </c>
      <c r="M108" s="7">
        <v>-8</v>
      </c>
      <c r="N108" s="7">
        <v>-4</v>
      </c>
    </row>
    <row r="109" spans="12:14">
      <c r="L109" s="7">
        <v>105</v>
      </c>
      <c r="M109" s="7">
        <v>-9</v>
      </c>
      <c r="N109" s="7">
        <v>-5</v>
      </c>
    </row>
    <row r="110" spans="12:14">
      <c r="L110" s="7">
        <v>106</v>
      </c>
      <c r="M110" s="7">
        <v>-9</v>
      </c>
      <c r="N110" s="7">
        <v>-5</v>
      </c>
    </row>
    <row r="111" spans="12:14">
      <c r="L111" s="7">
        <v>107</v>
      </c>
      <c r="M111" s="7">
        <v>-9</v>
      </c>
      <c r="N111" s="7">
        <v>-5</v>
      </c>
    </row>
    <row r="112" spans="12:14">
      <c r="L112" s="7">
        <v>108</v>
      </c>
      <c r="M112" s="7">
        <v>-9</v>
      </c>
      <c r="N112" s="7">
        <v>-5</v>
      </c>
    </row>
    <row r="113" spans="12:14">
      <c r="L113" s="7">
        <v>109</v>
      </c>
      <c r="M113" s="7">
        <v>-9</v>
      </c>
      <c r="N113" s="7">
        <v>-5</v>
      </c>
    </row>
    <row r="114" spans="12:14">
      <c r="L114" s="7">
        <v>110</v>
      </c>
      <c r="M114" s="7">
        <v>-10</v>
      </c>
      <c r="N114" s="7">
        <v>-5</v>
      </c>
    </row>
    <row r="115" spans="12:14">
      <c r="L115" s="7">
        <v>111</v>
      </c>
      <c r="M115" s="7">
        <v>-10</v>
      </c>
      <c r="N115" s="7">
        <v>-5</v>
      </c>
    </row>
    <row r="116" spans="12:14">
      <c r="L116" s="7">
        <v>112</v>
      </c>
      <c r="M116" s="7">
        <v>-10</v>
      </c>
      <c r="N116" s="7">
        <v>-5</v>
      </c>
    </row>
    <row r="117" spans="12:14">
      <c r="L117" s="7">
        <v>113</v>
      </c>
      <c r="M117" s="7">
        <v>-10</v>
      </c>
      <c r="N117" s="7">
        <v>-5</v>
      </c>
    </row>
    <row r="118" spans="12:14">
      <c r="L118" s="7">
        <v>114</v>
      </c>
      <c r="M118" s="7">
        <v>-10</v>
      </c>
      <c r="N118" s="7">
        <v>-5</v>
      </c>
    </row>
    <row r="119" spans="12:14">
      <c r="L119" s="7">
        <v>115</v>
      </c>
      <c r="M119" s="7">
        <v>-10</v>
      </c>
      <c r="N119" s="7">
        <v>-5</v>
      </c>
    </row>
    <row r="120" spans="12:14">
      <c r="L120" s="7">
        <v>116</v>
      </c>
      <c r="M120" s="7">
        <v>-10</v>
      </c>
      <c r="N120" s="7">
        <v>-5</v>
      </c>
    </row>
    <row r="121" spans="12:14">
      <c r="L121" s="7">
        <v>117</v>
      </c>
      <c r="M121" s="7">
        <v>-10</v>
      </c>
      <c r="N121" s="7">
        <v>-5</v>
      </c>
    </row>
    <row r="122" spans="12:14">
      <c r="L122" s="7">
        <v>118</v>
      </c>
      <c r="M122" s="7">
        <v>-10</v>
      </c>
      <c r="N122" s="7">
        <v>-5</v>
      </c>
    </row>
    <row r="123" spans="12:14">
      <c r="L123" s="7">
        <v>119</v>
      </c>
      <c r="M123" s="7">
        <v>-10</v>
      </c>
      <c r="N123" s="7">
        <v>-5</v>
      </c>
    </row>
    <row r="124" spans="12:14">
      <c r="L124" s="7">
        <v>120</v>
      </c>
      <c r="M124" s="7">
        <v>-10</v>
      </c>
      <c r="N124" s="7">
        <v>-5</v>
      </c>
    </row>
    <row r="125" spans="12:14">
      <c r="L125" s="7">
        <v>121</v>
      </c>
      <c r="M125" s="7">
        <v>-10</v>
      </c>
      <c r="N125" s="7">
        <v>-5</v>
      </c>
    </row>
    <row r="126" spans="12:14">
      <c r="L126" s="7"/>
    </row>
    <row r="127" spans="12:14"/>
    <row r="128" spans="12:14"/>
  </sheetData>
  <mergeCells count="2">
    <mergeCell ref="L2:N2"/>
    <mergeCell ref="P2:R2"/>
  </mergeCells>
  <pageMargins left="0.7" right="0.7" top="0.75" bottom="0.75" header="0.3" footer="0.3"/>
  <pageSetup paperSize="9" orientation="portrait" horizontalDpi="4294967292"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A3215-70C8-4F17-9E67-C0727BC40A54}">
  <sheetPr codeName="Hoja5"/>
  <dimension ref="B1:EU126"/>
  <sheetViews>
    <sheetView showGridLines="0" topLeftCell="DG1" zoomScale="70" zoomScaleNormal="70" workbookViewId="0">
      <pane ySplit="1" topLeftCell="A2" activePane="bottomLeft" state="frozen"/>
      <selection pane="bottomLeft" activeCell="DX8" sqref="DX8"/>
    </sheetView>
  </sheetViews>
  <sheetFormatPr baseColWidth="10" defaultRowHeight="14.25"/>
  <cols>
    <col min="1" max="1" width="6.28515625" style="1" customWidth="1"/>
    <col min="2" max="27" width="6.140625" style="3" customWidth="1"/>
    <col min="28" max="28" width="4.42578125" style="3" customWidth="1"/>
    <col min="29" max="32" width="9.85546875" style="3" customWidth="1"/>
    <col min="33" max="33" width="4.42578125" style="3" customWidth="1"/>
    <col min="34" max="35" width="5.28515625" style="3" bestFit="1" customWidth="1"/>
    <col min="36" max="37" width="5.7109375" style="3" bestFit="1" customWidth="1"/>
    <col min="38" max="38" width="5.28515625" style="3" bestFit="1" customWidth="1"/>
    <col min="39" max="39" width="4.85546875" style="3" bestFit="1" customWidth="1"/>
    <col min="40" max="40" width="5.7109375" style="3" bestFit="1" customWidth="1"/>
    <col min="41" max="41" width="5.28515625" style="3" bestFit="1" customWidth="1"/>
    <col min="42" max="42" width="3.5703125" style="3" bestFit="1" customWidth="1"/>
    <col min="43" max="43" width="4.42578125" style="3" bestFit="1" customWidth="1"/>
    <col min="44" max="44" width="5.28515625" style="3" bestFit="1" customWidth="1"/>
    <col min="45" max="45" width="6" style="3" bestFit="1" customWidth="1"/>
    <col min="46" max="46" width="5.28515625" style="3" bestFit="1" customWidth="1"/>
    <col min="47" max="47" width="6.140625" style="3" bestFit="1" customWidth="1"/>
    <col min="48" max="48" width="5.28515625" style="3" bestFit="1" customWidth="1"/>
    <col min="49" max="49" width="6.140625" style="3" bestFit="1" customWidth="1"/>
    <col min="50" max="50" width="5.7109375" style="3" bestFit="1" customWidth="1"/>
    <col min="51" max="51" width="5.28515625" style="3" bestFit="1" customWidth="1"/>
    <col min="52" max="52" width="4.85546875" style="3" bestFit="1" customWidth="1"/>
    <col min="53" max="53" width="5.28515625" style="3" bestFit="1" customWidth="1"/>
    <col min="54" max="54" width="7.42578125" style="3" bestFit="1" customWidth="1"/>
    <col min="55" max="56" width="5.28515625" style="3" bestFit="1" customWidth="1"/>
    <col min="57" max="58" width="4.42578125" style="3" bestFit="1" customWidth="1"/>
    <col min="59" max="59" width="6.5703125" style="3" bestFit="1" customWidth="1"/>
    <col min="60" max="60" width="4.42578125" style="3" customWidth="1"/>
    <col min="61" max="61" width="8" style="3" bestFit="1" customWidth="1"/>
    <col min="62" max="62" width="4.42578125" style="3" bestFit="1" customWidth="1"/>
    <col min="63" max="63" width="4.140625" style="3" bestFit="1" customWidth="1"/>
    <col min="64" max="64" width="4.42578125" style="3" bestFit="1" customWidth="1"/>
    <col min="65" max="65" width="4" style="3" bestFit="1" customWidth="1"/>
    <col min="66" max="66" width="4.42578125" style="3" bestFit="1" customWidth="1"/>
    <col min="67" max="67" width="4.140625" style="3" bestFit="1" customWidth="1"/>
    <col min="68" max="68" width="4.42578125" style="3" bestFit="1" customWidth="1"/>
    <col min="69" max="69" width="4" style="3" bestFit="1" customWidth="1"/>
    <col min="70" max="70" width="4.42578125" style="3" bestFit="1" customWidth="1"/>
    <col min="71" max="71" width="4" style="3" bestFit="1" customWidth="1"/>
    <col min="72" max="74" width="4.42578125" style="3" bestFit="1" customWidth="1"/>
    <col min="75" max="75" width="4.42578125" style="3" customWidth="1"/>
    <col min="76" max="76" width="4.42578125" style="3" bestFit="1" customWidth="1"/>
    <col min="77" max="77" width="4.42578125" style="3" customWidth="1"/>
    <col min="78" max="78" width="4.42578125" style="3" bestFit="1" customWidth="1"/>
    <col min="79" max="79" width="4" style="3" bestFit="1" customWidth="1"/>
    <col min="80" max="80" width="4.42578125" style="3" bestFit="1" customWidth="1"/>
    <col min="81" max="81" width="4" style="3" bestFit="1" customWidth="1"/>
    <col min="82" max="82" width="4.42578125" style="3" bestFit="1" customWidth="1"/>
    <col min="83" max="83" width="5.42578125" style="3" bestFit="1" customWidth="1"/>
    <col min="84" max="84" width="4.42578125" style="3" bestFit="1" customWidth="1"/>
    <col min="85" max="85" width="4" style="3" bestFit="1" customWidth="1"/>
    <col min="86" max="86" width="4.42578125" style="3" bestFit="1" customWidth="1"/>
    <col min="87" max="87" width="6.7109375" style="3" bestFit="1" customWidth="1"/>
    <col min="88" max="89" width="7.28515625" style="3" bestFit="1" customWidth="1"/>
    <col min="90" max="90" width="6.7109375" style="3" bestFit="1" customWidth="1"/>
    <col min="91" max="91" width="6.140625" style="3" bestFit="1" customWidth="1"/>
    <col min="92" max="92" width="7.28515625" style="3" bestFit="1" customWidth="1"/>
    <col min="93" max="93" width="6.7109375" style="3" bestFit="1" customWidth="1"/>
    <col min="94" max="94" width="4.42578125" style="3" bestFit="1" customWidth="1"/>
    <col min="95" max="95" width="5.5703125" style="3" bestFit="1" customWidth="1"/>
    <col min="96" max="96" width="6.7109375" style="3" bestFit="1" customWidth="1"/>
    <col min="97" max="97" width="5.5703125" style="3" bestFit="1" customWidth="1"/>
    <col min="98" max="98" width="7.5703125" style="3" bestFit="1" customWidth="1"/>
    <col min="99" max="99" width="6.7109375" style="3" bestFit="1" customWidth="1"/>
    <col min="100" max="100" width="7.85546875" style="3" bestFit="1" customWidth="1"/>
    <col min="101" max="101" width="6.7109375" style="3" bestFit="1" customWidth="1"/>
    <col min="102" max="102" width="7.85546875" style="3" bestFit="1" customWidth="1"/>
    <col min="103" max="103" width="7.28515625" style="3" bestFit="1" customWidth="1"/>
    <col min="104" max="104" width="6.7109375" style="3" bestFit="1" customWidth="1"/>
    <col min="105" max="105" width="6.140625" style="3" bestFit="1" customWidth="1"/>
    <col min="106" max="106" width="6.7109375" style="3" bestFit="1" customWidth="1"/>
    <col min="107" max="107" width="6.5703125" style="3" bestFit="1" customWidth="1"/>
    <col min="108" max="108" width="9.5703125" style="3" bestFit="1" customWidth="1"/>
    <col min="109" max="110" width="6.5703125" style="3" bestFit="1" customWidth="1"/>
    <col min="111" max="111" width="5.5703125" style="3" bestFit="1" customWidth="1"/>
    <col min="112" max="112" width="8.140625" style="3" bestFit="1" customWidth="1"/>
    <col min="113" max="114" width="8.85546875" style="3" bestFit="1" customWidth="1"/>
    <col min="115" max="115" width="7.42578125" style="3" bestFit="1" customWidth="1"/>
    <col min="116" max="116" width="9.5703125" style="3" bestFit="1" customWidth="1"/>
    <col min="117" max="117" width="8.140625" style="3" bestFit="1" customWidth="1"/>
    <col min="118" max="118" width="6.7109375" style="3" bestFit="1" customWidth="1"/>
    <col min="119" max="119" width="8.140625" style="3" bestFit="1" customWidth="1"/>
    <col min="120" max="121" width="6.7109375" style="3" bestFit="1" customWidth="1"/>
    <col min="122" max="122" width="8.140625" style="3" bestFit="1" customWidth="1"/>
    <col min="123" max="123" width="9.5703125" style="3" bestFit="1" customWidth="1"/>
    <col min="124" max="124" width="11.7109375" style="3" bestFit="1" customWidth="1"/>
    <col min="125" max="125" width="8.85546875" style="3" bestFit="1" customWidth="1"/>
    <col min="126" max="126" width="7.42578125" style="3" bestFit="1" customWidth="1"/>
    <col min="127" max="127" width="8.140625" style="3" bestFit="1" customWidth="1"/>
    <col min="128" max="128" width="4.42578125" style="3" bestFit="1" customWidth="1"/>
    <col min="129" max="129" width="9.5703125" style="3" bestFit="1" customWidth="1"/>
    <col min="130" max="130" width="8.140625" style="3" bestFit="1" customWidth="1"/>
    <col min="131" max="131" width="12" style="3" bestFit="1" customWidth="1"/>
    <col min="132" max="132" width="10.7109375" style="3" bestFit="1" customWidth="1"/>
    <col min="133" max="133" width="9.5703125" style="3" bestFit="1" customWidth="1"/>
    <col min="134" max="135" width="10.42578125" style="3" bestFit="1" customWidth="1"/>
    <col min="136" max="136" width="9.5703125" style="3" bestFit="1" customWidth="1"/>
    <col min="137" max="137" width="8.7109375" style="3" bestFit="1" customWidth="1"/>
    <col min="138" max="138" width="10.42578125" style="3" bestFit="1" customWidth="1"/>
    <col min="139" max="139" width="9.5703125" style="3" bestFit="1" customWidth="1"/>
    <col min="140" max="140" width="7.85546875" style="3" bestFit="1" customWidth="1"/>
    <col min="141" max="141" width="9.5703125" style="3" bestFit="1" customWidth="1"/>
    <col min="142" max="142" width="7.85546875" style="3" bestFit="1" customWidth="1"/>
    <col min="143" max="143" width="10.85546875" style="3" bestFit="1" customWidth="1"/>
    <col min="144" max="144" width="9.5703125" style="3" bestFit="1" customWidth="1"/>
    <col min="145" max="145" width="9.28515625" style="3" bestFit="1" customWidth="1"/>
    <col min="146" max="146" width="7.85546875" style="3" bestFit="1" customWidth="1"/>
    <col min="147" max="147" width="9.5703125" style="3" bestFit="1" customWidth="1"/>
    <col min="148" max="148" width="13.85546875" style="3" bestFit="1" customWidth="1"/>
    <col min="149" max="149" width="11.28515625" style="3" bestFit="1" customWidth="1"/>
    <col min="150" max="150" width="8.7109375" style="3" bestFit="1" customWidth="1"/>
    <col min="151" max="151" width="9.28515625" style="3" bestFit="1" customWidth="1"/>
    <col min="152" max="16384" width="11.42578125" style="1"/>
  </cols>
  <sheetData>
    <row r="1" spans="2:151" ht="15">
      <c r="B1" s="26" t="s">
        <v>248</v>
      </c>
      <c r="C1" s="26" t="s">
        <v>252</v>
      </c>
      <c r="D1" s="26" t="s">
        <v>235</v>
      </c>
      <c r="E1" s="26" t="s">
        <v>251</v>
      </c>
      <c r="F1" s="26" t="s">
        <v>364</v>
      </c>
      <c r="G1" s="26" t="s">
        <v>185</v>
      </c>
      <c r="H1" s="26" t="s">
        <v>365</v>
      </c>
      <c r="I1" s="26" t="s">
        <v>249</v>
      </c>
      <c r="J1" s="26" t="s">
        <v>366</v>
      </c>
      <c r="K1" s="26" t="s">
        <v>367</v>
      </c>
      <c r="L1" s="26" t="s">
        <v>368</v>
      </c>
      <c r="M1" s="26" t="s">
        <v>369</v>
      </c>
      <c r="N1" s="26" t="s">
        <v>370</v>
      </c>
      <c r="O1" s="26" t="s">
        <v>250</v>
      </c>
      <c r="P1" s="26" t="s">
        <v>236</v>
      </c>
      <c r="Q1" s="26" t="s">
        <v>371</v>
      </c>
      <c r="R1" s="26" t="s">
        <v>254</v>
      </c>
      <c r="S1" s="26" t="s">
        <v>234</v>
      </c>
      <c r="T1" s="26" t="s">
        <v>253</v>
      </c>
      <c r="U1" s="26" t="s">
        <v>372</v>
      </c>
      <c r="V1" s="26" t="s">
        <v>184</v>
      </c>
      <c r="W1" s="26" t="s">
        <v>266</v>
      </c>
      <c r="X1" s="26" t="s">
        <v>222</v>
      </c>
      <c r="Y1" s="26" t="s">
        <v>223</v>
      </c>
      <c r="Z1" s="26" t="s">
        <v>224</v>
      </c>
      <c r="AA1" s="26" t="s">
        <v>373</v>
      </c>
      <c r="AB1" s="26"/>
      <c r="AC1" s="26" t="s">
        <v>536</v>
      </c>
      <c r="AD1" s="26" t="s">
        <v>533</v>
      </c>
      <c r="AE1" s="26" t="s">
        <v>534</v>
      </c>
      <c r="AF1" s="26" t="s">
        <v>535</v>
      </c>
      <c r="AG1" s="26"/>
      <c r="AH1" s="26" t="s">
        <v>421</v>
      </c>
      <c r="AI1" s="26" t="s">
        <v>422</v>
      </c>
      <c r="AJ1" s="26" t="s">
        <v>423</v>
      </c>
      <c r="AK1" s="26" t="s">
        <v>424</v>
      </c>
      <c r="AL1" s="26" t="s">
        <v>425</v>
      </c>
      <c r="AM1" s="26" t="s">
        <v>426</v>
      </c>
      <c r="AN1" s="26" t="s">
        <v>427</v>
      </c>
      <c r="AO1" s="26" t="s">
        <v>428</v>
      </c>
      <c r="AP1" s="26" t="s">
        <v>429</v>
      </c>
      <c r="AQ1" s="26" t="s">
        <v>430</v>
      </c>
      <c r="AR1" s="26" t="s">
        <v>431</v>
      </c>
      <c r="AS1" s="26" t="s">
        <v>432</v>
      </c>
      <c r="AT1" s="26" t="s">
        <v>433</v>
      </c>
      <c r="AU1" s="26" t="s">
        <v>434</v>
      </c>
      <c r="AV1" s="26" t="s">
        <v>435</v>
      </c>
      <c r="AW1" s="26" t="s">
        <v>436</v>
      </c>
      <c r="AX1" s="26" t="s">
        <v>437</v>
      </c>
      <c r="AY1" s="26" t="s">
        <v>438</v>
      </c>
      <c r="AZ1" s="26" t="s">
        <v>439</v>
      </c>
      <c r="BA1" s="26" t="s">
        <v>440</v>
      </c>
      <c r="BB1" s="26" t="s">
        <v>441</v>
      </c>
      <c r="BC1" s="26" t="s">
        <v>442</v>
      </c>
      <c r="BD1" s="26" t="s">
        <v>443</v>
      </c>
      <c r="BE1" s="26" t="s">
        <v>444</v>
      </c>
      <c r="BF1" s="26" t="s">
        <v>445</v>
      </c>
      <c r="BG1" s="26" t="s">
        <v>446</v>
      </c>
      <c r="BH1" s="26"/>
      <c r="BI1" s="26" t="s">
        <v>447</v>
      </c>
      <c r="BJ1" s="19" t="s">
        <v>419</v>
      </c>
      <c r="BK1" s="26" t="s">
        <v>256</v>
      </c>
      <c r="BL1" s="19" t="s">
        <v>420</v>
      </c>
      <c r="BM1" s="26" t="s">
        <v>448</v>
      </c>
      <c r="BN1" s="19" t="s">
        <v>449</v>
      </c>
      <c r="BO1" s="26" t="s">
        <v>450</v>
      </c>
      <c r="BP1" s="19" t="s">
        <v>451</v>
      </c>
      <c r="BQ1" s="26" t="s">
        <v>452</v>
      </c>
      <c r="BR1" s="19" t="s">
        <v>453</v>
      </c>
      <c r="BS1" s="26" t="s">
        <v>454</v>
      </c>
      <c r="BT1" s="19" t="s">
        <v>455</v>
      </c>
      <c r="BU1" s="26" t="s">
        <v>456</v>
      </c>
      <c r="BV1" s="19" t="s">
        <v>457</v>
      </c>
      <c r="BW1" s="26" t="s">
        <v>458</v>
      </c>
      <c r="BX1" s="19" t="s">
        <v>257</v>
      </c>
      <c r="BY1" s="26" t="s">
        <v>459</v>
      </c>
      <c r="BZ1" s="19" t="s">
        <v>460</v>
      </c>
      <c r="CA1" s="26" t="s">
        <v>255</v>
      </c>
      <c r="CB1" s="19" t="s">
        <v>461</v>
      </c>
      <c r="CC1" s="26" t="s">
        <v>462</v>
      </c>
      <c r="CD1" s="19" t="s">
        <v>463</v>
      </c>
      <c r="CE1" s="26" t="s">
        <v>464</v>
      </c>
      <c r="CF1" s="19" t="s">
        <v>465</v>
      </c>
      <c r="CG1" s="26" t="s">
        <v>466</v>
      </c>
      <c r="CH1" s="19" t="s">
        <v>467</v>
      </c>
      <c r="CI1" s="26" t="s">
        <v>468</v>
      </c>
      <c r="CJ1" s="19" t="s">
        <v>469</v>
      </c>
      <c r="CK1" s="26" t="s">
        <v>470</v>
      </c>
      <c r="CL1" s="19" t="s">
        <v>471</v>
      </c>
      <c r="CM1" s="26" t="s">
        <v>472</v>
      </c>
      <c r="CN1" s="19" t="s">
        <v>473</v>
      </c>
      <c r="CO1" s="26" t="s">
        <v>474</v>
      </c>
      <c r="CP1" s="19" t="s">
        <v>475</v>
      </c>
      <c r="CQ1" s="26" t="s">
        <v>476</v>
      </c>
      <c r="CR1" s="19" t="s">
        <v>477</v>
      </c>
      <c r="CS1" s="26" t="s">
        <v>478</v>
      </c>
      <c r="CT1" s="19" t="s">
        <v>479</v>
      </c>
      <c r="CU1" s="26" t="s">
        <v>480</v>
      </c>
      <c r="CV1" s="19" t="s">
        <v>481</v>
      </c>
      <c r="CW1" s="26" t="s">
        <v>482</v>
      </c>
      <c r="CX1" s="19" t="s">
        <v>483</v>
      </c>
      <c r="CY1" s="26" t="s">
        <v>484</v>
      </c>
      <c r="CZ1" s="19" t="s">
        <v>485</v>
      </c>
      <c r="DA1" s="26" t="s">
        <v>486</v>
      </c>
      <c r="DB1" s="19" t="s">
        <v>487</v>
      </c>
      <c r="DC1" s="26" t="s">
        <v>488</v>
      </c>
      <c r="DD1" s="19" t="s">
        <v>489</v>
      </c>
      <c r="DE1" s="26" t="s">
        <v>490</v>
      </c>
      <c r="DF1" s="19" t="s">
        <v>491</v>
      </c>
      <c r="DG1" s="26" t="s">
        <v>492</v>
      </c>
      <c r="DH1" s="19" t="s">
        <v>493</v>
      </c>
      <c r="DI1" s="26" t="s">
        <v>494</v>
      </c>
      <c r="DJ1" s="19" t="s">
        <v>495</v>
      </c>
      <c r="DK1" s="26" t="s">
        <v>496</v>
      </c>
      <c r="DL1" s="19" t="s">
        <v>530</v>
      </c>
      <c r="DM1" s="26" t="s">
        <v>497</v>
      </c>
      <c r="DN1" s="19" t="s">
        <v>508</v>
      </c>
      <c r="DO1" s="26" t="s">
        <v>531</v>
      </c>
      <c r="DP1" s="19" t="s">
        <v>498</v>
      </c>
      <c r="DQ1" s="26" t="s">
        <v>499</v>
      </c>
      <c r="DR1" s="19" t="s">
        <v>532</v>
      </c>
      <c r="DS1" s="26" t="s">
        <v>500</v>
      </c>
      <c r="DT1" s="19" t="s">
        <v>501</v>
      </c>
      <c r="DU1" s="26" t="s">
        <v>502</v>
      </c>
      <c r="DV1" s="19" t="s">
        <v>503</v>
      </c>
      <c r="DW1" s="26" t="s">
        <v>504</v>
      </c>
      <c r="DX1" s="19" t="s">
        <v>505</v>
      </c>
      <c r="DY1" s="26" t="s">
        <v>506</v>
      </c>
      <c r="DZ1" s="19" t="s">
        <v>507</v>
      </c>
      <c r="EA1" s="26" t="s">
        <v>529</v>
      </c>
      <c r="EB1" s="19" t="s">
        <v>509</v>
      </c>
      <c r="EC1" s="26" t="s">
        <v>510</v>
      </c>
      <c r="ED1" s="19" t="s">
        <v>511</v>
      </c>
      <c r="EE1" s="26" t="s">
        <v>512</v>
      </c>
      <c r="EF1" s="19" t="s">
        <v>513</v>
      </c>
      <c r="EG1" s="26" t="s">
        <v>514</v>
      </c>
      <c r="EH1" s="19" t="s">
        <v>515</v>
      </c>
      <c r="EI1" s="26" t="s">
        <v>516</v>
      </c>
      <c r="EJ1" s="19" t="s">
        <v>517</v>
      </c>
      <c r="EK1" s="26" t="s">
        <v>518</v>
      </c>
      <c r="EL1" s="19" t="s">
        <v>519</v>
      </c>
      <c r="EM1" s="26" t="s">
        <v>520</v>
      </c>
      <c r="EN1" s="19" t="s">
        <v>521</v>
      </c>
      <c r="EO1" s="26" t="s">
        <v>522</v>
      </c>
      <c r="EP1" s="19" t="s">
        <v>523</v>
      </c>
      <c r="EQ1" s="26" t="s">
        <v>524</v>
      </c>
      <c r="ER1" s="19" t="s">
        <v>525</v>
      </c>
      <c r="ES1" s="26" t="s">
        <v>526</v>
      </c>
      <c r="ET1" s="19" t="s">
        <v>527</v>
      </c>
      <c r="EU1" s="26" t="s">
        <v>528</v>
      </c>
    </row>
    <row r="2" spans="2:151" ht="15">
      <c r="B2" s="291" t="s">
        <v>361</v>
      </c>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91"/>
      <c r="AD2" s="291"/>
      <c r="AE2" s="291"/>
      <c r="AF2" s="291"/>
      <c r="AG2" s="291"/>
      <c r="AH2" s="291"/>
      <c r="AI2" s="291"/>
      <c r="AJ2" s="291"/>
      <c r="AK2" s="291"/>
      <c r="AL2" s="291"/>
      <c r="AM2" s="291"/>
      <c r="AN2" s="291"/>
      <c r="AO2" s="291"/>
      <c r="AP2" s="291"/>
      <c r="AQ2" s="291"/>
      <c r="AR2" s="291"/>
      <c r="AS2" s="291"/>
      <c r="AT2" s="291"/>
      <c r="AU2" s="291"/>
      <c r="AV2" s="291"/>
      <c r="AW2" s="291"/>
      <c r="AX2" s="291"/>
      <c r="AY2" s="291"/>
      <c r="AZ2" s="291"/>
      <c r="BA2" s="291"/>
      <c r="BB2" s="291"/>
      <c r="BC2" s="291"/>
      <c r="BD2" s="291"/>
      <c r="BE2" s="291"/>
      <c r="BF2" s="291"/>
      <c r="BG2" s="291"/>
      <c r="BH2" s="291"/>
      <c r="BI2" s="291"/>
      <c r="BJ2" s="291"/>
      <c r="BK2" s="291"/>
      <c r="BL2" s="291"/>
      <c r="BM2" s="291"/>
      <c r="BN2" s="291"/>
      <c r="BO2" s="291"/>
      <c r="BP2" s="291"/>
      <c r="BQ2" s="291"/>
      <c r="BR2" s="291"/>
      <c r="BS2" s="291"/>
      <c r="BT2" s="291"/>
      <c r="BU2" s="291"/>
      <c r="BV2" s="291"/>
      <c r="BW2" s="291"/>
      <c r="BX2" s="291"/>
      <c r="BY2" s="291"/>
      <c r="BZ2" s="291"/>
      <c r="CA2" s="291"/>
      <c r="CB2" s="291"/>
      <c r="CC2" s="291"/>
      <c r="CD2" s="291"/>
      <c r="CE2" s="291"/>
      <c r="CF2" s="291"/>
      <c r="CG2" s="291"/>
      <c r="CH2" s="291"/>
      <c r="CI2" s="291"/>
      <c r="CJ2" s="291"/>
      <c r="CK2" s="291"/>
      <c r="CL2" s="291"/>
      <c r="CM2" s="291"/>
      <c r="CN2" s="291"/>
      <c r="CO2" s="291"/>
      <c r="CP2" s="291"/>
      <c r="CQ2" s="291"/>
      <c r="CR2" s="291"/>
      <c r="CS2" s="291"/>
      <c r="CT2" s="291"/>
      <c r="CU2" s="291"/>
      <c r="CV2" s="291"/>
      <c r="CW2" s="291"/>
      <c r="CX2" s="291"/>
      <c r="CY2" s="291"/>
      <c r="CZ2" s="291"/>
      <c r="DA2" s="291"/>
      <c r="DB2" s="291"/>
      <c r="DC2" s="291"/>
      <c r="DD2" s="291"/>
      <c r="DE2" s="291"/>
      <c r="DF2" s="291"/>
      <c r="DG2" s="291"/>
      <c r="DH2" s="291"/>
      <c r="DI2" s="291"/>
      <c r="DJ2" s="291"/>
      <c r="DK2" s="291"/>
      <c r="DL2" s="291"/>
      <c r="DM2" s="291"/>
      <c r="DN2" s="291"/>
      <c r="DO2" s="291"/>
      <c r="DP2" s="291"/>
      <c r="DQ2" s="291"/>
      <c r="DR2" s="291"/>
      <c r="DS2" s="291"/>
      <c r="DT2" s="291"/>
      <c r="DU2" s="291"/>
      <c r="DV2" s="291"/>
      <c r="DW2" s="291"/>
      <c r="DX2" s="291"/>
      <c r="DY2" s="291"/>
      <c r="DZ2" s="291"/>
      <c r="EA2" s="291"/>
      <c r="EB2" s="291"/>
      <c r="EC2" s="291"/>
      <c r="ED2" s="291"/>
      <c r="EE2" s="291"/>
      <c r="EF2" s="291"/>
      <c r="EG2" s="291"/>
      <c r="EH2" s="291"/>
      <c r="EI2" s="291"/>
      <c r="EJ2" s="291"/>
      <c r="EK2" s="291"/>
      <c r="EL2" s="291"/>
      <c r="EM2" s="291"/>
      <c r="EN2" s="291"/>
      <c r="EO2" s="291"/>
      <c r="EP2" s="291"/>
      <c r="EQ2" s="291"/>
      <c r="ER2" s="291"/>
      <c r="ES2" s="291"/>
      <c r="ET2" s="291"/>
      <c r="EU2" s="291"/>
    </row>
    <row r="3" spans="2:151" ht="17.25" customHeight="1">
      <c r="B3" s="2"/>
      <c r="C3" s="2"/>
      <c r="D3" s="2"/>
      <c r="E3" s="2"/>
      <c r="F3" s="2"/>
      <c r="G3" s="2"/>
      <c r="H3" s="2"/>
      <c r="I3" s="2"/>
      <c r="J3" s="2"/>
      <c r="K3" s="2"/>
      <c r="L3" s="2"/>
      <c r="M3" s="2"/>
      <c r="N3" s="2"/>
      <c r="O3" s="2"/>
      <c r="P3" s="2"/>
      <c r="Q3" s="2"/>
      <c r="R3" s="2"/>
      <c r="S3" s="2"/>
      <c r="T3" s="2"/>
      <c r="U3" s="2"/>
      <c r="V3" s="2"/>
      <c r="W3" s="2"/>
      <c r="X3" s="2"/>
      <c r="Y3" s="2"/>
      <c r="Z3" s="2"/>
      <c r="AA3" s="2"/>
      <c r="AB3" s="2"/>
      <c r="AC3" s="4"/>
      <c r="AD3" s="4"/>
      <c r="AE3" s="4"/>
      <c r="AF3" s="4"/>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row>
    <row r="4" spans="2:151" s="3" customFormat="1" ht="19.5" customHeight="1">
      <c r="B4" s="291" t="s">
        <v>341</v>
      </c>
      <c r="C4" s="291"/>
      <c r="D4" s="291"/>
      <c r="E4" s="291"/>
      <c r="F4" s="291"/>
      <c r="G4" s="291"/>
      <c r="H4" s="291"/>
      <c r="I4" s="291"/>
      <c r="J4" s="291"/>
      <c r="K4" s="291"/>
      <c r="L4" s="291"/>
      <c r="M4" s="291"/>
      <c r="N4" s="291"/>
      <c r="O4" s="291"/>
      <c r="P4" s="291"/>
      <c r="Q4" s="291"/>
      <c r="R4" s="291"/>
      <c r="S4" s="291"/>
      <c r="T4" s="291"/>
      <c r="U4" s="291"/>
      <c r="V4" s="291"/>
      <c r="W4" s="291"/>
      <c r="X4" s="291"/>
      <c r="Y4" s="291"/>
      <c r="Z4" s="291"/>
      <c r="AA4" s="291"/>
      <c r="AC4" s="291" t="s">
        <v>343</v>
      </c>
      <c r="AD4" s="291"/>
      <c r="AE4" s="291"/>
      <c r="AF4" s="291"/>
      <c r="AH4" s="291" t="s">
        <v>340</v>
      </c>
      <c r="AI4" s="291"/>
      <c r="AJ4" s="291"/>
      <c r="AK4" s="291"/>
      <c r="AL4" s="291"/>
      <c r="AM4" s="291"/>
      <c r="AN4" s="291"/>
      <c r="AO4" s="291"/>
      <c r="AP4" s="291"/>
      <c r="AQ4" s="291"/>
      <c r="AR4" s="291"/>
      <c r="AS4" s="291"/>
      <c r="AT4" s="291"/>
      <c r="AU4" s="291"/>
      <c r="AV4" s="291"/>
      <c r="AW4" s="291"/>
      <c r="AX4" s="291"/>
      <c r="AY4" s="291"/>
      <c r="AZ4" s="291"/>
      <c r="BA4" s="291"/>
      <c r="BB4" s="291"/>
      <c r="BC4" s="291"/>
      <c r="BD4" s="291"/>
      <c r="BE4" s="291"/>
      <c r="BF4" s="291"/>
      <c r="BG4" s="291"/>
      <c r="BJ4" s="292" t="s">
        <v>342</v>
      </c>
      <c r="BK4" s="292"/>
      <c r="BL4" s="292"/>
      <c r="BM4" s="292"/>
      <c r="BN4" s="292"/>
      <c r="BO4" s="292"/>
      <c r="BP4" s="292"/>
      <c r="BQ4" s="292"/>
      <c r="BR4" s="292"/>
      <c r="BS4" s="292"/>
      <c r="BT4" s="292"/>
      <c r="BU4" s="292"/>
      <c r="BV4" s="292"/>
      <c r="BW4" s="292"/>
      <c r="BX4" s="292"/>
      <c r="BY4" s="292"/>
      <c r="BZ4" s="292"/>
      <c r="CA4" s="292"/>
      <c r="CB4" s="292"/>
      <c r="CC4" s="292"/>
      <c r="CD4" s="292"/>
      <c r="CE4" s="292"/>
      <c r="CF4" s="292"/>
      <c r="CG4" s="292"/>
      <c r="CH4" s="292"/>
      <c r="CI4" s="292"/>
      <c r="CJ4" s="292"/>
      <c r="CK4" s="292"/>
      <c r="CL4" s="292"/>
      <c r="CM4" s="292"/>
      <c r="CN4" s="292"/>
      <c r="CO4" s="292"/>
      <c r="CP4" s="292"/>
      <c r="CQ4" s="292"/>
      <c r="CR4" s="292"/>
      <c r="CS4" s="292"/>
      <c r="CT4" s="292"/>
      <c r="CU4" s="292"/>
      <c r="CV4" s="292"/>
      <c r="CW4" s="292"/>
      <c r="CX4" s="292"/>
      <c r="CY4" s="292"/>
      <c r="CZ4" s="292"/>
      <c r="DA4" s="292"/>
      <c r="DB4" s="292"/>
      <c r="DC4" s="292"/>
      <c r="DD4" s="292"/>
      <c r="DE4" s="292"/>
      <c r="DF4" s="292"/>
      <c r="DG4" s="292"/>
      <c r="DH4" s="292"/>
      <c r="DI4" s="292"/>
      <c r="DJ4" s="292"/>
      <c r="DK4" s="292"/>
      <c r="DL4" s="292"/>
      <c r="DM4" s="292"/>
      <c r="DN4" s="292"/>
      <c r="DO4" s="292"/>
      <c r="DP4" s="292"/>
      <c r="DQ4" s="292"/>
      <c r="DR4" s="292"/>
      <c r="DS4" s="292"/>
      <c r="DT4" s="292"/>
      <c r="DU4" s="292"/>
      <c r="DV4" s="292"/>
      <c r="DW4" s="292"/>
      <c r="DX4" s="292"/>
      <c r="DY4" s="292"/>
      <c r="DZ4" s="292"/>
      <c r="EA4" s="292"/>
      <c r="EB4" s="292"/>
      <c r="EC4" s="292"/>
      <c r="ED4" s="292"/>
      <c r="EE4" s="292"/>
      <c r="EF4" s="292"/>
      <c r="EG4" s="292"/>
      <c r="EH4" s="292"/>
      <c r="EI4" s="292"/>
      <c r="EJ4" s="292"/>
      <c r="EK4" s="292"/>
      <c r="EL4" s="292"/>
      <c r="EM4" s="292"/>
      <c r="EN4" s="292"/>
      <c r="EO4" s="292"/>
      <c r="EP4" s="292"/>
      <c r="EQ4" s="292"/>
      <c r="ER4" s="292"/>
      <c r="ES4" s="292"/>
      <c r="ET4" s="292"/>
      <c r="EU4" s="292"/>
    </row>
    <row r="5" spans="2:151" ht="15">
      <c r="B5" s="2" t="s">
        <v>293</v>
      </c>
      <c r="C5" s="2">
        <v>1</v>
      </c>
      <c r="D5" s="2" t="s">
        <v>199</v>
      </c>
      <c r="E5" s="2" t="s">
        <v>200</v>
      </c>
      <c r="F5" s="2">
        <v>3</v>
      </c>
      <c r="G5" s="2" t="s">
        <v>201</v>
      </c>
      <c r="H5" s="2" t="s">
        <v>202</v>
      </c>
      <c r="I5" s="2">
        <v>5</v>
      </c>
      <c r="J5" s="2" t="s">
        <v>203</v>
      </c>
      <c r="K5" s="2" t="s">
        <v>204</v>
      </c>
      <c r="L5" s="2">
        <v>7</v>
      </c>
      <c r="M5" s="2" t="s">
        <v>205</v>
      </c>
      <c r="N5" s="2" t="s">
        <v>206</v>
      </c>
      <c r="O5" s="2" t="s">
        <v>234</v>
      </c>
      <c r="P5" s="2" t="s">
        <v>235</v>
      </c>
      <c r="Q5" s="2" t="s">
        <v>236</v>
      </c>
      <c r="R5" s="2" t="s">
        <v>248</v>
      </c>
      <c r="S5" s="2" t="s">
        <v>249</v>
      </c>
      <c r="T5" s="2" t="s">
        <v>250</v>
      </c>
      <c r="U5" s="2" t="s">
        <v>251</v>
      </c>
      <c r="V5" s="2" t="s">
        <v>252</v>
      </c>
      <c r="W5" s="2" t="s">
        <v>253</v>
      </c>
      <c r="X5" s="2" t="s">
        <v>254</v>
      </c>
      <c r="Y5" s="2" t="s">
        <v>255</v>
      </c>
      <c r="Z5" s="2" t="s">
        <v>256</v>
      </c>
      <c r="AA5" s="2" t="s">
        <v>257</v>
      </c>
      <c r="AC5" s="2" t="s">
        <v>215</v>
      </c>
      <c r="AD5" s="2" t="s">
        <v>222</v>
      </c>
      <c r="AE5" s="2" t="s">
        <v>223</v>
      </c>
      <c r="AF5" s="2" t="s">
        <v>224</v>
      </c>
      <c r="AH5" s="5" t="s">
        <v>216</v>
      </c>
      <c r="AI5" s="5">
        <v>1</v>
      </c>
      <c r="AJ5" s="5" t="s">
        <v>199</v>
      </c>
      <c r="AK5" s="5" t="s">
        <v>200</v>
      </c>
      <c r="AL5" s="5">
        <v>3</v>
      </c>
      <c r="AM5" s="5" t="s">
        <v>201</v>
      </c>
      <c r="AN5" s="5" t="s">
        <v>202</v>
      </c>
      <c r="AO5" s="5">
        <v>5</v>
      </c>
      <c r="AP5" s="5" t="s">
        <v>203</v>
      </c>
      <c r="AQ5" s="5" t="s">
        <v>204</v>
      </c>
      <c r="AR5" s="5">
        <v>7</v>
      </c>
      <c r="AS5" s="5" t="s">
        <v>205</v>
      </c>
      <c r="AT5" s="5" t="s">
        <v>206</v>
      </c>
      <c r="AU5" s="5" t="s">
        <v>234</v>
      </c>
      <c r="AV5" s="5" t="s">
        <v>235</v>
      </c>
      <c r="AW5" s="5" t="s">
        <v>236</v>
      </c>
      <c r="AX5" s="5" t="s">
        <v>248</v>
      </c>
      <c r="AY5" s="5" t="s">
        <v>249</v>
      </c>
      <c r="AZ5" s="5" t="s">
        <v>250</v>
      </c>
      <c r="BA5" s="5" t="s">
        <v>251</v>
      </c>
      <c r="BB5" s="5" t="s">
        <v>252</v>
      </c>
      <c r="BC5" s="5" t="s">
        <v>253</v>
      </c>
      <c r="BD5" s="5" t="s">
        <v>254</v>
      </c>
      <c r="BE5" s="5" t="s">
        <v>255</v>
      </c>
      <c r="BF5" s="5" t="s">
        <v>256</v>
      </c>
      <c r="BG5" s="5" t="s">
        <v>257</v>
      </c>
      <c r="BI5" s="289" t="s">
        <v>215</v>
      </c>
      <c r="BJ5" s="289" t="s">
        <v>295</v>
      </c>
      <c r="BK5" s="289"/>
      <c r="BL5" s="289" t="s">
        <v>296</v>
      </c>
      <c r="BM5" s="289"/>
      <c r="BN5" s="289" t="s">
        <v>297</v>
      </c>
      <c r="BO5" s="290"/>
      <c r="BP5" s="293" t="s">
        <v>298</v>
      </c>
      <c r="BQ5" s="289"/>
      <c r="BR5" s="289" t="s">
        <v>299</v>
      </c>
      <c r="BS5" s="289"/>
      <c r="BT5" s="289" t="s">
        <v>300</v>
      </c>
      <c r="BU5" s="290"/>
      <c r="BV5" s="293" t="s">
        <v>301</v>
      </c>
      <c r="BW5" s="289"/>
      <c r="BX5" s="289" t="s">
        <v>302</v>
      </c>
      <c r="BY5" s="289"/>
      <c r="BZ5" s="289" t="s">
        <v>303</v>
      </c>
      <c r="CA5" s="290"/>
      <c r="CB5" s="293" t="s">
        <v>304</v>
      </c>
      <c r="CC5" s="289"/>
      <c r="CD5" s="11" t="s">
        <v>305</v>
      </c>
      <c r="CE5" s="11"/>
      <c r="CF5" s="289" t="s">
        <v>306</v>
      </c>
      <c r="CG5" s="290"/>
      <c r="CH5" s="293" t="s">
        <v>307</v>
      </c>
      <c r="CI5" s="289"/>
      <c r="CJ5" s="289" t="s">
        <v>308</v>
      </c>
      <c r="CK5" s="289"/>
      <c r="CL5" s="289" t="s">
        <v>309</v>
      </c>
      <c r="CM5" s="290"/>
      <c r="CN5" s="293" t="s">
        <v>310</v>
      </c>
      <c r="CO5" s="289"/>
      <c r="CP5" s="289" t="s">
        <v>311</v>
      </c>
      <c r="CQ5" s="289"/>
      <c r="CR5" s="289" t="s">
        <v>312</v>
      </c>
      <c r="CS5" s="290"/>
      <c r="CT5" s="293" t="s">
        <v>313</v>
      </c>
      <c r="CU5" s="289"/>
      <c r="CV5" s="289" t="s">
        <v>314</v>
      </c>
      <c r="CW5" s="289"/>
      <c r="CX5" s="289" t="s">
        <v>315</v>
      </c>
      <c r="CY5" s="290"/>
      <c r="CZ5" s="11" t="s">
        <v>316</v>
      </c>
      <c r="DA5" s="11"/>
      <c r="DB5" s="289" t="s">
        <v>317</v>
      </c>
      <c r="DC5" s="289"/>
      <c r="DD5" s="289" t="s">
        <v>318</v>
      </c>
      <c r="DE5" s="290"/>
      <c r="DF5" s="11" t="s">
        <v>319</v>
      </c>
      <c r="DG5" s="11"/>
      <c r="DH5" s="289" t="s">
        <v>320</v>
      </c>
      <c r="DI5" s="289"/>
      <c r="DJ5" s="289" t="s">
        <v>321</v>
      </c>
      <c r="DK5" s="290"/>
      <c r="DL5" s="293" t="s">
        <v>322</v>
      </c>
      <c r="DM5" s="289"/>
      <c r="DN5" s="289" t="s">
        <v>323</v>
      </c>
      <c r="DO5" s="289"/>
      <c r="DP5" s="289" t="s">
        <v>324</v>
      </c>
      <c r="DQ5" s="290"/>
      <c r="DR5" s="293" t="s">
        <v>325</v>
      </c>
      <c r="DS5" s="289"/>
      <c r="DT5" s="289" t="s">
        <v>326</v>
      </c>
      <c r="DU5" s="289"/>
      <c r="DV5" s="11" t="s">
        <v>327</v>
      </c>
      <c r="DW5" s="12"/>
      <c r="DX5" s="293" t="s">
        <v>328</v>
      </c>
      <c r="DY5" s="289"/>
      <c r="DZ5" s="289" t="s">
        <v>329</v>
      </c>
      <c r="EA5" s="289"/>
      <c r="EB5" s="289" t="s">
        <v>330</v>
      </c>
      <c r="EC5" s="290"/>
      <c r="ED5" s="11" t="s">
        <v>331</v>
      </c>
      <c r="EE5" s="11"/>
      <c r="EF5" s="289" t="s">
        <v>332</v>
      </c>
      <c r="EG5" s="289"/>
      <c r="EH5" s="289" t="s">
        <v>333</v>
      </c>
      <c r="EI5" s="290"/>
      <c r="EJ5" s="293" t="s">
        <v>334</v>
      </c>
      <c r="EK5" s="289"/>
      <c r="EL5" s="289" t="s">
        <v>335</v>
      </c>
      <c r="EM5" s="289"/>
      <c r="EN5" s="289" t="s">
        <v>336</v>
      </c>
      <c r="EO5" s="290"/>
      <c r="EP5" s="293" t="s">
        <v>337</v>
      </c>
      <c r="EQ5" s="289"/>
      <c r="ER5" s="289" t="s">
        <v>338</v>
      </c>
      <c r="ES5" s="289"/>
      <c r="ET5" s="289" t="s">
        <v>339</v>
      </c>
      <c r="EU5" s="290"/>
    </row>
    <row r="6" spans="2:151" ht="15">
      <c r="B6" s="3">
        <v>0</v>
      </c>
      <c r="C6" s="3">
        <v>0</v>
      </c>
      <c r="D6" s="3">
        <v>0</v>
      </c>
      <c r="E6" s="3">
        <v>0</v>
      </c>
      <c r="F6" s="3">
        <v>0</v>
      </c>
      <c r="G6" s="3">
        <v>0</v>
      </c>
      <c r="H6" s="3">
        <v>0</v>
      </c>
      <c r="I6" s="3">
        <v>0</v>
      </c>
      <c r="J6" s="3">
        <v>0</v>
      </c>
      <c r="K6" s="3">
        <v>0</v>
      </c>
      <c r="L6" s="3">
        <v>0</v>
      </c>
      <c r="M6" s="3">
        <v>0</v>
      </c>
      <c r="N6" s="3">
        <v>0</v>
      </c>
      <c r="O6" s="3">
        <v>0</v>
      </c>
      <c r="P6" s="3">
        <v>0</v>
      </c>
      <c r="Q6" s="3">
        <v>0</v>
      </c>
      <c r="R6" s="3">
        <v>0</v>
      </c>
      <c r="S6" s="3">
        <v>0</v>
      </c>
      <c r="T6" s="3">
        <v>0</v>
      </c>
      <c r="U6" s="3">
        <v>0</v>
      </c>
      <c r="V6" s="3">
        <v>0</v>
      </c>
      <c r="W6" s="3">
        <v>0</v>
      </c>
      <c r="X6" s="3">
        <v>0</v>
      </c>
      <c r="Y6" s="3">
        <v>0</v>
      </c>
      <c r="Z6" s="3">
        <v>0</v>
      </c>
      <c r="AA6" s="3">
        <v>0</v>
      </c>
      <c r="AC6" s="3">
        <v>0</v>
      </c>
      <c r="AD6" s="3">
        <v>0</v>
      </c>
      <c r="AE6" s="3">
        <v>0</v>
      </c>
      <c r="AF6" s="3">
        <v>0</v>
      </c>
      <c r="AH6" s="6">
        <v>0</v>
      </c>
      <c r="AI6" s="6">
        <v>2</v>
      </c>
      <c r="AJ6" s="6">
        <v>2</v>
      </c>
      <c r="AK6" s="6">
        <v>5</v>
      </c>
      <c r="AL6" s="6">
        <v>2</v>
      </c>
      <c r="AM6" s="6">
        <v>4</v>
      </c>
      <c r="AN6" s="6">
        <v>4</v>
      </c>
      <c r="AO6" s="6">
        <v>10</v>
      </c>
      <c r="AP6" s="6">
        <v>11</v>
      </c>
      <c r="AQ6" s="6">
        <v>6</v>
      </c>
      <c r="AR6" s="6">
        <v>1</v>
      </c>
      <c r="AS6" s="6">
        <v>3</v>
      </c>
      <c r="AT6" s="6">
        <v>5</v>
      </c>
      <c r="AU6" s="6">
        <v>4</v>
      </c>
      <c r="AV6" s="6">
        <v>4</v>
      </c>
      <c r="AW6" s="6">
        <v>7</v>
      </c>
      <c r="AX6" s="6">
        <v>5</v>
      </c>
      <c r="AY6" s="6">
        <v>11</v>
      </c>
      <c r="AZ6" s="6">
        <v>3</v>
      </c>
      <c r="BA6" s="6">
        <v>3</v>
      </c>
      <c r="BB6" s="6">
        <v>34</v>
      </c>
      <c r="BC6" s="6">
        <v>24</v>
      </c>
      <c r="BD6" s="6">
        <v>8</v>
      </c>
      <c r="BE6" s="6">
        <v>3</v>
      </c>
      <c r="BF6" s="6">
        <v>13</v>
      </c>
      <c r="BG6" s="6">
        <v>17</v>
      </c>
      <c r="BI6" s="289"/>
      <c r="BJ6" s="8" t="s">
        <v>216</v>
      </c>
      <c r="BK6" s="8" t="s">
        <v>226</v>
      </c>
      <c r="BL6" s="8" t="s">
        <v>216</v>
      </c>
      <c r="BM6" s="8" t="s">
        <v>226</v>
      </c>
      <c r="BN6" s="8" t="s">
        <v>216</v>
      </c>
      <c r="BO6" s="13" t="s">
        <v>226</v>
      </c>
      <c r="BP6" s="14" t="s">
        <v>216</v>
      </c>
      <c r="BQ6" s="8" t="s">
        <v>226</v>
      </c>
      <c r="BR6" s="8" t="s">
        <v>216</v>
      </c>
      <c r="BS6" s="8" t="s">
        <v>226</v>
      </c>
      <c r="BT6" s="8" t="s">
        <v>216</v>
      </c>
      <c r="BU6" s="13" t="s">
        <v>226</v>
      </c>
      <c r="BV6" s="14" t="s">
        <v>216</v>
      </c>
      <c r="BW6" s="8" t="s">
        <v>226</v>
      </c>
      <c r="BX6" s="8" t="s">
        <v>216</v>
      </c>
      <c r="BY6" s="8" t="s">
        <v>226</v>
      </c>
      <c r="BZ6" s="8" t="s">
        <v>216</v>
      </c>
      <c r="CA6" s="13" t="s">
        <v>226</v>
      </c>
      <c r="CB6" s="8" t="s">
        <v>216</v>
      </c>
      <c r="CC6" s="8" t="s">
        <v>226</v>
      </c>
      <c r="CD6" s="8" t="s">
        <v>216</v>
      </c>
      <c r="CE6" s="8" t="s">
        <v>226</v>
      </c>
      <c r="CF6" s="8" t="s">
        <v>216</v>
      </c>
      <c r="CG6" s="8" t="s">
        <v>226</v>
      </c>
      <c r="CH6" s="8" t="s">
        <v>216</v>
      </c>
      <c r="CI6" s="8" t="s">
        <v>226</v>
      </c>
      <c r="CJ6" s="8" t="s">
        <v>216</v>
      </c>
      <c r="CK6" s="8" t="s">
        <v>226</v>
      </c>
      <c r="CL6" s="8" t="s">
        <v>216</v>
      </c>
      <c r="CM6" s="13" t="s">
        <v>226</v>
      </c>
      <c r="CN6" s="8" t="s">
        <v>216</v>
      </c>
      <c r="CO6" s="8" t="s">
        <v>226</v>
      </c>
      <c r="CP6" s="8" t="s">
        <v>216</v>
      </c>
      <c r="CQ6" s="8" t="s">
        <v>226</v>
      </c>
      <c r="CR6" s="8" t="s">
        <v>216</v>
      </c>
      <c r="CS6" s="13" t="s">
        <v>226</v>
      </c>
      <c r="CT6" s="8" t="s">
        <v>216</v>
      </c>
      <c r="CU6" s="8" t="s">
        <v>226</v>
      </c>
      <c r="CV6" s="8" t="s">
        <v>216</v>
      </c>
      <c r="CW6" s="8" t="s">
        <v>226</v>
      </c>
      <c r="CX6" s="8" t="s">
        <v>216</v>
      </c>
      <c r="CY6" s="13" t="s">
        <v>226</v>
      </c>
      <c r="CZ6" s="8" t="s">
        <v>216</v>
      </c>
      <c r="DA6" s="8" t="s">
        <v>226</v>
      </c>
      <c r="DB6" s="8" t="s">
        <v>216</v>
      </c>
      <c r="DC6" s="8" t="s">
        <v>226</v>
      </c>
      <c r="DD6" s="8" t="s">
        <v>216</v>
      </c>
      <c r="DE6" s="13" t="s">
        <v>226</v>
      </c>
      <c r="DF6" s="8" t="s">
        <v>216</v>
      </c>
      <c r="DG6" s="8" t="s">
        <v>226</v>
      </c>
      <c r="DH6" s="8" t="s">
        <v>216</v>
      </c>
      <c r="DI6" s="8" t="s">
        <v>226</v>
      </c>
      <c r="DJ6" s="8" t="s">
        <v>216</v>
      </c>
      <c r="DK6" s="13" t="s">
        <v>226</v>
      </c>
      <c r="DL6" s="8" t="s">
        <v>216</v>
      </c>
      <c r="DM6" s="8" t="s">
        <v>226</v>
      </c>
      <c r="DN6" s="8" t="s">
        <v>216</v>
      </c>
      <c r="DO6" s="8" t="s">
        <v>226</v>
      </c>
      <c r="DP6" s="8" t="s">
        <v>216</v>
      </c>
      <c r="DQ6" s="13" t="s">
        <v>226</v>
      </c>
      <c r="DR6" s="8" t="s">
        <v>216</v>
      </c>
      <c r="DS6" s="8" t="s">
        <v>226</v>
      </c>
      <c r="DT6" s="8" t="s">
        <v>216</v>
      </c>
      <c r="DU6" s="8" t="s">
        <v>226</v>
      </c>
      <c r="DV6" s="8" t="s">
        <v>216</v>
      </c>
      <c r="DW6" s="13" t="s">
        <v>226</v>
      </c>
      <c r="DX6" s="8" t="s">
        <v>216</v>
      </c>
      <c r="DY6" s="8" t="s">
        <v>226</v>
      </c>
      <c r="DZ6" s="8" t="s">
        <v>216</v>
      </c>
      <c r="EA6" s="8" t="s">
        <v>226</v>
      </c>
      <c r="EB6" s="8" t="s">
        <v>216</v>
      </c>
      <c r="EC6" s="13" t="s">
        <v>226</v>
      </c>
      <c r="ED6" s="8" t="s">
        <v>216</v>
      </c>
      <c r="EE6" s="8" t="s">
        <v>226</v>
      </c>
      <c r="EF6" s="8" t="s">
        <v>216</v>
      </c>
      <c r="EG6" s="8" t="s">
        <v>226</v>
      </c>
      <c r="EH6" s="8" t="s">
        <v>216</v>
      </c>
      <c r="EI6" s="13" t="s">
        <v>226</v>
      </c>
      <c r="EJ6" s="14" t="s">
        <v>216</v>
      </c>
      <c r="EK6" s="8" t="s">
        <v>226</v>
      </c>
      <c r="EL6" s="8" t="s">
        <v>216</v>
      </c>
      <c r="EM6" s="8" t="s">
        <v>226</v>
      </c>
      <c r="EN6" s="8" t="s">
        <v>216</v>
      </c>
      <c r="EO6" s="13" t="s">
        <v>226</v>
      </c>
      <c r="EP6" s="8" t="s">
        <v>216</v>
      </c>
      <c r="EQ6" s="8" t="s">
        <v>226</v>
      </c>
      <c r="ER6" s="8" t="s">
        <v>216</v>
      </c>
      <c r="ES6" s="8" t="s">
        <v>226</v>
      </c>
      <c r="ET6" s="8" t="s">
        <v>216</v>
      </c>
      <c r="EU6" s="13" t="s">
        <v>226</v>
      </c>
    </row>
    <row r="7" spans="2:151">
      <c r="B7" s="3">
        <v>1</v>
      </c>
      <c r="C7" s="3">
        <v>7</v>
      </c>
      <c r="D7" s="3">
        <v>6</v>
      </c>
      <c r="E7" s="3">
        <v>5</v>
      </c>
      <c r="F7" s="3">
        <v>6</v>
      </c>
      <c r="G7" s="3">
        <v>7</v>
      </c>
      <c r="H7" s="3">
        <v>6</v>
      </c>
      <c r="I7" s="3">
        <v>12</v>
      </c>
      <c r="J7" s="3">
        <v>20</v>
      </c>
      <c r="K7" s="3">
        <v>10</v>
      </c>
      <c r="L7" s="3">
        <v>4</v>
      </c>
      <c r="M7" s="3">
        <v>7</v>
      </c>
      <c r="N7" s="3">
        <v>8</v>
      </c>
      <c r="O7" s="3">
        <v>6</v>
      </c>
      <c r="P7" s="3">
        <v>8</v>
      </c>
      <c r="Q7" s="3">
        <v>9</v>
      </c>
      <c r="R7" s="3">
        <v>8</v>
      </c>
      <c r="S7" s="3">
        <v>10</v>
      </c>
      <c r="T7" s="3">
        <v>10</v>
      </c>
      <c r="U7" s="3">
        <v>5</v>
      </c>
      <c r="V7" s="3">
        <v>60</v>
      </c>
      <c r="W7" s="3">
        <v>60</v>
      </c>
      <c r="X7" s="3">
        <v>12</v>
      </c>
      <c r="Y7" s="3">
        <v>7</v>
      </c>
      <c r="Z7" s="3">
        <v>9</v>
      </c>
      <c r="AA7" s="3">
        <v>30</v>
      </c>
      <c r="AC7" s="3">
        <v>1</v>
      </c>
      <c r="AD7" s="3">
        <v>0</v>
      </c>
      <c r="AE7" s="3">
        <v>5</v>
      </c>
      <c r="AF7" s="3">
        <v>12</v>
      </c>
      <c r="AH7" s="6">
        <v>0</v>
      </c>
      <c r="AI7" s="6">
        <v>2</v>
      </c>
      <c r="AJ7" s="6">
        <v>2</v>
      </c>
      <c r="AK7" s="6">
        <v>5</v>
      </c>
      <c r="AL7" s="6">
        <v>2</v>
      </c>
      <c r="AM7" s="6">
        <v>4</v>
      </c>
      <c r="AN7" s="6">
        <v>4</v>
      </c>
      <c r="AO7" s="6">
        <v>10</v>
      </c>
      <c r="AP7" s="6">
        <v>11</v>
      </c>
      <c r="AQ7" s="6">
        <v>6</v>
      </c>
      <c r="AR7" s="6">
        <v>1</v>
      </c>
      <c r="AS7" s="6">
        <v>3</v>
      </c>
      <c r="AT7" s="6">
        <v>5</v>
      </c>
      <c r="AU7" s="6">
        <v>4</v>
      </c>
      <c r="AV7" s="6">
        <v>4</v>
      </c>
      <c r="AW7" s="6">
        <v>7</v>
      </c>
      <c r="AX7" s="6">
        <v>5</v>
      </c>
      <c r="AY7" s="6">
        <v>11</v>
      </c>
      <c r="AZ7" s="6">
        <v>3</v>
      </c>
      <c r="BA7" s="6">
        <v>3</v>
      </c>
      <c r="BB7" s="6">
        <v>34</v>
      </c>
      <c r="BC7" s="6">
        <v>24</v>
      </c>
      <c r="BD7" s="6">
        <v>8</v>
      </c>
      <c r="BE7" s="6">
        <v>3</v>
      </c>
      <c r="BF7" s="6">
        <v>13</v>
      </c>
      <c r="BG7" s="6">
        <v>17</v>
      </c>
      <c r="BI7" s="6">
        <v>0</v>
      </c>
      <c r="BJ7" s="6">
        <v>0</v>
      </c>
      <c r="BK7" s="6">
        <v>9</v>
      </c>
      <c r="BL7" s="6">
        <v>0</v>
      </c>
      <c r="BM7" s="6">
        <v>3</v>
      </c>
      <c r="BN7" s="6">
        <v>0</v>
      </c>
      <c r="BO7" s="20">
        <v>13</v>
      </c>
      <c r="BP7" s="21">
        <v>0</v>
      </c>
      <c r="BQ7" s="6">
        <v>4</v>
      </c>
      <c r="BR7" s="6">
        <v>0</v>
      </c>
      <c r="BS7" s="6">
        <v>8</v>
      </c>
      <c r="BT7" s="6">
        <v>0</v>
      </c>
      <c r="BU7" s="22">
        <v>12</v>
      </c>
      <c r="BV7" s="21">
        <v>0</v>
      </c>
      <c r="BW7" s="6">
        <v>6</v>
      </c>
      <c r="BX7" s="6">
        <v>0</v>
      </c>
      <c r="BY7" s="6">
        <v>24</v>
      </c>
      <c r="BZ7" s="6">
        <v>0</v>
      </c>
      <c r="CA7" s="22">
        <v>21</v>
      </c>
      <c r="CB7" s="6">
        <v>0</v>
      </c>
      <c r="CC7" s="6">
        <v>6</v>
      </c>
      <c r="CD7" s="6">
        <v>0</v>
      </c>
      <c r="CE7" s="6">
        <v>7</v>
      </c>
      <c r="CF7" s="6">
        <v>0</v>
      </c>
      <c r="CG7" s="22">
        <v>10</v>
      </c>
      <c r="CH7" s="21">
        <v>0</v>
      </c>
      <c r="CI7" s="6">
        <v>31</v>
      </c>
      <c r="CJ7" s="6">
        <v>0</v>
      </c>
      <c r="CK7" s="6">
        <v>7</v>
      </c>
      <c r="CL7" s="6">
        <v>0</v>
      </c>
      <c r="CM7" s="22">
        <v>5</v>
      </c>
      <c r="CN7" s="6">
        <v>0</v>
      </c>
      <c r="CO7" s="6">
        <v>11</v>
      </c>
      <c r="CP7" s="6">
        <v>0</v>
      </c>
      <c r="CQ7" s="6">
        <v>7</v>
      </c>
      <c r="CR7" s="6">
        <v>0</v>
      </c>
      <c r="CS7" s="22">
        <v>7</v>
      </c>
      <c r="CT7" s="6">
        <v>0</v>
      </c>
      <c r="CU7" s="6">
        <v>26</v>
      </c>
      <c r="CV7" s="6">
        <v>0</v>
      </c>
      <c r="CW7" s="6">
        <v>6</v>
      </c>
      <c r="CX7" s="6">
        <v>0</v>
      </c>
      <c r="CY7" s="22">
        <v>26</v>
      </c>
      <c r="CZ7" s="6">
        <v>0</v>
      </c>
      <c r="DA7" s="6">
        <v>21</v>
      </c>
      <c r="DB7" s="6">
        <v>0</v>
      </c>
      <c r="DC7" s="6">
        <v>16</v>
      </c>
      <c r="DD7" s="6">
        <v>0</v>
      </c>
      <c r="DE7" s="22">
        <v>27</v>
      </c>
      <c r="DF7" s="6">
        <v>0</v>
      </c>
      <c r="DG7" s="6">
        <v>11</v>
      </c>
      <c r="DH7" s="6">
        <v>0</v>
      </c>
      <c r="DI7" s="6">
        <v>22</v>
      </c>
      <c r="DJ7" s="6">
        <v>0</v>
      </c>
      <c r="DK7" s="22">
        <v>25</v>
      </c>
      <c r="DL7" s="6">
        <v>0</v>
      </c>
      <c r="DM7" s="6">
        <v>1</v>
      </c>
      <c r="DN7" s="6">
        <v>0</v>
      </c>
      <c r="DO7" s="6">
        <v>2</v>
      </c>
      <c r="DP7" s="6">
        <v>0</v>
      </c>
      <c r="DQ7" s="22">
        <v>1</v>
      </c>
      <c r="DR7" s="6">
        <v>0</v>
      </c>
      <c r="DS7" s="6">
        <v>13</v>
      </c>
      <c r="DT7" s="6">
        <v>0</v>
      </c>
      <c r="DU7" s="6">
        <v>6</v>
      </c>
      <c r="DV7" s="6">
        <v>0</v>
      </c>
      <c r="DW7" s="22">
        <v>15</v>
      </c>
      <c r="DX7" s="6">
        <v>0</v>
      </c>
      <c r="DY7" s="6">
        <v>9</v>
      </c>
      <c r="DZ7" s="6">
        <v>0</v>
      </c>
      <c r="EA7" s="6">
        <v>13</v>
      </c>
      <c r="EB7" s="6">
        <v>0</v>
      </c>
      <c r="EC7" s="22">
        <v>7</v>
      </c>
      <c r="ED7" s="6">
        <v>0</v>
      </c>
      <c r="EE7" s="6">
        <v>7</v>
      </c>
      <c r="EF7" s="6">
        <v>0</v>
      </c>
      <c r="EG7" s="6">
        <v>12</v>
      </c>
      <c r="EH7" s="6">
        <v>0</v>
      </c>
      <c r="EI7" s="22">
        <v>17</v>
      </c>
      <c r="EJ7" s="21">
        <v>0</v>
      </c>
      <c r="EK7" s="6">
        <v>20</v>
      </c>
      <c r="EL7" s="6">
        <v>0</v>
      </c>
      <c r="EM7" s="6">
        <v>10</v>
      </c>
      <c r="EN7" s="6">
        <v>0</v>
      </c>
      <c r="EO7" s="22">
        <v>16</v>
      </c>
      <c r="EP7" s="6">
        <v>0</v>
      </c>
      <c r="EQ7" s="6">
        <v>12</v>
      </c>
      <c r="ER7" s="6">
        <v>0</v>
      </c>
      <c r="ES7" s="6">
        <v>18</v>
      </c>
      <c r="ET7" s="6">
        <v>0</v>
      </c>
      <c r="EU7" s="20">
        <v>20</v>
      </c>
    </row>
    <row r="8" spans="2:151">
      <c r="B8" s="3">
        <v>2</v>
      </c>
      <c r="C8" s="3">
        <v>13</v>
      </c>
      <c r="D8" s="3">
        <v>12</v>
      </c>
      <c r="E8" s="3">
        <v>10</v>
      </c>
      <c r="F8" s="3">
        <v>12</v>
      </c>
      <c r="G8" s="3">
        <v>13</v>
      </c>
      <c r="H8" s="3">
        <v>12</v>
      </c>
      <c r="I8" s="3">
        <v>24</v>
      </c>
      <c r="J8" s="3">
        <v>40</v>
      </c>
      <c r="K8" s="3">
        <v>20</v>
      </c>
      <c r="L8" s="3">
        <v>8</v>
      </c>
      <c r="M8" s="3">
        <v>13</v>
      </c>
      <c r="N8" s="3">
        <v>15</v>
      </c>
      <c r="O8" s="3">
        <v>12</v>
      </c>
      <c r="P8" s="3">
        <v>15</v>
      </c>
      <c r="Q8" s="3">
        <v>17</v>
      </c>
      <c r="R8" s="3">
        <v>15</v>
      </c>
      <c r="S8" s="3">
        <v>20</v>
      </c>
      <c r="T8" s="3">
        <v>20</v>
      </c>
      <c r="U8" s="3">
        <v>10</v>
      </c>
      <c r="V8" s="3">
        <v>68</v>
      </c>
      <c r="W8" s="3">
        <v>62</v>
      </c>
      <c r="X8" s="3">
        <v>24</v>
      </c>
      <c r="Y8" s="3">
        <v>13</v>
      </c>
      <c r="Z8" s="3">
        <v>17</v>
      </c>
      <c r="AA8" s="3">
        <v>60</v>
      </c>
      <c r="AC8" s="3">
        <v>2</v>
      </c>
      <c r="AD8" s="3">
        <v>0</v>
      </c>
      <c r="AE8" s="3">
        <v>10</v>
      </c>
      <c r="AF8" s="3">
        <v>23</v>
      </c>
      <c r="AH8" s="6">
        <v>0</v>
      </c>
      <c r="AI8" s="6">
        <v>2</v>
      </c>
      <c r="AJ8" s="6">
        <v>2</v>
      </c>
      <c r="AK8" s="6">
        <v>5</v>
      </c>
      <c r="AL8" s="6">
        <v>2</v>
      </c>
      <c r="AM8" s="6">
        <v>4</v>
      </c>
      <c r="AN8" s="6">
        <v>4</v>
      </c>
      <c r="AO8" s="6">
        <v>10</v>
      </c>
      <c r="AP8" s="6">
        <v>11</v>
      </c>
      <c r="AQ8" s="6">
        <v>6</v>
      </c>
      <c r="AR8" s="6">
        <v>1</v>
      </c>
      <c r="AS8" s="6">
        <v>3</v>
      </c>
      <c r="AT8" s="6">
        <v>5</v>
      </c>
      <c r="AU8" s="6">
        <v>4</v>
      </c>
      <c r="AV8" s="6">
        <v>4</v>
      </c>
      <c r="AW8" s="6">
        <v>7</v>
      </c>
      <c r="AX8" s="6">
        <v>5</v>
      </c>
      <c r="AY8" s="6">
        <v>11</v>
      </c>
      <c r="AZ8" s="6">
        <v>3</v>
      </c>
      <c r="BA8" s="6">
        <v>3</v>
      </c>
      <c r="BB8" s="6">
        <v>34</v>
      </c>
      <c r="BC8" s="6">
        <v>24</v>
      </c>
      <c r="BD8" s="6">
        <v>8</v>
      </c>
      <c r="BE8" s="6">
        <v>3</v>
      </c>
      <c r="BF8" s="6">
        <v>13</v>
      </c>
      <c r="BG8" s="6">
        <v>17</v>
      </c>
      <c r="BI8" s="6">
        <v>1</v>
      </c>
      <c r="BJ8" s="6">
        <v>20</v>
      </c>
      <c r="BK8" s="6">
        <v>22</v>
      </c>
      <c r="BL8" s="6">
        <v>15</v>
      </c>
      <c r="BM8" s="6">
        <v>10</v>
      </c>
      <c r="BN8" s="6">
        <v>20</v>
      </c>
      <c r="BO8" s="20">
        <v>27</v>
      </c>
      <c r="BP8" s="21">
        <v>15</v>
      </c>
      <c r="BQ8" s="6">
        <v>11</v>
      </c>
      <c r="BR8" s="6">
        <v>15</v>
      </c>
      <c r="BS8" s="6">
        <v>20</v>
      </c>
      <c r="BT8" s="6">
        <v>20</v>
      </c>
      <c r="BU8" s="22">
        <v>25</v>
      </c>
      <c r="BV8" s="21">
        <v>10</v>
      </c>
      <c r="BW8" s="6">
        <v>12</v>
      </c>
      <c r="BX8" s="6">
        <v>30</v>
      </c>
      <c r="BY8" s="6">
        <v>41</v>
      </c>
      <c r="BZ8" s="6">
        <v>20</v>
      </c>
      <c r="CA8" s="22">
        <v>35</v>
      </c>
      <c r="CB8" s="6">
        <v>12</v>
      </c>
      <c r="CC8" s="6">
        <v>14</v>
      </c>
      <c r="CD8" s="6">
        <v>20</v>
      </c>
      <c r="CE8" s="6">
        <v>21</v>
      </c>
      <c r="CF8" s="6">
        <v>15</v>
      </c>
      <c r="CG8" s="22">
        <v>22</v>
      </c>
      <c r="CH8" s="21">
        <v>60</v>
      </c>
      <c r="CI8" s="6">
        <v>54</v>
      </c>
      <c r="CJ8" s="6">
        <v>15</v>
      </c>
      <c r="CK8" s="6">
        <v>15</v>
      </c>
      <c r="CL8" s="6">
        <v>12</v>
      </c>
      <c r="CM8" s="22">
        <v>15</v>
      </c>
      <c r="CN8" s="6">
        <v>20</v>
      </c>
      <c r="CO8" s="6">
        <v>27</v>
      </c>
      <c r="CP8" s="6">
        <v>20</v>
      </c>
      <c r="CQ8" s="6">
        <v>22</v>
      </c>
      <c r="CR8" s="6">
        <v>15</v>
      </c>
      <c r="CS8" s="22">
        <v>17</v>
      </c>
      <c r="CT8" s="6">
        <v>60</v>
      </c>
      <c r="CU8" s="6">
        <v>47</v>
      </c>
      <c r="CV8" s="6">
        <v>15</v>
      </c>
      <c r="CW8" s="6">
        <v>18</v>
      </c>
      <c r="CX8" s="6">
        <v>60</v>
      </c>
      <c r="CY8" s="22">
        <v>50</v>
      </c>
      <c r="CZ8" s="6">
        <v>60</v>
      </c>
      <c r="DA8" s="6">
        <v>47</v>
      </c>
      <c r="DB8" s="6">
        <v>30</v>
      </c>
      <c r="DC8" s="6">
        <v>37</v>
      </c>
      <c r="DD8" s="6">
        <v>60</v>
      </c>
      <c r="DE8" s="22">
        <v>48</v>
      </c>
      <c r="DF8" s="6">
        <v>20</v>
      </c>
      <c r="DG8" s="6">
        <v>26</v>
      </c>
      <c r="DH8" s="6">
        <v>60</v>
      </c>
      <c r="DI8" s="6">
        <v>43</v>
      </c>
      <c r="DJ8" s="6">
        <v>60</v>
      </c>
      <c r="DK8" s="22">
        <v>47</v>
      </c>
      <c r="DL8" s="6">
        <v>12</v>
      </c>
      <c r="DM8" s="6">
        <v>6</v>
      </c>
      <c r="DN8" s="6">
        <v>9</v>
      </c>
      <c r="DO8" s="6">
        <v>7</v>
      </c>
      <c r="DP8" s="6">
        <v>9</v>
      </c>
      <c r="DQ8" s="22">
        <v>1</v>
      </c>
      <c r="DR8" s="6">
        <v>20</v>
      </c>
      <c r="DS8" s="6">
        <v>28</v>
      </c>
      <c r="DT8" s="6">
        <v>15</v>
      </c>
      <c r="DU8" s="6">
        <v>15</v>
      </c>
      <c r="DV8" s="6">
        <v>20</v>
      </c>
      <c r="DW8" s="22">
        <v>32</v>
      </c>
      <c r="DX8" s="6">
        <v>15</v>
      </c>
      <c r="DY8" s="6">
        <v>18</v>
      </c>
      <c r="DZ8" s="6">
        <v>20</v>
      </c>
      <c r="EA8" s="6">
        <v>25</v>
      </c>
      <c r="EB8" s="6">
        <v>12</v>
      </c>
      <c r="EC8" s="22">
        <v>17</v>
      </c>
      <c r="ED8" s="6">
        <v>15</v>
      </c>
      <c r="EE8" s="6">
        <v>16</v>
      </c>
      <c r="EF8" s="6">
        <v>20</v>
      </c>
      <c r="EG8" s="6">
        <v>27</v>
      </c>
      <c r="EH8" s="6">
        <v>30</v>
      </c>
      <c r="EI8" s="22">
        <v>32</v>
      </c>
      <c r="EJ8" s="21">
        <v>20</v>
      </c>
      <c r="EK8" s="6">
        <v>35</v>
      </c>
      <c r="EL8" s="6">
        <v>20</v>
      </c>
      <c r="EM8" s="6">
        <v>24</v>
      </c>
      <c r="EN8" s="6">
        <v>20</v>
      </c>
      <c r="EO8" s="22">
        <v>31</v>
      </c>
      <c r="EP8" s="6">
        <v>20</v>
      </c>
      <c r="EQ8" s="6">
        <v>28</v>
      </c>
      <c r="ER8" s="6">
        <v>30</v>
      </c>
      <c r="ES8" s="6">
        <v>32</v>
      </c>
      <c r="ET8" s="6">
        <v>30</v>
      </c>
      <c r="EU8" s="20">
        <v>36</v>
      </c>
    </row>
    <row r="9" spans="2:151">
      <c r="B9" s="3">
        <v>3</v>
      </c>
      <c r="C9" s="3">
        <v>20</v>
      </c>
      <c r="D9" s="3">
        <v>18</v>
      </c>
      <c r="E9" s="3">
        <v>15</v>
      </c>
      <c r="F9" s="3">
        <v>18</v>
      </c>
      <c r="G9" s="3">
        <v>20</v>
      </c>
      <c r="H9" s="3">
        <v>18</v>
      </c>
      <c r="I9" s="3">
        <v>36</v>
      </c>
      <c r="J9" s="3">
        <v>60</v>
      </c>
      <c r="K9" s="3">
        <v>30</v>
      </c>
      <c r="L9" s="3">
        <v>11</v>
      </c>
      <c r="M9" s="3">
        <v>20</v>
      </c>
      <c r="N9" s="3">
        <v>23</v>
      </c>
      <c r="O9" s="3">
        <v>18</v>
      </c>
      <c r="P9" s="3">
        <v>23</v>
      </c>
      <c r="Q9" s="3">
        <v>26</v>
      </c>
      <c r="R9" s="3">
        <v>23</v>
      </c>
      <c r="S9" s="3">
        <v>30</v>
      </c>
      <c r="T9" s="3">
        <v>30</v>
      </c>
      <c r="U9" s="3">
        <v>15</v>
      </c>
      <c r="V9" s="3">
        <v>75</v>
      </c>
      <c r="W9" s="3">
        <v>64</v>
      </c>
      <c r="X9" s="3">
        <v>36</v>
      </c>
      <c r="Y9" s="3">
        <v>20</v>
      </c>
      <c r="Z9" s="3">
        <v>26</v>
      </c>
      <c r="AA9" s="3">
        <v>62</v>
      </c>
      <c r="AC9" s="3">
        <v>3</v>
      </c>
      <c r="AD9" s="3">
        <v>0</v>
      </c>
      <c r="AE9" s="3">
        <v>15</v>
      </c>
      <c r="AF9" s="3">
        <v>35</v>
      </c>
      <c r="AH9" s="6">
        <v>0</v>
      </c>
      <c r="AI9" s="6">
        <v>2</v>
      </c>
      <c r="AJ9" s="6">
        <v>2</v>
      </c>
      <c r="AK9" s="6">
        <v>5</v>
      </c>
      <c r="AL9" s="6">
        <v>2</v>
      </c>
      <c r="AM9" s="6">
        <v>4</v>
      </c>
      <c r="AN9" s="6">
        <v>4</v>
      </c>
      <c r="AO9" s="6">
        <v>10</v>
      </c>
      <c r="AP9" s="6">
        <v>11</v>
      </c>
      <c r="AQ9" s="6">
        <v>6</v>
      </c>
      <c r="AR9" s="6">
        <v>1</v>
      </c>
      <c r="AS9" s="6">
        <v>3</v>
      </c>
      <c r="AT9" s="6">
        <v>5</v>
      </c>
      <c r="AU9" s="6">
        <v>4</v>
      </c>
      <c r="AV9" s="6">
        <v>4</v>
      </c>
      <c r="AW9" s="6">
        <v>7</v>
      </c>
      <c r="AX9" s="6">
        <v>5</v>
      </c>
      <c r="AY9" s="6">
        <v>11</v>
      </c>
      <c r="AZ9" s="6">
        <v>3</v>
      </c>
      <c r="BA9" s="6">
        <v>3</v>
      </c>
      <c r="BB9" s="6">
        <v>34</v>
      </c>
      <c r="BC9" s="6">
        <v>24</v>
      </c>
      <c r="BD9" s="6">
        <v>8</v>
      </c>
      <c r="BE9" s="6">
        <v>3</v>
      </c>
      <c r="BF9" s="6">
        <v>13</v>
      </c>
      <c r="BG9" s="6">
        <v>17</v>
      </c>
      <c r="BI9" s="6">
        <v>2</v>
      </c>
      <c r="BJ9" s="6">
        <v>40</v>
      </c>
      <c r="BK9" s="6">
        <v>38</v>
      </c>
      <c r="BL9" s="6">
        <v>30</v>
      </c>
      <c r="BM9" s="6">
        <v>20</v>
      </c>
      <c r="BN9" s="6">
        <v>40</v>
      </c>
      <c r="BO9" s="20">
        <v>40</v>
      </c>
      <c r="BP9" s="21">
        <v>30</v>
      </c>
      <c r="BQ9" s="6">
        <v>24</v>
      </c>
      <c r="BR9" s="6">
        <v>30</v>
      </c>
      <c r="BS9" s="6">
        <v>33</v>
      </c>
      <c r="BT9" s="6">
        <v>40</v>
      </c>
      <c r="BU9" s="22">
        <v>40</v>
      </c>
      <c r="BV9" s="21">
        <v>20</v>
      </c>
      <c r="BW9" s="6">
        <v>20</v>
      </c>
      <c r="BX9" s="6">
        <v>60</v>
      </c>
      <c r="BY9" s="6">
        <v>54</v>
      </c>
      <c r="BZ9" s="6">
        <v>40</v>
      </c>
      <c r="CA9" s="22">
        <v>45</v>
      </c>
      <c r="CB9" s="6">
        <v>24</v>
      </c>
      <c r="CC9" s="6">
        <v>23</v>
      </c>
      <c r="CD9" s="6">
        <v>40</v>
      </c>
      <c r="CE9" s="6">
        <v>41</v>
      </c>
      <c r="CF9" s="6">
        <v>30</v>
      </c>
      <c r="CG9" s="22">
        <v>35</v>
      </c>
      <c r="CH9" s="21">
        <v>68</v>
      </c>
      <c r="CI9" s="6">
        <v>70</v>
      </c>
      <c r="CJ9" s="6">
        <v>30</v>
      </c>
      <c r="CK9" s="6">
        <v>25</v>
      </c>
      <c r="CL9" s="6">
        <v>24</v>
      </c>
      <c r="CM9" s="22">
        <v>25</v>
      </c>
      <c r="CN9" s="6">
        <v>40</v>
      </c>
      <c r="CO9" s="6">
        <v>41</v>
      </c>
      <c r="CP9" s="6">
        <v>40</v>
      </c>
      <c r="CQ9" s="6">
        <v>36</v>
      </c>
      <c r="CR9" s="6">
        <v>30</v>
      </c>
      <c r="CS9" s="22">
        <v>29</v>
      </c>
      <c r="CT9" s="6">
        <v>65</v>
      </c>
      <c r="CU9" s="6">
        <v>64</v>
      </c>
      <c r="CV9" s="6">
        <v>30</v>
      </c>
      <c r="CW9" s="6">
        <v>31</v>
      </c>
      <c r="CX9" s="6">
        <v>65</v>
      </c>
      <c r="CY9" s="22">
        <v>69</v>
      </c>
      <c r="CZ9" s="6">
        <v>65</v>
      </c>
      <c r="DA9" s="6">
        <v>65</v>
      </c>
      <c r="DB9" s="6">
        <v>60</v>
      </c>
      <c r="DC9" s="6">
        <v>60</v>
      </c>
      <c r="DD9" s="6">
        <v>64</v>
      </c>
      <c r="DE9" s="22">
        <v>71</v>
      </c>
      <c r="DF9" s="6">
        <v>40</v>
      </c>
      <c r="DG9" s="6">
        <v>42</v>
      </c>
      <c r="DH9" s="6">
        <v>64</v>
      </c>
      <c r="DI9" s="6">
        <v>63</v>
      </c>
      <c r="DJ9" s="6">
        <v>64</v>
      </c>
      <c r="DK9" s="22">
        <v>60</v>
      </c>
      <c r="DL9" s="6">
        <v>24</v>
      </c>
      <c r="DM9" s="6">
        <v>16</v>
      </c>
      <c r="DN9" s="6">
        <v>17</v>
      </c>
      <c r="DO9" s="6">
        <v>14</v>
      </c>
      <c r="DP9" s="6">
        <v>17</v>
      </c>
      <c r="DQ9" s="22">
        <v>3</v>
      </c>
      <c r="DR9" s="6">
        <v>40</v>
      </c>
      <c r="DS9" s="6">
        <v>43</v>
      </c>
      <c r="DT9" s="6">
        <v>30</v>
      </c>
      <c r="DU9" s="6">
        <v>24</v>
      </c>
      <c r="DV9" s="6">
        <v>40</v>
      </c>
      <c r="DW9" s="22">
        <v>44</v>
      </c>
      <c r="DX9" s="6">
        <v>30</v>
      </c>
      <c r="DY9" s="6">
        <v>32</v>
      </c>
      <c r="DZ9" s="6">
        <v>40</v>
      </c>
      <c r="EA9" s="6">
        <v>37</v>
      </c>
      <c r="EB9" s="6">
        <v>24</v>
      </c>
      <c r="EC9" s="22">
        <v>23</v>
      </c>
      <c r="ED9" s="6">
        <v>30</v>
      </c>
      <c r="EE9" s="6">
        <v>26</v>
      </c>
      <c r="EF9" s="6">
        <v>40</v>
      </c>
      <c r="EG9" s="6">
        <v>38</v>
      </c>
      <c r="EH9" s="6">
        <v>60</v>
      </c>
      <c r="EI9" s="22">
        <v>46</v>
      </c>
      <c r="EJ9" s="21">
        <v>40</v>
      </c>
      <c r="EK9" s="6">
        <v>45</v>
      </c>
      <c r="EL9" s="6">
        <v>40</v>
      </c>
      <c r="EM9" s="6">
        <v>38</v>
      </c>
      <c r="EN9" s="6">
        <v>40</v>
      </c>
      <c r="EO9" s="22">
        <v>44</v>
      </c>
      <c r="EP9" s="6">
        <v>40</v>
      </c>
      <c r="EQ9" s="6">
        <v>41</v>
      </c>
      <c r="ER9" s="6">
        <v>60</v>
      </c>
      <c r="ES9" s="6">
        <v>50</v>
      </c>
      <c r="ET9" s="6">
        <v>60</v>
      </c>
      <c r="EU9" s="20">
        <v>53</v>
      </c>
    </row>
    <row r="10" spans="2:151">
      <c r="B10" s="3">
        <v>4</v>
      </c>
      <c r="C10" s="3">
        <v>27</v>
      </c>
      <c r="D10" s="3">
        <v>24</v>
      </c>
      <c r="E10" s="3">
        <v>20</v>
      </c>
      <c r="F10" s="3">
        <v>24</v>
      </c>
      <c r="G10" s="3">
        <v>27</v>
      </c>
      <c r="H10" s="3">
        <v>24</v>
      </c>
      <c r="I10" s="3">
        <v>48</v>
      </c>
      <c r="J10" s="3">
        <v>62</v>
      </c>
      <c r="K10" s="3">
        <v>40</v>
      </c>
      <c r="L10" s="3">
        <v>15</v>
      </c>
      <c r="M10" s="3">
        <v>27</v>
      </c>
      <c r="N10" s="3">
        <v>30</v>
      </c>
      <c r="O10" s="3">
        <v>24</v>
      </c>
      <c r="P10" s="3">
        <v>30</v>
      </c>
      <c r="Q10" s="3">
        <v>34</v>
      </c>
      <c r="R10" s="3">
        <v>30</v>
      </c>
      <c r="S10" s="3">
        <v>40</v>
      </c>
      <c r="T10" s="3">
        <v>40</v>
      </c>
      <c r="U10" s="3">
        <v>20</v>
      </c>
      <c r="V10" s="3">
        <v>85</v>
      </c>
      <c r="W10" s="3">
        <v>66</v>
      </c>
      <c r="X10" s="3">
        <v>48</v>
      </c>
      <c r="Y10" s="3">
        <v>27</v>
      </c>
      <c r="Z10" s="3">
        <v>34</v>
      </c>
      <c r="AA10" s="3">
        <v>64</v>
      </c>
      <c r="AC10" s="3">
        <v>4</v>
      </c>
      <c r="AD10" s="3">
        <v>0</v>
      </c>
      <c r="AE10" s="3">
        <v>20</v>
      </c>
      <c r="AF10" s="3">
        <v>37</v>
      </c>
      <c r="AH10" s="6">
        <v>0</v>
      </c>
      <c r="AI10" s="6">
        <v>2</v>
      </c>
      <c r="AJ10" s="6">
        <v>2</v>
      </c>
      <c r="AK10" s="6">
        <v>5</v>
      </c>
      <c r="AL10" s="6">
        <v>2</v>
      </c>
      <c r="AM10" s="6">
        <v>4</v>
      </c>
      <c r="AN10" s="6">
        <v>4</v>
      </c>
      <c r="AO10" s="6">
        <v>10</v>
      </c>
      <c r="AP10" s="6">
        <v>11</v>
      </c>
      <c r="AQ10" s="6">
        <v>6</v>
      </c>
      <c r="AR10" s="6">
        <v>1</v>
      </c>
      <c r="AS10" s="6">
        <v>3</v>
      </c>
      <c r="AT10" s="6">
        <v>5</v>
      </c>
      <c r="AU10" s="6">
        <v>4</v>
      </c>
      <c r="AV10" s="6">
        <v>4</v>
      </c>
      <c r="AW10" s="6">
        <v>7</v>
      </c>
      <c r="AX10" s="6">
        <v>5</v>
      </c>
      <c r="AY10" s="6">
        <v>11</v>
      </c>
      <c r="AZ10" s="6">
        <v>3</v>
      </c>
      <c r="BA10" s="6">
        <v>3</v>
      </c>
      <c r="BB10" s="6">
        <v>34</v>
      </c>
      <c r="BC10" s="6">
        <v>24</v>
      </c>
      <c r="BD10" s="6">
        <v>8</v>
      </c>
      <c r="BE10" s="6">
        <v>3</v>
      </c>
      <c r="BF10" s="6">
        <v>13</v>
      </c>
      <c r="BG10" s="6">
        <v>17</v>
      </c>
      <c r="BI10" s="6">
        <v>3</v>
      </c>
      <c r="BJ10" s="6">
        <v>60</v>
      </c>
      <c r="BK10" s="6">
        <v>55</v>
      </c>
      <c r="BL10" s="6">
        <v>45</v>
      </c>
      <c r="BM10" s="6">
        <v>35</v>
      </c>
      <c r="BN10" s="6">
        <v>60</v>
      </c>
      <c r="BO10" s="20">
        <v>51</v>
      </c>
      <c r="BP10" s="21">
        <v>45</v>
      </c>
      <c r="BQ10" s="6">
        <v>37</v>
      </c>
      <c r="BR10" s="6">
        <v>45</v>
      </c>
      <c r="BS10" s="6">
        <v>45</v>
      </c>
      <c r="BT10" s="6">
        <v>60</v>
      </c>
      <c r="BU10" s="22">
        <v>53</v>
      </c>
      <c r="BV10" s="21">
        <v>30</v>
      </c>
      <c r="BW10" s="6">
        <v>28</v>
      </c>
      <c r="BX10" s="6">
        <v>75</v>
      </c>
      <c r="BY10" s="6">
        <v>65</v>
      </c>
      <c r="BZ10" s="6">
        <v>60</v>
      </c>
      <c r="CA10" s="22">
        <v>51</v>
      </c>
      <c r="CB10" s="6">
        <v>36</v>
      </c>
      <c r="CC10" s="6">
        <v>34</v>
      </c>
      <c r="CD10" s="6">
        <v>60</v>
      </c>
      <c r="CE10" s="6">
        <v>61</v>
      </c>
      <c r="CF10" s="6">
        <v>45</v>
      </c>
      <c r="CG10" s="22">
        <v>46</v>
      </c>
      <c r="CH10" s="21">
        <v>75</v>
      </c>
      <c r="CI10" s="6">
        <v>81</v>
      </c>
      <c r="CJ10" s="6">
        <v>45</v>
      </c>
      <c r="CK10" s="6">
        <v>35</v>
      </c>
      <c r="CL10" s="6">
        <v>36</v>
      </c>
      <c r="CM10" s="22">
        <v>34</v>
      </c>
      <c r="CN10" s="6">
        <v>60</v>
      </c>
      <c r="CO10" s="6">
        <v>52</v>
      </c>
      <c r="CP10" s="6">
        <v>60</v>
      </c>
      <c r="CQ10" s="6">
        <v>46</v>
      </c>
      <c r="CR10" s="6">
        <v>45</v>
      </c>
      <c r="CS10" s="22">
        <v>43</v>
      </c>
      <c r="CT10" s="6">
        <v>70</v>
      </c>
      <c r="CU10" s="6">
        <v>76</v>
      </c>
      <c r="CV10" s="6">
        <v>45</v>
      </c>
      <c r="CW10" s="6">
        <v>40</v>
      </c>
      <c r="CX10" s="6">
        <v>70</v>
      </c>
      <c r="CY10" s="22">
        <v>80</v>
      </c>
      <c r="CZ10" s="6">
        <v>70</v>
      </c>
      <c r="DA10" s="6">
        <v>79</v>
      </c>
      <c r="DB10" s="6">
        <v>65</v>
      </c>
      <c r="DC10" s="6">
        <v>76</v>
      </c>
      <c r="DD10" s="6">
        <v>68</v>
      </c>
      <c r="DE10" s="22">
        <v>81</v>
      </c>
      <c r="DF10" s="6">
        <v>60</v>
      </c>
      <c r="DG10" s="6">
        <v>55</v>
      </c>
      <c r="DH10" s="6">
        <v>68</v>
      </c>
      <c r="DI10" s="6">
        <v>77</v>
      </c>
      <c r="DJ10" s="6">
        <v>68</v>
      </c>
      <c r="DK10" s="22">
        <v>71</v>
      </c>
      <c r="DL10" s="6">
        <v>36</v>
      </c>
      <c r="DM10" s="6">
        <v>26</v>
      </c>
      <c r="DN10" s="6">
        <v>26</v>
      </c>
      <c r="DO10" s="6">
        <v>22</v>
      </c>
      <c r="DP10" s="6">
        <v>26</v>
      </c>
      <c r="DQ10" s="22">
        <v>6</v>
      </c>
      <c r="DR10" s="6">
        <v>60</v>
      </c>
      <c r="DS10" s="6">
        <v>55</v>
      </c>
      <c r="DT10" s="6">
        <v>45</v>
      </c>
      <c r="DU10" s="6">
        <v>36</v>
      </c>
      <c r="DV10" s="6">
        <v>60</v>
      </c>
      <c r="DW10" s="22">
        <v>55</v>
      </c>
      <c r="DX10" s="6">
        <v>45</v>
      </c>
      <c r="DY10" s="6">
        <v>44</v>
      </c>
      <c r="DZ10" s="6">
        <v>60</v>
      </c>
      <c r="EA10" s="6">
        <v>49</v>
      </c>
      <c r="EB10" s="6">
        <v>36</v>
      </c>
      <c r="EC10" s="22">
        <v>33</v>
      </c>
      <c r="ED10" s="6">
        <v>45</v>
      </c>
      <c r="EE10" s="6">
        <v>35</v>
      </c>
      <c r="EF10" s="6">
        <v>60</v>
      </c>
      <c r="EG10" s="6">
        <v>47</v>
      </c>
      <c r="EH10" s="6">
        <v>64</v>
      </c>
      <c r="EI10" s="22">
        <v>58</v>
      </c>
      <c r="EJ10" s="21">
        <v>60</v>
      </c>
      <c r="EK10" s="6">
        <v>52</v>
      </c>
      <c r="EL10" s="6">
        <v>60</v>
      </c>
      <c r="EM10" s="6">
        <v>52</v>
      </c>
      <c r="EN10" s="6">
        <v>60</v>
      </c>
      <c r="EO10" s="22">
        <v>54</v>
      </c>
      <c r="EP10" s="6">
        <v>60</v>
      </c>
      <c r="EQ10" s="6">
        <v>57</v>
      </c>
      <c r="ER10" s="6">
        <v>68</v>
      </c>
      <c r="ES10" s="6">
        <v>66</v>
      </c>
      <c r="ET10" s="6">
        <v>68</v>
      </c>
      <c r="EU10" s="20">
        <v>65</v>
      </c>
    </row>
    <row r="11" spans="2:151">
      <c r="B11" s="3">
        <v>5</v>
      </c>
      <c r="C11" s="3">
        <v>33</v>
      </c>
      <c r="D11" s="3">
        <v>30</v>
      </c>
      <c r="E11" s="3">
        <v>25</v>
      </c>
      <c r="F11" s="3">
        <v>30</v>
      </c>
      <c r="G11" s="3">
        <v>33</v>
      </c>
      <c r="H11" s="3">
        <v>30</v>
      </c>
      <c r="I11" s="3">
        <v>60</v>
      </c>
      <c r="J11" s="3">
        <v>64</v>
      </c>
      <c r="K11" s="3">
        <v>50</v>
      </c>
      <c r="L11" s="3">
        <v>19</v>
      </c>
      <c r="M11" s="3">
        <v>33</v>
      </c>
      <c r="N11" s="3">
        <v>38</v>
      </c>
      <c r="O11" s="3">
        <v>30</v>
      </c>
      <c r="P11" s="3">
        <v>38</v>
      </c>
      <c r="Q11" s="3">
        <v>43</v>
      </c>
      <c r="R11" s="3">
        <v>38</v>
      </c>
      <c r="S11" s="3">
        <v>50</v>
      </c>
      <c r="T11" s="3">
        <v>50</v>
      </c>
      <c r="U11" s="3">
        <v>25</v>
      </c>
      <c r="V11" s="3">
        <v>88</v>
      </c>
      <c r="W11" s="3">
        <v>68</v>
      </c>
      <c r="X11" s="3">
        <v>60</v>
      </c>
      <c r="Y11" s="3">
        <v>33</v>
      </c>
      <c r="Z11" s="3">
        <v>43</v>
      </c>
      <c r="AA11" s="3">
        <v>66</v>
      </c>
      <c r="AC11" s="3">
        <v>5</v>
      </c>
      <c r="AD11" s="3">
        <v>0</v>
      </c>
      <c r="AE11" s="3">
        <v>25</v>
      </c>
      <c r="AF11" s="3">
        <v>40</v>
      </c>
      <c r="AH11" s="6">
        <v>0</v>
      </c>
      <c r="AI11" s="6">
        <v>2</v>
      </c>
      <c r="AJ11" s="6">
        <v>2</v>
      </c>
      <c r="AK11" s="6">
        <v>5</v>
      </c>
      <c r="AL11" s="6">
        <v>2</v>
      </c>
      <c r="AM11" s="6">
        <v>4</v>
      </c>
      <c r="AN11" s="6">
        <v>4</v>
      </c>
      <c r="AO11" s="6">
        <v>10</v>
      </c>
      <c r="AP11" s="6">
        <v>11</v>
      </c>
      <c r="AQ11" s="6">
        <v>6</v>
      </c>
      <c r="AR11" s="6">
        <v>1</v>
      </c>
      <c r="AS11" s="6">
        <v>3</v>
      </c>
      <c r="AT11" s="6">
        <v>5</v>
      </c>
      <c r="AU11" s="6">
        <v>4</v>
      </c>
      <c r="AV11" s="6">
        <v>4</v>
      </c>
      <c r="AW11" s="6">
        <v>7</v>
      </c>
      <c r="AX11" s="6">
        <v>5</v>
      </c>
      <c r="AY11" s="6">
        <v>11</v>
      </c>
      <c r="AZ11" s="6">
        <v>3</v>
      </c>
      <c r="BA11" s="6">
        <v>3</v>
      </c>
      <c r="BB11" s="6">
        <v>34</v>
      </c>
      <c r="BC11" s="6">
        <v>24</v>
      </c>
      <c r="BD11" s="6">
        <v>8</v>
      </c>
      <c r="BE11" s="6">
        <v>3</v>
      </c>
      <c r="BF11" s="6">
        <v>13</v>
      </c>
      <c r="BG11" s="6">
        <v>17</v>
      </c>
      <c r="BI11" s="6">
        <v>4</v>
      </c>
      <c r="BJ11" s="6">
        <v>68</v>
      </c>
      <c r="BK11" s="6">
        <v>68</v>
      </c>
      <c r="BL11" s="6">
        <v>60</v>
      </c>
      <c r="BM11" s="6">
        <v>48</v>
      </c>
      <c r="BN11" s="6">
        <v>65</v>
      </c>
      <c r="BO11" s="20">
        <v>60</v>
      </c>
      <c r="BP11" s="21">
        <v>60</v>
      </c>
      <c r="BQ11" s="6">
        <v>50</v>
      </c>
      <c r="BR11" s="6">
        <v>60</v>
      </c>
      <c r="BS11" s="6">
        <v>57</v>
      </c>
      <c r="BT11" s="6">
        <v>75</v>
      </c>
      <c r="BU11" s="22">
        <v>65</v>
      </c>
      <c r="BV11" s="21">
        <v>40</v>
      </c>
      <c r="BW11" s="6">
        <v>38</v>
      </c>
      <c r="BX11" s="6">
        <v>80</v>
      </c>
      <c r="BY11" s="6">
        <v>75</v>
      </c>
      <c r="BZ11" s="6">
        <v>75</v>
      </c>
      <c r="CA11" s="22">
        <v>58</v>
      </c>
      <c r="CB11" s="6">
        <v>48</v>
      </c>
      <c r="CC11" s="6">
        <v>49</v>
      </c>
      <c r="CD11" s="6">
        <v>75</v>
      </c>
      <c r="CE11" s="6">
        <v>79</v>
      </c>
      <c r="CF11" s="6">
        <v>60</v>
      </c>
      <c r="CG11" s="22">
        <v>58</v>
      </c>
      <c r="CH11" s="21">
        <v>85</v>
      </c>
      <c r="CI11" s="6">
        <v>89</v>
      </c>
      <c r="CJ11" s="6">
        <v>60</v>
      </c>
      <c r="CK11" s="6">
        <v>47</v>
      </c>
      <c r="CL11" s="6">
        <v>48</v>
      </c>
      <c r="CM11" s="22">
        <v>43</v>
      </c>
      <c r="CN11" s="6">
        <v>64</v>
      </c>
      <c r="CO11" s="6">
        <v>61</v>
      </c>
      <c r="CP11" s="6">
        <v>65</v>
      </c>
      <c r="CQ11" s="6">
        <v>59</v>
      </c>
      <c r="CR11" s="6">
        <v>60</v>
      </c>
      <c r="CS11" s="22">
        <v>56</v>
      </c>
      <c r="CT11" s="6">
        <v>75</v>
      </c>
      <c r="CU11" s="6">
        <v>84</v>
      </c>
      <c r="CV11" s="6">
        <v>60</v>
      </c>
      <c r="CW11" s="6">
        <v>52</v>
      </c>
      <c r="CX11" s="6">
        <v>75</v>
      </c>
      <c r="CY11" s="22">
        <v>90</v>
      </c>
      <c r="CZ11" s="6">
        <v>75</v>
      </c>
      <c r="DA11" s="6">
        <v>88</v>
      </c>
      <c r="DB11" s="6">
        <v>70</v>
      </c>
      <c r="DC11" s="6">
        <v>86</v>
      </c>
      <c r="DD11" s="6">
        <v>71</v>
      </c>
      <c r="DE11" s="22">
        <v>87</v>
      </c>
      <c r="DF11" s="6">
        <v>64</v>
      </c>
      <c r="DG11" s="6">
        <v>70</v>
      </c>
      <c r="DH11" s="6">
        <v>71</v>
      </c>
      <c r="DI11" s="6">
        <v>88</v>
      </c>
      <c r="DJ11" s="6">
        <v>71</v>
      </c>
      <c r="DK11" s="22">
        <v>80</v>
      </c>
      <c r="DL11" s="6">
        <v>48</v>
      </c>
      <c r="DM11" s="6">
        <v>45</v>
      </c>
      <c r="DN11" s="6">
        <v>34</v>
      </c>
      <c r="DO11" s="6">
        <v>29</v>
      </c>
      <c r="DP11" s="6">
        <v>34</v>
      </c>
      <c r="DQ11" s="22">
        <v>11</v>
      </c>
      <c r="DR11" s="6">
        <v>68</v>
      </c>
      <c r="DS11" s="6">
        <v>66</v>
      </c>
      <c r="DT11" s="6">
        <v>60</v>
      </c>
      <c r="DU11" s="6">
        <v>47</v>
      </c>
      <c r="DV11" s="6">
        <v>65</v>
      </c>
      <c r="DW11" s="22">
        <v>63</v>
      </c>
      <c r="DX11" s="6">
        <v>60</v>
      </c>
      <c r="DY11" s="6">
        <v>53</v>
      </c>
      <c r="DZ11" s="6">
        <v>65</v>
      </c>
      <c r="EA11" s="6">
        <v>60</v>
      </c>
      <c r="EB11" s="6">
        <v>48</v>
      </c>
      <c r="EC11" s="22">
        <v>44</v>
      </c>
      <c r="ED11" s="6">
        <v>60</v>
      </c>
      <c r="EE11" s="6">
        <v>46</v>
      </c>
      <c r="EF11" s="6">
        <v>63</v>
      </c>
      <c r="EG11" s="6">
        <v>57</v>
      </c>
      <c r="EH11" s="6">
        <v>68</v>
      </c>
      <c r="EI11" s="22">
        <v>69</v>
      </c>
      <c r="EJ11" s="21">
        <v>65</v>
      </c>
      <c r="EK11" s="6">
        <v>61</v>
      </c>
      <c r="EL11" s="6">
        <v>65</v>
      </c>
      <c r="EM11" s="6">
        <v>63</v>
      </c>
      <c r="EN11" s="6">
        <v>65</v>
      </c>
      <c r="EO11" s="22">
        <v>64</v>
      </c>
      <c r="EP11" s="6">
        <v>68</v>
      </c>
      <c r="EQ11" s="6">
        <v>70</v>
      </c>
      <c r="ER11" s="6">
        <v>75</v>
      </c>
      <c r="ES11" s="6">
        <v>80</v>
      </c>
      <c r="ET11" s="6">
        <v>75</v>
      </c>
      <c r="EU11" s="20">
        <v>76</v>
      </c>
    </row>
    <row r="12" spans="2:151">
      <c r="B12" s="3">
        <v>6</v>
      </c>
      <c r="C12" s="3">
        <v>40</v>
      </c>
      <c r="D12" s="3">
        <v>36</v>
      </c>
      <c r="E12" s="3">
        <v>30</v>
      </c>
      <c r="F12" s="3">
        <v>36</v>
      </c>
      <c r="G12" s="3">
        <v>40</v>
      </c>
      <c r="H12" s="3">
        <v>36</v>
      </c>
      <c r="I12" s="3">
        <v>62</v>
      </c>
      <c r="J12" s="3">
        <v>66</v>
      </c>
      <c r="K12" s="3">
        <v>60</v>
      </c>
      <c r="L12" s="3">
        <v>23</v>
      </c>
      <c r="M12" s="3">
        <v>40</v>
      </c>
      <c r="N12" s="3">
        <v>45</v>
      </c>
      <c r="O12" s="3">
        <v>36</v>
      </c>
      <c r="P12" s="3">
        <v>45</v>
      </c>
      <c r="Q12" s="3">
        <v>51</v>
      </c>
      <c r="R12" s="3">
        <v>45</v>
      </c>
      <c r="S12" s="3">
        <v>60</v>
      </c>
      <c r="T12" s="3">
        <v>60</v>
      </c>
      <c r="U12" s="3">
        <v>30</v>
      </c>
      <c r="V12" s="3">
        <v>92</v>
      </c>
      <c r="W12" s="3">
        <v>69</v>
      </c>
      <c r="X12" s="3">
        <v>62</v>
      </c>
      <c r="Y12" s="3">
        <v>40</v>
      </c>
      <c r="Z12" s="3">
        <v>51</v>
      </c>
      <c r="AA12" s="3">
        <v>69</v>
      </c>
      <c r="AC12" s="3">
        <v>6</v>
      </c>
      <c r="AD12" s="3">
        <v>0</v>
      </c>
      <c r="AE12" s="3">
        <v>30</v>
      </c>
      <c r="AF12" s="3">
        <v>42</v>
      </c>
      <c r="AH12" s="6">
        <v>1</v>
      </c>
      <c r="AI12" s="6">
        <v>2</v>
      </c>
      <c r="AJ12" s="6">
        <v>2</v>
      </c>
      <c r="AK12" s="6">
        <v>6</v>
      </c>
      <c r="AL12" s="6">
        <v>2</v>
      </c>
      <c r="AM12" s="6">
        <v>4</v>
      </c>
      <c r="AN12" s="6">
        <v>4</v>
      </c>
      <c r="AO12" s="6">
        <v>11</v>
      </c>
      <c r="AP12" s="6">
        <v>12</v>
      </c>
      <c r="AQ12" s="6">
        <v>7</v>
      </c>
      <c r="AR12" s="6">
        <v>1</v>
      </c>
      <c r="AS12" s="6">
        <v>4</v>
      </c>
      <c r="AT12" s="6">
        <v>5</v>
      </c>
      <c r="AU12" s="6">
        <v>5</v>
      </c>
      <c r="AV12" s="6">
        <v>6</v>
      </c>
      <c r="AW12" s="6">
        <v>9</v>
      </c>
      <c r="AX12" s="6">
        <v>5</v>
      </c>
      <c r="AY12" s="6">
        <v>12</v>
      </c>
      <c r="AZ12" s="6">
        <v>4</v>
      </c>
      <c r="BA12" s="6">
        <v>4</v>
      </c>
      <c r="BB12" s="6">
        <v>36</v>
      </c>
      <c r="BC12" s="6">
        <v>25</v>
      </c>
      <c r="BD12" s="6">
        <v>9</v>
      </c>
      <c r="BE12" s="6">
        <v>4</v>
      </c>
      <c r="BF12" s="6">
        <v>14</v>
      </c>
      <c r="BG12" s="6">
        <v>19</v>
      </c>
      <c r="BI12" s="6">
        <v>5</v>
      </c>
      <c r="BJ12" s="6">
        <v>75</v>
      </c>
      <c r="BK12" s="6">
        <v>80</v>
      </c>
      <c r="BL12" s="6">
        <v>65</v>
      </c>
      <c r="BM12" s="6">
        <v>59</v>
      </c>
      <c r="BN12" s="6">
        <v>70</v>
      </c>
      <c r="BO12" s="20">
        <v>69</v>
      </c>
      <c r="BP12" s="21">
        <v>75</v>
      </c>
      <c r="BQ12" s="6">
        <v>63</v>
      </c>
      <c r="BR12" s="6">
        <v>75</v>
      </c>
      <c r="BS12" s="6">
        <v>69</v>
      </c>
      <c r="BT12" s="6">
        <v>80</v>
      </c>
      <c r="BU12" s="22">
        <v>74</v>
      </c>
      <c r="BV12" s="21">
        <v>50</v>
      </c>
      <c r="BW12" s="6">
        <v>48</v>
      </c>
      <c r="BX12" s="6">
        <v>85</v>
      </c>
      <c r="BY12" s="6">
        <v>83</v>
      </c>
      <c r="BZ12" s="6">
        <v>78</v>
      </c>
      <c r="CA12" s="22">
        <v>64</v>
      </c>
      <c r="CB12" s="6">
        <v>60</v>
      </c>
      <c r="CC12" s="6">
        <v>64</v>
      </c>
      <c r="CD12" s="6">
        <v>85</v>
      </c>
      <c r="CE12" s="6">
        <v>90</v>
      </c>
      <c r="CF12" s="6">
        <v>75</v>
      </c>
      <c r="CG12" s="22">
        <v>70</v>
      </c>
      <c r="CH12" s="21">
        <v>90</v>
      </c>
      <c r="CI12" s="6">
        <v>95</v>
      </c>
      <c r="CJ12" s="6">
        <v>65</v>
      </c>
      <c r="CK12" s="6">
        <v>58</v>
      </c>
      <c r="CL12" s="6">
        <v>60</v>
      </c>
      <c r="CM12" s="22">
        <v>52</v>
      </c>
      <c r="CN12" s="6">
        <v>68</v>
      </c>
      <c r="CO12" s="6">
        <v>71</v>
      </c>
      <c r="CP12" s="6">
        <v>70</v>
      </c>
      <c r="CQ12" s="6">
        <v>73</v>
      </c>
      <c r="CR12" s="6">
        <v>68</v>
      </c>
      <c r="CS12" s="22">
        <v>69</v>
      </c>
      <c r="CT12" s="6">
        <v>80</v>
      </c>
      <c r="CU12" s="6">
        <v>90</v>
      </c>
      <c r="CV12" s="6">
        <v>64</v>
      </c>
      <c r="CW12" s="6">
        <v>61</v>
      </c>
      <c r="CX12" s="6">
        <v>85</v>
      </c>
      <c r="CY12" s="22">
        <v>96</v>
      </c>
      <c r="CZ12" s="6">
        <v>85</v>
      </c>
      <c r="DA12" s="6">
        <v>94</v>
      </c>
      <c r="DB12" s="6">
        <v>75</v>
      </c>
      <c r="DC12" s="6">
        <v>93</v>
      </c>
      <c r="DD12" s="6">
        <v>75</v>
      </c>
      <c r="DE12" s="22">
        <v>90</v>
      </c>
      <c r="DF12" s="6">
        <v>68</v>
      </c>
      <c r="DG12" s="6">
        <v>81</v>
      </c>
      <c r="DH12" s="6">
        <v>75</v>
      </c>
      <c r="DI12" s="6">
        <v>95</v>
      </c>
      <c r="DJ12" s="6">
        <v>75</v>
      </c>
      <c r="DK12" s="22">
        <v>89</v>
      </c>
      <c r="DL12" s="6">
        <v>60</v>
      </c>
      <c r="DM12" s="6">
        <v>61</v>
      </c>
      <c r="DN12" s="6">
        <v>43</v>
      </c>
      <c r="DO12" s="6">
        <v>39</v>
      </c>
      <c r="DP12" s="6">
        <v>43</v>
      </c>
      <c r="DQ12" s="22">
        <v>19</v>
      </c>
      <c r="DR12" s="6">
        <v>75</v>
      </c>
      <c r="DS12" s="6">
        <v>79</v>
      </c>
      <c r="DT12" s="6">
        <v>65</v>
      </c>
      <c r="DU12" s="6">
        <v>58</v>
      </c>
      <c r="DV12" s="6">
        <v>70</v>
      </c>
      <c r="DW12" s="22">
        <v>72</v>
      </c>
      <c r="DX12" s="6">
        <v>64</v>
      </c>
      <c r="DY12" s="6">
        <v>64</v>
      </c>
      <c r="DZ12" s="6">
        <v>70</v>
      </c>
      <c r="EA12" s="6">
        <v>71</v>
      </c>
      <c r="EB12" s="6">
        <v>60</v>
      </c>
      <c r="EC12" s="22">
        <v>54</v>
      </c>
      <c r="ED12" s="6">
        <v>65</v>
      </c>
      <c r="EE12" s="6">
        <v>56</v>
      </c>
      <c r="EF12" s="6">
        <v>66</v>
      </c>
      <c r="EG12" s="6">
        <v>65</v>
      </c>
      <c r="EH12" s="6">
        <v>71</v>
      </c>
      <c r="EI12" s="22">
        <v>77</v>
      </c>
      <c r="EJ12" s="21">
        <v>70</v>
      </c>
      <c r="EK12" s="6">
        <v>69</v>
      </c>
      <c r="EL12" s="6">
        <v>70</v>
      </c>
      <c r="EM12" s="6">
        <v>71</v>
      </c>
      <c r="EN12" s="6">
        <v>70</v>
      </c>
      <c r="EO12" s="22">
        <v>73</v>
      </c>
      <c r="EP12" s="6">
        <v>75</v>
      </c>
      <c r="EQ12" s="6">
        <v>81</v>
      </c>
      <c r="ER12" s="6">
        <v>85</v>
      </c>
      <c r="ES12" s="6">
        <v>91</v>
      </c>
      <c r="ET12" s="6">
        <v>80</v>
      </c>
      <c r="EU12" s="20">
        <v>85</v>
      </c>
    </row>
    <row r="13" spans="2:151">
      <c r="B13" s="3">
        <v>7</v>
      </c>
      <c r="C13" s="3">
        <v>47</v>
      </c>
      <c r="D13" s="3">
        <v>42</v>
      </c>
      <c r="E13" s="3">
        <v>35</v>
      </c>
      <c r="F13" s="3">
        <v>42</v>
      </c>
      <c r="G13" s="3">
        <v>47</v>
      </c>
      <c r="H13" s="3">
        <v>42</v>
      </c>
      <c r="I13" s="3">
        <v>64</v>
      </c>
      <c r="J13" s="3">
        <v>69</v>
      </c>
      <c r="K13" s="3">
        <v>62</v>
      </c>
      <c r="L13" s="3">
        <v>26</v>
      </c>
      <c r="M13" s="3">
        <v>47</v>
      </c>
      <c r="N13" s="3">
        <v>53</v>
      </c>
      <c r="O13" s="3">
        <v>42</v>
      </c>
      <c r="P13" s="3">
        <v>53</v>
      </c>
      <c r="Q13" s="3">
        <v>60</v>
      </c>
      <c r="R13" s="3">
        <v>53</v>
      </c>
      <c r="S13" s="3">
        <v>64</v>
      </c>
      <c r="T13" s="3">
        <v>63</v>
      </c>
      <c r="U13" s="3">
        <v>35</v>
      </c>
      <c r="V13" s="3">
        <v>95</v>
      </c>
      <c r="W13" s="3">
        <v>71</v>
      </c>
      <c r="X13" s="3">
        <v>64</v>
      </c>
      <c r="Y13" s="3">
        <v>47</v>
      </c>
      <c r="Z13" s="3">
        <v>60</v>
      </c>
      <c r="AA13" s="3">
        <v>71</v>
      </c>
      <c r="AC13" s="3">
        <v>7</v>
      </c>
      <c r="AD13" s="3">
        <v>0</v>
      </c>
      <c r="AE13" s="3">
        <v>35</v>
      </c>
      <c r="AF13" s="3">
        <v>44</v>
      </c>
      <c r="AH13" s="6">
        <v>2</v>
      </c>
      <c r="AI13" s="6">
        <v>2</v>
      </c>
      <c r="AJ13" s="6">
        <v>2</v>
      </c>
      <c r="AK13" s="6">
        <v>6</v>
      </c>
      <c r="AL13" s="6">
        <v>2</v>
      </c>
      <c r="AM13" s="6">
        <v>4</v>
      </c>
      <c r="AN13" s="6">
        <v>4</v>
      </c>
      <c r="AO13" s="6">
        <v>11</v>
      </c>
      <c r="AP13" s="6">
        <v>12</v>
      </c>
      <c r="AQ13" s="6">
        <v>8</v>
      </c>
      <c r="AR13" s="6">
        <v>1</v>
      </c>
      <c r="AS13" s="6">
        <v>5</v>
      </c>
      <c r="AT13" s="6">
        <v>5</v>
      </c>
      <c r="AU13" s="6">
        <v>6</v>
      </c>
      <c r="AV13" s="6">
        <v>6</v>
      </c>
      <c r="AW13" s="6">
        <v>10</v>
      </c>
      <c r="AX13" s="6">
        <v>6</v>
      </c>
      <c r="AY13" s="6">
        <v>12</v>
      </c>
      <c r="AZ13" s="6">
        <v>4</v>
      </c>
      <c r="BA13" s="6">
        <v>4</v>
      </c>
      <c r="BB13" s="6">
        <v>37</v>
      </c>
      <c r="BC13" s="6">
        <v>25</v>
      </c>
      <c r="BD13" s="6">
        <v>10</v>
      </c>
      <c r="BE13" s="6">
        <v>5</v>
      </c>
      <c r="BF13" s="6">
        <v>15</v>
      </c>
      <c r="BG13" s="6">
        <v>20</v>
      </c>
      <c r="BI13" s="6">
        <v>6</v>
      </c>
      <c r="BJ13" s="6">
        <v>85</v>
      </c>
      <c r="BK13" s="6">
        <v>89</v>
      </c>
      <c r="BL13" s="6">
        <v>70</v>
      </c>
      <c r="BM13" s="6">
        <v>71</v>
      </c>
      <c r="BN13" s="6">
        <v>75</v>
      </c>
      <c r="BO13" s="20">
        <v>79</v>
      </c>
      <c r="BP13" s="21">
        <v>85</v>
      </c>
      <c r="BQ13" s="6">
        <v>74</v>
      </c>
      <c r="BR13" s="6">
        <v>85</v>
      </c>
      <c r="BS13" s="6">
        <v>81</v>
      </c>
      <c r="BT13" s="6">
        <v>85</v>
      </c>
      <c r="BU13" s="22">
        <v>83</v>
      </c>
      <c r="BV13" s="21">
        <v>60</v>
      </c>
      <c r="BW13" s="6">
        <v>61</v>
      </c>
      <c r="BX13" s="6">
        <v>89</v>
      </c>
      <c r="BY13" s="6">
        <v>88</v>
      </c>
      <c r="BZ13" s="6">
        <v>80</v>
      </c>
      <c r="CA13" s="22">
        <v>71</v>
      </c>
      <c r="CB13" s="6">
        <v>75</v>
      </c>
      <c r="CC13" s="6">
        <v>77</v>
      </c>
      <c r="CD13" s="6">
        <v>93</v>
      </c>
      <c r="CE13" s="6">
        <v>97</v>
      </c>
      <c r="CF13" s="6">
        <v>85</v>
      </c>
      <c r="CG13" s="22">
        <v>80</v>
      </c>
      <c r="CH13" s="21">
        <v>95</v>
      </c>
      <c r="CI13" s="6">
        <v>98</v>
      </c>
      <c r="CJ13" s="6">
        <v>70</v>
      </c>
      <c r="CK13" s="6">
        <v>68</v>
      </c>
      <c r="CL13" s="6">
        <v>64</v>
      </c>
      <c r="CM13" s="22">
        <v>60</v>
      </c>
      <c r="CN13" s="6">
        <v>71</v>
      </c>
      <c r="CO13" s="6">
        <v>78</v>
      </c>
      <c r="CP13" s="6">
        <v>75</v>
      </c>
      <c r="CQ13" s="6">
        <v>86</v>
      </c>
      <c r="CR13" s="6">
        <v>75</v>
      </c>
      <c r="CS13" s="22">
        <v>84</v>
      </c>
      <c r="CT13" s="6">
        <v>85</v>
      </c>
      <c r="CU13" s="6">
        <v>95</v>
      </c>
      <c r="CV13" s="6">
        <v>68</v>
      </c>
      <c r="CW13" s="6">
        <v>71</v>
      </c>
      <c r="CX13" s="6">
        <v>90</v>
      </c>
      <c r="CY13" s="22">
        <v>99</v>
      </c>
      <c r="CZ13" s="6">
        <v>90</v>
      </c>
      <c r="DA13" s="6">
        <v>98</v>
      </c>
      <c r="DB13" s="6">
        <v>85</v>
      </c>
      <c r="DC13" s="6">
        <v>97</v>
      </c>
      <c r="DD13" s="6">
        <v>80</v>
      </c>
      <c r="DE13" s="22">
        <v>93</v>
      </c>
      <c r="DF13" s="6">
        <v>71</v>
      </c>
      <c r="DG13" s="6">
        <v>87</v>
      </c>
      <c r="DH13" s="6">
        <v>85</v>
      </c>
      <c r="DI13" s="6">
        <v>99</v>
      </c>
      <c r="DJ13" s="6">
        <v>85</v>
      </c>
      <c r="DK13" s="22">
        <v>97</v>
      </c>
      <c r="DL13" s="6">
        <v>75</v>
      </c>
      <c r="DM13" s="6">
        <v>75</v>
      </c>
      <c r="DN13" s="6">
        <v>51</v>
      </c>
      <c r="DO13" s="6">
        <v>49</v>
      </c>
      <c r="DP13" s="6">
        <v>51</v>
      </c>
      <c r="DQ13" s="22">
        <v>36</v>
      </c>
      <c r="DR13" s="6">
        <v>80</v>
      </c>
      <c r="DS13" s="6">
        <v>88</v>
      </c>
      <c r="DT13" s="6">
        <v>70</v>
      </c>
      <c r="DU13" s="6">
        <v>68</v>
      </c>
      <c r="DV13" s="6">
        <v>75</v>
      </c>
      <c r="DW13" s="22">
        <v>80</v>
      </c>
      <c r="DX13" s="6">
        <v>68</v>
      </c>
      <c r="DY13" s="6">
        <v>71</v>
      </c>
      <c r="DZ13" s="6">
        <v>75</v>
      </c>
      <c r="EA13" s="6">
        <v>82</v>
      </c>
      <c r="EB13" s="6">
        <v>65</v>
      </c>
      <c r="EC13" s="22">
        <v>64</v>
      </c>
      <c r="ED13" s="6">
        <v>70</v>
      </c>
      <c r="EE13" s="6">
        <v>66</v>
      </c>
      <c r="EF13" s="6">
        <v>69</v>
      </c>
      <c r="EG13" s="6">
        <v>73</v>
      </c>
      <c r="EH13" s="6">
        <v>75</v>
      </c>
      <c r="EI13" s="22">
        <v>84</v>
      </c>
      <c r="EJ13" s="21">
        <v>75</v>
      </c>
      <c r="EK13" s="6">
        <v>78</v>
      </c>
      <c r="EL13" s="6">
        <v>75</v>
      </c>
      <c r="EM13" s="6">
        <v>79</v>
      </c>
      <c r="EN13" s="6">
        <v>75</v>
      </c>
      <c r="EO13" s="22">
        <v>82</v>
      </c>
      <c r="EP13" s="6">
        <v>85</v>
      </c>
      <c r="EQ13" s="6">
        <v>89</v>
      </c>
      <c r="ER13" s="6">
        <v>93</v>
      </c>
      <c r="ES13" s="6">
        <v>97</v>
      </c>
      <c r="ET13" s="6">
        <v>85</v>
      </c>
      <c r="EU13" s="20">
        <v>91</v>
      </c>
    </row>
    <row r="14" spans="2:151">
      <c r="B14" s="3">
        <v>8</v>
      </c>
      <c r="C14" s="3">
        <v>53</v>
      </c>
      <c r="D14" s="3">
        <v>48</v>
      </c>
      <c r="E14" s="3">
        <v>40</v>
      </c>
      <c r="F14" s="3">
        <v>48</v>
      </c>
      <c r="G14" s="3">
        <v>53</v>
      </c>
      <c r="H14" s="3">
        <v>48</v>
      </c>
      <c r="I14" s="3">
        <v>66</v>
      </c>
      <c r="J14" s="3">
        <v>71</v>
      </c>
      <c r="K14" s="3">
        <v>63</v>
      </c>
      <c r="L14" s="3">
        <v>30</v>
      </c>
      <c r="M14" s="3">
        <v>53</v>
      </c>
      <c r="N14" s="3">
        <v>60</v>
      </c>
      <c r="O14" s="3">
        <v>48</v>
      </c>
      <c r="P14" s="3">
        <v>60</v>
      </c>
      <c r="Q14" s="3">
        <v>63</v>
      </c>
      <c r="R14" s="3">
        <v>60</v>
      </c>
      <c r="S14" s="3">
        <v>68</v>
      </c>
      <c r="T14" s="3">
        <v>66</v>
      </c>
      <c r="U14" s="3">
        <v>40</v>
      </c>
      <c r="V14" s="3">
        <v>98</v>
      </c>
      <c r="W14" s="3">
        <v>73</v>
      </c>
      <c r="X14" s="3">
        <v>66</v>
      </c>
      <c r="Y14" s="3">
        <v>53</v>
      </c>
      <c r="Z14" s="3">
        <v>62</v>
      </c>
      <c r="AA14" s="3">
        <v>73</v>
      </c>
      <c r="AC14" s="3">
        <v>8</v>
      </c>
      <c r="AD14" s="3">
        <v>2</v>
      </c>
      <c r="AE14" s="3">
        <v>39</v>
      </c>
      <c r="AF14" s="3">
        <v>47</v>
      </c>
      <c r="AH14" s="6">
        <v>3</v>
      </c>
      <c r="AI14" s="6">
        <v>2</v>
      </c>
      <c r="AJ14" s="6">
        <v>2</v>
      </c>
      <c r="AK14" s="6">
        <v>7</v>
      </c>
      <c r="AL14" s="6">
        <v>2</v>
      </c>
      <c r="AM14" s="6">
        <v>4</v>
      </c>
      <c r="AN14" s="6">
        <v>4</v>
      </c>
      <c r="AO14" s="6">
        <v>12</v>
      </c>
      <c r="AP14" s="6">
        <v>12</v>
      </c>
      <c r="AQ14" s="6">
        <v>8</v>
      </c>
      <c r="AR14" s="6">
        <v>1</v>
      </c>
      <c r="AS14" s="6">
        <v>6</v>
      </c>
      <c r="AT14" s="6">
        <v>6</v>
      </c>
      <c r="AU14" s="6">
        <v>6</v>
      </c>
      <c r="AV14" s="6">
        <v>6</v>
      </c>
      <c r="AW14" s="6">
        <v>10</v>
      </c>
      <c r="AX14" s="6">
        <v>6</v>
      </c>
      <c r="AY14" s="6">
        <v>12</v>
      </c>
      <c r="AZ14" s="6">
        <v>4</v>
      </c>
      <c r="BA14" s="6">
        <v>4</v>
      </c>
      <c r="BB14" s="6">
        <v>37</v>
      </c>
      <c r="BC14" s="6">
        <v>25</v>
      </c>
      <c r="BD14" s="6">
        <v>10</v>
      </c>
      <c r="BE14" s="6">
        <v>5</v>
      </c>
      <c r="BF14" s="6">
        <v>15</v>
      </c>
      <c r="BG14" s="6">
        <v>20</v>
      </c>
      <c r="BI14" s="6">
        <v>7</v>
      </c>
      <c r="BJ14" s="6">
        <v>90</v>
      </c>
      <c r="BK14" s="6">
        <v>95</v>
      </c>
      <c r="BL14" s="6">
        <v>75</v>
      </c>
      <c r="BM14" s="6">
        <v>82</v>
      </c>
      <c r="BN14" s="6">
        <v>80</v>
      </c>
      <c r="BO14" s="20">
        <v>87</v>
      </c>
      <c r="BP14" s="21">
        <v>93</v>
      </c>
      <c r="BQ14" s="6">
        <v>87</v>
      </c>
      <c r="BR14" s="6">
        <v>90</v>
      </c>
      <c r="BS14" s="6">
        <v>92</v>
      </c>
      <c r="BT14" s="6">
        <v>90</v>
      </c>
      <c r="BU14" s="22">
        <v>91</v>
      </c>
      <c r="BV14" s="21">
        <v>75</v>
      </c>
      <c r="BW14" s="6">
        <v>73</v>
      </c>
      <c r="BX14" s="6">
        <v>93</v>
      </c>
      <c r="BY14" s="6">
        <v>93</v>
      </c>
      <c r="BZ14" s="6">
        <v>83</v>
      </c>
      <c r="CA14" s="22">
        <v>80</v>
      </c>
      <c r="CB14" s="6">
        <v>85</v>
      </c>
      <c r="CC14" s="6">
        <v>88</v>
      </c>
      <c r="CD14" s="6">
        <v>100</v>
      </c>
      <c r="CE14" s="6">
        <v>99</v>
      </c>
      <c r="CF14" s="6">
        <v>90</v>
      </c>
      <c r="CG14" s="22">
        <v>88</v>
      </c>
      <c r="CH14" s="21">
        <v>100</v>
      </c>
      <c r="CI14" s="6">
        <v>99</v>
      </c>
      <c r="CJ14" s="6">
        <v>75</v>
      </c>
      <c r="CK14" s="6">
        <v>80</v>
      </c>
      <c r="CL14" s="6">
        <v>68</v>
      </c>
      <c r="CM14" s="22">
        <v>68</v>
      </c>
      <c r="CN14" s="6">
        <v>75</v>
      </c>
      <c r="CO14" s="6">
        <v>90</v>
      </c>
      <c r="CP14" s="6">
        <v>85</v>
      </c>
      <c r="CQ14" s="6">
        <v>95</v>
      </c>
      <c r="CR14" s="6">
        <v>85</v>
      </c>
      <c r="CS14" s="22">
        <v>95</v>
      </c>
      <c r="CT14" s="6">
        <v>90</v>
      </c>
      <c r="CU14" s="6">
        <v>98</v>
      </c>
      <c r="CV14" s="6">
        <v>71</v>
      </c>
      <c r="CW14" s="6">
        <v>78</v>
      </c>
      <c r="CX14" s="6">
        <v>95</v>
      </c>
      <c r="CY14" s="22">
        <v>99</v>
      </c>
      <c r="CZ14" s="6">
        <v>95</v>
      </c>
      <c r="DA14" s="6">
        <v>99</v>
      </c>
      <c r="DB14" s="6">
        <v>89</v>
      </c>
      <c r="DC14" s="6">
        <v>99</v>
      </c>
      <c r="DD14" s="6">
        <v>85</v>
      </c>
      <c r="DE14" s="22">
        <v>96</v>
      </c>
      <c r="DF14" s="6">
        <v>75</v>
      </c>
      <c r="DG14" s="6">
        <v>93</v>
      </c>
      <c r="DH14" s="6">
        <v>100</v>
      </c>
      <c r="DI14" s="6">
        <v>99</v>
      </c>
      <c r="DJ14" s="6">
        <v>100</v>
      </c>
      <c r="DK14" s="22">
        <v>99</v>
      </c>
      <c r="DL14" s="6">
        <v>85</v>
      </c>
      <c r="DM14" s="6">
        <v>88</v>
      </c>
      <c r="DN14" s="6">
        <v>60</v>
      </c>
      <c r="DO14" s="6">
        <v>59</v>
      </c>
      <c r="DP14" s="6">
        <v>60</v>
      </c>
      <c r="DQ14" s="22">
        <v>56</v>
      </c>
      <c r="DR14" s="6">
        <v>85</v>
      </c>
      <c r="DS14" s="6">
        <v>94</v>
      </c>
      <c r="DT14" s="6">
        <v>75</v>
      </c>
      <c r="DU14" s="6">
        <v>78</v>
      </c>
      <c r="DV14" s="6">
        <v>80</v>
      </c>
      <c r="DW14" s="22">
        <v>85</v>
      </c>
      <c r="DX14" s="6">
        <v>71</v>
      </c>
      <c r="DY14" s="6">
        <v>79</v>
      </c>
      <c r="DZ14" s="6">
        <v>80</v>
      </c>
      <c r="EA14" s="6">
        <v>91</v>
      </c>
      <c r="EB14" s="6">
        <v>70</v>
      </c>
      <c r="EC14" s="22">
        <v>75</v>
      </c>
      <c r="ED14" s="6">
        <v>75</v>
      </c>
      <c r="EE14" s="6">
        <v>79</v>
      </c>
      <c r="EF14" s="6">
        <v>72</v>
      </c>
      <c r="EG14" s="6">
        <v>81</v>
      </c>
      <c r="EH14" s="6">
        <v>80</v>
      </c>
      <c r="EI14" s="22">
        <v>90</v>
      </c>
      <c r="EJ14" s="21">
        <v>85</v>
      </c>
      <c r="EK14" s="6">
        <v>89</v>
      </c>
      <c r="EL14" s="6">
        <v>85</v>
      </c>
      <c r="EM14" s="6">
        <v>85</v>
      </c>
      <c r="EN14" s="6">
        <v>85</v>
      </c>
      <c r="EO14" s="22">
        <v>88</v>
      </c>
      <c r="EP14" s="6">
        <v>90</v>
      </c>
      <c r="EQ14" s="6">
        <v>96</v>
      </c>
      <c r="ER14" s="6">
        <v>100</v>
      </c>
      <c r="ES14" s="6">
        <v>99</v>
      </c>
      <c r="ET14" s="6">
        <v>89</v>
      </c>
      <c r="EU14" s="20">
        <v>96</v>
      </c>
    </row>
    <row r="15" spans="2:151">
      <c r="B15" s="3">
        <v>9</v>
      </c>
      <c r="C15" s="3">
        <v>60</v>
      </c>
      <c r="D15" s="3">
        <v>54</v>
      </c>
      <c r="E15" s="3">
        <v>45</v>
      </c>
      <c r="F15" s="3">
        <v>54</v>
      </c>
      <c r="G15" s="3">
        <v>60</v>
      </c>
      <c r="H15" s="3">
        <v>54</v>
      </c>
      <c r="I15" s="3">
        <v>69</v>
      </c>
      <c r="J15" s="3">
        <v>73</v>
      </c>
      <c r="K15" s="3">
        <v>65</v>
      </c>
      <c r="L15" s="3">
        <v>34</v>
      </c>
      <c r="M15" s="3">
        <v>60</v>
      </c>
      <c r="N15" s="3">
        <v>62</v>
      </c>
      <c r="O15" s="3">
        <v>54</v>
      </c>
      <c r="P15" s="3">
        <v>62</v>
      </c>
      <c r="Q15" s="3">
        <v>66</v>
      </c>
      <c r="R15" s="3">
        <v>75</v>
      </c>
      <c r="S15" s="3">
        <v>71</v>
      </c>
      <c r="T15" s="3">
        <v>69</v>
      </c>
      <c r="U15" s="3">
        <v>45</v>
      </c>
      <c r="V15" s="3">
        <v>102</v>
      </c>
      <c r="W15" s="3">
        <v>75</v>
      </c>
      <c r="X15" s="3">
        <v>68</v>
      </c>
      <c r="Y15" s="3">
        <v>60</v>
      </c>
      <c r="Z15" s="3">
        <v>64</v>
      </c>
      <c r="AA15" s="3">
        <v>75</v>
      </c>
      <c r="AC15" s="3">
        <v>9</v>
      </c>
      <c r="AD15" s="3">
        <v>3</v>
      </c>
      <c r="AE15" s="3">
        <v>43</v>
      </c>
      <c r="AF15" s="3">
        <v>49</v>
      </c>
      <c r="AH15" s="6">
        <v>4</v>
      </c>
      <c r="AI15" s="6">
        <v>2</v>
      </c>
      <c r="AJ15" s="6">
        <v>2</v>
      </c>
      <c r="AK15" s="6">
        <v>7</v>
      </c>
      <c r="AL15" s="6">
        <v>2</v>
      </c>
      <c r="AM15" s="6">
        <v>4</v>
      </c>
      <c r="AN15" s="6">
        <v>4</v>
      </c>
      <c r="AO15" s="6">
        <v>12</v>
      </c>
      <c r="AP15" s="6">
        <v>12</v>
      </c>
      <c r="AQ15" s="6">
        <v>8</v>
      </c>
      <c r="AR15" s="6">
        <v>1</v>
      </c>
      <c r="AS15" s="6">
        <v>6</v>
      </c>
      <c r="AT15" s="6">
        <v>6</v>
      </c>
      <c r="AU15" s="6">
        <v>6</v>
      </c>
      <c r="AV15" s="6">
        <v>6</v>
      </c>
      <c r="AW15" s="6">
        <v>10</v>
      </c>
      <c r="AX15" s="6">
        <v>6</v>
      </c>
      <c r="AY15" s="6">
        <v>12</v>
      </c>
      <c r="AZ15" s="6">
        <v>4</v>
      </c>
      <c r="BA15" s="6">
        <v>4</v>
      </c>
      <c r="BB15" s="6">
        <v>37</v>
      </c>
      <c r="BC15" s="6">
        <v>25</v>
      </c>
      <c r="BD15" s="6">
        <v>10</v>
      </c>
      <c r="BE15" s="6">
        <v>5</v>
      </c>
      <c r="BF15" s="6">
        <v>15</v>
      </c>
      <c r="BG15" s="6">
        <v>20</v>
      </c>
      <c r="BI15" s="6">
        <v>8</v>
      </c>
      <c r="BJ15" s="6">
        <v>95</v>
      </c>
      <c r="BK15" s="6">
        <v>98</v>
      </c>
      <c r="BL15" s="6">
        <v>85</v>
      </c>
      <c r="BM15" s="6">
        <v>93</v>
      </c>
      <c r="BN15" s="6">
        <v>85</v>
      </c>
      <c r="BO15" s="20">
        <v>95</v>
      </c>
      <c r="BP15" s="21">
        <v>100</v>
      </c>
      <c r="BQ15" s="6">
        <v>99</v>
      </c>
      <c r="BR15" s="6">
        <v>95</v>
      </c>
      <c r="BS15" s="6">
        <v>97</v>
      </c>
      <c r="BT15" s="6">
        <v>95</v>
      </c>
      <c r="BU15" s="22">
        <v>96</v>
      </c>
      <c r="BV15" s="21">
        <v>85</v>
      </c>
      <c r="BW15" s="6">
        <v>87</v>
      </c>
      <c r="BX15" s="6">
        <v>96</v>
      </c>
      <c r="BY15" s="6">
        <v>97</v>
      </c>
      <c r="BZ15" s="6">
        <v>85</v>
      </c>
      <c r="CA15" s="22">
        <v>89</v>
      </c>
      <c r="CB15" s="6">
        <v>93</v>
      </c>
      <c r="CC15" s="6">
        <v>97</v>
      </c>
      <c r="CD15" s="6"/>
      <c r="CE15" s="6"/>
      <c r="CF15" s="6">
        <v>95</v>
      </c>
      <c r="CG15" s="22">
        <v>97</v>
      </c>
      <c r="CH15" s="21"/>
      <c r="CI15" s="6"/>
      <c r="CJ15" s="6">
        <v>85</v>
      </c>
      <c r="CK15" s="6">
        <v>91</v>
      </c>
      <c r="CL15" s="6">
        <v>71</v>
      </c>
      <c r="CM15" s="22">
        <v>75</v>
      </c>
      <c r="CN15" s="6">
        <v>85</v>
      </c>
      <c r="CO15" s="6">
        <v>99</v>
      </c>
      <c r="CP15" s="6">
        <v>93</v>
      </c>
      <c r="CQ15" s="6">
        <v>99</v>
      </c>
      <c r="CR15" s="6">
        <v>100</v>
      </c>
      <c r="CS15" s="22">
        <v>99</v>
      </c>
      <c r="CT15" s="6">
        <v>95</v>
      </c>
      <c r="CU15" s="6">
        <v>99</v>
      </c>
      <c r="CV15" s="6">
        <v>75</v>
      </c>
      <c r="CW15" s="6">
        <v>88</v>
      </c>
      <c r="CX15" s="6">
        <v>100</v>
      </c>
      <c r="CY15" s="22">
        <v>99</v>
      </c>
      <c r="CZ15" s="6">
        <v>100</v>
      </c>
      <c r="DA15" s="6">
        <v>99</v>
      </c>
      <c r="DB15" s="6">
        <v>93</v>
      </c>
      <c r="DC15" s="6">
        <v>99</v>
      </c>
      <c r="DD15" s="6">
        <v>90</v>
      </c>
      <c r="DE15" s="22">
        <v>99</v>
      </c>
      <c r="DF15" s="6">
        <v>85</v>
      </c>
      <c r="DG15" s="6">
        <v>97</v>
      </c>
      <c r="DH15" s="6"/>
      <c r="DI15" s="6"/>
      <c r="DJ15" s="6"/>
      <c r="DK15" s="22"/>
      <c r="DL15" s="6">
        <v>100</v>
      </c>
      <c r="DM15" s="6">
        <v>99</v>
      </c>
      <c r="DN15" s="6">
        <v>75</v>
      </c>
      <c r="DO15" s="6">
        <v>69</v>
      </c>
      <c r="DP15" s="6">
        <v>75</v>
      </c>
      <c r="DQ15" s="22">
        <v>81</v>
      </c>
      <c r="DR15" s="6">
        <v>93</v>
      </c>
      <c r="DS15" s="6">
        <v>98</v>
      </c>
      <c r="DT15" s="6">
        <v>80</v>
      </c>
      <c r="DU15" s="6">
        <v>86</v>
      </c>
      <c r="DV15" s="6">
        <v>85</v>
      </c>
      <c r="DW15" s="22">
        <v>91</v>
      </c>
      <c r="DX15" s="6">
        <v>75</v>
      </c>
      <c r="DY15" s="6">
        <v>85</v>
      </c>
      <c r="DZ15" s="6">
        <v>85</v>
      </c>
      <c r="EA15" s="6">
        <v>97</v>
      </c>
      <c r="EB15" s="6">
        <v>75</v>
      </c>
      <c r="EC15" s="22">
        <v>89</v>
      </c>
      <c r="ED15" s="6">
        <v>85</v>
      </c>
      <c r="EE15" s="6">
        <v>90</v>
      </c>
      <c r="EF15" s="6">
        <v>75</v>
      </c>
      <c r="EG15" s="6">
        <v>87</v>
      </c>
      <c r="EH15" s="6">
        <v>85</v>
      </c>
      <c r="EI15" s="22">
        <v>95</v>
      </c>
      <c r="EJ15" s="21">
        <v>100</v>
      </c>
      <c r="EK15" s="6">
        <v>99</v>
      </c>
      <c r="EL15" s="6">
        <v>89</v>
      </c>
      <c r="EM15" s="6">
        <v>90</v>
      </c>
      <c r="EN15" s="6">
        <v>90</v>
      </c>
      <c r="EO15" s="22">
        <v>93</v>
      </c>
      <c r="EP15" s="6">
        <v>95</v>
      </c>
      <c r="EQ15" s="6">
        <v>99</v>
      </c>
      <c r="ER15" s="6"/>
      <c r="ES15" s="6"/>
      <c r="ET15" s="6">
        <v>93</v>
      </c>
      <c r="EU15" s="20">
        <v>98</v>
      </c>
    </row>
    <row r="16" spans="2:151">
      <c r="B16" s="3">
        <v>10</v>
      </c>
      <c r="C16" s="3">
        <v>63</v>
      </c>
      <c r="D16" s="3">
        <v>60</v>
      </c>
      <c r="E16" s="3">
        <v>50</v>
      </c>
      <c r="F16" s="3">
        <v>60</v>
      </c>
      <c r="G16" s="3">
        <v>63</v>
      </c>
      <c r="H16" s="3">
        <v>60</v>
      </c>
      <c r="I16" s="3">
        <v>71</v>
      </c>
      <c r="J16" s="3">
        <v>75</v>
      </c>
      <c r="K16" s="3">
        <v>67</v>
      </c>
      <c r="L16" s="3">
        <v>38</v>
      </c>
      <c r="M16" s="3">
        <v>62</v>
      </c>
      <c r="N16" s="3">
        <v>63</v>
      </c>
      <c r="O16" s="3">
        <v>60</v>
      </c>
      <c r="P16" s="3">
        <v>64</v>
      </c>
      <c r="Q16" s="3">
        <v>69</v>
      </c>
      <c r="R16" s="3">
        <v>78</v>
      </c>
      <c r="S16" s="3">
        <v>75</v>
      </c>
      <c r="T16" s="3">
        <v>72</v>
      </c>
      <c r="U16" s="3">
        <v>50</v>
      </c>
      <c r="V16" s="3">
        <v>105</v>
      </c>
      <c r="W16" s="3">
        <v>78</v>
      </c>
      <c r="X16" s="3">
        <v>69</v>
      </c>
      <c r="Y16" s="3">
        <v>62</v>
      </c>
      <c r="Z16" s="3">
        <v>66</v>
      </c>
      <c r="AA16" s="3">
        <v>78</v>
      </c>
      <c r="AC16" s="3">
        <v>10</v>
      </c>
      <c r="AD16" s="3">
        <v>5</v>
      </c>
      <c r="AE16" s="3">
        <v>47</v>
      </c>
      <c r="AF16" s="3">
        <v>51</v>
      </c>
      <c r="AH16" s="6">
        <v>5</v>
      </c>
      <c r="AI16" s="6">
        <v>2</v>
      </c>
      <c r="AJ16" s="6">
        <v>2</v>
      </c>
      <c r="AK16" s="6">
        <v>8</v>
      </c>
      <c r="AL16" s="6">
        <v>2</v>
      </c>
      <c r="AM16" s="6">
        <v>4</v>
      </c>
      <c r="AN16" s="6">
        <v>5</v>
      </c>
      <c r="AO16" s="6">
        <v>12</v>
      </c>
      <c r="AP16" s="6">
        <v>12</v>
      </c>
      <c r="AQ16" s="6">
        <v>8</v>
      </c>
      <c r="AR16" s="6">
        <v>1</v>
      </c>
      <c r="AS16" s="6">
        <v>6</v>
      </c>
      <c r="AT16" s="6">
        <v>6</v>
      </c>
      <c r="AU16" s="6">
        <v>6</v>
      </c>
      <c r="AV16" s="6">
        <v>7</v>
      </c>
      <c r="AW16" s="6">
        <v>10</v>
      </c>
      <c r="AX16" s="6">
        <v>6</v>
      </c>
      <c r="AY16" s="6">
        <v>12</v>
      </c>
      <c r="AZ16" s="6">
        <v>4</v>
      </c>
      <c r="BA16" s="6">
        <v>8</v>
      </c>
      <c r="BB16" s="6">
        <v>37</v>
      </c>
      <c r="BC16" s="6">
        <v>26</v>
      </c>
      <c r="BD16" s="6">
        <v>10</v>
      </c>
      <c r="BE16" s="6">
        <v>5</v>
      </c>
      <c r="BF16" s="6">
        <v>15</v>
      </c>
      <c r="BG16" s="6">
        <v>20</v>
      </c>
      <c r="BI16" s="6">
        <v>9</v>
      </c>
      <c r="BJ16" s="6">
        <v>100</v>
      </c>
      <c r="BK16" s="6">
        <v>99</v>
      </c>
      <c r="BL16" s="6">
        <v>100</v>
      </c>
      <c r="BM16" s="6">
        <v>99</v>
      </c>
      <c r="BN16" s="6">
        <v>100</v>
      </c>
      <c r="BO16" s="20">
        <v>99</v>
      </c>
      <c r="BP16" s="21"/>
      <c r="BQ16" s="6"/>
      <c r="BR16" s="6">
        <v>100</v>
      </c>
      <c r="BS16" s="6">
        <v>99</v>
      </c>
      <c r="BT16" s="6">
        <v>100</v>
      </c>
      <c r="BU16" s="22">
        <v>99</v>
      </c>
      <c r="BV16" s="21">
        <v>100</v>
      </c>
      <c r="BW16" s="6">
        <v>99</v>
      </c>
      <c r="BX16" s="6">
        <v>100</v>
      </c>
      <c r="BY16" s="6">
        <v>99</v>
      </c>
      <c r="BZ16" s="6">
        <v>100</v>
      </c>
      <c r="CA16" s="22">
        <v>99</v>
      </c>
      <c r="CB16" s="6">
        <v>100</v>
      </c>
      <c r="CC16" s="6">
        <v>99</v>
      </c>
      <c r="CD16" s="6"/>
      <c r="CE16" s="6"/>
      <c r="CF16" s="6">
        <v>100</v>
      </c>
      <c r="CG16" s="22">
        <v>99</v>
      </c>
      <c r="CH16" s="21"/>
      <c r="CI16" s="6"/>
      <c r="CJ16" s="6">
        <v>93</v>
      </c>
      <c r="CK16" s="6">
        <v>98</v>
      </c>
      <c r="CL16" s="6">
        <v>75</v>
      </c>
      <c r="CM16" s="22">
        <v>81</v>
      </c>
      <c r="CN16" s="6"/>
      <c r="CO16" s="6"/>
      <c r="CP16" s="6">
        <v>100</v>
      </c>
      <c r="CQ16" s="6">
        <v>99</v>
      </c>
      <c r="CR16" s="6"/>
      <c r="CS16" s="22"/>
      <c r="CT16" s="6">
        <v>100</v>
      </c>
      <c r="CU16" s="6">
        <v>99</v>
      </c>
      <c r="CV16" s="6">
        <v>85</v>
      </c>
      <c r="CW16" s="6">
        <v>96</v>
      </c>
      <c r="CX16" s="6"/>
      <c r="CY16" s="22"/>
      <c r="CZ16" s="6"/>
      <c r="DA16" s="6"/>
      <c r="DB16" s="6">
        <v>96</v>
      </c>
      <c r="DC16" s="6">
        <v>99</v>
      </c>
      <c r="DD16" s="6">
        <v>95</v>
      </c>
      <c r="DE16" s="22">
        <v>99</v>
      </c>
      <c r="DF16" s="6">
        <v>90</v>
      </c>
      <c r="DG16" s="6">
        <v>99</v>
      </c>
      <c r="DH16" s="6"/>
      <c r="DI16" s="6"/>
      <c r="DJ16" s="6"/>
      <c r="DK16" s="22"/>
      <c r="DL16" s="6"/>
      <c r="DM16" s="6"/>
      <c r="DN16" s="6">
        <v>80</v>
      </c>
      <c r="DO16" s="6">
        <v>80</v>
      </c>
      <c r="DP16" s="6">
        <v>85</v>
      </c>
      <c r="DQ16" s="22">
        <v>99</v>
      </c>
      <c r="DR16" s="6">
        <v>100</v>
      </c>
      <c r="DS16" s="6">
        <v>99</v>
      </c>
      <c r="DT16" s="6">
        <v>85</v>
      </c>
      <c r="DU16" s="6">
        <v>93</v>
      </c>
      <c r="DV16" s="6">
        <v>93</v>
      </c>
      <c r="DW16" s="22">
        <v>96</v>
      </c>
      <c r="DX16" s="6">
        <v>80</v>
      </c>
      <c r="DY16" s="6">
        <v>90</v>
      </c>
      <c r="DZ16" s="6">
        <v>100</v>
      </c>
      <c r="EA16" s="6">
        <v>99</v>
      </c>
      <c r="EB16" s="6">
        <v>85</v>
      </c>
      <c r="EC16" s="22">
        <v>99</v>
      </c>
      <c r="ED16" s="6">
        <v>100</v>
      </c>
      <c r="EE16" s="6">
        <v>99</v>
      </c>
      <c r="EF16" s="6">
        <v>85</v>
      </c>
      <c r="EG16" s="6">
        <v>93</v>
      </c>
      <c r="EH16" s="6">
        <v>90</v>
      </c>
      <c r="EI16" s="22">
        <v>98</v>
      </c>
      <c r="EJ16" s="21"/>
      <c r="EK16" s="6"/>
      <c r="EL16" s="6">
        <v>93</v>
      </c>
      <c r="EM16" s="6">
        <v>94</v>
      </c>
      <c r="EN16" s="6">
        <v>95</v>
      </c>
      <c r="EO16" s="22">
        <v>98</v>
      </c>
      <c r="EP16" s="6">
        <v>100</v>
      </c>
      <c r="EQ16" s="6">
        <v>99</v>
      </c>
      <c r="ER16" s="6"/>
      <c r="ES16" s="6"/>
      <c r="ET16" s="6">
        <v>96</v>
      </c>
      <c r="EU16" s="20">
        <v>99</v>
      </c>
    </row>
    <row r="17" spans="2:151">
      <c r="B17" s="3">
        <v>11</v>
      </c>
      <c r="C17" s="3">
        <v>65</v>
      </c>
      <c r="D17" s="3">
        <v>75</v>
      </c>
      <c r="E17" s="3">
        <v>55</v>
      </c>
      <c r="F17" s="3">
        <v>68</v>
      </c>
      <c r="G17" s="3">
        <v>65</v>
      </c>
      <c r="H17" s="3">
        <v>61</v>
      </c>
      <c r="I17" s="3">
        <v>73</v>
      </c>
      <c r="J17" s="3">
        <v>78</v>
      </c>
      <c r="K17" s="3">
        <v>68</v>
      </c>
      <c r="L17" s="3">
        <v>41</v>
      </c>
      <c r="M17" s="3">
        <v>64</v>
      </c>
      <c r="N17" s="3">
        <v>65</v>
      </c>
      <c r="O17" s="3">
        <v>62</v>
      </c>
      <c r="P17" s="3">
        <v>66</v>
      </c>
      <c r="Q17" s="3">
        <v>72</v>
      </c>
      <c r="R17" s="3">
        <v>80</v>
      </c>
      <c r="S17" s="3">
        <v>80</v>
      </c>
      <c r="T17" s="3">
        <v>75</v>
      </c>
      <c r="U17" s="3">
        <v>55</v>
      </c>
      <c r="V17" s="3">
        <v>108</v>
      </c>
      <c r="W17" s="3">
        <v>82</v>
      </c>
      <c r="X17" s="3">
        <v>71</v>
      </c>
      <c r="Y17" s="3">
        <v>64</v>
      </c>
      <c r="Z17" s="3">
        <v>69</v>
      </c>
      <c r="AA17" s="3">
        <v>80</v>
      </c>
      <c r="AC17" s="3">
        <v>11</v>
      </c>
      <c r="AD17" s="3">
        <v>6</v>
      </c>
      <c r="AE17" s="3">
        <v>51</v>
      </c>
      <c r="AF17" s="3">
        <v>54</v>
      </c>
      <c r="AH17" s="6">
        <v>6</v>
      </c>
      <c r="AI17" s="6">
        <v>2</v>
      </c>
      <c r="AJ17" s="6">
        <v>5</v>
      </c>
      <c r="AK17" s="6">
        <v>8</v>
      </c>
      <c r="AL17" s="6">
        <v>3</v>
      </c>
      <c r="AM17" s="6">
        <v>7</v>
      </c>
      <c r="AN17" s="6">
        <v>7</v>
      </c>
      <c r="AO17" s="6">
        <v>12</v>
      </c>
      <c r="AP17" s="6">
        <v>12</v>
      </c>
      <c r="AQ17" s="6">
        <v>8</v>
      </c>
      <c r="AR17" s="6">
        <v>1</v>
      </c>
      <c r="AS17" s="6">
        <v>6</v>
      </c>
      <c r="AT17" s="6">
        <v>6</v>
      </c>
      <c r="AU17" s="6">
        <v>9</v>
      </c>
      <c r="AV17" s="6">
        <v>7</v>
      </c>
      <c r="AW17" s="6">
        <v>10</v>
      </c>
      <c r="AX17" s="6">
        <v>6</v>
      </c>
      <c r="AY17" s="6">
        <v>12</v>
      </c>
      <c r="AZ17" s="6">
        <v>4</v>
      </c>
      <c r="BA17" s="6">
        <v>8</v>
      </c>
      <c r="BB17" s="6">
        <v>37</v>
      </c>
      <c r="BC17" s="6">
        <v>26</v>
      </c>
      <c r="BD17" s="6">
        <v>10</v>
      </c>
      <c r="BE17" s="6">
        <v>5</v>
      </c>
      <c r="BF17" s="6">
        <v>15</v>
      </c>
      <c r="BG17" s="6">
        <v>20</v>
      </c>
      <c r="BI17" s="6">
        <v>10</v>
      </c>
      <c r="BJ17" s="6"/>
      <c r="BK17" s="6"/>
      <c r="BL17" s="6"/>
      <c r="BM17" s="6"/>
      <c r="BN17" s="6"/>
      <c r="BO17" s="22"/>
      <c r="BP17" s="21"/>
      <c r="BQ17" s="6"/>
      <c r="BR17" s="6"/>
      <c r="BS17" s="6"/>
      <c r="BT17" s="6"/>
      <c r="BU17" s="22"/>
      <c r="BV17" s="21"/>
      <c r="BW17" s="6"/>
      <c r="BX17" s="6"/>
      <c r="BY17" s="6"/>
      <c r="BZ17" s="6"/>
      <c r="CA17" s="22"/>
      <c r="CB17" s="6"/>
      <c r="CC17" s="6"/>
      <c r="CD17" s="6"/>
      <c r="CE17" s="6"/>
      <c r="CF17" s="6"/>
      <c r="CG17" s="22"/>
      <c r="CH17" s="21"/>
      <c r="CI17" s="6"/>
      <c r="CJ17" s="6">
        <v>100</v>
      </c>
      <c r="CK17" s="6">
        <v>99</v>
      </c>
      <c r="CL17" s="6">
        <v>85</v>
      </c>
      <c r="CM17" s="22">
        <v>90</v>
      </c>
      <c r="CN17" s="6"/>
      <c r="CO17" s="6"/>
      <c r="CP17" s="6"/>
      <c r="CQ17" s="6"/>
      <c r="CR17" s="6"/>
      <c r="CS17" s="22"/>
      <c r="CT17" s="6"/>
      <c r="CU17" s="6"/>
      <c r="CV17" s="6">
        <v>100</v>
      </c>
      <c r="CW17" s="6">
        <v>99</v>
      </c>
      <c r="CX17" s="6"/>
      <c r="CY17" s="22"/>
      <c r="CZ17" s="6"/>
      <c r="DA17" s="6"/>
      <c r="DB17" s="6">
        <v>100</v>
      </c>
      <c r="DC17" s="6">
        <v>99</v>
      </c>
      <c r="DD17" s="6">
        <v>100</v>
      </c>
      <c r="DE17" s="22">
        <v>99</v>
      </c>
      <c r="DF17" s="6">
        <v>95</v>
      </c>
      <c r="DG17" s="6">
        <v>99</v>
      </c>
      <c r="DH17" s="6"/>
      <c r="DI17" s="6"/>
      <c r="DJ17" s="6"/>
      <c r="DK17" s="22"/>
      <c r="DL17" s="6"/>
      <c r="DM17" s="6"/>
      <c r="DN17" s="6">
        <v>85</v>
      </c>
      <c r="DO17" s="6">
        <v>89</v>
      </c>
      <c r="DP17" s="6"/>
      <c r="DQ17" s="22"/>
      <c r="DR17" s="6"/>
      <c r="DS17" s="6"/>
      <c r="DT17" s="6">
        <v>93</v>
      </c>
      <c r="DU17" s="6">
        <v>98</v>
      </c>
      <c r="DV17" s="6">
        <v>100</v>
      </c>
      <c r="DW17" s="22">
        <v>99</v>
      </c>
      <c r="DX17" s="6">
        <v>85</v>
      </c>
      <c r="DY17" s="6">
        <v>95</v>
      </c>
      <c r="DZ17" s="6"/>
      <c r="EA17" s="6"/>
      <c r="EB17" s="6"/>
      <c r="EC17" s="22"/>
      <c r="ED17" s="6"/>
      <c r="EE17" s="6"/>
      <c r="EF17" s="6">
        <v>93</v>
      </c>
      <c r="EG17" s="6">
        <v>98</v>
      </c>
      <c r="EH17" s="6">
        <v>95</v>
      </c>
      <c r="EI17" s="22">
        <v>99</v>
      </c>
      <c r="EJ17" s="21"/>
      <c r="EK17" s="6"/>
      <c r="EL17" s="6">
        <v>96</v>
      </c>
      <c r="EM17" s="6">
        <v>99</v>
      </c>
      <c r="EN17" s="6">
        <v>100</v>
      </c>
      <c r="EO17" s="22">
        <v>99</v>
      </c>
      <c r="EP17" s="6"/>
      <c r="EQ17" s="6"/>
      <c r="ER17" s="6"/>
      <c r="ES17" s="6"/>
      <c r="ET17" s="6">
        <v>100</v>
      </c>
      <c r="EU17" s="20">
        <v>99</v>
      </c>
    </row>
    <row r="18" spans="2:151">
      <c r="B18" s="3">
        <v>12</v>
      </c>
      <c r="C18" s="3">
        <v>68</v>
      </c>
      <c r="D18" s="3">
        <v>77</v>
      </c>
      <c r="E18" s="3">
        <v>60</v>
      </c>
      <c r="F18" s="3">
        <v>75</v>
      </c>
      <c r="G18" s="3">
        <v>68</v>
      </c>
      <c r="H18" s="3">
        <v>63</v>
      </c>
      <c r="I18" s="3">
        <v>75</v>
      </c>
      <c r="J18" s="3">
        <v>82</v>
      </c>
      <c r="K18" s="3">
        <v>70</v>
      </c>
      <c r="L18" s="3">
        <v>45</v>
      </c>
      <c r="M18" s="3">
        <v>66</v>
      </c>
      <c r="N18" s="3">
        <v>67</v>
      </c>
      <c r="O18" s="3">
        <v>63</v>
      </c>
      <c r="P18" s="3">
        <v>68</v>
      </c>
      <c r="Q18" s="3">
        <v>75</v>
      </c>
      <c r="R18" s="3">
        <v>83</v>
      </c>
      <c r="S18" s="3">
        <v>85</v>
      </c>
      <c r="T18" s="3">
        <v>80</v>
      </c>
      <c r="U18" s="3">
        <v>60</v>
      </c>
      <c r="V18" s="3">
        <v>112</v>
      </c>
      <c r="W18" s="3">
        <v>85</v>
      </c>
      <c r="X18" s="3">
        <v>73</v>
      </c>
      <c r="Y18" s="3">
        <v>66</v>
      </c>
      <c r="Z18" s="3">
        <v>71</v>
      </c>
      <c r="AA18" s="3">
        <v>83</v>
      </c>
      <c r="AC18" s="3">
        <v>12</v>
      </c>
      <c r="AD18" s="3">
        <v>8</v>
      </c>
      <c r="AE18" s="3">
        <v>55</v>
      </c>
      <c r="AF18" s="3">
        <v>56</v>
      </c>
      <c r="AH18" s="6">
        <v>7</v>
      </c>
      <c r="AI18" s="6">
        <v>5</v>
      </c>
      <c r="AJ18" s="6">
        <v>5</v>
      </c>
      <c r="AK18" s="6">
        <v>9</v>
      </c>
      <c r="AL18" s="6">
        <v>3</v>
      </c>
      <c r="AM18" s="6">
        <v>9</v>
      </c>
      <c r="AN18" s="6">
        <v>8</v>
      </c>
      <c r="AO18" s="6">
        <v>12</v>
      </c>
      <c r="AP18" s="6">
        <v>12</v>
      </c>
      <c r="AQ18" s="6">
        <v>8</v>
      </c>
      <c r="AR18" s="6">
        <v>1</v>
      </c>
      <c r="AS18" s="6">
        <v>9</v>
      </c>
      <c r="AT18" s="6">
        <v>6</v>
      </c>
      <c r="AU18" s="6">
        <v>9</v>
      </c>
      <c r="AV18" s="6">
        <v>7</v>
      </c>
      <c r="AW18" s="6">
        <v>10</v>
      </c>
      <c r="AX18" s="6">
        <v>6</v>
      </c>
      <c r="AY18" s="6">
        <v>12</v>
      </c>
      <c r="AZ18" s="6">
        <v>4</v>
      </c>
      <c r="BA18" s="6">
        <v>9</v>
      </c>
      <c r="BB18" s="6">
        <v>37</v>
      </c>
      <c r="BC18" s="6">
        <v>26</v>
      </c>
      <c r="BD18" s="6">
        <v>10</v>
      </c>
      <c r="BE18" s="6">
        <v>8</v>
      </c>
      <c r="BF18" s="6">
        <v>15</v>
      </c>
      <c r="BG18" s="6">
        <v>20</v>
      </c>
      <c r="BI18" s="6">
        <v>11</v>
      </c>
      <c r="BJ18" s="6"/>
      <c r="BK18" s="6"/>
      <c r="BL18" s="6"/>
      <c r="BM18" s="6"/>
      <c r="BN18" s="6"/>
      <c r="BO18" s="22"/>
      <c r="BP18" s="21"/>
      <c r="BQ18" s="6"/>
      <c r="BR18" s="6"/>
      <c r="BS18" s="6"/>
      <c r="BT18" s="6"/>
      <c r="BU18" s="22"/>
      <c r="BV18" s="21"/>
      <c r="BW18" s="6"/>
      <c r="BX18" s="6"/>
      <c r="BY18" s="6"/>
      <c r="BZ18" s="6"/>
      <c r="CA18" s="22"/>
      <c r="CB18" s="6"/>
      <c r="CC18" s="6"/>
      <c r="CD18" s="6"/>
      <c r="CE18" s="6"/>
      <c r="CF18" s="6"/>
      <c r="CG18" s="22"/>
      <c r="CH18" s="21"/>
      <c r="CI18" s="6"/>
      <c r="CJ18" s="6"/>
      <c r="CK18" s="6"/>
      <c r="CL18" s="6">
        <v>93</v>
      </c>
      <c r="CM18" s="22">
        <v>96</v>
      </c>
      <c r="CN18" s="6"/>
      <c r="CO18" s="6"/>
      <c r="CP18" s="6"/>
      <c r="CQ18" s="6"/>
      <c r="CR18" s="6"/>
      <c r="CS18" s="22"/>
      <c r="CT18" s="6"/>
      <c r="CU18" s="6"/>
      <c r="CV18" s="6"/>
      <c r="CW18" s="6"/>
      <c r="CX18" s="6"/>
      <c r="CY18" s="22"/>
      <c r="CZ18" s="6"/>
      <c r="DA18" s="6"/>
      <c r="DB18" s="6"/>
      <c r="DC18" s="6"/>
      <c r="DD18" s="6"/>
      <c r="DE18" s="22"/>
      <c r="DF18" s="6">
        <v>100</v>
      </c>
      <c r="DG18" s="6">
        <v>99</v>
      </c>
      <c r="DH18" s="6"/>
      <c r="DI18" s="6"/>
      <c r="DJ18" s="6"/>
      <c r="DK18" s="22"/>
      <c r="DL18" s="6"/>
      <c r="DM18" s="6"/>
      <c r="DN18" s="6">
        <v>93</v>
      </c>
      <c r="DO18" s="6">
        <v>95</v>
      </c>
      <c r="DP18" s="6"/>
      <c r="DQ18" s="22"/>
      <c r="DR18" s="6"/>
      <c r="DS18" s="6"/>
      <c r="DT18" s="6">
        <v>100</v>
      </c>
      <c r="DU18" s="6">
        <v>99</v>
      </c>
      <c r="DV18" s="6"/>
      <c r="DW18" s="22"/>
      <c r="DX18" s="6">
        <v>93</v>
      </c>
      <c r="DY18" s="6">
        <v>98</v>
      </c>
      <c r="DZ18" s="6"/>
      <c r="EA18" s="6"/>
      <c r="EB18" s="6"/>
      <c r="EC18" s="22"/>
      <c r="ED18" s="6"/>
      <c r="EE18" s="6"/>
      <c r="EF18" s="6">
        <v>100</v>
      </c>
      <c r="EG18" s="6">
        <v>99</v>
      </c>
      <c r="EH18" s="6">
        <v>100</v>
      </c>
      <c r="EI18" s="22">
        <v>99</v>
      </c>
      <c r="EJ18" s="21"/>
      <c r="EK18" s="6"/>
      <c r="EL18" s="6">
        <v>100</v>
      </c>
      <c r="EM18" s="6">
        <v>99</v>
      </c>
      <c r="EN18" s="6"/>
      <c r="EO18" s="22"/>
      <c r="EP18" s="6"/>
      <c r="EQ18" s="6"/>
      <c r="ER18" s="6"/>
      <c r="ES18" s="6"/>
      <c r="ET18" s="6"/>
      <c r="EU18" s="20"/>
    </row>
    <row r="19" spans="2:151">
      <c r="B19" s="3">
        <v>13</v>
      </c>
      <c r="C19" s="3">
        <v>70</v>
      </c>
      <c r="D19" s="3">
        <v>78</v>
      </c>
      <c r="E19" s="3">
        <v>65</v>
      </c>
      <c r="F19" s="3">
        <v>78</v>
      </c>
      <c r="G19" s="3">
        <v>70</v>
      </c>
      <c r="H19" s="3">
        <v>64</v>
      </c>
      <c r="I19" s="3">
        <v>78</v>
      </c>
      <c r="J19" s="3">
        <v>85</v>
      </c>
      <c r="K19" s="3">
        <v>72</v>
      </c>
      <c r="L19" s="3">
        <v>49</v>
      </c>
      <c r="M19" s="3">
        <v>69</v>
      </c>
      <c r="N19" s="3">
        <v>68</v>
      </c>
      <c r="O19" s="3">
        <v>65</v>
      </c>
      <c r="P19" s="3">
        <v>69</v>
      </c>
      <c r="Q19" s="3">
        <v>78</v>
      </c>
      <c r="R19" s="3">
        <v>85</v>
      </c>
      <c r="S19" s="3">
        <v>95</v>
      </c>
      <c r="T19" s="3">
        <v>85</v>
      </c>
      <c r="U19" s="3">
        <v>63</v>
      </c>
      <c r="V19" s="3">
        <v>115</v>
      </c>
      <c r="W19" s="3">
        <v>90</v>
      </c>
      <c r="X19" s="3">
        <v>75</v>
      </c>
      <c r="Y19" s="3">
        <v>68</v>
      </c>
      <c r="Z19" s="3">
        <v>73</v>
      </c>
      <c r="AA19" s="3">
        <v>85</v>
      </c>
      <c r="AC19" s="3">
        <v>13</v>
      </c>
      <c r="AD19" s="3">
        <v>10</v>
      </c>
      <c r="AE19" s="3">
        <v>59</v>
      </c>
      <c r="AF19" s="3">
        <v>59</v>
      </c>
      <c r="AH19" s="6">
        <v>8</v>
      </c>
      <c r="AI19" s="6">
        <v>5</v>
      </c>
      <c r="AJ19" s="6">
        <v>6</v>
      </c>
      <c r="AK19" s="6">
        <v>9</v>
      </c>
      <c r="AL19" s="6">
        <v>3</v>
      </c>
      <c r="AM19" s="6">
        <v>9</v>
      </c>
      <c r="AN19" s="6">
        <v>8</v>
      </c>
      <c r="AO19" s="6">
        <v>12</v>
      </c>
      <c r="AP19" s="6">
        <v>12</v>
      </c>
      <c r="AQ19" s="6">
        <v>8</v>
      </c>
      <c r="AR19" s="6">
        <v>1</v>
      </c>
      <c r="AS19" s="6">
        <v>9</v>
      </c>
      <c r="AT19" s="6">
        <v>10</v>
      </c>
      <c r="AU19" s="6">
        <v>10</v>
      </c>
      <c r="AV19" s="6">
        <v>12</v>
      </c>
      <c r="AW19" s="6">
        <v>10</v>
      </c>
      <c r="AX19" s="6">
        <v>10</v>
      </c>
      <c r="AY19" s="6">
        <v>12</v>
      </c>
      <c r="AZ19" s="6">
        <v>4</v>
      </c>
      <c r="BA19" s="6">
        <v>9</v>
      </c>
      <c r="BB19" s="6">
        <v>37</v>
      </c>
      <c r="BC19" s="6">
        <v>26</v>
      </c>
      <c r="BD19" s="6">
        <v>10</v>
      </c>
      <c r="BE19" s="6">
        <v>8</v>
      </c>
      <c r="BF19" s="6">
        <v>16</v>
      </c>
      <c r="BG19" s="6">
        <v>20</v>
      </c>
      <c r="BI19" s="6">
        <v>12</v>
      </c>
      <c r="BJ19" s="6"/>
      <c r="BK19" s="6"/>
      <c r="BL19" s="6"/>
      <c r="BM19" s="6"/>
      <c r="BN19" s="6"/>
      <c r="BO19" s="22"/>
      <c r="BP19" s="21"/>
      <c r="BQ19" s="6"/>
      <c r="BR19" s="6"/>
      <c r="BS19" s="6"/>
      <c r="BT19" s="6"/>
      <c r="BU19" s="22"/>
      <c r="BV19" s="21"/>
      <c r="BW19" s="6"/>
      <c r="BX19" s="6"/>
      <c r="BY19" s="6"/>
      <c r="BZ19" s="6"/>
      <c r="CA19" s="22"/>
      <c r="CB19" s="6"/>
      <c r="CC19" s="6"/>
      <c r="CD19" s="6"/>
      <c r="CE19" s="6"/>
      <c r="CF19" s="6"/>
      <c r="CG19" s="22"/>
      <c r="CH19" s="21"/>
      <c r="CI19" s="6"/>
      <c r="CJ19" s="6"/>
      <c r="CK19" s="6"/>
      <c r="CL19" s="6">
        <v>100</v>
      </c>
      <c r="CM19" s="22">
        <v>99</v>
      </c>
      <c r="CN19" s="21"/>
      <c r="CO19" s="6"/>
      <c r="CP19" s="6"/>
      <c r="CQ19" s="6"/>
      <c r="CR19" s="6"/>
      <c r="CS19" s="22"/>
      <c r="CT19" s="6"/>
      <c r="CU19" s="6"/>
      <c r="CV19" s="6"/>
      <c r="CW19" s="6"/>
      <c r="CX19" s="6"/>
      <c r="CY19" s="22"/>
      <c r="CZ19" s="6"/>
      <c r="DA19" s="6"/>
      <c r="DB19" s="6"/>
      <c r="DC19" s="6"/>
      <c r="DD19" s="6"/>
      <c r="DE19" s="22"/>
      <c r="DF19" s="6"/>
      <c r="DG19" s="6"/>
      <c r="DH19" s="6"/>
      <c r="DI19" s="6"/>
      <c r="DJ19" s="6"/>
      <c r="DK19" s="22"/>
      <c r="DL19" s="6"/>
      <c r="DM19" s="6"/>
      <c r="DN19" s="6">
        <v>100</v>
      </c>
      <c r="DO19" s="6">
        <v>99</v>
      </c>
      <c r="DP19" s="6"/>
      <c r="DQ19" s="22"/>
      <c r="DR19" s="6"/>
      <c r="DS19" s="6"/>
      <c r="DT19" s="6"/>
      <c r="DU19" s="6"/>
      <c r="DV19" s="6"/>
      <c r="DW19" s="22"/>
      <c r="DX19" s="6">
        <v>100</v>
      </c>
      <c r="DY19" s="6">
        <v>99</v>
      </c>
      <c r="DZ19" s="6"/>
      <c r="EA19" s="6"/>
      <c r="EB19" s="6"/>
      <c r="EC19" s="22"/>
      <c r="ED19" s="6"/>
      <c r="EE19" s="6"/>
      <c r="EF19" s="6"/>
      <c r="EG19" s="6"/>
      <c r="EH19" s="6"/>
      <c r="EI19" s="22"/>
      <c r="EJ19" s="21"/>
      <c r="EK19" s="6"/>
      <c r="EL19" s="6"/>
      <c r="EM19" s="6"/>
      <c r="EN19" s="6"/>
      <c r="EO19" s="22"/>
      <c r="EP19" s="6"/>
      <c r="EQ19" s="6"/>
      <c r="ER19" s="6"/>
      <c r="ES19" s="6"/>
      <c r="ET19" s="6"/>
      <c r="EU19" s="20"/>
    </row>
    <row r="20" spans="2:151">
      <c r="B20" s="3">
        <v>14</v>
      </c>
      <c r="C20" s="3">
        <v>73</v>
      </c>
      <c r="D20" s="3">
        <v>80</v>
      </c>
      <c r="E20" s="3">
        <v>70</v>
      </c>
      <c r="F20" s="3">
        <v>80</v>
      </c>
      <c r="G20" s="3">
        <v>73</v>
      </c>
      <c r="H20" s="3">
        <v>65</v>
      </c>
      <c r="I20" s="3">
        <v>80</v>
      </c>
      <c r="J20" s="3">
        <v>89</v>
      </c>
      <c r="K20" s="3">
        <v>73</v>
      </c>
      <c r="L20" s="3">
        <v>53</v>
      </c>
      <c r="M20" s="3">
        <v>71</v>
      </c>
      <c r="N20" s="3">
        <v>70</v>
      </c>
      <c r="O20" s="3">
        <v>66</v>
      </c>
      <c r="P20" s="3">
        <v>71</v>
      </c>
      <c r="Q20" s="3">
        <v>82</v>
      </c>
      <c r="R20" s="3">
        <v>90</v>
      </c>
      <c r="S20" s="3">
        <v>105</v>
      </c>
      <c r="T20" s="3">
        <v>90</v>
      </c>
      <c r="U20" s="3">
        <v>66</v>
      </c>
      <c r="W20" s="3">
        <v>95</v>
      </c>
      <c r="X20" s="3">
        <v>80</v>
      </c>
      <c r="Y20" s="3">
        <v>69</v>
      </c>
      <c r="Z20" s="3">
        <v>75</v>
      </c>
      <c r="AA20" s="3">
        <v>90</v>
      </c>
      <c r="AC20" s="3">
        <v>14</v>
      </c>
      <c r="AD20" s="3">
        <v>11</v>
      </c>
      <c r="AE20" s="3">
        <v>63</v>
      </c>
      <c r="AF20" s="3">
        <v>61</v>
      </c>
      <c r="AH20" s="6">
        <v>9</v>
      </c>
      <c r="AI20" s="6">
        <v>5</v>
      </c>
      <c r="AJ20" s="6">
        <v>6</v>
      </c>
      <c r="AK20" s="6">
        <v>9</v>
      </c>
      <c r="AL20" s="6">
        <v>3</v>
      </c>
      <c r="AM20" s="6">
        <v>10</v>
      </c>
      <c r="AN20" s="6">
        <v>8</v>
      </c>
      <c r="AO20" s="6">
        <v>12</v>
      </c>
      <c r="AP20" s="6">
        <v>12</v>
      </c>
      <c r="AQ20" s="6">
        <v>8</v>
      </c>
      <c r="AR20" s="6">
        <v>1</v>
      </c>
      <c r="AS20" s="6">
        <v>10</v>
      </c>
      <c r="AT20" s="6">
        <v>10</v>
      </c>
      <c r="AU20" s="6">
        <v>10</v>
      </c>
      <c r="AV20" s="6">
        <v>13</v>
      </c>
      <c r="AW20" s="6">
        <v>15</v>
      </c>
      <c r="AX20" s="6">
        <v>10</v>
      </c>
      <c r="AY20" s="6">
        <v>12</v>
      </c>
      <c r="AZ20" s="6">
        <v>4</v>
      </c>
      <c r="BA20" s="6">
        <v>9</v>
      </c>
      <c r="BB20" s="6">
        <v>37</v>
      </c>
      <c r="BC20" s="6">
        <v>26</v>
      </c>
      <c r="BD20" s="6">
        <v>10</v>
      </c>
      <c r="BE20" s="6">
        <v>9</v>
      </c>
      <c r="BF20" s="6">
        <v>21</v>
      </c>
      <c r="BG20" s="6">
        <v>20</v>
      </c>
    </row>
    <row r="21" spans="2:151">
      <c r="B21" s="3">
        <v>15</v>
      </c>
      <c r="C21" s="3">
        <v>75</v>
      </c>
      <c r="D21" s="3">
        <v>82</v>
      </c>
      <c r="E21" s="3">
        <v>75</v>
      </c>
      <c r="F21" s="3">
        <v>83</v>
      </c>
      <c r="G21" s="3">
        <v>75</v>
      </c>
      <c r="H21" s="3">
        <v>67</v>
      </c>
      <c r="I21" s="3">
        <v>83</v>
      </c>
      <c r="J21" s="3">
        <v>93</v>
      </c>
      <c r="K21" s="3">
        <v>75</v>
      </c>
      <c r="L21" s="3">
        <v>56</v>
      </c>
      <c r="M21" s="3">
        <v>73</v>
      </c>
      <c r="N21" s="3">
        <v>72</v>
      </c>
      <c r="O21" s="3">
        <v>68</v>
      </c>
      <c r="P21" s="3">
        <v>73</v>
      </c>
      <c r="Q21" s="3">
        <v>85</v>
      </c>
      <c r="R21" s="3">
        <v>95</v>
      </c>
      <c r="S21" s="3">
        <v>115</v>
      </c>
      <c r="T21" s="3">
        <v>95</v>
      </c>
      <c r="U21" s="3">
        <v>69</v>
      </c>
      <c r="W21" s="3">
        <v>100</v>
      </c>
      <c r="X21" s="3">
        <v>85</v>
      </c>
      <c r="Y21" s="3">
        <v>71</v>
      </c>
      <c r="Z21" s="3">
        <v>78</v>
      </c>
      <c r="AA21" s="3">
        <v>95</v>
      </c>
      <c r="AC21" s="3">
        <v>15</v>
      </c>
      <c r="AD21" s="3">
        <v>13</v>
      </c>
      <c r="AE21" s="3">
        <v>67</v>
      </c>
      <c r="AF21" s="3">
        <v>63</v>
      </c>
      <c r="AH21" s="6">
        <v>10</v>
      </c>
      <c r="AI21" s="6">
        <v>5</v>
      </c>
      <c r="AJ21" s="6">
        <v>6</v>
      </c>
      <c r="AK21" s="6">
        <v>13</v>
      </c>
      <c r="AL21" s="6">
        <v>4</v>
      </c>
      <c r="AM21" s="6">
        <v>10</v>
      </c>
      <c r="AN21" s="6">
        <v>8</v>
      </c>
      <c r="AO21" s="6">
        <v>12</v>
      </c>
      <c r="AP21" s="6">
        <v>12</v>
      </c>
      <c r="AQ21" s="6">
        <v>13</v>
      </c>
      <c r="AR21" s="6">
        <v>1</v>
      </c>
      <c r="AS21" s="6">
        <v>10</v>
      </c>
      <c r="AT21" s="6">
        <v>10</v>
      </c>
      <c r="AU21" s="6">
        <v>10</v>
      </c>
      <c r="AV21" s="6">
        <v>13</v>
      </c>
      <c r="AW21" s="6">
        <v>15</v>
      </c>
      <c r="AX21" s="6">
        <v>10</v>
      </c>
      <c r="AY21" s="6">
        <v>17</v>
      </c>
      <c r="AZ21" s="6">
        <v>8</v>
      </c>
      <c r="BA21" s="6">
        <v>13</v>
      </c>
      <c r="BB21" s="6">
        <v>37</v>
      </c>
      <c r="BC21" s="6">
        <v>26</v>
      </c>
      <c r="BD21" s="6">
        <v>10</v>
      </c>
      <c r="BE21" s="6">
        <v>9</v>
      </c>
      <c r="BF21" s="6">
        <v>21</v>
      </c>
      <c r="BG21" s="6">
        <v>20</v>
      </c>
    </row>
    <row r="22" spans="2:151">
      <c r="B22" s="3">
        <v>16</v>
      </c>
      <c r="C22" s="3">
        <v>78</v>
      </c>
      <c r="D22" s="3">
        <v>83</v>
      </c>
      <c r="E22" s="3">
        <v>76</v>
      </c>
      <c r="F22" s="3">
        <v>85</v>
      </c>
      <c r="G22" s="3">
        <v>78</v>
      </c>
      <c r="H22" s="3">
        <v>68</v>
      </c>
      <c r="I22" s="3">
        <v>85</v>
      </c>
      <c r="J22" s="3">
        <v>96</v>
      </c>
      <c r="K22" s="3">
        <v>78</v>
      </c>
      <c r="L22" s="3">
        <v>60</v>
      </c>
      <c r="M22" s="3">
        <v>75</v>
      </c>
      <c r="N22" s="3">
        <v>73</v>
      </c>
      <c r="O22" s="3">
        <v>69</v>
      </c>
      <c r="P22" s="3">
        <v>75</v>
      </c>
      <c r="Q22" s="3">
        <v>88</v>
      </c>
      <c r="R22" s="3">
        <v>100</v>
      </c>
      <c r="T22" s="3">
        <v>100</v>
      </c>
      <c r="U22" s="3">
        <v>72</v>
      </c>
      <c r="W22" s="3">
        <v>105</v>
      </c>
      <c r="X22" s="3">
        <v>93</v>
      </c>
      <c r="Y22" s="3">
        <v>73</v>
      </c>
      <c r="Z22" s="3">
        <v>82</v>
      </c>
      <c r="AA22" s="3">
        <v>100</v>
      </c>
      <c r="AC22" s="3">
        <v>16</v>
      </c>
      <c r="AD22" s="3">
        <v>14</v>
      </c>
      <c r="AE22" s="3">
        <v>71</v>
      </c>
      <c r="AF22" s="3">
        <v>66</v>
      </c>
      <c r="AH22" s="6">
        <v>11</v>
      </c>
      <c r="AI22" s="6">
        <v>5</v>
      </c>
      <c r="AJ22" s="6">
        <v>6</v>
      </c>
      <c r="AK22" s="6">
        <v>13</v>
      </c>
      <c r="AL22" s="6">
        <v>4</v>
      </c>
      <c r="AM22" s="6">
        <v>10</v>
      </c>
      <c r="AN22" s="6">
        <v>9</v>
      </c>
      <c r="AO22" s="6">
        <v>12</v>
      </c>
      <c r="AP22" s="6">
        <v>12</v>
      </c>
      <c r="AQ22" s="6">
        <v>13</v>
      </c>
      <c r="AR22" s="6">
        <v>1</v>
      </c>
      <c r="AS22" s="6">
        <v>10</v>
      </c>
      <c r="AT22" s="6">
        <v>11</v>
      </c>
      <c r="AU22" s="6">
        <v>10</v>
      </c>
      <c r="AV22" s="6">
        <v>13</v>
      </c>
      <c r="AW22" s="6">
        <v>15</v>
      </c>
      <c r="AX22" s="6">
        <v>10</v>
      </c>
      <c r="AY22" s="6">
        <v>19</v>
      </c>
      <c r="AZ22" s="6">
        <v>9</v>
      </c>
      <c r="BA22" s="6">
        <v>14</v>
      </c>
      <c r="BB22" s="6">
        <v>37</v>
      </c>
      <c r="BC22" s="6">
        <v>26</v>
      </c>
      <c r="BD22" s="6">
        <v>10</v>
      </c>
      <c r="BE22" s="6">
        <v>9</v>
      </c>
      <c r="BF22" s="6">
        <v>22</v>
      </c>
      <c r="BG22" s="6">
        <v>20</v>
      </c>
    </row>
    <row r="23" spans="2:151">
      <c r="B23" s="3">
        <v>17</v>
      </c>
      <c r="C23" s="3">
        <v>82</v>
      </c>
      <c r="D23" s="3">
        <v>85</v>
      </c>
      <c r="E23" s="3">
        <v>78</v>
      </c>
      <c r="F23" s="3">
        <v>89</v>
      </c>
      <c r="G23" s="3">
        <v>80</v>
      </c>
      <c r="H23" s="3">
        <v>70</v>
      </c>
      <c r="I23" s="3">
        <v>88</v>
      </c>
      <c r="J23" s="3">
        <v>100</v>
      </c>
      <c r="K23" s="3">
        <v>82</v>
      </c>
      <c r="L23" s="3">
        <v>64</v>
      </c>
      <c r="M23" s="3">
        <v>78</v>
      </c>
      <c r="N23" s="3">
        <v>75</v>
      </c>
      <c r="O23" s="3">
        <v>71</v>
      </c>
      <c r="P23" s="3">
        <v>78</v>
      </c>
      <c r="Q23" s="3">
        <v>92</v>
      </c>
      <c r="R23" s="3">
        <v>105</v>
      </c>
      <c r="T23" s="3">
        <v>105</v>
      </c>
      <c r="U23" s="3">
        <v>75</v>
      </c>
      <c r="W23" s="3">
        <v>110</v>
      </c>
      <c r="X23" s="3">
        <v>100</v>
      </c>
      <c r="Y23" s="3">
        <v>75</v>
      </c>
      <c r="Z23" s="3">
        <v>85</v>
      </c>
      <c r="AA23" s="3">
        <v>105</v>
      </c>
      <c r="AC23" s="3">
        <v>17</v>
      </c>
      <c r="AD23" s="3">
        <v>16</v>
      </c>
      <c r="AE23" s="3">
        <v>75</v>
      </c>
      <c r="AF23" s="3">
        <v>68</v>
      </c>
      <c r="AH23" s="6">
        <v>12</v>
      </c>
      <c r="AI23" s="6">
        <v>5</v>
      </c>
      <c r="AJ23" s="6">
        <v>10</v>
      </c>
      <c r="AK23" s="6">
        <v>14</v>
      </c>
      <c r="AL23" s="6">
        <v>7</v>
      </c>
      <c r="AM23" s="6">
        <v>11</v>
      </c>
      <c r="AN23" s="6">
        <v>13</v>
      </c>
      <c r="AO23" s="6">
        <v>15</v>
      </c>
      <c r="AP23" s="6">
        <v>12</v>
      </c>
      <c r="AQ23" s="6">
        <v>13</v>
      </c>
      <c r="AR23" s="6">
        <v>1</v>
      </c>
      <c r="AS23" s="6">
        <v>10</v>
      </c>
      <c r="AT23" s="6">
        <v>11</v>
      </c>
      <c r="AU23" s="6">
        <v>14</v>
      </c>
      <c r="AV23" s="6">
        <v>13</v>
      </c>
      <c r="AW23" s="6">
        <v>15</v>
      </c>
      <c r="AX23" s="6">
        <v>10</v>
      </c>
      <c r="AY23" s="6">
        <v>19</v>
      </c>
      <c r="AZ23" s="6">
        <v>9</v>
      </c>
      <c r="BA23" s="6">
        <v>14</v>
      </c>
      <c r="BB23" s="6">
        <v>37</v>
      </c>
      <c r="BC23" s="6">
        <v>26</v>
      </c>
      <c r="BD23" s="6">
        <v>18</v>
      </c>
      <c r="BE23" s="6">
        <v>9</v>
      </c>
      <c r="BF23" s="6">
        <v>22</v>
      </c>
      <c r="BG23" s="6">
        <v>20</v>
      </c>
    </row>
    <row r="24" spans="2:151">
      <c r="B24" s="3">
        <v>18</v>
      </c>
      <c r="C24" s="3">
        <v>85</v>
      </c>
      <c r="D24" s="3">
        <v>89</v>
      </c>
      <c r="E24" s="3">
        <v>79</v>
      </c>
      <c r="F24" s="3">
        <v>94</v>
      </c>
      <c r="G24" s="3">
        <v>83</v>
      </c>
      <c r="H24" s="3">
        <v>71</v>
      </c>
      <c r="I24" s="3">
        <v>91</v>
      </c>
      <c r="J24" s="3">
        <v>104</v>
      </c>
      <c r="K24" s="3">
        <v>85</v>
      </c>
      <c r="L24" s="3">
        <v>68</v>
      </c>
      <c r="M24" s="3">
        <v>80</v>
      </c>
      <c r="N24" s="3">
        <v>78</v>
      </c>
      <c r="O24" s="3">
        <v>72</v>
      </c>
      <c r="P24" s="3">
        <v>82</v>
      </c>
      <c r="Q24" s="3">
        <v>95</v>
      </c>
      <c r="R24" s="3">
        <v>110</v>
      </c>
      <c r="T24" s="3">
        <v>110</v>
      </c>
      <c r="U24" s="3">
        <v>78</v>
      </c>
      <c r="W24" s="3">
        <v>115</v>
      </c>
      <c r="X24" s="3">
        <v>108</v>
      </c>
      <c r="Y24" s="3">
        <v>80</v>
      </c>
      <c r="Z24" s="3">
        <v>89</v>
      </c>
      <c r="AA24" s="3">
        <v>110</v>
      </c>
      <c r="AC24" s="3">
        <v>18</v>
      </c>
      <c r="AD24" s="3">
        <v>18</v>
      </c>
      <c r="AE24" s="3">
        <v>78</v>
      </c>
      <c r="AF24" s="3">
        <v>70</v>
      </c>
      <c r="AH24" s="6">
        <v>13</v>
      </c>
      <c r="AI24" s="6">
        <v>9</v>
      </c>
      <c r="AJ24" s="6">
        <v>10</v>
      </c>
      <c r="AK24" s="6">
        <v>14</v>
      </c>
      <c r="AL24" s="6">
        <v>7</v>
      </c>
      <c r="AM24" s="6">
        <v>14</v>
      </c>
      <c r="AN24" s="6">
        <v>13</v>
      </c>
      <c r="AO24" s="6">
        <v>15</v>
      </c>
      <c r="AP24" s="6">
        <v>12</v>
      </c>
      <c r="AQ24" s="6">
        <v>13</v>
      </c>
      <c r="AR24" s="6">
        <v>1</v>
      </c>
      <c r="AS24" s="6">
        <v>13</v>
      </c>
      <c r="AT24" s="6">
        <v>11</v>
      </c>
      <c r="AU24" s="6">
        <v>14</v>
      </c>
      <c r="AV24" s="6">
        <v>13</v>
      </c>
      <c r="AW24" s="6">
        <v>15</v>
      </c>
      <c r="AX24" s="6">
        <v>10</v>
      </c>
      <c r="AY24" s="6">
        <v>19</v>
      </c>
      <c r="AZ24" s="6">
        <v>9</v>
      </c>
      <c r="BA24" s="6">
        <v>14</v>
      </c>
      <c r="BB24" s="6">
        <v>37</v>
      </c>
      <c r="BC24" s="6">
        <v>26</v>
      </c>
      <c r="BD24" s="6">
        <v>19</v>
      </c>
      <c r="BE24" s="6">
        <v>13</v>
      </c>
      <c r="BF24" s="6">
        <v>22</v>
      </c>
      <c r="BG24" s="6">
        <v>20</v>
      </c>
    </row>
    <row r="25" spans="2:151">
      <c r="B25" s="3">
        <v>19</v>
      </c>
      <c r="C25" s="3">
        <v>91</v>
      </c>
      <c r="D25" s="3">
        <v>94</v>
      </c>
      <c r="E25" s="3">
        <v>80</v>
      </c>
      <c r="F25" s="3">
        <v>98</v>
      </c>
      <c r="G25" s="3">
        <v>85</v>
      </c>
      <c r="H25" s="3">
        <v>72</v>
      </c>
      <c r="I25" s="3">
        <v>94</v>
      </c>
      <c r="J25" s="3">
        <v>108</v>
      </c>
      <c r="K25" s="3">
        <v>93</v>
      </c>
      <c r="L25" s="3">
        <v>71</v>
      </c>
      <c r="M25" s="3">
        <v>83</v>
      </c>
      <c r="N25" s="3">
        <v>80</v>
      </c>
      <c r="O25" s="3">
        <v>74</v>
      </c>
      <c r="P25" s="3">
        <v>85</v>
      </c>
      <c r="Q25" s="3">
        <v>98</v>
      </c>
      <c r="R25" s="3">
        <v>115</v>
      </c>
      <c r="T25" s="3">
        <v>115</v>
      </c>
      <c r="U25" s="3">
        <v>80</v>
      </c>
      <c r="X25" s="3">
        <v>115</v>
      </c>
      <c r="Y25" s="3">
        <v>85</v>
      </c>
      <c r="Z25" s="3">
        <v>94</v>
      </c>
      <c r="AA25" s="3">
        <v>115</v>
      </c>
      <c r="AC25" s="3">
        <v>19</v>
      </c>
      <c r="AD25" s="3">
        <v>19</v>
      </c>
      <c r="AE25" s="3">
        <v>80</v>
      </c>
      <c r="AF25" s="3">
        <v>73</v>
      </c>
      <c r="AH25" s="6">
        <v>14</v>
      </c>
      <c r="AI25" s="6">
        <v>9</v>
      </c>
      <c r="AJ25" s="6">
        <v>10</v>
      </c>
      <c r="AK25" s="6">
        <v>14</v>
      </c>
      <c r="AL25" s="6">
        <v>7</v>
      </c>
      <c r="AM25" s="6">
        <v>14</v>
      </c>
      <c r="AN25" s="6">
        <v>14</v>
      </c>
      <c r="AO25" s="6">
        <v>15</v>
      </c>
      <c r="AP25" s="6">
        <v>12</v>
      </c>
      <c r="AQ25" s="6">
        <v>13</v>
      </c>
      <c r="AR25" s="6">
        <v>1</v>
      </c>
      <c r="AS25" s="6">
        <v>14</v>
      </c>
      <c r="AT25" s="6">
        <v>11</v>
      </c>
      <c r="AU25" s="6">
        <v>15</v>
      </c>
      <c r="AV25" s="6">
        <v>13</v>
      </c>
      <c r="AW25" s="6">
        <v>15</v>
      </c>
      <c r="AX25" s="6">
        <v>10</v>
      </c>
      <c r="AY25" s="6">
        <v>19</v>
      </c>
      <c r="AZ25" s="6">
        <v>9</v>
      </c>
      <c r="BA25" s="6">
        <v>14</v>
      </c>
      <c r="BB25" s="6">
        <v>37</v>
      </c>
      <c r="BC25" s="6">
        <v>26</v>
      </c>
      <c r="BD25" s="6">
        <v>19</v>
      </c>
      <c r="BE25" s="6">
        <v>14</v>
      </c>
      <c r="BF25" s="6">
        <v>22</v>
      </c>
      <c r="BG25" s="6">
        <v>20</v>
      </c>
    </row>
    <row r="26" spans="2:151">
      <c r="B26" s="3">
        <v>20</v>
      </c>
      <c r="C26" s="3">
        <v>97</v>
      </c>
      <c r="D26" s="3">
        <v>98</v>
      </c>
      <c r="E26" s="3">
        <v>81</v>
      </c>
      <c r="F26" s="3">
        <v>102</v>
      </c>
      <c r="G26" s="3">
        <v>88</v>
      </c>
      <c r="H26" s="3">
        <v>74</v>
      </c>
      <c r="I26" s="3">
        <v>97</v>
      </c>
      <c r="J26" s="3">
        <v>111</v>
      </c>
      <c r="K26" s="3">
        <v>100</v>
      </c>
      <c r="L26" s="3">
        <v>75</v>
      </c>
      <c r="M26" s="3">
        <v>85</v>
      </c>
      <c r="N26" s="3">
        <v>83</v>
      </c>
      <c r="O26" s="3">
        <v>75</v>
      </c>
      <c r="P26" s="3">
        <v>89</v>
      </c>
      <c r="Q26" s="3">
        <v>102</v>
      </c>
      <c r="U26" s="3">
        <v>83</v>
      </c>
      <c r="Y26" s="3">
        <v>89</v>
      </c>
      <c r="Z26" s="3">
        <v>98</v>
      </c>
      <c r="AC26" s="3">
        <v>20</v>
      </c>
      <c r="AD26" s="3">
        <v>21</v>
      </c>
      <c r="AE26" s="3">
        <v>83</v>
      </c>
      <c r="AF26" s="3">
        <v>75</v>
      </c>
      <c r="AH26" s="6">
        <v>15</v>
      </c>
      <c r="AI26" s="6">
        <v>9</v>
      </c>
      <c r="AJ26" s="6">
        <v>10</v>
      </c>
      <c r="AK26" s="6">
        <v>17</v>
      </c>
      <c r="AL26" s="6">
        <v>8</v>
      </c>
      <c r="AM26" s="6">
        <v>14</v>
      </c>
      <c r="AN26" s="6">
        <v>14</v>
      </c>
      <c r="AO26" s="6">
        <v>15</v>
      </c>
      <c r="AP26" s="6">
        <v>12</v>
      </c>
      <c r="AQ26" s="6">
        <v>13</v>
      </c>
      <c r="AR26" s="6">
        <v>1</v>
      </c>
      <c r="AS26" s="6">
        <v>14</v>
      </c>
      <c r="AT26" s="6">
        <v>15</v>
      </c>
      <c r="AU26" s="6">
        <v>15</v>
      </c>
      <c r="AV26" s="6">
        <v>18</v>
      </c>
      <c r="AW26" s="6">
        <v>15</v>
      </c>
      <c r="AX26" s="6">
        <v>14</v>
      </c>
      <c r="AY26" s="6">
        <v>19</v>
      </c>
      <c r="AZ26" s="6">
        <v>9</v>
      </c>
      <c r="BA26" s="6">
        <v>18</v>
      </c>
      <c r="BB26" s="6">
        <v>37</v>
      </c>
      <c r="BC26" s="6">
        <v>26</v>
      </c>
      <c r="BD26" s="6">
        <v>19</v>
      </c>
      <c r="BE26" s="6">
        <v>14</v>
      </c>
      <c r="BF26" s="6">
        <v>22</v>
      </c>
      <c r="BG26" s="6">
        <v>20</v>
      </c>
    </row>
    <row r="27" spans="2:151">
      <c r="B27" s="3">
        <v>21</v>
      </c>
      <c r="C27" s="3">
        <v>103</v>
      </c>
      <c r="D27" s="3">
        <v>102</v>
      </c>
      <c r="E27" s="3">
        <v>83</v>
      </c>
      <c r="F27" s="3">
        <v>106</v>
      </c>
      <c r="G27" s="3">
        <v>91</v>
      </c>
      <c r="H27" s="3">
        <v>75</v>
      </c>
      <c r="I27" s="3">
        <v>100</v>
      </c>
      <c r="J27" s="3">
        <v>115</v>
      </c>
      <c r="K27" s="3">
        <v>108</v>
      </c>
      <c r="L27" s="3">
        <v>80</v>
      </c>
      <c r="M27" s="3">
        <v>90</v>
      </c>
      <c r="N27" s="3">
        <v>85</v>
      </c>
      <c r="O27" s="3">
        <v>78</v>
      </c>
      <c r="P27" s="3">
        <v>93</v>
      </c>
      <c r="Q27" s="3">
        <v>105</v>
      </c>
      <c r="U27" s="3">
        <v>85</v>
      </c>
      <c r="Y27" s="3">
        <v>93</v>
      </c>
      <c r="Z27" s="3">
        <v>102</v>
      </c>
      <c r="AC27" s="3">
        <v>21</v>
      </c>
      <c r="AD27" s="3">
        <v>22</v>
      </c>
      <c r="AE27" s="3">
        <v>85</v>
      </c>
      <c r="AF27" s="3">
        <v>77</v>
      </c>
      <c r="AH27" s="6">
        <v>16</v>
      </c>
      <c r="AI27" s="6">
        <v>9</v>
      </c>
      <c r="AJ27" s="6">
        <v>10</v>
      </c>
      <c r="AK27" s="6">
        <v>17</v>
      </c>
      <c r="AL27" s="6">
        <v>8</v>
      </c>
      <c r="AM27" s="6">
        <v>14</v>
      </c>
      <c r="AN27" s="6">
        <v>14</v>
      </c>
      <c r="AO27" s="6">
        <v>15</v>
      </c>
      <c r="AP27" s="6">
        <v>13</v>
      </c>
      <c r="AQ27" s="6">
        <v>13</v>
      </c>
      <c r="AR27" s="6">
        <v>1</v>
      </c>
      <c r="AS27" s="6">
        <v>14</v>
      </c>
      <c r="AT27" s="6">
        <v>16</v>
      </c>
      <c r="AU27" s="6">
        <v>15</v>
      </c>
      <c r="AV27" s="6">
        <v>19</v>
      </c>
      <c r="AW27" s="6">
        <v>15</v>
      </c>
      <c r="AX27" s="6">
        <v>15</v>
      </c>
      <c r="AY27" s="6">
        <v>19</v>
      </c>
      <c r="AZ27" s="6">
        <v>9</v>
      </c>
      <c r="BA27" s="6">
        <v>18</v>
      </c>
      <c r="BB27" s="6">
        <v>37</v>
      </c>
      <c r="BC27" s="6">
        <v>26</v>
      </c>
      <c r="BD27" s="6">
        <v>19</v>
      </c>
      <c r="BE27" s="6">
        <v>14</v>
      </c>
      <c r="BF27" s="6">
        <v>22</v>
      </c>
      <c r="BG27" s="6">
        <v>20</v>
      </c>
    </row>
    <row r="28" spans="2:151">
      <c r="B28" s="3">
        <v>22</v>
      </c>
      <c r="C28" s="3">
        <v>109</v>
      </c>
      <c r="D28" s="3">
        <v>106</v>
      </c>
      <c r="E28" s="3">
        <v>84</v>
      </c>
      <c r="F28" s="3">
        <v>111</v>
      </c>
      <c r="G28" s="3">
        <v>94</v>
      </c>
      <c r="H28" s="3">
        <v>80</v>
      </c>
      <c r="I28" s="3">
        <v>103</v>
      </c>
      <c r="K28" s="3">
        <v>115</v>
      </c>
      <c r="L28" s="3">
        <v>85</v>
      </c>
      <c r="M28" s="3">
        <v>95</v>
      </c>
      <c r="N28" s="3">
        <v>93</v>
      </c>
      <c r="O28" s="3">
        <v>82</v>
      </c>
      <c r="P28" s="3">
        <v>96</v>
      </c>
      <c r="Q28" s="3">
        <v>108</v>
      </c>
      <c r="U28" s="3">
        <v>90</v>
      </c>
      <c r="Y28" s="3">
        <v>96</v>
      </c>
      <c r="Z28" s="3">
        <v>106</v>
      </c>
      <c r="AC28" s="3">
        <v>22</v>
      </c>
      <c r="AD28" s="3">
        <v>24</v>
      </c>
      <c r="AE28" s="3">
        <v>90</v>
      </c>
      <c r="AF28" s="3">
        <v>78</v>
      </c>
      <c r="AH28" s="6">
        <v>17</v>
      </c>
      <c r="AI28" s="6">
        <v>9</v>
      </c>
      <c r="AJ28" s="6">
        <v>10</v>
      </c>
      <c r="AK28" s="6">
        <v>17</v>
      </c>
      <c r="AL28" s="6">
        <v>8</v>
      </c>
      <c r="AM28" s="6">
        <v>14</v>
      </c>
      <c r="AN28" s="6">
        <v>15</v>
      </c>
      <c r="AO28" s="6">
        <v>15</v>
      </c>
      <c r="AP28" s="6">
        <v>13</v>
      </c>
      <c r="AQ28" s="6">
        <v>13</v>
      </c>
      <c r="AR28" s="6">
        <v>1</v>
      </c>
      <c r="AS28" s="6">
        <v>14</v>
      </c>
      <c r="AT28" s="6">
        <v>16</v>
      </c>
      <c r="AU28" s="6">
        <v>15</v>
      </c>
      <c r="AV28" s="6">
        <v>19</v>
      </c>
      <c r="AW28" s="6">
        <v>24</v>
      </c>
      <c r="AX28" s="6">
        <v>15</v>
      </c>
      <c r="AY28" s="6">
        <v>19</v>
      </c>
      <c r="AZ28" s="6">
        <v>9</v>
      </c>
      <c r="BA28" s="6">
        <v>18</v>
      </c>
      <c r="BB28" s="6">
        <v>37</v>
      </c>
      <c r="BC28" s="6">
        <v>26</v>
      </c>
      <c r="BD28" s="6">
        <v>19</v>
      </c>
      <c r="BE28" s="6">
        <v>14</v>
      </c>
      <c r="BF28" s="6">
        <v>28</v>
      </c>
      <c r="BG28" s="6">
        <v>20</v>
      </c>
    </row>
    <row r="29" spans="2:151">
      <c r="B29" s="3">
        <v>23</v>
      </c>
      <c r="C29" s="3">
        <v>115</v>
      </c>
      <c r="D29" s="3">
        <v>111</v>
      </c>
      <c r="E29" s="3">
        <v>85</v>
      </c>
      <c r="F29" s="3">
        <v>115</v>
      </c>
      <c r="G29" s="3">
        <v>97</v>
      </c>
      <c r="H29" s="3">
        <v>85</v>
      </c>
      <c r="I29" s="3">
        <v>106</v>
      </c>
      <c r="L29" s="3">
        <v>100</v>
      </c>
      <c r="M29" s="3">
        <v>100</v>
      </c>
      <c r="N29" s="3">
        <v>100</v>
      </c>
      <c r="O29" s="3">
        <v>85</v>
      </c>
      <c r="P29" s="3">
        <v>100</v>
      </c>
      <c r="Q29" s="3">
        <v>112</v>
      </c>
      <c r="U29" s="3">
        <v>95</v>
      </c>
      <c r="Y29" s="3">
        <v>100</v>
      </c>
      <c r="Z29" s="3">
        <v>111</v>
      </c>
      <c r="AC29" s="3">
        <v>23</v>
      </c>
      <c r="AD29" s="3">
        <v>25</v>
      </c>
      <c r="AE29" s="3">
        <v>95</v>
      </c>
      <c r="AF29" s="3">
        <v>80</v>
      </c>
      <c r="AH29" s="6">
        <v>18</v>
      </c>
      <c r="AI29" s="6">
        <v>9</v>
      </c>
      <c r="AJ29" s="6">
        <v>16</v>
      </c>
      <c r="AK29" s="6">
        <v>19</v>
      </c>
      <c r="AL29" s="6">
        <v>9</v>
      </c>
      <c r="AM29" s="6">
        <v>14</v>
      </c>
      <c r="AN29" s="6">
        <v>19</v>
      </c>
      <c r="AO29" s="6">
        <v>15</v>
      </c>
      <c r="AP29" s="6">
        <v>13</v>
      </c>
      <c r="AQ29" s="6">
        <v>13</v>
      </c>
      <c r="AR29" s="6">
        <v>1</v>
      </c>
      <c r="AS29" s="6">
        <v>14</v>
      </c>
      <c r="AT29" s="6">
        <v>16</v>
      </c>
      <c r="AU29" s="6">
        <v>18</v>
      </c>
      <c r="AV29" s="6">
        <v>19</v>
      </c>
      <c r="AW29" s="6">
        <v>24</v>
      </c>
      <c r="AX29" s="6">
        <v>15</v>
      </c>
      <c r="AY29" s="6">
        <v>19</v>
      </c>
      <c r="AZ29" s="6">
        <v>9</v>
      </c>
      <c r="BA29" s="6">
        <v>18</v>
      </c>
      <c r="BB29" s="6">
        <v>37</v>
      </c>
      <c r="BC29" s="6">
        <v>26</v>
      </c>
      <c r="BD29" s="6">
        <v>19</v>
      </c>
      <c r="BE29" s="6">
        <v>14</v>
      </c>
      <c r="BF29" s="6">
        <v>28</v>
      </c>
      <c r="BG29" s="6">
        <v>20</v>
      </c>
    </row>
    <row r="30" spans="2:151">
      <c r="B30" s="3">
        <v>24</v>
      </c>
      <c r="D30" s="3">
        <v>115</v>
      </c>
      <c r="E30" s="3">
        <v>91</v>
      </c>
      <c r="G30" s="3">
        <v>100</v>
      </c>
      <c r="H30" s="3">
        <v>93</v>
      </c>
      <c r="I30" s="3">
        <v>109</v>
      </c>
      <c r="M30" s="3">
        <v>105</v>
      </c>
      <c r="N30" s="3">
        <v>108</v>
      </c>
      <c r="O30" s="3">
        <v>90</v>
      </c>
      <c r="P30" s="3">
        <v>104</v>
      </c>
      <c r="Q30" s="3">
        <v>115</v>
      </c>
      <c r="U30" s="3">
        <v>100</v>
      </c>
      <c r="Y30" s="3">
        <v>104</v>
      </c>
      <c r="Z30" s="3">
        <v>115</v>
      </c>
      <c r="AC30" s="3">
        <v>24</v>
      </c>
      <c r="AD30" s="3">
        <v>27</v>
      </c>
      <c r="AE30" s="3">
        <v>100</v>
      </c>
      <c r="AF30" s="3">
        <v>82</v>
      </c>
      <c r="AH30" s="6">
        <v>19</v>
      </c>
      <c r="AI30" s="6">
        <v>9</v>
      </c>
      <c r="AJ30" s="6">
        <v>16</v>
      </c>
      <c r="AK30" s="6">
        <v>19</v>
      </c>
      <c r="AL30" s="6">
        <v>10</v>
      </c>
      <c r="AM30" s="6">
        <v>15</v>
      </c>
      <c r="AN30" s="6">
        <v>19</v>
      </c>
      <c r="AO30" s="6">
        <v>15</v>
      </c>
      <c r="AP30" s="6">
        <v>14</v>
      </c>
      <c r="AQ30" s="6">
        <v>14</v>
      </c>
      <c r="AR30" s="6">
        <v>1</v>
      </c>
      <c r="AS30" s="6">
        <v>14</v>
      </c>
      <c r="AT30" s="6">
        <v>16</v>
      </c>
      <c r="AU30" s="6">
        <v>18</v>
      </c>
      <c r="AV30" s="6">
        <v>19</v>
      </c>
      <c r="AW30" s="6">
        <v>24</v>
      </c>
      <c r="AX30" s="6">
        <v>15</v>
      </c>
      <c r="AY30" s="6">
        <v>20</v>
      </c>
      <c r="AZ30" s="6">
        <v>9</v>
      </c>
      <c r="BA30" s="6">
        <v>18</v>
      </c>
      <c r="BB30" s="6">
        <v>37</v>
      </c>
      <c r="BC30" s="6">
        <v>26</v>
      </c>
      <c r="BD30" s="6">
        <v>19</v>
      </c>
      <c r="BE30" s="6">
        <v>14</v>
      </c>
      <c r="BF30" s="6">
        <v>28</v>
      </c>
      <c r="BG30" s="6">
        <v>20</v>
      </c>
    </row>
    <row r="31" spans="2:151">
      <c r="B31" s="3">
        <v>25</v>
      </c>
      <c r="E31" s="3">
        <v>97</v>
      </c>
      <c r="H31" s="3">
        <v>100</v>
      </c>
      <c r="I31" s="3">
        <v>112</v>
      </c>
      <c r="M31" s="3">
        <v>110</v>
      </c>
      <c r="N31" s="3">
        <v>115</v>
      </c>
      <c r="O31" s="3">
        <v>95</v>
      </c>
      <c r="P31" s="3">
        <v>108</v>
      </c>
      <c r="U31" s="3">
        <v>105</v>
      </c>
      <c r="Y31" s="3">
        <v>108</v>
      </c>
      <c r="AC31" s="3">
        <v>25</v>
      </c>
      <c r="AD31" s="3">
        <v>29</v>
      </c>
      <c r="AF31" s="3">
        <v>83</v>
      </c>
      <c r="AH31" s="6">
        <v>20</v>
      </c>
      <c r="AI31" s="6">
        <v>13</v>
      </c>
      <c r="AJ31" s="6">
        <v>16</v>
      </c>
      <c r="AK31" s="6">
        <v>20</v>
      </c>
      <c r="AL31" s="6">
        <v>10</v>
      </c>
      <c r="AM31" s="6">
        <v>18</v>
      </c>
      <c r="AN31" s="6">
        <v>19</v>
      </c>
      <c r="AO31" s="6">
        <v>15</v>
      </c>
      <c r="AP31" s="6">
        <v>25</v>
      </c>
      <c r="AQ31" s="6">
        <v>22</v>
      </c>
      <c r="AR31" s="6">
        <v>2</v>
      </c>
      <c r="AS31" s="6">
        <v>19</v>
      </c>
      <c r="AT31" s="6">
        <v>16</v>
      </c>
      <c r="AU31" s="6">
        <v>18</v>
      </c>
      <c r="AV31" s="6">
        <v>19</v>
      </c>
      <c r="AW31" s="6">
        <v>24</v>
      </c>
      <c r="AX31" s="6">
        <v>15</v>
      </c>
      <c r="AY31" s="6">
        <v>28</v>
      </c>
      <c r="AZ31" s="6">
        <v>15</v>
      </c>
      <c r="BA31" s="6">
        <v>21</v>
      </c>
      <c r="BB31" s="6">
        <v>37</v>
      </c>
      <c r="BC31" s="6">
        <v>26</v>
      </c>
      <c r="BD31" s="6">
        <v>19</v>
      </c>
      <c r="BE31" s="6">
        <v>20</v>
      </c>
      <c r="BF31" s="6">
        <v>28</v>
      </c>
      <c r="BG31" s="6">
        <v>20</v>
      </c>
    </row>
    <row r="32" spans="2:151">
      <c r="B32" s="3">
        <v>26</v>
      </c>
      <c r="E32" s="3">
        <v>103</v>
      </c>
      <c r="I32" s="3">
        <v>115</v>
      </c>
      <c r="M32" s="3">
        <v>115</v>
      </c>
      <c r="O32" s="3">
        <v>100</v>
      </c>
      <c r="P32" s="3">
        <v>111</v>
      </c>
      <c r="U32" s="3">
        <v>110</v>
      </c>
      <c r="Y32" s="3">
        <v>111</v>
      </c>
      <c r="AC32" s="3">
        <v>26</v>
      </c>
      <c r="AD32" s="3">
        <v>30</v>
      </c>
      <c r="AF32" s="3">
        <v>85</v>
      </c>
      <c r="AH32" s="6">
        <v>21</v>
      </c>
      <c r="AI32" s="6">
        <v>14</v>
      </c>
      <c r="AJ32" s="6">
        <v>16</v>
      </c>
      <c r="AK32" s="6">
        <v>20</v>
      </c>
      <c r="AL32" s="6">
        <v>10</v>
      </c>
      <c r="AM32" s="6">
        <v>18</v>
      </c>
      <c r="AN32" s="6">
        <v>19</v>
      </c>
      <c r="AO32" s="6">
        <v>15</v>
      </c>
      <c r="AP32" s="6">
        <v>25</v>
      </c>
      <c r="AQ32" s="6">
        <v>22</v>
      </c>
      <c r="AR32" s="6">
        <v>2</v>
      </c>
      <c r="AS32" s="6">
        <v>19</v>
      </c>
      <c r="AT32" s="6">
        <v>16</v>
      </c>
      <c r="AU32" s="6">
        <v>18</v>
      </c>
      <c r="AV32" s="6">
        <v>19</v>
      </c>
      <c r="AW32" s="6">
        <v>24</v>
      </c>
      <c r="AX32" s="6">
        <v>15</v>
      </c>
      <c r="AY32" s="6">
        <v>29</v>
      </c>
      <c r="AZ32" s="6">
        <v>15</v>
      </c>
      <c r="BA32" s="6">
        <v>21</v>
      </c>
      <c r="BB32" s="6">
        <v>37</v>
      </c>
      <c r="BC32" s="6">
        <v>26</v>
      </c>
      <c r="BD32" s="6">
        <v>19</v>
      </c>
      <c r="BE32" s="6">
        <v>20</v>
      </c>
      <c r="BF32" s="6">
        <v>28</v>
      </c>
      <c r="BG32" s="6">
        <v>20</v>
      </c>
    </row>
    <row r="33" spans="2:59">
      <c r="B33" s="3">
        <v>27</v>
      </c>
      <c r="E33" s="3">
        <v>109</v>
      </c>
      <c r="O33" s="3">
        <v>105</v>
      </c>
      <c r="P33" s="3">
        <v>115</v>
      </c>
      <c r="U33" s="3">
        <v>115</v>
      </c>
      <c r="Y33" s="3">
        <v>115</v>
      </c>
      <c r="AC33" s="3">
        <v>27</v>
      </c>
      <c r="AD33" s="3">
        <v>32</v>
      </c>
      <c r="AF33" s="3">
        <v>89</v>
      </c>
      <c r="AH33" s="6">
        <v>22</v>
      </c>
      <c r="AI33" s="6">
        <v>14</v>
      </c>
      <c r="AJ33" s="6">
        <v>16</v>
      </c>
      <c r="AK33" s="6">
        <v>20</v>
      </c>
      <c r="AL33" s="6">
        <v>10</v>
      </c>
      <c r="AM33" s="6">
        <v>18</v>
      </c>
      <c r="AN33" s="6">
        <v>19</v>
      </c>
      <c r="AO33" s="6">
        <v>15</v>
      </c>
      <c r="AP33" s="6">
        <v>26</v>
      </c>
      <c r="AQ33" s="6">
        <v>23</v>
      </c>
      <c r="AR33" s="6">
        <v>2</v>
      </c>
      <c r="AS33" s="6">
        <v>19</v>
      </c>
      <c r="AT33" s="6">
        <v>16</v>
      </c>
      <c r="AU33" s="6">
        <v>18</v>
      </c>
      <c r="AV33" s="6">
        <v>19</v>
      </c>
      <c r="AW33" s="6">
        <v>24</v>
      </c>
      <c r="AX33" s="6">
        <v>15</v>
      </c>
      <c r="AY33" s="6">
        <v>29</v>
      </c>
      <c r="AZ33" s="6">
        <v>15</v>
      </c>
      <c r="BA33" s="6">
        <v>21</v>
      </c>
      <c r="BB33" s="6">
        <v>37</v>
      </c>
      <c r="BC33" s="6">
        <v>26</v>
      </c>
      <c r="BD33" s="6">
        <v>19</v>
      </c>
      <c r="BE33" s="6">
        <v>20</v>
      </c>
      <c r="BF33" s="6">
        <v>28</v>
      </c>
      <c r="BG33" s="6">
        <v>20</v>
      </c>
    </row>
    <row r="34" spans="2:59">
      <c r="B34" s="3">
        <v>28</v>
      </c>
      <c r="E34" s="3">
        <v>115</v>
      </c>
      <c r="O34" s="3">
        <v>110</v>
      </c>
      <c r="AC34" s="3">
        <v>28</v>
      </c>
      <c r="AD34" s="3">
        <v>33</v>
      </c>
      <c r="AF34" s="3">
        <v>93</v>
      </c>
      <c r="AH34" s="6">
        <v>23</v>
      </c>
      <c r="AI34" s="6">
        <v>14</v>
      </c>
      <c r="AJ34" s="6">
        <v>16</v>
      </c>
      <c r="AK34" s="6">
        <v>20</v>
      </c>
      <c r="AL34" s="6">
        <v>10</v>
      </c>
      <c r="AM34" s="6">
        <v>18</v>
      </c>
      <c r="AN34" s="6">
        <v>21</v>
      </c>
      <c r="AO34" s="6">
        <v>16</v>
      </c>
      <c r="AP34" s="6">
        <v>26</v>
      </c>
      <c r="AQ34" s="6">
        <v>23</v>
      </c>
      <c r="AR34" s="6">
        <v>2</v>
      </c>
      <c r="AS34" s="6">
        <v>19</v>
      </c>
      <c r="AT34" s="6">
        <v>22</v>
      </c>
      <c r="AU34" s="6">
        <v>18</v>
      </c>
      <c r="AV34" s="6">
        <v>24</v>
      </c>
      <c r="AW34" s="6">
        <v>24</v>
      </c>
      <c r="AX34" s="6">
        <v>19</v>
      </c>
      <c r="AY34" s="6">
        <v>29</v>
      </c>
      <c r="AZ34" s="6">
        <v>15</v>
      </c>
      <c r="BA34" s="6">
        <v>21</v>
      </c>
      <c r="BB34" s="6">
        <v>37</v>
      </c>
      <c r="BC34" s="6">
        <v>26</v>
      </c>
      <c r="BD34" s="6">
        <v>28</v>
      </c>
      <c r="BE34" s="6">
        <v>20</v>
      </c>
      <c r="BF34" s="6">
        <v>28</v>
      </c>
      <c r="BG34" s="6">
        <v>20</v>
      </c>
    </row>
    <row r="35" spans="2:59">
      <c r="B35" s="3">
        <v>29</v>
      </c>
      <c r="O35" s="3">
        <v>115</v>
      </c>
      <c r="AC35" s="3">
        <v>29</v>
      </c>
      <c r="AD35" s="3">
        <v>35</v>
      </c>
      <c r="AF35" s="3">
        <v>96</v>
      </c>
      <c r="AH35" s="6">
        <v>24</v>
      </c>
      <c r="AI35" s="6">
        <v>14</v>
      </c>
      <c r="AJ35" s="6">
        <v>20</v>
      </c>
      <c r="AK35" s="6">
        <v>21</v>
      </c>
      <c r="AL35" s="6">
        <v>14</v>
      </c>
      <c r="AM35" s="6">
        <v>18</v>
      </c>
      <c r="AN35" s="6">
        <v>24</v>
      </c>
      <c r="AO35" s="6">
        <v>25</v>
      </c>
      <c r="AP35" s="6">
        <v>26</v>
      </c>
      <c r="AQ35" s="6">
        <v>23</v>
      </c>
      <c r="AR35" s="6">
        <v>2</v>
      </c>
      <c r="AS35" s="6">
        <v>19</v>
      </c>
      <c r="AT35" s="6">
        <v>22</v>
      </c>
      <c r="AU35" s="6">
        <v>24</v>
      </c>
      <c r="AV35" s="6">
        <v>24</v>
      </c>
      <c r="AW35" s="6">
        <v>24</v>
      </c>
      <c r="AX35" s="6">
        <v>20</v>
      </c>
      <c r="AY35" s="6">
        <v>29</v>
      </c>
      <c r="AZ35" s="6">
        <v>15</v>
      </c>
      <c r="BA35" s="6">
        <v>21</v>
      </c>
      <c r="BB35" s="6">
        <v>37</v>
      </c>
      <c r="BC35" s="6">
        <v>26</v>
      </c>
      <c r="BD35" s="6">
        <v>28</v>
      </c>
      <c r="BE35" s="6">
        <v>20</v>
      </c>
      <c r="BF35" s="6">
        <v>28</v>
      </c>
      <c r="BG35" s="6">
        <v>20</v>
      </c>
    </row>
    <row r="36" spans="2:59">
      <c r="AC36" s="3">
        <v>30</v>
      </c>
      <c r="AD36" s="3">
        <v>36</v>
      </c>
      <c r="AF36" s="3">
        <v>100</v>
      </c>
      <c r="AH36" s="6">
        <v>25</v>
      </c>
      <c r="AI36" s="7">
        <v>14</v>
      </c>
      <c r="AJ36" s="7">
        <v>20</v>
      </c>
      <c r="AK36" s="7">
        <v>23</v>
      </c>
      <c r="AL36" s="7">
        <v>15</v>
      </c>
      <c r="AM36" s="7">
        <v>18</v>
      </c>
      <c r="AN36" s="7">
        <v>24</v>
      </c>
      <c r="AO36" s="7">
        <v>25</v>
      </c>
      <c r="AP36" s="7">
        <v>26</v>
      </c>
      <c r="AQ36" s="7">
        <v>23</v>
      </c>
      <c r="AR36" s="7">
        <v>3</v>
      </c>
      <c r="AS36" s="7">
        <v>19</v>
      </c>
      <c r="AT36" s="7">
        <v>22</v>
      </c>
      <c r="AU36" s="7">
        <v>24</v>
      </c>
      <c r="AV36" s="7">
        <v>24</v>
      </c>
      <c r="AW36" s="7">
        <v>24</v>
      </c>
      <c r="AX36" s="7">
        <v>20</v>
      </c>
      <c r="AY36" s="7">
        <v>29</v>
      </c>
      <c r="AZ36" s="7">
        <v>15</v>
      </c>
      <c r="BA36" s="7">
        <v>24</v>
      </c>
      <c r="BB36" s="7">
        <v>37</v>
      </c>
      <c r="BC36" s="7">
        <v>26</v>
      </c>
      <c r="BD36" s="7">
        <v>28</v>
      </c>
      <c r="BE36" s="7">
        <v>20</v>
      </c>
      <c r="BF36" s="7">
        <v>28</v>
      </c>
      <c r="BG36" s="7">
        <v>20</v>
      </c>
    </row>
    <row r="37" spans="2:59">
      <c r="AC37" s="3">
        <v>31</v>
      </c>
      <c r="AD37" s="3">
        <v>38</v>
      </c>
      <c r="AH37" s="6">
        <v>26</v>
      </c>
      <c r="AI37" s="7">
        <v>14</v>
      </c>
      <c r="AJ37" s="7">
        <v>20</v>
      </c>
      <c r="AK37" s="7">
        <v>23</v>
      </c>
      <c r="AL37" s="7">
        <v>15</v>
      </c>
      <c r="AM37" s="7">
        <v>19</v>
      </c>
      <c r="AN37" s="7">
        <v>24</v>
      </c>
      <c r="AO37" s="7">
        <v>26</v>
      </c>
      <c r="AP37" s="7">
        <v>26</v>
      </c>
      <c r="AQ37" s="7">
        <v>23</v>
      </c>
      <c r="AR37" s="7">
        <v>3</v>
      </c>
      <c r="AS37" s="7">
        <v>19</v>
      </c>
      <c r="AT37" s="7">
        <v>22</v>
      </c>
      <c r="AU37" s="7">
        <v>24</v>
      </c>
      <c r="AV37" s="7">
        <v>24</v>
      </c>
      <c r="AW37" s="7">
        <v>29</v>
      </c>
      <c r="AX37" s="7">
        <v>20</v>
      </c>
      <c r="AY37" s="7">
        <v>29</v>
      </c>
      <c r="AZ37" s="7">
        <v>15</v>
      </c>
      <c r="BA37" s="7">
        <v>24</v>
      </c>
      <c r="BB37" s="7">
        <v>37</v>
      </c>
      <c r="BC37" s="7">
        <v>26</v>
      </c>
      <c r="BD37" s="7">
        <v>28</v>
      </c>
      <c r="BE37" s="7">
        <v>20</v>
      </c>
      <c r="BF37" s="7">
        <v>32</v>
      </c>
      <c r="BG37" s="7">
        <v>20</v>
      </c>
    </row>
    <row r="38" spans="2:59">
      <c r="AC38" s="3">
        <v>32</v>
      </c>
      <c r="AD38" s="3">
        <v>39</v>
      </c>
      <c r="AH38" s="6">
        <v>27</v>
      </c>
      <c r="AI38" s="7">
        <v>18</v>
      </c>
      <c r="AJ38" s="7">
        <v>20</v>
      </c>
      <c r="AK38" s="7">
        <v>23</v>
      </c>
      <c r="AL38" s="7">
        <v>15</v>
      </c>
      <c r="AM38" s="7">
        <v>24</v>
      </c>
      <c r="AN38" s="7">
        <v>24</v>
      </c>
      <c r="AO38" s="7">
        <v>26</v>
      </c>
      <c r="AP38" s="7">
        <v>26</v>
      </c>
      <c r="AQ38" s="7">
        <v>23</v>
      </c>
      <c r="AR38" s="7">
        <v>3</v>
      </c>
      <c r="AS38" s="7">
        <v>24</v>
      </c>
      <c r="AT38" s="7">
        <v>23</v>
      </c>
      <c r="AU38" s="7">
        <v>24</v>
      </c>
      <c r="AV38" s="7">
        <v>24</v>
      </c>
      <c r="AW38" s="7">
        <v>29</v>
      </c>
      <c r="AX38" s="7">
        <v>20</v>
      </c>
      <c r="AY38" s="7">
        <v>29</v>
      </c>
      <c r="AZ38" s="7">
        <v>15</v>
      </c>
      <c r="BA38" s="7">
        <v>24</v>
      </c>
      <c r="BB38" s="7">
        <v>37</v>
      </c>
      <c r="BC38" s="7">
        <v>26</v>
      </c>
      <c r="BD38" s="7">
        <v>28</v>
      </c>
      <c r="BE38" s="7">
        <v>23</v>
      </c>
      <c r="BF38" s="7">
        <v>32</v>
      </c>
      <c r="BG38" s="7">
        <v>20</v>
      </c>
    </row>
    <row r="39" spans="2:59">
      <c r="AC39" s="3">
        <v>33</v>
      </c>
      <c r="AD39" s="3">
        <v>40</v>
      </c>
      <c r="AH39" s="6">
        <v>28</v>
      </c>
      <c r="AI39" s="7">
        <v>19</v>
      </c>
      <c r="AJ39" s="7">
        <v>21</v>
      </c>
      <c r="AK39" s="7">
        <v>23</v>
      </c>
      <c r="AL39" s="7">
        <v>15</v>
      </c>
      <c r="AM39" s="7">
        <v>24</v>
      </c>
      <c r="AN39" s="7">
        <v>24</v>
      </c>
      <c r="AO39" s="7">
        <v>27</v>
      </c>
      <c r="AP39" s="7">
        <v>26</v>
      </c>
      <c r="AQ39" s="7">
        <v>23</v>
      </c>
      <c r="AR39" s="7">
        <v>3</v>
      </c>
      <c r="AS39" s="7">
        <v>24</v>
      </c>
      <c r="AT39" s="7">
        <v>23</v>
      </c>
      <c r="AU39" s="7">
        <v>24</v>
      </c>
      <c r="AV39" s="7">
        <v>24</v>
      </c>
      <c r="AW39" s="7">
        <v>29</v>
      </c>
      <c r="AX39" s="7">
        <v>20</v>
      </c>
      <c r="AY39" s="7">
        <v>29</v>
      </c>
      <c r="AZ39" s="7">
        <v>15</v>
      </c>
      <c r="BA39" s="7">
        <v>24</v>
      </c>
      <c r="BB39" s="7">
        <v>37</v>
      </c>
      <c r="BC39" s="7">
        <v>26</v>
      </c>
      <c r="BD39" s="7">
        <v>28</v>
      </c>
      <c r="BE39" s="7">
        <v>24</v>
      </c>
      <c r="BF39" s="7">
        <v>32</v>
      </c>
      <c r="BG39" s="7">
        <v>20</v>
      </c>
    </row>
    <row r="40" spans="2:59">
      <c r="AC40" s="3">
        <v>34</v>
      </c>
      <c r="AD40" s="3">
        <v>41</v>
      </c>
      <c r="AH40" s="6">
        <v>29</v>
      </c>
      <c r="AI40" s="7">
        <v>19</v>
      </c>
      <c r="AJ40" s="7">
        <v>21</v>
      </c>
      <c r="AK40" s="7">
        <v>24</v>
      </c>
      <c r="AL40" s="7">
        <v>15</v>
      </c>
      <c r="AM40" s="7">
        <v>25</v>
      </c>
      <c r="AN40" s="7">
        <v>25</v>
      </c>
      <c r="AO40" s="7">
        <v>27</v>
      </c>
      <c r="AP40" s="7">
        <v>26</v>
      </c>
      <c r="AQ40" s="7">
        <v>24</v>
      </c>
      <c r="AR40" s="7">
        <v>4</v>
      </c>
      <c r="AS40" s="7">
        <v>24</v>
      </c>
      <c r="AT40" s="7">
        <v>23</v>
      </c>
      <c r="AU40" s="7">
        <v>24</v>
      </c>
      <c r="AV40" s="7">
        <v>24</v>
      </c>
      <c r="AW40" s="7">
        <v>29</v>
      </c>
      <c r="AX40" s="7">
        <v>20</v>
      </c>
      <c r="AY40" s="7">
        <v>30</v>
      </c>
      <c r="AZ40" s="7">
        <v>16</v>
      </c>
      <c r="BA40" s="7">
        <v>25</v>
      </c>
      <c r="BB40" s="7">
        <v>37</v>
      </c>
      <c r="BC40" s="7">
        <v>26</v>
      </c>
      <c r="BD40" s="7">
        <v>28</v>
      </c>
      <c r="BE40" s="7">
        <v>24</v>
      </c>
      <c r="BF40" s="7">
        <v>32</v>
      </c>
      <c r="BG40" s="7">
        <v>21</v>
      </c>
    </row>
    <row r="41" spans="2:59">
      <c r="AC41" s="3">
        <v>35</v>
      </c>
      <c r="AD41" s="3">
        <v>43</v>
      </c>
      <c r="AH41" s="6">
        <v>30</v>
      </c>
      <c r="AI41" s="7">
        <v>19</v>
      </c>
      <c r="AJ41" s="7">
        <v>25</v>
      </c>
      <c r="AK41" s="7">
        <v>28</v>
      </c>
      <c r="AL41" s="7">
        <v>20</v>
      </c>
      <c r="AM41" s="7">
        <v>25</v>
      </c>
      <c r="AN41" s="7">
        <v>28</v>
      </c>
      <c r="AO41" s="7">
        <v>27</v>
      </c>
      <c r="AP41" s="7">
        <v>26</v>
      </c>
      <c r="AQ41" s="7">
        <v>30</v>
      </c>
      <c r="AR41" s="7">
        <v>5</v>
      </c>
      <c r="AS41" s="7">
        <v>24</v>
      </c>
      <c r="AT41" s="7">
        <v>28</v>
      </c>
      <c r="AU41" s="7">
        <v>29</v>
      </c>
      <c r="AV41" s="7">
        <v>29</v>
      </c>
      <c r="AW41" s="7">
        <v>29</v>
      </c>
      <c r="AX41" s="7">
        <v>26</v>
      </c>
      <c r="AY41" s="7">
        <v>35</v>
      </c>
      <c r="AZ41" s="7">
        <v>22</v>
      </c>
      <c r="BA41" s="7">
        <v>28</v>
      </c>
      <c r="BB41" s="7">
        <v>37</v>
      </c>
      <c r="BC41" s="7">
        <v>26</v>
      </c>
      <c r="BD41" s="7">
        <v>28</v>
      </c>
      <c r="BE41" s="7">
        <v>24</v>
      </c>
      <c r="BF41" s="7">
        <v>32</v>
      </c>
      <c r="BG41" s="7">
        <v>38</v>
      </c>
    </row>
    <row r="42" spans="2:59">
      <c r="AC42" s="3">
        <v>36</v>
      </c>
      <c r="AD42" s="3">
        <v>44</v>
      </c>
      <c r="AH42" s="6">
        <v>31</v>
      </c>
      <c r="AI42" s="7">
        <v>19</v>
      </c>
      <c r="AJ42" s="7">
        <v>25</v>
      </c>
      <c r="AK42" s="7">
        <v>28</v>
      </c>
      <c r="AL42" s="7">
        <v>20</v>
      </c>
      <c r="AM42" s="7">
        <v>25</v>
      </c>
      <c r="AN42" s="7">
        <v>29</v>
      </c>
      <c r="AO42" s="7">
        <v>27</v>
      </c>
      <c r="AP42" s="7">
        <v>26</v>
      </c>
      <c r="AQ42" s="7">
        <v>30</v>
      </c>
      <c r="AR42" s="7">
        <v>5</v>
      </c>
      <c r="AS42" s="7">
        <v>24</v>
      </c>
      <c r="AT42" s="7">
        <v>28</v>
      </c>
      <c r="AU42" s="7">
        <v>29</v>
      </c>
      <c r="AV42" s="7">
        <v>30</v>
      </c>
      <c r="AW42" s="7">
        <v>29</v>
      </c>
      <c r="AX42" s="7">
        <v>26</v>
      </c>
      <c r="AY42" s="7">
        <v>35</v>
      </c>
      <c r="AZ42" s="7">
        <v>23</v>
      </c>
      <c r="BA42" s="7">
        <v>28</v>
      </c>
      <c r="BB42" s="7">
        <v>37</v>
      </c>
      <c r="BC42" s="7">
        <v>26</v>
      </c>
      <c r="BD42" s="7">
        <v>28</v>
      </c>
      <c r="BE42" s="7">
        <v>24</v>
      </c>
      <c r="BF42" s="7">
        <v>32</v>
      </c>
      <c r="BG42" s="7">
        <v>38</v>
      </c>
    </row>
    <row r="43" spans="2:59">
      <c r="AC43" s="3">
        <v>37</v>
      </c>
      <c r="AD43" s="3">
        <v>45</v>
      </c>
      <c r="AH43" s="6">
        <v>32</v>
      </c>
      <c r="AI43" s="7">
        <v>20</v>
      </c>
      <c r="AJ43" s="7">
        <v>25</v>
      </c>
      <c r="AK43" s="7">
        <v>29</v>
      </c>
      <c r="AL43" s="7">
        <v>20</v>
      </c>
      <c r="AM43" s="7">
        <v>26</v>
      </c>
      <c r="AN43" s="7">
        <v>29</v>
      </c>
      <c r="AO43" s="7">
        <v>27</v>
      </c>
      <c r="AP43" s="7">
        <v>26</v>
      </c>
      <c r="AQ43" s="7">
        <v>30</v>
      </c>
      <c r="AR43" s="7">
        <v>6</v>
      </c>
      <c r="AS43" s="7">
        <v>24</v>
      </c>
      <c r="AT43" s="7">
        <v>29</v>
      </c>
      <c r="AU43" s="7">
        <v>29</v>
      </c>
      <c r="AV43" s="7">
        <v>30</v>
      </c>
      <c r="AW43" s="7">
        <v>29</v>
      </c>
      <c r="AX43" s="7">
        <v>26</v>
      </c>
      <c r="AY43" s="7">
        <v>35</v>
      </c>
      <c r="AZ43" s="7">
        <v>23</v>
      </c>
      <c r="BA43" s="7">
        <v>28</v>
      </c>
      <c r="BB43" s="7">
        <v>37</v>
      </c>
      <c r="BC43" s="7">
        <v>26</v>
      </c>
      <c r="BD43" s="7">
        <v>28</v>
      </c>
      <c r="BE43" s="7">
        <v>24</v>
      </c>
      <c r="BF43" s="7">
        <v>32</v>
      </c>
      <c r="BG43" s="7">
        <v>39</v>
      </c>
    </row>
    <row r="44" spans="2:59">
      <c r="AC44" s="3">
        <v>38</v>
      </c>
      <c r="AD44" s="3">
        <v>47</v>
      </c>
      <c r="AH44" s="6">
        <v>33</v>
      </c>
      <c r="AI44" s="7">
        <v>26</v>
      </c>
      <c r="AJ44" s="7">
        <v>25</v>
      </c>
      <c r="AK44" s="7">
        <v>29</v>
      </c>
      <c r="AL44" s="7">
        <v>21</v>
      </c>
      <c r="AM44" s="7">
        <v>30</v>
      </c>
      <c r="AN44" s="7">
        <v>29</v>
      </c>
      <c r="AO44" s="7">
        <v>27</v>
      </c>
      <c r="AP44" s="7">
        <v>26</v>
      </c>
      <c r="AQ44" s="7">
        <v>30</v>
      </c>
      <c r="AR44" s="7">
        <v>6</v>
      </c>
      <c r="AS44" s="7">
        <v>29</v>
      </c>
      <c r="AT44" s="7">
        <v>29</v>
      </c>
      <c r="AU44" s="7">
        <v>29</v>
      </c>
      <c r="AV44" s="7">
        <v>30</v>
      </c>
      <c r="AW44" s="7">
        <v>29</v>
      </c>
      <c r="AX44" s="7">
        <v>26</v>
      </c>
      <c r="AY44" s="7">
        <v>35</v>
      </c>
      <c r="AZ44" s="7">
        <v>23</v>
      </c>
      <c r="BA44" s="7">
        <v>28</v>
      </c>
      <c r="BB44" s="7">
        <v>37</v>
      </c>
      <c r="BC44" s="7">
        <v>26</v>
      </c>
      <c r="BD44" s="7">
        <v>28</v>
      </c>
      <c r="BE44" s="7">
        <v>27</v>
      </c>
      <c r="BF44" s="7">
        <v>33</v>
      </c>
      <c r="BG44" s="7">
        <v>39</v>
      </c>
    </row>
    <row r="45" spans="2:59">
      <c r="AC45" s="3">
        <v>39</v>
      </c>
      <c r="AD45" s="3">
        <v>48</v>
      </c>
      <c r="AH45" s="6">
        <v>34</v>
      </c>
      <c r="AI45" s="6">
        <v>26</v>
      </c>
      <c r="AJ45" s="6">
        <v>25</v>
      </c>
      <c r="AK45" s="6">
        <v>29</v>
      </c>
      <c r="AL45" s="6">
        <v>21</v>
      </c>
      <c r="AM45" s="6">
        <v>30</v>
      </c>
      <c r="AN45" s="6">
        <v>29</v>
      </c>
      <c r="AO45" s="6">
        <v>27</v>
      </c>
      <c r="AP45" s="6">
        <v>26</v>
      </c>
      <c r="AQ45" s="6">
        <v>30</v>
      </c>
      <c r="AR45" s="6">
        <v>9</v>
      </c>
      <c r="AS45" s="6">
        <v>29</v>
      </c>
      <c r="AT45" s="6">
        <v>29</v>
      </c>
      <c r="AU45" s="6">
        <v>29</v>
      </c>
      <c r="AV45" s="6">
        <v>30</v>
      </c>
      <c r="AW45" s="6">
        <v>36</v>
      </c>
      <c r="AX45" s="6">
        <v>26</v>
      </c>
      <c r="AY45" s="6">
        <v>35</v>
      </c>
      <c r="AZ45" s="6">
        <v>23</v>
      </c>
      <c r="BA45" s="6">
        <v>28</v>
      </c>
      <c r="BB45" s="6">
        <v>37</v>
      </c>
      <c r="BC45" s="6">
        <v>26</v>
      </c>
      <c r="BD45" s="6">
        <v>28</v>
      </c>
      <c r="BE45" s="6">
        <v>28</v>
      </c>
      <c r="BF45" s="6">
        <v>38</v>
      </c>
      <c r="BG45" s="6">
        <v>39</v>
      </c>
    </row>
    <row r="46" spans="2:59">
      <c r="AC46" s="3">
        <v>40</v>
      </c>
      <c r="AD46" s="3">
        <v>49</v>
      </c>
      <c r="AH46" s="6">
        <v>35</v>
      </c>
      <c r="AI46" s="7">
        <v>26</v>
      </c>
      <c r="AJ46" s="7">
        <v>26</v>
      </c>
      <c r="AK46" s="7">
        <v>32</v>
      </c>
      <c r="AL46" s="7">
        <v>21</v>
      </c>
      <c r="AM46" s="7">
        <v>30</v>
      </c>
      <c r="AN46" s="7">
        <v>30</v>
      </c>
      <c r="AO46" s="7">
        <v>28</v>
      </c>
      <c r="AP46" s="7">
        <v>26</v>
      </c>
      <c r="AQ46" s="7">
        <v>30</v>
      </c>
      <c r="AR46" s="7">
        <v>9</v>
      </c>
      <c r="AS46" s="7">
        <v>29</v>
      </c>
      <c r="AT46" s="7">
        <v>29</v>
      </c>
      <c r="AU46" s="7">
        <v>30</v>
      </c>
      <c r="AV46" s="7">
        <v>30</v>
      </c>
      <c r="AW46" s="7">
        <v>36</v>
      </c>
      <c r="AX46" s="7">
        <v>26</v>
      </c>
      <c r="AY46" s="7">
        <v>35</v>
      </c>
      <c r="AZ46" s="7">
        <v>23</v>
      </c>
      <c r="BA46" s="7">
        <v>31</v>
      </c>
      <c r="BB46" s="7">
        <v>37</v>
      </c>
      <c r="BC46" s="7">
        <v>26</v>
      </c>
      <c r="BD46" s="7">
        <v>29</v>
      </c>
      <c r="BE46" s="7">
        <v>28</v>
      </c>
      <c r="BF46" s="7">
        <v>38</v>
      </c>
      <c r="BG46" s="7">
        <v>39</v>
      </c>
    </row>
    <row r="47" spans="2:59">
      <c r="AC47" s="3">
        <v>41</v>
      </c>
      <c r="AD47" s="3">
        <v>50</v>
      </c>
      <c r="AH47" s="6">
        <v>36</v>
      </c>
      <c r="AI47" s="7">
        <v>26</v>
      </c>
      <c r="AJ47" s="7">
        <v>31</v>
      </c>
      <c r="AK47" s="7">
        <v>32</v>
      </c>
      <c r="AL47" s="7">
        <v>25</v>
      </c>
      <c r="AM47" s="7">
        <v>30</v>
      </c>
      <c r="AN47" s="7">
        <v>33</v>
      </c>
      <c r="AO47" s="7">
        <v>33</v>
      </c>
      <c r="AP47" s="7">
        <v>26</v>
      </c>
      <c r="AQ47" s="7">
        <v>30</v>
      </c>
      <c r="AR47" s="7">
        <v>9</v>
      </c>
      <c r="AS47" s="7">
        <v>29</v>
      </c>
      <c r="AT47" s="7">
        <v>29</v>
      </c>
      <c r="AU47" s="7">
        <v>34</v>
      </c>
      <c r="AV47" s="7">
        <v>30</v>
      </c>
      <c r="AW47" s="7">
        <v>36</v>
      </c>
      <c r="AX47" s="7">
        <v>26</v>
      </c>
      <c r="AY47" s="7">
        <v>35</v>
      </c>
      <c r="AZ47" s="7">
        <v>23</v>
      </c>
      <c r="BA47" s="7">
        <v>31</v>
      </c>
      <c r="BB47" s="7">
        <v>37</v>
      </c>
      <c r="BC47" s="7">
        <v>26</v>
      </c>
      <c r="BD47" s="7">
        <v>36</v>
      </c>
      <c r="BE47" s="7">
        <v>28</v>
      </c>
      <c r="BF47" s="7">
        <v>38</v>
      </c>
      <c r="BG47" s="7">
        <v>39</v>
      </c>
    </row>
    <row r="48" spans="2:59">
      <c r="AC48" s="3">
        <v>42</v>
      </c>
      <c r="AD48" s="3">
        <v>52</v>
      </c>
      <c r="AH48" s="6">
        <v>37</v>
      </c>
      <c r="AI48" s="7">
        <v>26</v>
      </c>
      <c r="AJ48" s="7">
        <v>31</v>
      </c>
      <c r="AK48" s="7">
        <v>32</v>
      </c>
      <c r="AL48" s="7">
        <v>25</v>
      </c>
      <c r="AM48" s="7">
        <v>30</v>
      </c>
      <c r="AN48" s="7">
        <v>33</v>
      </c>
      <c r="AO48" s="7">
        <v>34</v>
      </c>
      <c r="AP48" s="7">
        <v>26</v>
      </c>
      <c r="AQ48" s="7">
        <v>30</v>
      </c>
      <c r="AR48" s="7">
        <v>10</v>
      </c>
      <c r="AS48" s="7">
        <v>29</v>
      </c>
      <c r="AT48" s="7">
        <v>29</v>
      </c>
      <c r="AU48" s="7">
        <v>34</v>
      </c>
      <c r="AV48" s="7">
        <v>30</v>
      </c>
      <c r="AW48" s="7">
        <v>36</v>
      </c>
      <c r="AX48" s="7">
        <v>26</v>
      </c>
      <c r="AY48" s="7">
        <v>35</v>
      </c>
      <c r="AZ48" s="7">
        <v>23</v>
      </c>
      <c r="BA48" s="7">
        <v>31</v>
      </c>
      <c r="BB48" s="7">
        <v>37</v>
      </c>
      <c r="BC48" s="7">
        <v>26</v>
      </c>
      <c r="BD48" s="7">
        <v>36</v>
      </c>
      <c r="BE48" s="7">
        <v>28</v>
      </c>
      <c r="BF48" s="7">
        <v>38</v>
      </c>
      <c r="BG48" s="7">
        <v>39</v>
      </c>
    </row>
    <row r="49" spans="29:59">
      <c r="AC49" s="3">
        <v>43</v>
      </c>
      <c r="AD49" s="3">
        <v>53</v>
      </c>
      <c r="AH49" s="6">
        <v>38</v>
      </c>
      <c r="AI49" s="7">
        <v>26</v>
      </c>
      <c r="AJ49" s="7">
        <v>31</v>
      </c>
      <c r="AK49" s="7">
        <v>32</v>
      </c>
      <c r="AL49" s="7">
        <v>25</v>
      </c>
      <c r="AM49" s="7">
        <v>30</v>
      </c>
      <c r="AN49" s="7">
        <v>33</v>
      </c>
      <c r="AO49" s="7">
        <v>34</v>
      </c>
      <c r="AP49" s="7">
        <v>26</v>
      </c>
      <c r="AQ49" s="7">
        <v>30</v>
      </c>
      <c r="AR49" s="7">
        <v>12</v>
      </c>
      <c r="AS49" s="7">
        <v>29</v>
      </c>
      <c r="AT49" s="7">
        <v>33</v>
      </c>
      <c r="AU49" s="7">
        <v>34</v>
      </c>
      <c r="AV49" s="7">
        <v>35</v>
      </c>
      <c r="AW49" s="7">
        <v>36</v>
      </c>
      <c r="AX49" s="7">
        <v>31</v>
      </c>
      <c r="AY49" s="7">
        <v>35</v>
      </c>
      <c r="AZ49" s="7">
        <v>23</v>
      </c>
      <c r="BA49" s="7">
        <v>31</v>
      </c>
      <c r="BB49" s="7">
        <v>37</v>
      </c>
      <c r="BC49" s="7">
        <v>26</v>
      </c>
      <c r="BD49" s="7">
        <v>36</v>
      </c>
      <c r="BE49" s="7">
        <v>28</v>
      </c>
      <c r="BF49" s="7">
        <v>38</v>
      </c>
      <c r="BG49" s="7">
        <v>39</v>
      </c>
    </row>
    <row r="50" spans="29:59">
      <c r="AC50" s="3">
        <v>44</v>
      </c>
      <c r="AD50" s="3">
        <v>54</v>
      </c>
      <c r="AH50" s="6">
        <v>39</v>
      </c>
      <c r="AI50" s="7">
        <v>27</v>
      </c>
      <c r="AJ50" s="7">
        <v>31</v>
      </c>
      <c r="AK50" s="7">
        <v>33</v>
      </c>
      <c r="AL50" s="7">
        <v>25</v>
      </c>
      <c r="AM50" s="7">
        <v>31</v>
      </c>
      <c r="AN50" s="7">
        <v>34</v>
      </c>
      <c r="AO50" s="7">
        <v>34</v>
      </c>
      <c r="AP50" s="7">
        <v>27</v>
      </c>
      <c r="AQ50" s="7">
        <v>30</v>
      </c>
      <c r="AR50" s="7">
        <v>12</v>
      </c>
      <c r="AS50" s="7">
        <v>29</v>
      </c>
      <c r="AT50" s="7">
        <v>33</v>
      </c>
      <c r="AU50" s="7">
        <v>34</v>
      </c>
      <c r="AV50" s="7">
        <v>35</v>
      </c>
      <c r="AW50" s="7">
        <v>36</v>
      </c>
      <c r="AX50" s="7">
        <v>31</v>
      </c>
      <c r="AY50" s="7">
        <v>36</v>
      </c>
      <c r="AZ50" s="7">
        <v>24</v>
      </c>
      <c r="BA50" s="7">
        <v>31</v>
      </c>
      <c r="BB50" s="7">
        <v>37</v>
      </c>
      <c r="BC50" s="7">
        <v>26</v>
      </c>
      <c r="BD50" s="7">
        <v>36</v>
      </c>
      <c r="BE50" s="7">
        <v>28</v>
      </c>
      <c r="BF50" s="7">
        <v>38</v>
      </c>
      <c r="BG50" s="7">
        <v>39</v>
      </c>
    </row>
    <row r="51" spans="29:59">
      <c r="AC51" s="3">
        <v>45</v>
      </c>
      <c r="AD51" s="3">
        <v>56</v>
      </c>
      <c r="AH51" s="6">
        <v>40</v>
      </c>
      <c r="AI51" s="7">
        <v>31</v>
      </c>
      <c r="AJ51" s="7">
        <v>32</v>
      </c>
      <c r="AK51" s="7">
        <v>37</v>
      </c>
      <c r="AL51" s="7">
        <v>25</v>
      </c>
      <c r="AM51" s="7">
        <v>36</v>
      </c>
      <c r="AN51" s="7">
        <v>34</v>
      </c>
      <c r="AO51" s="7">
        <v>34</v>
      </c>
      <c r="AP51" s="7">
        <v>39</v>
      </c>
      <c r="AQ51" s="7">
        <v>37</v>
      </c>
      <c r="AR51" s="7">
        <v>13</v>
      </c>
      <c r="AS51" s="7">
        <v>33</v>
      </c>
      <c r="AT51" s="7">
        <v>33</v>
      </c>
      <c r="AU51" s="7">
        <v>34</v>
      </c>
      <c r="AV51" s="7">
        <v>35</v>
      </c>
      <c r="AW51" s="7">
        <v>36</v>
      </c>
      <c r="AX51" s="7">
        <v>31</v>
      </c>
      <c r="AY51" s="7">
        <v>42</v>
      </c>
      <c r="AZ51" s="7">
        <v>30</v>
      </c>
      <c r="BA51" s="7">
        <v>35</v>
      </c>
      <c r="BB51" s="7">
        <v>37</v>
      </c>
      <c r="BC51" s="7">
        <v>26</v>
      </c>
      <c r="BD51" s="7">
        <v>36</v>
      </c>
      <c r="BE51" s="7">
        <v>33</v>
      </c>
      <c r="BF51" s="7">
        <v>38</v>
      </c>
      <c r="BG51" s="7">
        <v>39</v>
      </c>
    </row>
    <row r="52" spans="29:59">
      <c r="AC52" s="3">
        <v>46</v>
      </c>
      <c r="AD52" s="3">
        <v>57</v>
      </c>
      <c r="AH52" s="6">
        <v>41</v>
      </c>
      <c r="AI52" s="7">
        <v>31</v>
      </c>
      <c r="AJ52" s="7">
        <v>32</v>
      </c>
      <c r="AK52" s="7">
        <v>37</v>
      </c>
      <c r="AL52" s="7">
        <v>26</v>
      </c>
      <c r="AM52" s="7">
        <v>36</v>
      </c>
      <c r="AN52" s="7">
        <v>34</v>
      </c>
      <c r="AO52" s="7">
        <v>34</v>
      </c>
      <c r="AP52" s="7">
        <v>39</v>
      </c>
      <c r="AQ52" s="7">
        <v>38</v>
      </c>
      <c r="AR52" s="7">
        <v>16</v>
      </c>
      <c r="AS52" s="7">
        <v>33</v>
      </c>
      <c r="AT52" s="7">
        <v>33</v>
      </c>
      <c r="AU52" s="7">
        <v>34</v>
      </c>
      <c r="AV52" s="7">
        <v>35</v>
      </c>
      <c r="AW52" s="7">
        <v>36</v>
      </c>
      <c r="AX52" s="7">
        <v>31</v>
      </c>
      <c r="AY52" s="7">
        <v>42</v>
      </c>
      <c r="AZ52" s="7">
        <v>30</v>
      </c>
      <c r="BA52" s="7">
        <v>35</v>
      </c>
      <c r="BB52" s="7">
        <v>37</v>
      </c>
      <c r="BC52" s="7">
        <v>26</v>
      </c>
      <c r="BD52" s="7">
        <v>36</v>
      </c>
      <c r="BE52" s="7">
        <v>33</v>
      </c>
      <c r="BF52" s="7">
        <v>38</v>
      </c>
      <c r="BG52" s="7">
        <v>39</v>
      </c>
    </row>
    <row r="53" spans="29:59">
      <c r="AC53" s="3">
        <v>47</v>
      </c>
      <c r="AD53" s="3">
        <v>58</v>
      </c>
      <c r="AH53" s="6">
        <v>42</v>
      </c>
      <c r="AI53" s="7">
        <v>31</v>
      </c>
      <c r="AJ53" s="7">
        <v>37</v>
      </c>
      <c r="AK53" s="7">
        <v>37</v>
      </c>
      <c r="AL53" s="7">
        <v>32</v>
      </c>
      <c r="AM53" s="7">
        <v>36</v>
      </c>
      <c r="AN53" s="7">
        <v>36</v>
      </c>
      <c r="AO53" s="7">
        <v>34</v>
      </c>
      <c r="AP53" s="7">
        <v>39</v>
      </c>
      <c r="AQ53" s="7">
        <v>38</v>
      </c>
      <c r="AR53" s="7">
        <v>17</v>
      </c>
      <c r="AS53" s="7">
        <v>33</v>
      </c>
      <c r="AT53" s="7">
        <v>33</v>
      </c>
      <c r="AU53" s="7">
        <v>39</v>
      </c>
      <c r="AV53" s="7">
        <v>35</v>
      </c>
      <c r="AW53" s="7">
        <v>36</v>
      </c>
      <c r="AX53" s="7">
        <v>31</v>
      </c>
      <c r="AY53" s="7">
        <v>42</v>
      </c>
      <c r="AZ53" s="7">
        <v>30</v>
      </c>
      <c r="BA53" s="7">
        <v>35</v>
      </c>
      <c r="BB53" s="7">
        <v>37</v>
      </c>
      <c r="BC53" s="7">
        <v>26</v>
      </c>
      <c r="BD53" s="7">
        <v>36</v>
      </c>
      <c r="BE53" s="7">
        <v>33</v>
      </c>
      <c r="BF53" s="7">
        <v>38</v>
      </c>
      <c r="BG53" s="7">
        <v>39</v>
      </c>
    </row>
    <row r="54" spans="29:59">
      <c r="AC54" s="3">
        <v>48</v>
      </c>
      <c r="AD54" s="3">
        <v>60</v>
      </c>
      <c r="AH54" s="6">
        <v>43</v>
      </c>
      <c r="AI54" s="7">
        <v>31</v>
      </c>
      <c r="AJ54" s="7">
        <v>37</v>
      </c>
      <c r="AK54" s="7">
        <v>37</v>
      </c>
      <c r="AL54" s="7">
        <v>33</v>
      </c>
      <c r="AM54" s="7">
        <v>36</v>
      </c>
      <c r="AN54" s="7">
        <v>36</v>
      </c>
      <c r="AO54" s="7">
        <v>34</v>
      </c>
      <c r="AP54" s="7">
        <v>40</v>
      </c>
      <c r="AQ54" s="7">
        <v>38</v>
      </c>
      <c r="AR54" s="7">
        <v>17</v>
      </c>
      <c r="AS54" s="7">
        <v>33</v>
      </c>
      <c r="AT54" s="7">
        <v>33</v>
      </c>
      <c r="AU54" s="7">
        <v>39</v>
      </c>
      <c r="AV54" s="7">
        <v>35</v>
      </c>
      <c r="AW54" s="7">
        <v>42</v>
      </c>
      <c r="AX54" s="7">
        <v>31</v>
      </c>
      <c r="AY54" s="7">
        <v>42</v>
      </c>
      <c r="AZ54" s="7">
        <v>30</v>
      </c>
      <c r="BA54" s="7">
        <v>35</v>
      </c>
      <c r="BB54" s="7">
        <v>37</v>
      </c>
      <c r="BC54" s="7">
        <v>26</v>
      </c>
      <c r="BD54" s="7">
        <v>36</v>
      </c>
      <c r="BE54" s="7">
        <v>33</v>
      </c>
      <c r="BF54" s="7">
        <v>42</v>
      </c>
      <c r="BG54" s="7">
        <v>39</v>
      </c>
    </row>
    <row r="55" spans="29:59">
      <c r="AC55" s="3">
        <v>49</v>
      </c>
      <c r="AD55" s="3">
        <v>61</v>
      </c>
      <c r="AH55" s="6">
        <v>44</v>
      </c>
      <c r="AI55" s="7">
        <v>31</v>
      </c>
      <c r="AJ55" s="7">
        <v>37</v>
      </c>
      <c r="AK55" s="7">
        <v>37</v>
      </c>
      <c r="AL55" s="7">
        <v>33</v>
      </c>
      <c r="AM55" s="7">
        <v>36</v>
      </c>
      <c r="AN55" s="7">
        <v>37</v>
      </c>
      <c r="AO55" s="7">
        <v>34</v>
      </c>
      <c r="AP55" s="7">
        <v>40</v>
      </c>
      <c r="AQ55" s="7">
        <v>38</v>
      </c>
      <c r="AR55" s="7">
        <v>18</v>
      </c>
      <c r="AS55" s="7">
        <v>33</v>
      </c>
      <c r="AT55" s="7">
        <v>33</v>
      </c>
      <c r="AU55" s="7">
        <v>39</v>
      </c>
      <c r="AV55" s="7">
        <v>36</v>
      </c>
      <c r="AW55" s="7">
        <v>42</v>
      </c>
      <c r="AX55" s="7">
        <v>32</v>
      </c>
      <c r="AY55" s="7">
        <v>42</v>
      </c>
      <c r="AZ55" s="7">
        <v>30</v>
      </c>
      <c r="BA55" s="7">
        <v>35</v>
      </c>
      <c r="BB55" s="7">
        <v>37</v>
      </c>
      <c r="BC55" s="7">
        <v>26</v>
      </c>
      <c r="BD55" s="7">
        <v>36</v>
      </c>
      <c r="BE55" s="7">
        <v>33</v>
      </c>
      <c r="BF55" s="7">
        <v>42</v>
      </c>
      <c r="BG55" s="7">
        <v>39</v>
      </c>
    </row>
    <row r="56" spans="29:59">
      <c r="AC56" s="3">
        <v>50</v>
      </c>
      <c r="AD56" s="3">
        <v>62</v>
      </c>
      <c r="AH56" s="6">
        <v>45</v>
      </c>
      <c r="AI56" s="7">
        <v>31</v>
      </c>
      <c r="AJ56" s="7">
        <v>37</v>
      </c>
      <c r="AK56" s="7">
        <v>40</v>
      </c>
      <c r="AL56" s="7">
        <v>33</v>
      </c>
      <c r="AM56" s="7">
        <v>36</v>
      </c>
      <c r="AN56" s="7">
        <v>37</v>
      </c>
      <c r="AO56" s="7">
        <v>34</v>
      </c>
      <c r="AP56" s="7">
        <v>40</v>
      </c>
      <c r="AQ56" s="7">
        <v>38</v>
      </c>
      <c r="AR56" s="7">
        <v>20</v>
      </c>
      <c r="AS56" s="7">
        <v>33</v>
      </c>
      <c r="AT56" s="7">
        <v>39</v>
      </c>
      <c r="AU56" s="7">
        <v>39</v>
      </c>
      <c r="AV56" s="7">
        <v>40</v>
      </c>
      <c r="AW56" s="7">
        <v>42</v>
      </c>
      <c r="AX56" s="7">
        <v>37</v>
      </c>
      <c r="AY56" s="7">
        <v>42</v>
      </c>
      <c r="AZ56" s="7">
        <v>30</v>
      </c>
      <c r="BA56" s="7">
        <v>40</v>
      </c>
      <c r="BB56" s="7">
        <v>37</v>
      </c>
      <c r="BC56" s="7">
        <v>26</v>
      </c>
      <c r="BD56" s="7">
        <v>36</v>
      </c>
      <c r="BE56" s="7">
        <v>33</v>
      </c>
      <c r="BF56" s="7">
        <v>42</v>
      </c>
      <c r="BG56" s="7">
        <v>39</v>
      </c>
    </row>
    <row r="57" spans="29:59">
      <c r="AC57" s="3">
        <v>51</v>
      </c>
      <c r="AD57" s="3">
        <v>63</v>
      </c>
      <c r="AH57" s="6">
        <v>46</v>
      </c>
      <c r="AI57" s="7">
        <v>32</v>
      </c>
      <c r="AJ57" s="7">
        <v>37</v>
      </c>
      <c r="AK57" s="7">
        <v>40</v>
      </c>
      <c r="AL57" s="7">
        <v>33</v>
      </c>
      <c r="AM57" s="7">
        <v>37</v>
      </c>
      <c r="AN57" s="7">
        <v>37</v>
      </c>
      <c r="AO57" s="7">
        <v>34</v>
      </c>
      <c r="AP57" s="7">
        <v>40</v>
      </c>
      <c r="AQ57" s="7">
        <v>38</v>
      </c>
      <c r="AR57" s="7">
        <v>20</v>
      </c>
      <c r="AS57" s="7">
        <v>33</v>
      </c>
      <c r="AT57" s="7">
        <v>39</v>
      </c>
      <c r="AU57" s="7">
        <v>39</v>
      </c>
      <c r="AV57" s="7">
        <v>40</v>
      </c>
      <c r="AW57" s="7">
        <v>42</v>
      </c>
      <c r="AX57" s="7">
        <v>37</v>
      </c>
      <c r="AY57" s="7">
        <v>42</v>
      </c>
      <c r="AZ57" s="7">
        <v>30</v>
      </c>
      <c r="BA57" s="7">
        <v>40</v>
      </c>
      <c r="BB57" s="7">
        <v>37</v>
      </c>
      <c r="BC57" s="7">
        <v>26</v>
      </c>
      <c r="BD57" s="7">
        <v>36</v>
      </c>
      <c r="BE57" s="7">
        <v>34</v>
      </c>
      <c r="BF57" s="7">
        <v>42</v>
      </c>
      <c r="BG57" s="7">
        <v>39</v>
      </c>
    </row>
    <row r="58" spans="29:59">
      <c r="AC58" s="3">
        <v>52</v>
      </c>
      <c r="AD58" s="3">
        <v>65</v>
      </c>
      <c r="AH58" s="6">
        <v>47</v>
      </c>
      <c r="AI58" s="7">
        <v>36</v>
      </c>
      <c r="AJ58" s="7">
        <v>38</v>
      </c>
      <c r="AK58" s="7">
        <v>40</v>
      </c>
      <c r="AL58" s="7">
        <v>33</v>
      </c>
      <c r="AM58" s="7">
        <v>40</v>
      </c>
      <c r="AN58" s="7">
        <v>38</v>
      </c>
      <c r="AO58" s="7">
        <v>35</v>
      </c>
      <c r="AP58" s="7">
        <v>40</v>
      </c>
      <c r="AQ58" s="7">
        <v>38</v>
      </c>
      <c r="AR58" s="7">
        <v>20</v>
      </c>
      <c r="AS58" s="7">
        <v>38</v>
      </c>
      <c r="AT58" s="7">
        <v>39</v>
      </c>
      <c r="AU58" s="7">
        <v>39</v>
      </c>
      <c r="AV58" s="7">
        <v>40</v>
      </c>
      <c r="AW58" s="7">
        <v>42</v>
      </c>
      <c r="AX58" s="7">
        <v>37</v>
      </c>
      <c r="AY58" s="7">
        <v>42</v>
      </c>
      <c r="AZ58" s="7">
        <v>30</v>
      </c>
      <c r="BA58" s="7">
        <v>40</v>
      </c>
      <c r="BB58" s="7">
        <v>37</v>
      </c>
      <c r="BC58" s="7">
        <v>26</v>
      </c>
      <c r="BD58" s="7">
        <v>37</v>
      </c>
      <c r="BE58" s="7">
        <v>39</v>
      </c>
      <c r="BF58" s="7">
        <v>42</v>
      </c>
      <c r="BG58" s="7">
        <v>39</v>
      </c>
    </row>
    <row r="59" spans="29:59">
      <c r="AC59" s="3">
        <v>53</v>
      </c>
      <c r="AD59" s="3">
        <v>66</v>
      </c>
      <c r="AH59" s="6">
        <v>48</v>
      </c>
      <c r="AI59" s="7">
        <v>36</v>
      </c>
      <c r="AJ59" s="7">
        <v>41</v>
      </c>
      <c r="AK59" s="7">
        <v>40</v>
      </c>
      <c r="AL59" s="7">
        <v>38</v>
      </c>
      <c r="AM59" s="7">
        <v>41</v>
      </c>
      <c r="AN59" s="7">
        <v>41</v>
      </c>
      <c r="AO59" s="7">
        <v>43</v>
      </c>
      <c r="AP59" s="7">
        <v>40</v>
      </c>
      <c r="AQ59" s="7">
        <v>38</v>
      </c>
      <c r="AR59" s="7">
        <v>21</v>
      </c>
      <c r="AS59" s="7">
        <v>38</v>
      </c>
      <c r="AT59" s="7">
        <v>39</v>
      </c>
      <c r="AU59" s="7">
        <v>43</v>
      </c>
      <c r="AV59" s="7">
        <v>40</v>
      </c>
      <c r="AW59" s="7">
        <v>42</v>
      </c>
      <c r="AX59" s="7">
        <v>37</v>
      </c>
      <c r="AY59" s="7">
        <v>42</v>
      </c>
      <c r="AZ59" s="7">
        <v>30</v>
      </c>
      <c r="BA59" s="7">
        <v>40</v>
      </c>
      <c r="BB59" s="7">
        <v>37</v>
      </c>
      <c r="BC59" s="7">
        <v>26</v>
      </c>
      <c r="BD59" s="7">
        <v>42</v>
      </c>
      <c r="BE59" s="7">
        <v>39</v>
      </c>
      <c r="BF59" s="7">
        <v>42</v>
      </c>
      <c r="BG59" s="7">
        <v>39</v>
      </c>
    </row>
    <row r="60" spans="29:59">
      <c r="AC60" s="3">
        <v>54</v>
      </c>
      <c r="AD60" s="3">
        <v>67</v>
      </c>
      <c r="AH60" s="6">
        <v>49</v>
      </c>
      <c r="AI60" s="7">
        <v>36</v>
      </c>
      <c r="AJ60" s="7">
        <v>42</v>
      </c>
      <c r="AK60" s="7">
        <v>40</v>
      </c>
      <c r="AL60" s="7">
        <v>38</v>
      </c>
      <c r="AM60" s="7">
        <v>41</v>
      </c>
      <c r="AN60" s="7">
        <v>41</v>
      </c>
      <c r="AO60" s="7">
        <v>43</v>
      </c>
      <c r="AP60" s="7">
        <v>40</v>
      </c>
      <c r="AQ60" s="7">
        <v>39</v>
      </c>
      <c r="AR60" s="7">
        <v>26</v>
      </c>
      <c r="AS60" s="7">
        <v>38</v>
      </c>
      <c r="AT60" s="7">
        <v>39</v>
      </c>
      <c r="AU60" s="7">
        <v>43</v>
      </c>
      <c r="AV60" s="7">
        <v>40</v>
      </c>
      <c r="AW60" s="7">
        <v>42</v>
      </c>
      <c r="AX60" s="7">
        <v>37</v>
      </c>
      <c r="AY60" s="7">
        <v>42</v>
      </c>
      <c r="AZ60" s="7">
        <v>32</v>
      </c>
      <c r="BA60" s="7">
        <v>41</v>
      </c>
      <c r="BB60" s="7">
        <v>37</v>
      </c>
      <c r="BC60" s="7">
        <v>26</v>
      </c>
      <c r="BD60" s="7">
        <v>43</v>
      </c>
      <c r="BE60" s="7">
        <v>39</v>
      </c>
      <c r="BF60" s="7">
        <v>42</v>
      </c>
      <c r="BG60" s="7">
        <v>39</v>
      </c>
    </row>
    <row r="61" spans="29:59">
      <c r="AC61" s="3">
        <v>55</v>
      </c>
      <c r="AD61" s="3">
        <v>69</v>
      </c>
      <c r="AH61" s="6">
        <v>50</v>
      </c>
      <c r="AI61" s="7">
        <v>36</v>
      </c>
      <c r="AJ61" s="7">
        <v>42</v>
      </c>
      <c r="AK61" s="7">
        <v>44</v>
      </c>
      <c r="AL61" s="7">
        <v>39</v>
      </c>
      <c r="AM61" s="7">
        <v>41</v>
      </c>
      <c r="AN61" s="7">
        <v>41</v>
      </c>
      <c r="AO61" s="7">
        <v>43</v>
      </c>
      <c r="AP61" s="7">
        <v>40</v>
      </c>
      <c r="AQ61" s="7">
        <v>44</v>
      </c>
      <c r="AR61" s="7">
        <v>26</v>
      </c>
      <c r="AS61" s="7">
        <v>38</v>
      </c>
      <c r="AT61" s="7">
        <v>39</v>
      </c>
      <c r="AU61" s="7">
        <v>43</v>
      </c>
      <c r="AV61" s="7">
        <v>40</v>
      </c>
      <c r="AW61" s="7">
        <v>42</v>
      </c>
      <c r="AX61" s="7">
        <v>37</v>
      </c>
      <c r="AY61" s="7">
        <v>46</v>
      </c>
      <c r="AZ61" s="7">
        <v>38</v>
      </c>
      <c r="BA61" s="7">
        <v>45</v>
      </c>
      <c r="BB61" s="7">
        <v>37</v>
      </c>
      <c r="BC61" s="7">
        <v>26</v>
      </c>
      <c r="BD61" s="7">
        <v>43</v>
      </c>
      <c r="BE61" s="7">
        <v>39</v>
      </c>
      <c r="BF61" s="7">
        <v>43</v>
      </c>
      <c r="BG61" s="7">
        <v>39</v>
      </c>
    </row>
    <row r="62" spans="29:59">
      <c r="AC62" s="3">
        <v>56</v>
      </c>
      <c r="AD62" s="3">
        <v>70</v>
      </c>
      <c r="AH62" s="6">
        <v>51</v>
      </c>
      <c r="AI62" s="7">
        <v>36</v>
      </c>
      <c r="AJ62" s="7">
        <v>42</v>
      </c>
      <c r="AK62" s="7">
        <v>44</v>
      </c>
      <c r="AL62" s="7">
        <v>39</v>
      </c>
      <c r="AM62" s="7">
        <v>41</v>
      </c>
      <c r="AN62" s="7">
        <v>41</v>
      </c>
      <c r="AO62" s="7">
        <v>43</v>
      </c>
      <c r="AP62" s="7">
        <v>40</v>
      </c>
      <c r="AQ62" s="7">
        <v>44</v>
      </c>
      <c r="AR62" s="7">
        <v>27</v>
      </c>
      <c r="AS62" s="7">
        <v>38</v>
      </c>
      <c r="AT62" s="7">
        <v>39</v>
      </c>
      <c r="AU62" s="7">
        <v>43</v>
      </c>
      <c r="AV62" s="7">
        <v>40</v>
      </c>
      <c r="AW62" s="7">
        <v>47</v>
      </c>
      <c r="AX62" s="7">
        <v>37</v>
      </c>
      <c r="AY62" s="7">
        <v>46</v>
      </c>
      <c r="AZ62" s="7">
        <v>39</v>
      </c>
      <c r="BA62" s="7">
        <v>45</v>
      </c>
      <c r="BB62" s="7">
        <v>37</v>
      </c>
      <c r="BC62" s="7">
        <v>26</v>
      </c>
      <c r="BD62" s="7">
        <v>43</v>
      </c>
      <c r="BE62" s="7">
        <v>39</v>
      </c>
      <c r="BF62" s="7">
        <v>45</v>
      </c>
      <c r="BG62" s="7">
        <v>39</v>
      </c>
    </row>
    <row r="63" spans="29:59">
      <c r="AC63" s="3">
        <v>57</v>
      </c>
      <c r="AD63" s="3">
        <v>71</v>
      </c>
      <c r="AH63" s="6">
        <v>52</v>
      </c>
      <c r="AI63" s="7">
        <v>37</v>
      </c>
      <c r="AJ63" s="7">
        <v>42</v>
      </c>
      <c r="AK63" s="7">
        <v>44</v>
      </c>
      <c r="AL63" s="7">
        <v>39</v>
      </c>
      <c r="AM63" s="7">
        <v>42</v>
      </c>
      <c r="AN63" s="7">
        <v>42</v>
      </c>
      <c r="AO63" s="7">
        <v>43</v>
      </c>
      <c r="AP63" s="7">
        <v>40</v>
      </c>
      <c r="AQ63" s="7">
        <v>44</v>
      </c>
      <c r="AR63" s="7">
        <v>28</v>
      </c>
      <c r="AS63" s="7">
        <v>39</v>
      </c>
      <c r="AT63" s="7">
        <v>40</v>
      </c>
      <c r="AU63" s="7">
        <v>43</v>
      </c>
      <c r="AV63" s="7">
        <v>40</v>
      </c>
      <c r="AW63" s="7">
        <v>47</v>
      </c>
      <c r="AX63" s="7">
        <v>38</v>
      </c>
      <c r="AY63" s="7">
        <v>46</v>
      </c>
      <c r="AZ63" s="7">
        <v>39</v>
      </c>
      <c r="BA63" s="7">
        <v>45</v>
      </c>
      <c r="BB63" s="7">
        <v>37</v>
      </c>
      <c r="BC63" s="7">
        <v>26</v>
      </c>
      <c r="BD63" s="7">
        <v>43</v>
      </c>
      <c r="BE63" s="7">
        <v>40</v>
      </c>
      <c r="BF63" s="7">
        <v>46</v>
      </c>
      <c r="BG63" s="7">
        <v>39</v>
      </c>
    </row>
    <row r="64" spans="29:59">
      <c r="AC64" s="3">
        <v>58</v>
      </c>
      <c r="AD64" s="3">
        <v>72</v>
      </c>
      <c r="AH64" s="6">
        <v>53</v>
      </c>
      <c r="AI64" s="7">
        <v>42</v>
      </c>
      <c r="AJ64" s="7">
        <v>43</v>
      </c>
      <c r="AK64" s="7">
        <v>44</v>
      </c>
      <c r="AL64" s="7">
        <v>39</v>
      </c>
      <c r="AM64" s="7">
        <v>45</v>
      </c>
      <c r="AN64" s="7">
        <v>43</v>
      </c>
      <c r="AO64" s="7">
        <v>43</v>
      </c>
      <c r="AP64" s="7">
        <v>40</v>
      </c>
      <c r="AQ64" s="7">
        <v>44</v>
      </c>
      <c r="AR64" s="7">
        <v>31</v>
      </c>
      <c r="AS64" s="7">
        <v>43</v>
      </c>
      <c r="AT64" s="7">
        <v>45</v>
      </c>
      <c r="AU64" s="7">
        <v>43</v>
      </c>
      <c r="AV64" s="7">
        <v>45</v>
      </c>
      <c r="AW64" s="7">
        <v>47</v>
      </c>
      <c r="AX64" s="7">
        <v>45</v>
      </c>
      <c r="AY64" s="7">
        <v>46</v>
      </c>
      <c r="AZ64" s="7">
        <v>39</v>
      </c>
      <c r="BA64" s="7">
        <v>45</v>
      </c>
      <c r="BB64" s="7">
        <v>37</v>
      </c>
      <c r="BC64" s="7">
        <v>26</v>
      </c>
      <c r="BD64" s="7">
        <v>43</v>
      </c>
      <c r="BE64" s="7">
        <v>45</v>
      </c>
      <c r="BF64" s="7">
        <v>46</v>
      </c>
      <c r="BG64" s="7">
        <v>39</v>
      </c>
    </row>
    <row r="65" spans="29:59">
      <c r="AC65" s="3">
        <v>59</v>
      </c>
      <c r="AD65" s="3">
        <v>74</v>
      </c>
      <c r="AH65" s="6">
        <v>54</v>
      </c>
      <c r="AI65" s="7">
        <v>42</v>
      </c>
      <c r="AJ65" s="7">
        <v>46</v>
      </c>
      <c r="AK65" s="7">
        <v>44</v>
      </c>
      <c r="AL65" s="7">
        <v>44</v>
      </c>
      <c r="AM65" s="7">
        <v>45</v>
      </c>
      <c r="AN65" s="7">
        <v>46</v>
      </c>
      <c r="AO65" s="7">
        <v>43</v>
      </c>
      <c r="AP65" s="7">
        <v>40</v>
      </c>
      <c r="AQ65" s="7">
        <v>44</v>
      </c>
      <c r="AR65" s="7">
        <v>31</v>
      </c>
      <c r="AS65" s="7">
        <v>43</v>
      </c>
      <c r="AT65" s="7">
        <v>45</v>
      </c>
      <c r="AU65" s="7">
        <v>47</v>
      </c>
      <c r="AV65" s="7">
        <v>45</v>
      </c>
      <c r="AW65" s="7">
        <v>47</v>
      </c>
      <c r="AX65" s="7">
        <v>45</v>
      </c>
      <c r="AY65" s="7">
        <v>46</v>
      </c>
      <c r="AZ65" s="7">
        <v>39</v>
      </c>
      <c r="BA65" s="7">
        <v>45</v>
      </c>
      <c r="BB65" s="7">
        <v>37</v>
      </c>
      <c r="BC65" s="7">
        <v>26</v>
      </c>
      <c r="BD65" s="7">
        <v>43</v>
      </c>
      <c r="BE65" s="7">
        <v>45</v>
      </c>
      <c r="BF65" s="7">
        <v>46</v>
      </c>
      <c r="BG65" s="7">
        <v>39</v>
      </c>
    </row>
    <row r="66" spans="29:59">
      <c r="AC66" s="3">
        <v>60</v>
      </c>
      <c r="AD66" s="3">
        <v>75</v>
      </c>
      <c r="AH66" s="6">
        <v>55</v>
      </c>
      <c r="AI66" s="7">
        <v>42</v>
      </c>
      <c r="AJ66" s="7">
        <v>46</v>
      </c>
      <c r="AK66" s="7">
        <v>47</v>
      </c>
      <c r="AL66" s="7">
        <v>45</v>
      </c>
      <c r="AM66" s="7">
        <v>46</v>
      </c>
      <c r="AN66" s="7">
        <v>46</v>
      </c>
      <c r="AO66" s="7">
        <v>43</v>
      </c>
      <c r="AP66" s="7">
        <v>40</v>
      </c>
      <c r="AQ66" s="7">
        <v>44</v>
      </c>
      <c r="AR66" s="7">
        <v>33</v>
      </c>
      <c r="AS66" s="7">
        <v>43</v>
      </c>
      <c r="AT66" s="7">
        <v>45</v>
      </c>
      <c r="AU66" s="7">
        <v>47</v>
      </c>
      <c r="AV66" s="7">
        <v>45</v>
      </c>
      <c r="AW66" s="7">
        <v>47</v>
      </c>
      <c r="AX66" s="7">
        <v>45</v>
      </c>
      <c r="AY66" s="7">
        <v>46</v>
      </c>
      <c r="AZ66" s="7">
        <v>39</v>
      </c>
      <c r="BA66" s="7">
        <v>48</v>
      </c>
      <c r="BB66" s="7">
        <v>37</v>
      </c>
      <c r="BC66" s="7">
        <v>26</v>
      </c>
      <c r="BD66" s="7">
        <v>43</v>
      </c>
      <c r="BE66" s="7">
        <v>45</v>
      </c>
      <c r="BF66" s="7">
        <v>46</v>
      </c>
      <c r="BG66" s="7">
        <v>39</v>
      </c>
    </row>
    <row r="67" spans="29:59">
      <c r="AC67" s="3">
        <v>61</v>
      </c>
      <c r="AD67" s="3">
        <v>76</v>
      </c>
      <c r="AH67" s="6">
        <v>56</v>
      </c>
      <c r="AI67" s="7">
        <v>42</v>
      </c>
      <c r="AJ67" s="7">
        <v>46</v>
      </c>
      <c r="AK67" s="7">
        <v>47</v>
      </c>
      <c r="AL67" s="7">
        <v>45</v>
      </c>
      <c r="AM67" s="7">
        <v>46</v>
      </c>
      <c r="AN67" s="7">
        <v>46</v>
      </c>
      <c r="AO67" s="7">
        <v>43</v>
      </c>
      <c r="AP67" s="7">
        <v>40</v>
      </c>
      <c r="AQ67" s="7">
        <v>44</v>
      </c>
      <c r="AR67" s="7">
        <v>40</v>
      </c>
      <c r="AS67" s="7">
        <v>43</v>
      </c>
      <c r="AT67" s="7">
        <v>45</v>
      </c>
      <c r="AU67" s="7">
        <v>47</v>
      </c>
      <c r="AV67" s="7">
        <v>45</v>
      </c>
      <c r="AW67" s="7">
        <v>47</v>
      </c>
      <c r="AX67" s="7">
        <v>45</v>
      </c>
      <c r="AY67" s="7">
        <v>46</v>
      </c>
      <c r="AZ67" s="7">
        <v>39</v>
      </c>
      <c r="BA67" s="7">
        <v>48</v>
      </c>
      <c r="BB67" s="7">
        <v>37</v>
      </c>
      <c r="BC67" s="7">
        <v>26</v>
      </c>
      <c r="BD67" s="7">
        <v>43</v>
      </c>
      <c r="BE67" s="7">
        <v>45</v>
      </c>
      <c r="BF67" s="7">
        <v>46</v>
      </c>
      <c r="BG67" s="7">
        <v>39</v>
      </c>
    </row>
    <row r="68" spans="29:59">
      <c r="AC68" s="3">
        <v>62</v>
      </c>
      <c r="AD68" s="3">
        <v>77</v>
      </c>
      <c r="AH68" s="6">
        <v>57</v>
      </c>
      <c r="AI68" s="7">
        <v>42</v>
      </c>
      <c r="AJ68" s="7">
        <v>46</v>
      </c>
      <c r="AK68" s="7">
        <v>47</v>
      </c>
      <c r="AL68" s="7">
        <v>45</v>
      </c>
      <c r="AM68" s="7">
        <v>46</v>
      </c>
      <c r="AN68" s="7">
        <v>46</v>
      </c>
      <c r="AO68" s="7">
        <v>43</v>
      </c>
      <c r="AP68" s="7">
        <v>40</v>
      </c>
      <c r="AQ68" s="7">
        <v>44</v>
      </c>
      <c r="AR68" s="7">
        <v>40</v>
      </c>
      <c r="AS68" s="7">
        <v>43</v>
      </c>
      <c r="AT68" s="7">
        <v>45</v>
      </c>
      <c r="AU68" s="7">
        <v>47</v>
      </c>
      <c r="AV68" s="7">
        <v>45</v>
      </c>
      <c r="AW68" s="7">
        <v>47</v>
      </c>
      <c r="AX68" s="7">
        <v>45</v>
      </c>
      <c r="AY68" s="7">
        <v>46</v>
      </c>
      <c r="AZ68" s="7">
        <v>39</v>
      </c>
      <c r="BA68" s="7">
        <v>48</v>
      </c>
      <c r="BB68" s="7">
        <v>37</v>
      </c>
      <c r="BC68" s="7">
        <v>26</v>
      </c>
      <c r="BD68" s="7">
        <v>43</v>
      </c>
      <c r="BE68" s="7">
        <v>45</v>
      </c>
      <c r="BF68" s="7">
        <v>46</v>
      </c>
      <c r="BG68" s="7">
        <v>39</v>
      </c>
    </row>
    <row r="69" spans="29:59">
      <c r="AC69" s="3">
        <v>63</v>
      </c>
      <c r="AD69" s="3">
        <v>78</v>
      </c>
      <c r="AH69" s="6">
        <v>58</v>
      </c>
      <c r="AI69" s="7">
        <v>42</v>
      </c>
      <c r="AJ69" s="7">
        <v>46</v>
      </c>
      <c r="AK69" s="7">
        <v>47</v>
      </c>
      <c r="AL69" s="7">
        <v>45</v>
      </c>
      <c r="AM69" s="7">
        <v>46</v>
      </c>
      <c r="AN69" s="7">
        <v>47</v>
      </c>
      <c r="AO69" s="7">
        <v>43</v>
      </c>
      <c r="AP69" s="7">
        <v>40</v>
      </c>
      <c r="AQ69" s="7">
        <v>44</v>
      </c>
      <c r="AR69" s="7">
        <v>41</v>
      </c>
      <c r="AS69" s="7">
        <v>43</v>
      </c>
      <c r="AT69" s="7">
        <v>45</v>
      </c>
      <c r="AU69" s="7">
        <v>47</v>
      </c>
      <c r="AV69" s="7">
        <v>45</v>
      </c>
      <c r="AW69" s="7">
        <v>47</v>
      </c>
      <c r="AX69" s="7">
        <v>45</v>
      </c>
      <c r="AY69" s="7">
        <v>46</v>
      </c>
      <c r="AZ69" s="7">
        <v>39</v>
      </c>
      <c r="BA69" s="7">
        <v>48</v>
      </c>
      <c r="BB69" s="7">
        <v>38</v>
      </c>
      <c r="BC69" s="7">
        <v>26</v>
      </c>
      <c r="BD69" s="7">
        <v>43</v>
      </c>
      <c r="BE69" s="7">
        <v>45</v>
      </c>
      <c r="BF69" s="7">
        <v>46</v>
      </c>
      <c r="BG69" s="7">
        <v>39</v>
      </c>
    </row>
    <row r="70" spans="29:59">
      <c r="AC70" s="3">
        <v>64</v>
      </c>
      <c r="AD70" s="3">
        <v>79</v>
      </c>
      <c r="AH70" s="6">
        <v>59</v>
      </c>
      <c r="AI70" s="7">
        <v>43</v>
      </c>
      <c r="AJ70" s="7">
        <v>47</v>
      </c>
      <c r="AK70" s="7">
        <v>47</v>
      </c>
      <c r="AL70" s="7">
        <v>46</v>
      </c>
      <c r="AM70" s="7">
        <v>47</v>
      </c>
      <c r="AN70" s="7">
        <v>48</v>
      </c>
      <c r="AO70" s="7">
        <v>44</v>
      </c>
      <c r="AP70" s="7">
        <v>42</v>
      </c>
      <c r="AQ70" s="7">
        <v>46</v>
      </c>
      <c r="AR70" s="7">
        <v>43</v>
      </c>
      <c r="AS70" s="7">
        <v>43</v>
      </c>
      <c r="AT70" s="7">
        <v>46</v>
      </c>
      <c r="AU70" s="7">
        <v>48</v>
      </c>
      <c r="AV70" s="7">
        <v>45</v>
      </c>
      <c r="AW70" s="7">
        <v>48</v>
      </c>
      <c r="AX70" s="7">
        <v>46</v>
      </c>
      <c r="AY70" s="7">
        <v>47</v>
      </c>
      <c r="AZ70" s="7">
        <v>41</v>
      </c>
      <c r="BA70" s="7">
        <v>48</v>
      </c>
      <c r="BB70" s="7">
        <v>45</v>
      </c>
      <c r="BC70" s="7">
        <v>30</v>
      </c>
      <c r="BD70" s="7">
        <v>44</v>
      </c>
      <c r="BE70" s="7">
        <v>45</v>
      </c>
      <c r="BF70" s="7">
        <v>46</v>
      </c>
      <c r="BG70" s="7">
        <v>40</v>
      </c>
    </row>
    <row r="71" spans="29:59">
      <c r="AC71" s="3">
        <v>65</v>
      </c>
      <c r="AD71" s="3">
        <v>80</v>
      </c>
      <c r="AH71" s="6">
        <v>60</v>
      </c>
      <c r="AI71" s="7">
        <v>48</v>
      </c>
      <c r="AJ71" s="7">
        <v>50</v>
      </c>
      <c r="AK71" s="7">
        <v>51</v>
      </c>
      <c r="AL71" s="7">
        <v>51</v>
      </c>
      <c r="AM71" s="7">
        <v>50</v>
      </c>
      <c r="AN71" s="7">
        <v>51</v>
      </c>
      <c r="AO71" s="7">
        <v>49</v>
      </c>
      <c r="AP71" s="7">
        <v>50</v>
      </c>
      <c r="AQ71" s="7">
        <v>52</v>
      </c>
      <c r="AR71" s="7">
        <v>47</v>
      </c>
      <c r="AS71" s="7">
        <v>48</v>
      </c>
      <c r="AT71" s="7">
        <v>51</v>
      </c>
      <c r="AU71" s="7">
        <v>51</v>
      </c>
      <c r="AV71" s="7">
        <v>49</v>
      </c>
      <c r="AW71" s="7">
        <v>52</v>
      </c>
      <c r="AX71" s="7">
        <v>51</v>
      </c>
      <c r="AY71" s="7">
        <v>50</v>
      </c>
      <c r="AZ71" s="7">
        <v>48</v>
      </c>
      <c r="BA71" s="7">
        <v>50</v>
      </c>
      <c r="BB71" s="7">
        <v>65</v>
      </c>
      <c r="BC71" s="7">
        <v>48</v>
      </c>
      <c r="BD71" s="7">
        <v>50</v>
      </c>
      <c r="BE71" s="7">
        <v>49</v>
      </c>
      <c r="BF71" s="7">
        <v>49</v>
      </c>
      <c r="BG71" s="7">
        <v>51</v>
      </c>
    </row>
    <row r="72" spans="29:59">
      <c r="AC72" s="3">
        <v>66</v>
      </c>
      <c r="AD72" s="3">
        <v>80</v>
      </c>
      <c r="AH72" s="6">
        <v>61</v>
      </c>
      <c r="AI72" s="7">
        <v>48</v>
      </c>
      <c r="AJ72" s="7">
        <v>50</v>
      </c>
      <c r="AK72" s="7">
        <v>51</v>
      </c>
      <c r="AL72" s="7">
        <v>51</v>
      </c>
      <c r="AM72" s="7">
        <v>50</v>
      </c>
      <c r="AN72" s="7">
        <v>55</v>
      </c>
      <c r="AO72" s="7">
        <v>51</v>
      </c>
      <c r="AP72" s="7">
        <v>52</v>
      </c>
      <c r="AQ72" s="7">
        <v>53</v>
      </c>
      <c r="AR72" s="7">
        <v>47</v>
      </c>
      <c r="AS72" s="7">
        <v>48</v>
      </c>
      <c r="AT72" s="7">
        <v>51</v>
      </c>
      <c r="AU72" s="7">
        <v>52</v>
      </c>
      <c r="AV72" s="7">
        <v>49</v>
      </c>
      <c r="AW72" s="7">
        <v>52</v>
      </c>
      <c r="AX72" s="7">
        <v>51</v>
      </c>
      <c r="AY72" s="7">
        <v>50</v>
      </c>
      <c r="AZ72" s="7">
        <v>48</v>
      </c>
      <c r="BA72" s="7">
        <v>50</v>
      </c>
      <c r="BB72" s="7">
        <v>65</v>
      </c>
      <c r="BC72" s="7">
        <v>52</v>
      </c>
      <c r="BD72" s="7">
        <v>51</v>
      </c>
      <c r="BE72" s="7">
        <v>50</v>
      </c>
      <c r="BF72" s="7">
        <v>49</v>
      </c>
      <c r="BG72" s="7">
        <v>53</v>
      </c>
    </row>
    <row r="73" spans="29:59">
      <c r="AC73" s="3">
        <v>67</v>
      </c>
      <c r="AD73" s="3">
        <v>81</v>
      </c>
      <c r="AH73" s="6">
        <v>62</v>
      </c>
      <c r="AI73" s="7">
        <v>49</v>
      </c>
      <c r="AJ73" s="7">
        <v>50</v>
      </c>
      <c r="AK73" s="7">
        <v>51</v>
      </c>
      <c r="AL73" s="7">
        <v>51</v>
      </c>
      <c r="AM73" s="7">
        <v>52</v>
      </c>
      <c r="AN73" s="7">
        <v>55</v>
      </c>
      <c r="AO73" s="7">
        <v>56</v>
      </c>
      <c r="AP73" s="7">
        <v>60</v>
      </c>
      <c r="AQ73" s="7">
        <v>60</v>
      </c>
      <c r="AR73" s="7">
        <v>47</v>
      </c>
      <c r="AS73" s="7">
        <v>52</v>
      </c>
      <c r="AT73" s="7">
        <v>56</v>
      </c>
      <c r="AU73" s="7">
        <v>56</v>
      </c>
      <c r="AV73" s="7">
        <v>53</v>
      </c>
      <c r="AW73" s="7">
        <v>53</v>
      </c>
      <c r="AX73" s="7">
        <v>52</v>
      </c>
      <c r="AY73" s="7">
        <v>50</v>
      </c>
      <c r="AZ73" s="7">
        <v>49</v>
      </c>
      <c r="BA73" s="7">
        <v>50</v>
      </c>
      <c r="BB73" s="7">
        <v>65</v>
      </c>
      <c r="BC73" s="7">
        <v>61</v>
      </c>
      <c r="BD73" s="7">
        <v>55</v>
      </c>
      <c r="BE73" s="7">
        <v>56</v>
      </c>
      <c r="BF73" s="7">
        <v>52</v>
      </c>
      <c r="BG73" s="7">
        <v>61</v>
      </c>
    </row>
    <row r="74" spans="29:59">
      <c r="AC74" s="3">
        <v>68</v>
      </c>
      <c r="AD74" s="3">
        <v>82</v>
      </c>
      <c r="AH74" s="6">
        <v>63</v>
      </c>
      <c r="AI74" s="7">
        <v>54</v>
      </c>
      <c r="AJ74" s="7">
        <v>50</v>
      </c>
      <c r="AK74" s="7">
        <v>51</v>
      </c>
      <c r="AL74" s="7">
        <v>51</v>
      </c>
      <c r="AM74" s="7">
        <v>56</v>
      </c>
      <c r="AN74" s="7">
        <v>60</v>
      </c>
      <c r="AO74" s="7">
        <v>57</v>
      </c>
      <c r="AP74" s="7">
        <v>62</v>
      </c>
      <c r="AQ74" s="7">
        <v>64</v>
      </c>
      <c r="AR74" s="7">
        <v>49</v>
      </c>
      <c r="AS74" s="7">
        <v>53</v>
      </c>
      <c r="AT74" s="7">
        <v>60</v>
      </c>
      <c r="AU74" s="7">
        <v>59</v>
      </c>
      <c r="AV74" s="7">
        <v>53</v>
      </c>
      <c r="AW74" s="7">
        <v>57</v>
      </c>
      <c r="AX74" s="7">
        <v>52</v>
      </c>
      <c r="AY74" s="7">
        <v>52</v>
      </c>
      <c r="AZ74" s="7">
        <v>55</v>
      </c>
      <c r="BA74" s="7">
        <v>53</v>
      </c>
      <c r="BB74" s="7">
        <v>65</v>
      </c>
      <c r="BC74" s="7">
        <v>64</v>
      </c>
      <c r="BD74" s="7">
        <v>63</v>
      </c>
      <c r="BE74" s="7">
        <v>57</v>
      </c>
      <c r="BF74" s="7">
        <v>53</v>
      </c>
      <c r="BG74" s="7">
        <v>63</v>
      </c>
    </row>
    <row r="75" spans="29:59">
      <c r="AC75" s="3">
        <v>69</v>
      </c>
      <c r="AD75" s="3">
        <v>83</v>
      </c>
      <c r="AH75" s="6">
        <v>64</v>
      </c>
      <c r="AI75" s="7">
        <v>56</v>
      </c>
      <c r="AJ75" s="7">
        <v>50</v>
      </c>
      <c r="AK75" s="7">
        <v>51</v>
      </c>
      <c r="AL75" s="7">
        <v>51</v>
      </c>
      <c r="AM75" s="7">
        <v>58</v>
      </c>
      <c r="AN75" s="7">
        <v>63</v>
      </c>
      <c r="AO75" s="7">
        <v>61</v>
      </c>
      <c r="AP75" s="7">
        <v>67</v>
      </c>
      <c r="AQ75" s="7">
        <v>66</v>
      </c>
      <c r="AR75" s="7">
        <v>59</v>
      </c>
      <c r="AS75" s="7">
        <v>57</v>
      </c>
      <c r="AT75" s="7">
        <v>61</v>
      </c>
      <c r="AU75" s="7">
        <v>60</v>
      </c>
      <c r="AV75" s="7">
        <v>57</v>
      </c>
      <c r="AW75" s="7">
        <v>57</v>
      </c>
      <c r="AX75" s="7">
        <v>52</v>
      </c>
      <c r="AY75" s="7">
        <v>56</v>
      </c>
      <c r="AZ75" s="7">
        <v>55</v>
      </c>
      <c r="BA75" s="7">
        <v>53</v>
      </c>
      <c r="BB75" s="7">
        <v>65</v>
      </c>
      <c r="BC75" s="7">
        <v>72</v>
      </c>
      <c r="BD75" s="7">
        <v>60</v>
      </c>
      <c r="BE75" s="7">
        <v>61</v>
      </c>
      <c r="BF75" s="7">
        <v>55</v>
      </c>
      <c r="BG75" s="7">
        <v>69</v>
      </c>
    </row>
    <row r="76" spans="29:59">
      <c r="AC76" s="3">
        <v>70</v>
      </c>
      <c r="AD76" s="3">
        <v>84</v>
      </c>
      <c r="AH76" s="6">
        <v>65</v>
      </c>
      <c r="AI76" s="7">
        <v>61</v>
      </c>
      <c r="AJ76" s="7">
        <v>50</v>
      </c>
      <c r="AK76" s="7">
        <v>54</v>
      </c>
      <c r="AL76" s="7">
        <v>51</v>
      </c>
      <c r="AM76" s="7">
        <v>62</v>
      </c>
      <c r="AN76" s="7">
        <v>66</v>
      </c>
      <c r="AO76" s="7">
        <v>63</v>
      </c>
      <c r="AP76" s="7">
        <v>69</v>
      </c>
      <c r="AQ76" s="7">
        <v>70</v>
      </c>
      <c r="AR76" s="7">
        <v>59</v>
      </c>
      <c r="AS76" s="7">
        <v>58</v>
      </c>
      <c r="AT76" s="7">
        <v>65</v>
      </c>
      <c r="AU76" s="7">
        <v>64</v>
      </c>
      <c r="AV76" s="7">
        <v>58</v>
      </c>
      <c r="AW76" s="7">
        <v>58</v>
      </c>
      <c r="AX76" s="7">
        <v>52</v>
      </c>
      <c r="AY76" s="7">
        <v>56</v>
      </c>
      <c r="AZ76" s="7">
        <v>57</v>
      </c>
      <c r="BA76" s="7">
        <v>53</v>
      </c>
      <c r="BB76" s="7">
        <v>66</v>
      </c>
      <c r="BC76" s="7">
        <v>74</v>
      </c>
      <c r="BD76" s="7">
        <v>61</v>
      </c>
      <c r="BE76" s="7">
        <v>62</v>
      </c>
      <c r="BF76" s="7">
        <v>55</v>
      </c>
      <c r="BG76" s="7">
        <v>70</v>
      </c>
    </row>
    <row r="77" spans="29:59">
      <c r="AC77" s="3">
        <v>71</v>
      </c>
      <c r="AD77" s="3">
        <v>85</v>
      </c>
      <c r="AH77" s="6">
        <v>66</v>
      </c>
      <c r="AI77" s="7">
        <v>61</v>
      </c>
      <c r="AJ77" s="7">
        <v>50</v>
      </c>
      <c r="AK77" s="7">
        <v>54</v>
      </c>
      <c r="AL77" s="7">
        <v>51</v>
      </c>
      <c r="AM77" s="7">
        <v>62</v>
      </c>
      <c r="AN77" s="7">
        <v>67</v>
      </c>
      <c r="AO77" s="7">
        <v>68</v>
      </c>
      <c r="AP77" s="7">
        <v>74</v>
      </c>
      <c r="AQ77" s="7">
        <v>71</v>
      </c>
      <c r="AR77" s="7">
        <v>60</v>
      </c>
      <c r="AS77" s="7">
        <v>63</v>
      </c>
      <c r="AT77" s="7">
        <v>66</v>
      </c>
      <c r="AU77" s="7">
        <v>67</v>
      </c>
      <c r="AV77" s="7">
        <v>61</v>
      </c>
      <c r="AW77" s="7">
        <v>62</v>
      </c>
      <c r="AX77" s="7">
        <v>52</v>
      </c>
      <c r="AY77" s="7">
        <v>56</v>
      </c>
      <c r="AZ77" s="7">
        <v>65</v>
      </c>
      <c r="BA77" s="7">
        <v>55</v>
      </c>
      <c r="BB77" s="7">
        <v>67</v>
      </c>
      <c r="BC77" s="7">
        <v>76</v>
      </c>
      <c r="BD77" s="7">
        <v>65</v>
      </c>
      <c r="BE77" s="7">
        <v>66</v>
      </c>
      <c r="BF77" s="7">
        <v>57</v>
      </c>
      <c r="BG77" s="7">
        <v>76</v>
      </c>
    </row>
    <row r="78" spans="29:59">
      <c r="AC78" s="3">
        <v>72</v>
      </c>
      <c r="AD78" s="3">
        <v>86</v>
      </c>
      <c r="AH78" s="6">
        <v>67</v>
      </c>
      <c r="AI78" s="7">
        <v>62</v>
      </c>
      <c r="AJ78" s="7">
        <v>50</v>
      </c>
      <c r="AK78" s="7">
        <v>54</v>
      </c>
      <c r="AL78" s="7">
        <v>53</v>
      </c>
      <c r="AM78" s="7">
        <v>63</v>
      </c>
      <c r="AN78" s="7">
        <v>71</v>
      </c>
      <c r="AO78" s="7">
        <v>68</v>
      </c>
      <c r="AP78" s="7">
        <v>74</v>
      </c>
      <c r="AQ78" s="7">
        <v>77</v>
      </c>
      <c r="AR78" s="7">
        <v>62</v>
      </c>
      <c r="AS78" s="7">
        <v>63</v>
      </c>
      <c r="AT78" s="7">
        <v>70</v>
      </c>
      <c r="AU78" s="7">
        <v>67</v>
      </c>
      <c r="AV78" s="7">
        <v>62</v>
      </c>
      <c r="AW78" s="7">
        <v>63</v>
      </c>
      <c r="AX78" s="7">
        <v>52</v>
      </c>
      <c r="AY78" s="7">
        <v>57</v>
      </c>
      <c r="AZ78" s="7">
        <v>65</v>
      </c>
      <c r="BA78" s="7">
        <v>55</v>
      </c>
      <c r="BB78" s="7">
        <v>72</v>
      </c>
      <c r="BC78" s="7">
        <v>77</v>
      </c>
      <c r="BD78" s="7">
        <v>66</v>
      </c>
      <c r="BE78" s="7">
        <v>67</v>
      </c>
      <c r="BF78" s="7">
        <v>57</v>
      </c>
      <c r="BG78" s="7">
        <v>76</v>
      </c>
    </row>
    <row r="79" spans="29:59">
      <c r="AC79" s="3">
        <v>73</v>
      </c>
      <c r="AD79" s="3">
        <v>86</v>
      </c>
      <c r="AH79" s="6">
        <v>68</v>
      </c>
      <c r="AI79" s="7">
        <v>65</v>
      </c>
      <c r="AJ79" s="7">
        <v>50</v>
      </c>
      <c r="AK79" s="7">
        <v>54</v>
      </c>
      <c r="AL79" s="7">
        <v>57</v>
      </c>
      <c r="AM79" s="7">
        <v>67</v>
      </c>
      <c r="AN79" s="7">
        <v>73</v>
      </c>
      <c r="AO79" s="7">
        <v>70</v>
      </c>
      <c r="AP79" s="7">
        <v>76</v>
      </c>
      <c r="AQ79" s="7">
        <v>81</v>
      </c>
      <c r="AR79" s="7">
        <v>68</v>
      </c>
      <c r="AS79" s="7">
        <v>64</v>
      </c>
      <c r="AT79" s="7">
        <v>73</v>
      </c>
      <c r="AU79" s="7">
        <v>71</v>
      </c>
      <c r="AV79" s="7">
        <v>65</v>
      </c>
      <c r="AW79" s="7">
        <v>64</v>
      </c>
      <c r="AX79" s="7">
        <v>52</v>
      </c>
      <c r="AY79" s="7">
        <v>63</v>
      </c>
      <c r="AZ79" s="7">
        <v>67</v>
      </c>
      <c r="BA79" s="7">
        <v>56</v>
      </c>
      <c r="BB79" s="7">
        <v>80</v>
      </c>
      <c r="BC79" s="7">
        <v>79</v>
      </c>
      <c r="BD79" s="7">
        <v>70</v>
      </c>
      <c r="BE79" s="7">
        <v>72</v>
      </c>
      <c r="BF79" s="7">
        <v>57</v>
      </c>
      <c r="BG79" s="7">
        <v>79</v>
      </c>
    </row>
    <row r="80" spans="29:59">
      <c r="AC80" s="3">
        <v>74</v>
      </c>
      <c r="AD80" s="3">
        <v>87</v>
      </c>
      <c r="AH80" s="6">
        <v>69</v>
      </c>
      <c r="AI80" s="7">
        <v>67</v>
      </c>
      <c r="AJ80" s="7">
        <v>50</v>
      </c>
      <c r="AK80" s="7">
        <v>55</v>
      </c>
      <c r="AL80" s="7">
        <v>57</v>
      </c>
      <c r="AM80" s="7">
        <v>68</v>
      </c>
      <c r="AN80" s="7">
        <v>74</v>
      </c>
      <c r="AO80" s="7">
        <v>74</v>
      </c>
      <c r="AP80" s="7">
        <v>81</v>
      </c>
      <c r="AQ80" s="7">
        <v>82</v>
      </c>
      <c r="AR80" s="7">
        <v>68</v>
      </c>
      <c r="AS80" s="7">
        <v>68</v>
      </c>
      <c r="AT80" s="7">
        <v>75</v>
      </c>
      <c r="AU80" s="7">
        <v>74</v>
      </c>
      <c r="AV80" s="7">
        <v>69</v>
      </c>
      <c r="AW80" s="7">
        <v>68</v>
      </c>
      <c r="AX80" s="7">
        <v>52</v>
      </c>
      <c r="AY80" s="7">
        <v>64</v>
      </c>
      <c r="AZ80" s="7">
        <v>72</v>
      </c>
      <c r="BA80" s="7">
        <v>59</v>
      </c>
      <c r="BB80" s="7">
        <v>80</v>
      </c>
      <c r="BC80" s="7">
        <v>81</v>
      </c>
      <c r="BD80" s="7">
        <v>73</v>
      </c>
      <c r="BE80" s="7">
        <v>75</v>
      </c>
      <c r="BF80" s="7">
        <v>59</v>
      </c>
      <c r="BG80" s="7">
        <v>81</v>
      </c>
    </row>
    <row r="81" spans="29:59">
      <c r="AC81" s="3">
        <v>75</v>
      </c>
      <c r="AD81" s="3">
        <v>87</v>
      </c>
      <c r="AH81" s="6">
        <v>70</v>
      </c>
      <c r="AI81" s="7">
        <v>71</v>
      </c>
      <c r="AJ81" s="7">
        <v>50</v>
      </c>
      <c r="AK81" s="7">
        <v>57</v>
      </c>
      <c r="AL81" s="7">
        <v>57</v>
      </c>
      <c r="AM81" s="7">
        <v>72</v>
      </c>
      <c r="AN81" s="7">
        <v>77</v>
      </c>
      <c r="AO81" s="7">
        <v>75</v>
      </c>
      <c r="AP81" s="7">
        <v>81</v>
      </c>
      <c r="AQ81" s="7">
        <v>85</v>
      </c>
      <c r="AR81" s="7">
        <v>70</v>
      </c>
      <c r="AS81" s="7">
        <v>69</v>
      </c>
      <c r="AT81" s="7">
        <v>77</v>
      </c>
      <c r="AU81" s="7">
        <v>75</v>
      </c>
      <c r="AV81" s="7">
        <v>70</v>
      </c>
      <c r="AW81" s="7">
        <v>68</v>
      </c>
      <c r="AX81" s="7">
        <v>52</v>
      </c>
      <c r="AY81" s="7">
        <v>65</v>
      </c>
      <c r="AZ81" s="7">
        <v>72</v>
      </c>
      <c r="BA81" s="7">
        <v>59</v>
      </c>
      <c r="BB81" s="7">
        <v>80</v>
      </c>
      <c r="BC81" s="7">
        <v>81</v>
      </c>
      <c r="BD81" s="7">
        <v>75</v>
      </c>
      <c r="BE81" s="7">
        <v>76</v>
      </c>
      <c r="BF81" s="7">
        <v>60</v>
      </c>
      <c r="BG81" s="7">
        <v>82</v>
      </c>
    </row>
    <row r="82" spans="29:59">
      <c r="AC82" s="3">
        <v>76</v>
      </c>
      <c r="AD82" s="3">
        <v>88</v>
      </c>
      <c r="AH82" s="6">
        <v>71</v>
      </c>
      <c r="AI82" s="7">
        <v>71</v>
      </c>
      <c r="AJ82" s="7">
        <v>51</v>
      </c>
      <c r="AK82" s="7">
        <v>57</v>
      </c>
      <c r="AL82" s="7">
        <v>57</v>
      </c>
      <c r="AM82" s="7">
        <v>72</v>
      </c>
      <c r="AN82" s="7">
        <v>80</v>
      </c>
      <c r="AO82" s="7">
        <v>78</v>
      </c>
      <c r="AP82" s="7">
        <v>84</v>
      </c>
      <c r="AQ82" s="7">
        <v>87</v>
      </c>
      <c r="AR82" s="7">
        <v>79</v>
      </c>
      <c r="AS82" s="7">
        <v>72</v>
      </c>
      <c r="AT82" s="7">
        <v>78</v>
      </c>
      <c r="AU82" s="7">
        <v>79</v>
      </c>
      <c r="AV82" s="7">
        <v>72</v>
      </c>
      <c r="AW82" s="7">
        <v>70</v>
      </c>
      <c r="AX82" s="7">
        <v>52</v>
      </c>
      <c r="AY82" s="7">
        <v>70</v>
      </c>
      <c r="AZ82" s="7">
        <v>74</v>
      </c>
      <c r="BA82" s="7">
        <v>60</v>
      </c>
      <c r="BB82" s="7">
        <v>80</v>
      </c>
      <c r="BC82" s="7">
        <v>82</v>
      </c>
      <c r="BD82" s="7">
        <v>77</v>
      </c>
      <c r="BE82" s="7">
        <v>78</v>
      </c>
      <c r="BF82" s="7">
        <v>62</v>
      </c>
      <c r="BG82" s="7">
        <v>85</v>
      </c>
    </row>
    <row r="83" spans="29:59">
      <c r="AC83" s="3">
        <v>77</v>
      </c>
      <c r="AD83" s="3">
        <v>88</v>
      </c>
      <c r="AH83" s="6">
        <v>72</v>
      </c>
      <c r="AI83" s="7">
        <v>73</v>
      </c>
      <c r="AJ83" s="7">
        <v>51</v>
      </c>
      <c r="AK83" s="7">
        <v>57</v>
      </c>
      <c r="AL83" s="7">
        <v>57</v>
      </c>
      <c r="AM83" s="7">
        <v>73</v>
      </c>
      <c r="AN83" s="7">
        <v>83</v>
      </c>
      <c r="AO83" s="7">
        <v>80</v>
      </c>
      <c r="AP83" s="7">
        <v>85</v>
      </c>
      <c r="AQ83" s="7">
        <v>90</v>
      </c>
      <c r="AR83" s="7">
        <v>79</v>
      </c>
      <c r="AS83" s="7">
        <v>73</v>
      </c>
      <c r="AT83" s="7">
        <v>81</v>
      </c>
      <c r="AU83" s="7">
        <v>81</v>
      </c>
      <c r="AV83" s="7">
        <v>74</v>
      </c>
      <c r="AW83" s="7">
        <v>73</v>
      </c>
      <c r="AX83" s="7">
        <v>52</v>
      </c>
      <c r="AY83" s="7">
        <v>71</v>
      </c>
      <c r="AZ83" s="7">
        <v>79</v>
      </c>
      <c r="BA83" s="7">
        <v>62</v>
      </c>
      <c r="BB83" s="7">
        <v>81</v>
      </c>
      <c r="BC83" s="7">
        <v>83</v>
      </c>
      <c r="BD83" s="7">
        <v>79</v>
      </c>
      <c r="BE83" s="7">
        <v>81</v>
      </c>
      <c r="BF83" s="7">
        <v>63</v>
      </c>
      <c r="BG83" s="7">
        <v>87</v>
      </c>
    </row>
    <row r="84" spans="29:59">
      <c r="AC84" s="3">
        <v>78</v>
      </c>
      <c r="AD84" s="3">
        <v>89</v>
      </c>
      <c r="AH84" s="6">
        <v>73</v>
      </c>
      <c r="AI84" s="7">
        <v>76</v>
      </c>
      <c r="AJ84" s="7">
        <v>51</v>
      </c>
      <c r="AK84" s="7">
        <v>57</v>
      </c>
      <c r="AL84" s="7">
        <v>58</v>
      </c>
      <c r="AM84" s="7">
        <v>78</v>
      </c>
      <c r="AN84" s="7">
        <v>83</v>
      </c>
      <c r="AO84" s="7">
        <v>82</v>
      </c>
      <c r="AP84" s="7">
        <v>87</v>
      </c>
      <c r="AQ84" s="7">
        <v>92</v>
      </c>
      <c r="AR84" s="7">
        <v>79</v>
      </c>
      <c r="AS84" s="7">
        <v>75</v>
      </c>
      <c r="AT84" s="7">
        <v>83</v>
      </c>
      <c r="AU84" s="7">
        <v>82</v>
      </c>
      <c r="AV84" s="7">
        <v>76</v>
      </c>
      <c r="AW84" s="7">
        <v>73</v>
      </c>
      <c r="AX84" s="7">
        <v>52</v>
      </c>
      <c r="AY84" s="7">
        <v>72</v>
      </c>
      <c r="AZ84" s="7">
        <v>79</v>
      </c>
      <c r="BA84" s="7">
        <v>62</v>
      </c>
      <c r="BB84" s="7">
        <v>81</v>
      </c>
      <c r="BC84" s="7">
        <v>85</v>
      </c>
      <c r="BD84" s="7">
        <v>81</v>
      </c>
      <c r="BE84" s="7">
        <v>83</v>
      </c>
      <c r="BF84" s="7">
        <v>66</v>
      </c>
      <c r="BG84" s="7">
        <v>88</v>
      </c>
    </row>
    <row r="85" spans="29:59">
      <c r="AC85" s="3">
        <v>79</v>
      </c>
      <c r="AD85" s="3">
        <v>89</v>
      </c>
      <c r="AH85" s="6">
        <v>74</v>
      </c>
      <c r="AI85" s="7">
        <v>78</v>
      </c>
      <c r="AJ85" s="7">
        <v>52</v>
      </c>
      <c r="AK85" s="7">
        <v>57</v>
      </c>
      <c r="AL85" s="7">
        <v>59</v>
      </c>
      <c r="AM85" s="7">
        <v>79</v>
      </c>
      <c r="AN85" s="7">
        <v>87</v>
      </c>
      <c r="AO85" s="7">
        <v>84</v>
      </c>
      <c r="AP85" s="7">
        <v>89</v>
      </c>
      <c r="AQ85" s="7">
        <v>93</v>
      </c>
      <c r="AR85" s="7">
        <v>81</v>
      </c>
      <c r="AS85" s="7">
        <v>77</v>
      </c>
      <c r="AT85" s="7">
        <v>84</v>
      </c>
      <c r="AU85" s="7">
        <v>85</v>
      </c>
      <c r="AV85" s="7">
        <v>77</v>
      </c>
      <c r="AW85" s="7">
        <v>75</v>
      </c>
      <c r="AX85" s="7">
        <v>52</v>
      </c>
      <c r="AY85" s="7">
        <v>74</v>
      </c>
      <c r="AZ85" s="7">
        <v>81</v>
      </c>
      <c r="BA85" s="7">
        <v>62</v>
      </c>
      <c r="BB85" s="7">
        <v>83</v>
      </c>
      <c r="BC85" s="7">
        <v>85</v>
      </c>
      <c r="BD85" s="7">
        <v>83</v>
      </c>
      <c r="BE85" s="7">
        <v>85</v>
      </c>
      <c r="BF85" s="7">
        <v>67</v>
      </c>
      <c r="BG85" s="7">
        <v>90</v>
      </c>
    </row>
    <row r="86" spans="29:59">
      <c r="AC86" s="3">
        <v>80</v>
      </c>
      <c r="AD86" s="3">
        <v>90</v>
      </c>
      <c r="AH86" s="6">
        <v>75</v>
      </c>
      <c r="AI86" s="7">
        <v>80</v>
      </c>
      <c r="AJ86" s="7">
        <v>55</v>
      </c>
      <c r="AK86" s="7">
        <v>61</v>
      </c>
      <c r="AL86" s="7">
        <v>63</v>
      </c>
      <c r="AM86" s="7">
        <v>83</v>
      </c>
      <c r="AN86" s="7">
        <v>90</v>
      </c>
      <c r="AO86" s="7">
        <v>87</v>
      </c>
      <c r="AP86" s="7">
        <v>90</v>
      </c>
      <c r="AQ86" s="7">
        <v>93</v>
      </c>
      <c r="AR86" s="7">
        <v>85</v>
      </c>
      <c r="AS86" s="7">
        <v>79</v>
      </c>
      <c r="AT86" s="7">
        <v>85</v>
      </c>
      <c r="AU86" s="7">
        <v>86</v>
      </c>
      <c r="AV86" s="7">
        <v>79</v>
      </c>
      <c r="AW86" s="7">
        <v>78</v>
      </c>
      <c r="AX86" s="7">
        <v>57</v>
      </c>
      <c r="AY86" s="7">
        <v>78</v>
      </c>
      <c r="AZ86" s="7">
        <v>84</v>
      </c>
      <c r="BA86" s="7">
        <v>65</v>
      </c>
      <c r="BB86" s="7">
        <v>86</v>
      </c>
      <c r="BC86" s="7">
        <v>87</v>
      </c>
      <c r="BD86" s="7">
        <v>85</v>
      </c>
      <c r="BE86" s="7">
        <v>86</v>
      </c>
      <c r="BF86" s="7">
        <v>69</v>
      </c>
      <c r="BG86" s="7">
        <v>91</v>
      </c>
    </row>
    <row r="87" spans="29:59">
      <c r="AC87" s="3">
        <v>81</v>
      </c>
      <c r="AD87" s="3">
        <v>90</v>
      </c>
      <c r="AH87" s="6">
        <v>76</v>
      </c>
      <c r="AI87" s="7">
        <v>80</v>
      </c>
      <c r="AJ87" s="7">
        <v>56</v>
      </c>
      <c r="AK87" s="7">
        <v>63</v>
      </c>
      <c r="AL87" s="7">
        <v>63</v>
      </c>
      <c r="AM87" s="7">
        <v>83</v>
      </c>
      <c r="AN87" s="7">
        <v>90</v>
      </c>
      <c r="AO87" s="7">
        <v>87</v>
      </c>
      <c r="AP87" s="7">
        <v>90</v>
      </c>
      <c r="AQ87" s="7">
        <v>94</v>
      </c>
      <c r="AR87" s="7">
        <v>85</v>
      </c>
      <c r="AS87" s="7">
        <v>80</v>
      </c>
      <c r="AT87" s="7">
        <v>86</v>
      </c>
      <c r="AU87" s="7">
        <v>86</v>
      </c>
      <c r="AV87" s="7">
        <v>79</v>
      </c>
      <c r="AW87" s="7">
        <v>78</v>
      </c>
      <c r="AX87" s="7">
        <v>57</v>
      </c>
      <c r="AY87" s="7">
        <v>78</v>
      </c>
      <c r="AZ87" s="7">
        <v>84</v>
      </c>
      <c r="BA87" s="7">
        <v>65</v>
      </c>
      <c r="BB87" s="7">
        <v>86</v>
      </c>
      <c r="BC87" s="7">
        <v>87</v>
      </c>
      <c r="BD87" s="7">
        <v>85</v>
      </c>
      <c r="BE87" s="7">
        <v>86</v>
      </c>
      <c r="BF87" s="7">
        <v>70</v>
      </c>
      <c r="BG87" s="7">
        <v>91</v>
      </c>
    </row>
    <row r="88" spans="29:59">
      <c r="AC88" s="3">
        <v>82</v>
      </c>
      <c r="AD88" s="3">
        <v>91</v>
      </c>
      <c r="AH88" s="6">
        <v>77</v>
      </c>
      <c r="AI88" s="7">
        <v>81</v>
      </c>
      <c r="AJ88" s="7">
        <v>61</v>
      </c>
      <c r="AK88" s="7">
        <v>65</v>
      </c>
      <c r="AL88" s="7">
        <v>64</v>
      </c>
      <c r="AM88" s="7">
        <v>84</v>
      </c>
      <c r="AN88" s="7">
        <v>90</v>
      </c>
      <c r="AO88" s="7">
        <v>88</v>
      </c>
      <c r="AP88" s="7">
        <v>91</v>
      </c>
      <c r="AQ88" s="7">
        <v>95</v>
      </c>
      <c r="AR88" s="7">
        <v>85</v>
      </c>
      <c r="AS88" s="7">
        <v>82</v>
      </c>
      <c r="AT88" s="7">
        <v>87</v>
      </c>
      <c r="AU88" s="7">
        <v>87</v>
      </c>
      <c r="AV88" s="7">
        <v>80</v>
      </c>
      <c r="AW88" s="7">
        <v>80</v>
      </c>
      <c r="AX88" s="7">
        <v>59</v>
      </c>
      <c r="AY88" s="7">
        <v>78</v>
      </c>
      <c r="AZ88" s="7">
        <v>84</v>
      </c>
      <c r="BA88" s="7">
        <v>66</v>
      </c>
      <c r="BB88" s="7">
        <v>86</v>
      </c>
      <c r="BC88" s="7">
        <v>87</v>
      </c>
      <c r="BD88" s="7">
        <v>86</v>
      </c>
      <c r="BE88" s="7">
        <v>86</v>
      </c>
      <c r="BF88" s="7">
        <v>70</v>
      </c>
      <c r="BG88" s="7">
        <v>92</v>
      </c>
    </row>
    <row r="89" spans="29:59">
      <c r="AC89" s="3">
        <v>83</v>
      </c>
      <c r="AD89" s="3">
        <v>91</v>
      </c>
      <c r="AH89" s="6">
        <v>78</v>
      </c>
      <c r="AI89" s="7">
        <v>84</v>
      </c>
      <c r="AJ89" s="7">
        <v>64</v>
      </c>
      <c r="AK89" s="7">
        <v>68</v>
      </c>
      <c r="AL89" s="7">
        <v>68</v>
      </c>
      <c r="AM89" s="7">
        <v>87</v>
      </c>
      <c r="AN89" s="7">
        <v>90</v>
      </c>
      <c r="AO89" s="7">
        <v>90</v>
      </c>
      <c r="AP89" s="7">
        <v>92</v>
      </c>
      <c r="AQ89" s="7">
        <v>96</v>
      </c>
      <c r="AR89" s="7">
        <v>85</v>
      </c>
      <c r="AS89" s="7">
        <v>83</v>
      </c>
      <c r="AT89" s="7">
        <v>88</v>
      </c>
      <c r="AU89" s="7">
        <v>88</v>
      </c>
      <c r="AV89" s="7">
        <v>81</v>
      </c>
      <c r="AW89" s="7">
        <v>82</v>
      </c>
      <c r="AX89" s="7">
        <v>64</v>
      </c>
      <c r="AY89" s="7">
        <v>78</v>
      </c>
      <c r="AZ89" s="7">
        <v>84</v>
      </c>
      <c r="BA89" s="7">
        <v>69</v>
      </c>
      <c r="BB89" s="7">
        <v>86</v>
      </c>
      <c r="BC89" s="7">
        <v>88</v>
      </c>
      <c r="BD89" s="7">
        <v>86</v>
      </c>
      <c r="BE89" s="7">
        <v>86</v>
      </c>
      <c r="BF89" s="7">
        <v>72</v>
      </c>
      <c r="BG89" s="7">
        <v>92</v>
      </c>
    </row>
    <row r="90" spans="29:59">
      <c r="AC90" s="3">
        <v>84</v>
      </c>
      <c r="AD90" s="3">
        <v>92</v>
      </c>
      <c r="AH90" s="6">
        <v>79</v>
      </c>
      <c r="AI90" s="7">
        <v>84</v>
      </c>
      <c r="AJ90" s="7">
        <v>65</v>
      </c>
      <c r="AK90" s="7">
        <v>72</v>
      </c>
      <c r="AL90" s="7">
        <v>70</v>
      </c>
      <c r="AM90" s="7">
        <v>88</v>
      </c>
      <c r="AN90" s="7">
        <v>91</v>
      </c>
      <c r="AO90" s="7">
        <v>91</v>
      </c>
      <c r="AP90" s="7">
        <v>92</v>
      </c>
      <c r="AQ90" s="7">
        <v>96</v>
      </c>
      <c r="AR90" s="7">
        <v>87</v>
      </c>
      <c r="AS90" s="7">
        <v>85</v>
      </c>
      <c r="AT90" s="7">
        <v>90</v>
      </c>
      <c r="AU90" s="7">
        <v>88</v>
      </c>
      <c r="AV90" s="7">
        <v>81</v>
      </c>
      <c r="AW90" s="7">
        <v>82</v>
      </c>
      <c r="AX90" s="7">
        <v>67</v>
      </c>
      <c r="AY90" s="7">
        <v>80</v>
      </c>
      <c r="AZ90" s="7">
        <v>86</v>
      </c>
      <c r="BA90" s="7">
        <v>70</v>
      </c>
      <c r="BB90" s="7">
        <v>86</v>
      </c>
      <c r="BC90" s="7">
        <v>88</v>
      </c>
      <c r="BD90" s="7">
        <v>88</v>
      </c>
      <c r="BE90" s="7">
        <v>88</v>
      </c>
      <c r="BF90" s="7">
        <v>72</v>
      </c>
      <c r="BG90" s="7">
        <v>93</v>
      </c>
    </row>
    <row r="91" spans="29:59">
      <c r="AC91" s="3">
        <v>85</v>
      </c>
      <c r="AD91" s="3">
        <v>93</v>
      </c>
      <c r="AH91" s="6">
        <v>80</v>
      </c>
      <c r="AI91" s="7">
        <v>85</v>
      </c>
      <c r="AJ91" s="7">
        <v>68</v>
      </c>
      <c r="AK91" s="7">
        <v>74</v>
      </c>
      <c r="AL91" s="7">
        <v>73</v>
      </c>
      <c r="AM91" s="7">
        <v>91</v>
      </c>
      <c r="AN91" s="7">
        <v>93</v>
      </c>
      <c r="AO91" s="7">
        <v>92</v>
      </c>
      <c r="AP91" s="7">
        <v>92</v>
      </c>
      <c r="AQ91" s="7">
        <v>96</v>
      </c>
      <c r="AR91" s="7">
        <v>96</v>
      </c>
      <c r="AS91" s="7">
        <v>86</v>
      </c>
      <c r="AT91" s="7">
        <v>91</v>
      </c>
      <c r="AU91" s="7">
        <v>89</v>
      </c>
      <c r="AV91" s="7">
        <v>82</v>
      </c>
      <c r="AW91" s="7">
        <v>82</v>
      </c>
      <c r="AX91" s="7">
        <v>71</v>
      </c>
      <c r="AY91" s="7">
        <v>84</v>
      </c>
      <c r="AZ91" s="7">
        <v>89</v>
      </c>
      <c r="BA91" s="7">
        <v>72</v>
      </c>
      <c r="BB91" s="7">
        <v>86</v>
      </c>
      <c r="BC91" s="7">
        <v>88</v>
      </c>
      <c r="BD91" s="7">
        <v>89</v>
      </c>
      <c r="BE91" s="7">
        <v>89</v>
      </c>
      <c r="BF91" s="7">
        <v>73</v>
      </c>
      <c r="BG91" s="7">
        <v>94</v>
      </c>
    </row>
    <row r="92" spans="29:59">
      <c r="AC92" s="3">
        <v>86</v>
      </c>
      <c r="AD92" s="3">
        <v>93</v>
      </c>
      <c r="AH92" s="6">
        <v>81</v>
      </c>
      <c r="AI92" s="7">
        <v>87</v>
      </c>
      <c r="AJ92" s="7">
        <v>70</v>
      </c>
      <c r="AK92" s="7">
        <v>77</v>
      </c>
      <c r="AL92" s="7">
        <v>73</v>
      </c>
      <c r="AM92" s="7">
        <v>91</v>
      </c>
      <c r="AN92" s="7">
        <v>94</v>
      </c>
      <c r="AO92" s="7">
        <v>92</v>
      </c>
      <c r="AP92" s="7">
        <v>93</v>
      </c>
      <c r="AQ92" s="7">
        <v>97</v>
      </c>
      <c r="AR92" s="7">
        <v>96</v>
      </c>
      <c r="AS92" s="7">
        <v>87</v>
      </c>
      <c r="AT92" s="7">
        <v>91</v>
      </c>
      <c r="AU92" s="7">
        <v>90</v>
      </c>
      <c r="AV92" s="7">
        <v>83</v>
      </c>
      <c r="AW92" s="7">
        <v>84</v>
      </c>
      <c r="AX92" s="7">
        <v>71</v>
      </c>
      <c r="AY92" s="7">
        <v>84</v>
      </c>
      <c r="AZ92" s="7">
        <v>89</v>
      </c>
      <c r="BA92" s="7">
        <v>73</v>
      </c>
      <c r="BB92" s="7">
        <v>87</v>
      </c>
      <c r="BC92" s="7">
        <v>89</v>
      </c>
      <c r="BD92" s="7">
        <v>89</v>
      </c>
      <c r="BE92" s="7">
        <v>89</v>
      </c>
      <c r="BF92" s="7">
        <v>74</v>
      </c>
      <c r="BG92" s="7">
        <v>94</v>
      </c>
    </row>
    <row r="93" spans="29:59">
      <c r="AC93" s="3">
        <v>87</v>
      </c>
      <c r="AD93" s="3">
        <v>94</v>
      </c>
      <c r="AH93" s="6">
        <v>82</v>
      </c>
      <c r="AI93" s="7">
        <v>88</v>
      </c>
      <c r="AJ93" s="7">
        <v>74</v>
      </c>
      <c r="AK93" s="7">
        <v>78</v>
      </c>
      <c r="AL93" s="7">
        <v>75</v>
      </c>
      <c r="AM93" s="7">
        <v>91</v>
      </c>
      <c r="AN93" s="7">
        <v>94</v>
      </c>
      <c r="AO93" s="7">
        <v>93</v>
      </c>
      <c r="AP93" s="7">
        <v>94</v>
      </c>
      <c r="AQ93" s="7">
        <v>98</v>
      </c>
      <c r="AR93" s="7">
        <v>96</v>
      </c>
      <c r="AS93" s="7">
        <v>88</v>
      </c>
      <c r="AT93" s="7">
        <v>93</v>
      </c>
      <c r="AU93" s="7">
        <v>91</v>
      </c>
      <c r="AV93" s="7">
        <v>84</v>
      </c>
      <c r="AW93" s="7">
        <v>86</v>
      </c>
      <c r="AX93" s="7">
        <v>74</v>
      </c>
      <c r="AY93" s="7">
        <v>84</v>
      </c>
      <c r="AZ93" s="7">
        <v>90</v>
      </c>
      <c r="BA93" s="7">
        <v>74</v>
      </c>
      <c r="BB93" s="7">
        <v>87</v>
      </c>
      <c r="BC93" s="7">
        <v>89</v>
      </c>
      <c r="BD93" s="7">
        <v>89</v>
      </c>
      <c r="BE93" s="7">
        <v>89</v>
      </c>
      <c r="BF93" s="7">
        <v>76</v>
      </c>
      <c r="BG93" s="7">
        <v>95</v>
      </c>
    </row>
    <row r="94" spans="29:59">
      <c r="AC94" s="3">
        <v>88</v>
      </c>
      <c r="AD94" s="3">
        <v>94</v>
      </c>
      <c r="AH94" s="6">
        <v>83</v>
      </c>
      <c r="AI94" s="7">
        <v>88</v>
      </c>
      <c r="AJ94" s="7">
        <v>76</v>
      </c>
      <c r="AK94" s="7">
        <v>81</v>
      </c>
      <c r="AL94" s="7">
        <v>78</v>
      </c>
      <c r="AM94" s="7">
        <v>93</v>
      </c>
      <c r="AN94" s="7">
        <v>94</v>
      </c>
      <c r="AO94" s="7">
        <v>94</v>
      </c>
      <c r="AP94" s="7">
        <v>94</v>
      </c>
      <c r="AQ94" s="7">
        <v>98</v>
      </c>
      <c r="AR94" s="7">
        <v>96</v>
      </c>
      <c r="AS94" s="7">
        <v>89</v>
      </c>
      <c r="AT94" s="7">
        <v>93</v>
      </c>
      <c r="AU94" s="7">
        <v>91</v>
      </c>
      <c r="AV94" s="7">
        <v>84</v>
      </c>
      <c r="AW94" s="7">
        <v>86</v>
      </c>
      <c r="AX94" s="7">
        <v>78</v>
      </c>
      <c r="AY94" s="7">
        <v>85</v>
      </c>
      <c r="AZ94" s="7">
        <v>90</v>
      </c>
      <c r="BA94" s="7">
        <v>76</v>
      </c>
      <c r="BB94" s="7">
        <v>88</v>
      </c>
      <c r="BC94" s="7">
        <v>89</v>
      </c>
      <c r="BD94" s="7">
        <v>89</v>
      </c>
      <c r="BE94" s="7">
        <v>89</v>
      </c>
      <c r="BF94" s="7">
        <v>76</v>
      </c>
      <c r="BG94" s="7">
        <v>95</v>
      </c>
    </row>
    <row r="95" spans="29:59">
      <c r="AC95" s="3">
        <v>89</v>
      </c>
      <c r="AD95" s="3">
        <v>95</v>
      </c>
      <c r="AH95" s="6">
        <v>84</v>
      </c>
      <c r="AI95" s="7">
        <v>89</v>
      </c>
      <c r="AJ95" s="7">
        <v>78</v>
      </c>
      <c r="AK95" s="7">
        <v>85</v>
      </c>
      <c r="AL95" s="7">
        <v>80</v>
      </c>
      <c r="AM95" s="7">
        <v>94</v>
      </c>
      <c r="AN95" s="7">
        <v>94</v>
      </c>
      <c r="AO95" s="7">
        <v>95</v>
      </c>
      <c r="AP95" s="7">
        <v>95</v>
      </c>
      <c r="AQ95" s="7">
        <v>98</v>
      </c>
      <c r="AR95" s="7">
        <v>96</v>
      </c>
      <c r="AS95" s="7">
        <v>91</v>
      </c>
      <c r="AT95" s="7">
        <v>94</v>
      </c>
      <c r="AU95" s="7">
        <v>92</v>
      </c>
      <c r="AV95" s="7">
        <v>86</v>
      </c>
      <c r="AW95" s="7">
        <v>88</v>
      </c>
      <c r="AX95" s="7">
        <v>80</v>
      </c>
      <c r="AY95" s="7">
        <v>88</v>
      </c>
      <c r="AZ95" s="7">
        <v>91</v>
      </c>
      <c r="BA95" s="7">
        <v>77</v>
      </c>
      <c r="BB95" s="7">
        <v>88</v>
      </c>
      <c r="BC95" s="7">
        <v>90</v>
      </c>
      <c r="BD95" s="7">
        <v>91</v>
      </c>
      <c r="BE95" s="7">
        <v>90</v>
      </c>
      <c r="BF95" s="7">
        <v>78</v>
      </c>
      <c r="BG95" s="7">
        <v>96</v>
      </c>
    </row>
    <row r="96" spans="29:59">
      <c r="AC96" s="3">
        <v>90</v>
      </c>
      <c r="AD96" s="3">
        <v>95</v>
      </c>
      <c r="AH96" s="6">
        <v>85</v>
      </c>
      <c r="AI96" s="7">
        <v>91</v>
      </c>
      <c r="AJ96" s="7">
        <v>80</v>
      </c>
      <c r="AK96" s="7">
        <v>86</v>
      </c>
      <c r="AL96" s="7">
        <v>84</v>
      </c>
      <c r="AM96" s="7">
        <v>95</v>
      </c>
      <c r="AN96" s="7">
        <v>97</v>
      </c>
      <c r="AO96" s="7">
        <v>95</v>
      </c>
      <c r="AP96" s="7">
        <v>96</v>
      </c>
      <c r="AQ96" s="7">
        <v>98</v>
      </c>
      <c r="AR96" s="7">
        <v>97</v>
      </c>
      <c r="AS96" s="7">
        <v>92</v>
      </c>
      <c r="AT96" s="7">
        <v>94</v>
      </c>
      <c r="AU96" s="7">
        <v>92</v>
      </c>
      <c r="AV96" s="7">
        <v>87</v>
      </c>
      <c r="AW96" s="7">
        <v>89</v>
      </c>
      <c r="AX96" s="7">
        <v>82</v>
      </c>
      <c r="AY96" s="7">
        <v>90</v>
      </c>
      <c r="AZ96" s="7">
        <v>93</v>
      </c>
      <c r="BA96" s="7">
        <v>78</v>
      </c>
      <c r="BB96" s="7">
        <v>91</v>
      </c>
      <c r="BC96" s="7">
        <v>92</v>
      </c>
      <c r="BD96" s="7">
        <v>92</v>
      </c>
      <c r="BE96" s="7">
        <v>91</v>
      </c>
      <c r="BF96" s="7">
        <v>80</v>
      </c>
      <c r="BG96" s="7">
        <v>96</v>
      </c>
    </row>
    <row r="97" spans="29:59">
      <c r="AC97" s="3">
        <v>91</v>
      </c>
      <c r="AD97" s="3">
        <v>96</v>
      </c>
      <c r="AH97" s="6">
        <v>86</v>
      </c>
      <c r="AI97" s="7">
        <v>91</v>
      </c>
      <c r="AJ97" s="7">
        <v>80</v>
      </c>
      <c r="AK97" s="7">
        <v>86</v>
      </c>
      <c r="AL97" s="7">
        <v>84</v>
      </c>
      <c r="AM97" s="7">
        <v>95</v>
      </c>
      <c r="AN97" s="7">
        <v>97</v>
      </c>
      <c r="AO97" s="7">
        <v>95</v>
      </c>
      <c r="AP97" s="7">
        <v>96</v>
      </c>
      <c r="AQ97" s="7">
        <v>98</v>
      </c>
      <c r="AR97" s="7">
        <v>97</v>
      </c>
      <c r="AS97" s="7">
        <v>93</v>
      </c>
      <c r="AT97" s="7">
        <v>94</v>
      </c>
      <c r="AU97" s="7">
        <v>92</v>
      </c>
      <c r="AV97" s="7">
        <v>87</v>
      </c>
      <c r="AW97" s="7">
        <v>89</v>
      </c>
      <c r="AX97" s="7">
        <v>82</v>
      </c>
      <c r="AY97" s="7">
        <v>90</v>
      </c>
      <c r="AZ97" s="7">
        <v>93</v>
      </c>
      <c r="BA97" s="7">
        <v>78</v>
      </c>
      <c r="BB97" s="7">
        <v>91</v>
      </c>
      <c r="BC97" s="7">
        <v>92</v>
      </c>
      <c r="BD97" s="7">
        <v>92</v>
      </c>
      <c r="BE97" s="7">
        <v>91</v>
      </c>
      <c r="BF97" s="7">
        <v>80</v>
      </c>
      <c r="BG97" s="7">
        <v>96</v>
      </c>
    </row>
    <row r="98" spans="29:59">
      <c r="AC98" s="3">
        <v>92</v>
      </c>
      <c r="AD98" s="3">
        <v>96</v>
      </c>
      <c r="AH98" s="6">
        <v>87</v>
      </c>
      <c r="AI98" s="7">
        <v>91</v>
      </c>
      <c r="AJ98" s="7">
        <v>80</v>
      </c>
      <c r="AK98" s="7">
        <v>87</v>
      </c>
      <c r="AL98" s="7">
        <v>84</v>
      </c>
      <c r="AM98" s="7">
        <v>95</v>
      </c>
      <c r="AN98" s="7">
        <v>97</v>
      </c>
      <c r="AO98" s="7">
        <v>96</v>
      </c>
      <c r="AP98" s="7">
        <v>96</v>
      </c>
      <c r="AQ98" s="7">
        <v>98</v>
      </c>
      <c r="AR98" s="7">
        <v>97</v>
      </c>
      <c r="AS98" s="7">
        <v>93</v>
      </c>
      <c r="AT98" s="7">
        <v>94</v>
      </c>
      <c r="AU98" s="7">
        <v>93</v>
      </c>
      <c r="AV98" s="7">
        <v>88</v>
      </c>
      <c r="AW98" s="7">
        <v>91</v>
      </c>
      <c r="AX98" s="7">
        <v>82</v>
      </c>
      <c r="AY98" s="7">
        <v>90</v>
      </c>
      <c r="AZ98" s="7">
        <v>93</v>
      </c>
      <c r="BA98" s="7">
        <v>79</v>
      </c>
      <c r="BB98" s="7">
        <v>92</v>
      </c>
      <c r="BC98" s="7">
        <v>92</v>
      </c>
      <c r="BD98" s="7">
        <v>92</v>
      </c>
      <c r="BE98" s="7">
        <v>91</v>
      </c>
      <c r="BF98" s="7">
        <v>80</v>
      </c>
      <c r="BG98" s="7">
        <v>96</v>
      </c>
    </row>
    <row r="99" spans="29:59">
      <c r="AC99" s="3">
        <v>93</v>
      </c>
      <c r="AD99" s="3">
        <v>97</v>
      </c>
      <c r="AH99" s="6">
        <v>88</v>
      </c>
      <c r="AI99" s="7">
        <v>91</v>
      </c>
      <c r="AJ99" s="7">
        <v>81</v>
      </c>
      <c r="AK99" s="7">
        <v>87</v>
      </c>
      <c r="AL99" s="7">
        <v>86</v>
      </c>
      <c r="AM99" s="7">
        <v>98</v>
      </c>
      <c r="AN99" s="7">
        <v>97</v>
      </c>
      <c r="AO99" s="7">
        <v>96</v>
      </c>
      <c r="AP99" s="7">
        <v>97</v>
      </c>
      <c r="AQ99" s="7">
        <v>98</v>
      </c>
      <c r="AR99" s="7">
        <v>97</v>
      </c>
      <c r="AS99" s="7">
        <v>93</v>
      </c>
      <c r="AT99" s="7">
        <v>95</v>
      </c>
      <c r="AU99" s="7">
        <v>93</v>
      </c>
      <c r="AV99" s="7">
        <v>89</v>
      </c>
      <c r="AW99" s="7">
        <v>92</v>
      </c>
      <c r="AX99" s="7">
        <v>82</v>
      </c>
      <c r="AY99" s="7">
        <v>90</v>
      </c>
      <c r="AZ99" s="7">
        <v>94</v>
      </c>
      <c r="BA99" s="7">
        <v>79</v>
      </c>
      <c r="BB99" s="7">
        <v>93</v>
      </c>
      <c r="BC99" s="7">
        <v>92</v>
      </c>
      <c r="BD99" s="7">
        <v>92</v>
      </c>
      <c r="BE99" s="7">
        <v>93</v>
      </c>
      <c r="BF99" s="7">
        <v>81</v>
      </c>
      <c r="BG99" s="7">
        <v>97</v>
      </c>
    </row>
    <row r="100" spans="29:59">
      <c r="AC100" s="3">
        <v>94</v>
      </c>
      <c r="AD100" s="3">
        <v>97</v>
      </c>
      <c r="AH100" s="6">
        <v>89</v>
      </c>
      <c r="AI100" s="7">
        <v>91</v>
      </c>
      <c r="AJ100" s="7">
        <v>84</v>
      </c>
      <c r="AK100" s="7">
        <v>87</v>
      </c>
      <c r="AL100" s="7">
        <v>88</v>
      </c>
      <c r="AM100" s="7">
        <v>98</v>
      </c>
      <c r="AN100" s="7">
        <v>97</v>
      </c>
      <c r="AO100" s="7">
        <v>96</v>
      </c>
      <c r="AP100" s="7">
        <v>97</v>
      </c>
      <c r="AQ100" s="7">
        <v>99</v>
      </c>
      <c r="AR100" s="7">
        <v>97</v>
      </c>
      <c r="AS100" s="7">
        <v>95</v>
      </c>
      <c r="AT100" s="7">
        <v>95</v>
      </c>
      <c r="AU100" s="7">
        <v>95</v>
      </c>
      <c r="AV100" s="7">
        <v>90</v>
      </c>
      <c r="AW100" s="7">
        <v>92</v>
      </c>
      <c r="AX100" s="7">
        <v>84</v>
      </c>
      <c r="AY100" s="7">
        <v>90</v>
      </c>
      <c r="AZ100" s="7">
        <v>95</v>
      </c>
      <c r="BA100" s="7">
        <v>81</v>
      </c>
      <c r="BB100" s="7">
        <v>93</v>
      </c>
      <c r="BC100" s="7">
        <v>92</v>
      </c>
      <c r="BD100" s="7">
        <v>92</v>
      </c>
      <c r="BE100" s="7">
        <v>93</v>
      </c>
      <c r="BF100" s="7">
        <v>83</v>
      </c>
      <c r="BG100" s="7">
        <v>97</v>
      </c>
    </row>
    <row r="101" spans="29:59">
      <c r="AC101" s="3">
        <v>95</v>
      </c>
      <c r="AD101" s="3">
        <v>98</v>
      </c>
      <c r="AH101" s="6">
        <v>90</v>
      </c>
      <c r="AI101" s="7">
        <v>93</v>
      </c>
      <c r="AJ101" s="7">
        <v>84</v>
      </c>
      <c r="AK101" s="7">
        <v>88</v>
      </c>
      <c r="AL101" s="7">
        <v>88</v>
      </c>
      <c r="AM101" s="7">
        <v>98</v>
      </c>
      <c r="AN101" s="7">
        <v>97</v>
      </c>
      <c r="AO101" s="7">
        <v>97</v>
      </c>
      <c r="AP101" s="7">
        <v>97</v>
      </c>
      <c r="AQ101" s="7">
        <v>99</v>
      </c>
      <c r="AR101" s="7">
        <v>97</v>
      </c>
      <c r="AS101" s="7">
        <v>96</v>
      </c>
      <c r="AT101" s="7">
        <v>95</v>
      </c>
      <c r="AU101" s="7">
        <v>95</v>
      </c>
      <c r="AV101" s="7">
        <v>90</v>
      </c>
      <c r="AW101" s="7">
        <v>93</v>
      </c>
      <c r="AX101" s="7">
        <v>86</v>
      </c>
      <c r="AY101" s="7">
        <v>90</v>
      </c>
      <c r="AZ101" s="7">
        <v>96</v>
      </c>
      <c r="BA101" s="7">
        <v>83</v>
      </c>
      <c r="BB101" s="7">
        <v>93</v>
      </c>
      <c r="BC101" s="7">
        <v>93</v>
      </c>
      <c r="BD101" s="7">
        <v>93</v>
      </c>
      <c r="BE101" s="7">
        <v>94</v>
      </c>
      <c r="BF101" s="7">
        <v>83</v>
      </c>
      <c r="BG101" s="7">
        <v>98</v>
      </c>
    </row>
    <row r="102" spans="29:59">
      <c r="AC102" s="3">
        <v>96</v>
      </c>
      <c r="AD102" s="3">
        <v>98</v>
      </c>
      <c r="AH102" s="6">
        <v>91</v>
      </c>
      <c r="AI102" s="7">
        <v>94</v>
      </c>
      <c r="AJ102" s="7">
        <v>84</v>
      </c>
      <c r="AK102" s="7">
        <v>89</v>
      </c>
      <c r="AL102" s="7">
        <v>88</v>
      </c>
      <c r="AM102" s="7">
        <v>98</v>
      </c>
      <c r="AN102" s="7">
        <v>97</v>
      </c>
      <c r="AO102" s="7">
        <v>97</v>
      </c>
      <c r="AP102" s="7">
        <v>97</v>
      </c>
      <c r="AQ102" s="7">
        <v>99</v>
      </c>
      <c r="AR102" s="7">
        <v>97</v>
      </c>
      <c r="AS102" s="7">
        <v>96</v>
      </c>
      <c r="AT102" s="7">
        <v>95</v>
      </c>
      <c r="AU102" s="7">
        <v>95</v>
      </c>
      <c r="AV102" s="7">
        <v>90</v>
      </c>
      <c r="AW102" s="7">
        <v>94</v>
      </c>
      <c r="AX102" s="7">
        <v>86</v>
      </c>
      <c r="AY102" s="7">
        <v>90</v>
      </c>
      <c r="AZ102" s="7">
        <v>96</v>
      </c>
      <c r="BA102" s="7">
        <v>83</v>
      </c>
      <c r="BB102" s="7">
        <v>94</v>
      </c>
      <c r="BC102" s="7">
        <v>93</v>
      </c>
      <c r="BD102" s="7">
        <v>93</v>
      </c>
      <c r="BE102" s="7">
        <v>94</v>
      </c>
      <c r="BF102" s="7">
        <v>83</v>
      </c>
      <c r="BG102" s="7">
        <v>98</v>
      </c>
    </row>
    <row r="103" spans="29:59">
      <c r="AC103" s="3">
        <v>97</v>
      </c>
      <c r="AD103" s="3">
        <v>99</v>
      </c>
      <c r="AH103" s="6">
        <v>92</v>
      </c>
      <c r="AI103" s="7">
        <v>94</v>
      </c>
      <c r="AJ103" s="7">
        <v>84</v>
      </c>
      <c r="AK103" s="7">
        <v>89</v>
      </c>
      <c r="AL103" s="7">
        <v>88</v>
      </c>
      <c r="AM103" s="7">
        <v>98</v>
      </c>
      <c r="AN103" s="7">
        <v>97</v>
      </c>
      <c r="AO103" s="7">
        <v>97</v>
      </c>
      <c r="AP103" s="7">
        <v>98</v>
      </c>
      <c r="AQ103" s="7">
        <v>99</v>
      </c>
      <c r="AR103" s="7">
        <v>97</v>
      </c>
      <c r="AS103" s="7">
        <v>96</v>
      </c>
      <c r="AT103" s="7">
        <v>96</v>
      </c>
      <c r="AU103" s="7">
        <v>96</v>
      </c>
      <c r="AV103" s="7">
        <v>92</v>
      </c>
      <c r="AW103" s="7">
        <v>94</v>
      </c>
      <c r="AX103" s="7">
        <v>86</v>
      </c>
      <c r="AY103" s="7">
        <v>90</v>
      </c>
      <c r="AZ103" s="7">
        <v>96</v>
      </c>
      <c r="BA103" s="7">
        <v>84</v>
      </c>
      <c r="BB103" s="7">
        <v>95</v>
      </c>
      <c r="BC103" s="7">
        <v>93</v>
      </c>
      <c r="BD103" s="7">
        <v>95</v>
      </c>
      <c r="BE103" s="7">
        <v>95</v>
      </c>
      <c r="BF103" s="7">
        <v>83</v>
      </c>
      <c r="BG103" s="7">
        <v>98</v>
      </c>
    </row>
    <row r="104" spans="29:59">
      <c r="AC104" s="3">
        <v>98</v>
      </c>
      <c r="AD104" s="3">
        <v>99</v>
      </c>
      <c r="AH104" s="6">
        <v>93</v>
      </c>
      <c r="AI104" s="7">
        <v>94</v>
      </c>
      <c r="AJ104" s="7">
        <v>86</v>
      </c>
      <c r="AK104" s="7">
        <v>89</v>
      </c>
      <c r="AL104" s="7">
        <v>90</v>
      </c>
      <c r="AM104" s="7">
        <v>99</v>
      </c>
      <c r="AN104" s="7">
        <v>99</v>
      </c>
      <c r="AO104" s="7">
        <v>98</v>
      </c>
      <c r="AP104" s="7">
        <v>98</v>
      </c>
      <c r="AQ104" s="7">
        <v>99</v>
      </c>
      <c r="AR104" s="7">
        <v>97</v>
      </c>
      <c r="AS104" s="7">
        <v>96</v>
      </c>
      <c r="AT104" s="7">
        <v>96</v>
      </c>
      <c r="AU104" s="7">
        <v>96</v>
      </c>
      <c r="AV104" s="7">
        <v>92</v>
      </c>
      <c r="AW104" s="7">
        <v>95</v>
      </c>
      <c r="AX104" s="7">
        <v>87</v>
      </c>
      <c r="AY104" s="7">
        <v>91</v>
      </c>
      <c r="AZ104" s="7">
        <v>97</v>
      </c>
      <c r="BA104" s="7">
        <v>84</v>
      </c>
      <c r="BB104" s="7">
        <v>95</v>
      </c>
      <c r="BC104" s="7">
        <v>93</v>
      </c>
      <c r="BD104" s="7">
        <v>96</v>
      </c>
      <c r="BE104" s="7">
        <v>96</v>
      </c>
      <c r="BF104" s="7">
        <v>84</v>
      </c>
      <c r="BG104" s="7">
        <v>98</v>
      </c>
    </row>
    <row r="105" spans="29:59">
      <c r="AC105" s="3">
        <v>99</v>
      </c>
      <c r="AD105" s="3">
        <v>100</v>
      </c>
      <c r="AH105" s="6">
        <v>94</v>
      </c>
      <c r="AI105" s="7">
        <v>94</v>
      </c>
      <c r="AJ105" s="7">
        <v>88</v>
      </c>
      <c r="AK105" s="7">
        <v>89</v>
      </c>
      <c r="AL105" s="7">
        <v>93</v>
      </c>
      <c r="AM105" s="7">
        <v>99</v>
      </c>
      <c r="AN105" s="7">
        <v>99</v>
      </c>
      <c r="AO105" s="7">
        <v>98</v>
      </c>
      <c r="AP105" s="7">
        <v>98</v>
      </c>
      <c r="AQ105" s="7">
        <v>99</v>
      </c>
      <c r="AR105" s="7">
        <v>97</v>
      </c>
      <c r="AS105" s="7">
        <v>97</v>
      </c>
      <c r="AT105" s="7">
        <v>96</v>
      </c>
      <c r="AU105" s="7">
        <v>97</v>
      </c>
      <c r="AV105" s="7">
        <v>93</v>
      </c>
      <c r="AW105" s="7">
        <v>95</v>
      </c>
      <c r="AX105" s="7">
        <v>88</v>
      </c>
      <c r="AY105" s="7">
        <v>93</v>
      </c>
      <c r="AZ105" s="7">
        <v>97</v>
      </c>
      <c r="BA105" s="7">
        <v>86</v>
      </c>
      <c r="BB105" s="7">
        <v>96</v>
      </c>
      <c r="BC105" s="7">
        <v>94</v>
      </c>
      <c r="BD105" s="7">
        <v>96</v>
      </c>
      <c r="BE105" s="7">
        <v>96</v>
      </c>
      <c r="BF105" s="7">
        <v>86</v>
      </c>
      <c r="BG105" s="7">
        <v>99</v>
      </c>
    </row>
    <row r="106" spans="29:59">
      <c r="AC106" s="3">
        <v>100</v>
      </c>
      <c r="AD106" s="3">
        <v>100</v>
      </c>
      <c r="AH106" s="6">
        <v>95</v>
      </c>
      <c r="AI106" s="7">
        <v>94</v>
      </c>
      <c r="AJ106" s="7">
        <v>88</v>
      </c>
      <c r="AK106" s="7">
        <v>89</v>
      </c>
      <c r="AL106" s="7">
        <v>93</v>
      </c>
      <c r="AM106" s="7">
        <v>99</v>
      </c>
      <c r="AN106" s="7">
        <v>99</v>
      </c>
      <c r="AO106" s="7">
        <v>98</v>
      </c>
      <c r="AP106" s="7">
        <v>99</v>
      </c>
      <c r="AQ106" s="7">
        <v>99</v>
      </c>
      <c r="AR106" s="7">
        <v>97</v>
      </c>
      <c r="AS106" s="7">
        <v>97</v>
      </c>
      <c r="AT106" s="7">
        <v>97</v>
      </c>
      <c r="AU106" s="7">
        <v>97</v>
      </c>
      <c r="AV106" s="7">
        <v>94</v>
      </c>
      <c r="AW106" s="7">
        <v>97</v>
      </c>
      <c r="AX106" s="7">
        <v>91</v>
      </c>
      <c r="AY106" s="7">
        <v>94</v>
      </c>
      <c r="AZ106" s="7">
        <v>98</v>
      </c>
      <c r="BA106" s="7">
        <v>87</v>
      </c>
      <c r="BB106" s="7">
        <v>96</v>
      </c>
      <c r="BC106" s="7">
        <v>95</v>
      </c>
      <c r="BD106" s="7">
        <v>96</v>
      </c>
      <c r="BE106" s="7">
        <v>97</v>
      </c>
      <c r="BF106" s="7">
        <v>86</v>
      </c>
      <c r="BG106" s="7">
        <v>99</v>
      </c>
    </row>
    <row r="107" spans="29:59">
      <c r="AC107" s="3">
        <v>101</v>
      </c>
      <c r="AD107" s="3">
        <v>100</v>
      </c>
      <c r="AH107" s="6">
        <v>96</v>
      </c>
      <c r="AI107" s="7">
        <v>95</v>
      </c>
      <c r="AJ107" s="7">
        <v>88</v>
      </c>
      <c r="AK107" s="7">
        <v>91</v>
      </c>
      <c r="AL107" s="7">
        <v>93</v>
      </c>
      <c r="AM107" s="7">
        <v>99</v>
      </c>
      <c r="AN107" s="7">
        <v>99</v>
      </c>
      <c r="AO107" s="7">
        <v>99</v>
      </c>
      <c r="AP107" s="7">
        <v>99</v>
      </c>
      <c r="AQ107" s="7">
        <v>99</v>
      </c>
      <c r="AR107" s="7">
        <v>98</v>
      </c>
      <c r="AS107" s="7">
        <v>98</v>
      </c>
      <c r="AT107" s="7">
        <v>97</v>
      </c>
      <c r="AU107" s="7">
        <v>97</v>
      </c>
      <c r="AV107" s="7">
        <v>94</v>
      </c>
      <c r="AW107" s="7">
        <v>97</v>
      </c>
      <c r="AX107" s="7">
        <v>91</v>
      </c>
      <c r="AY107" s="7">
        <v>94</v>
      </c>
      <c r="AZ107" s="7">
        <v>98</v>
      </c>
      <c r="BA107" s="7">
        <v>87</v>
      </c>
      <c r="BB107" s="7">
        <v>96</v>
      </c>
      <c r="BC107" s="7">
        <v>95</v>
      </c>
      <c r="BD107" s="7">
        <v>97</v>
      </c>
      <c r="BE107" s="7">
        <v>97</v>
      </c>
      <c r="BF107" s="7">
        <v>86</v>
      </c>
      <c r="BG107" s="7">
        <v>99</v>
      </c>
    </row>
    <row r="108" spans="29:59">
      <c r="AC108" s="3">
        <v>102</v>
      </c>
      <c r="AD108" s="3">
        <v>100</v>
      </c>
      <c r="AH108" s="6">
        <v>97</v>
      </c>
      <c r="AI108" s="7">
        <v>96</v>
      </c>
      <c r="AJ108" s="7">
        <v>90</v>
      </c>
      <c r="AK108" s="7">
        <v>91</v>
      </c>
      <c r="AL108" s="7">
        <v>94</v>
      </c>
      <c r="AM108" s="7">
        <v>99</v>
      </c>
      <c r="AN108" s="7">
        <v>99</v>
      </c>
      <c r="AO108" s="7">
        <v>99</v>
      </c>
      <c r="AP108" s="7">
        <v>99</v>
      </c>
      <c r="AQ108" s="7">
        <v>99</v>
      </c>
      <c r="AR108" s="7">
        <v>98</v>
      </c>
      <c r="AS108" s="7">
        <v>98</v>
      </c>
      <c r="AT108" s="7">
        <v>97</v>
      </c>
      <c r="AU108" s="7">
        <v>97</v>
      </c>
      <c r="AV108" s="7">
        <v>94</v>
      </c>
      <c r="AW108" s="7">
        <v>98</v>
      </c>
      <c r="AX108" s="7">
        <v>91</v>
      </c>
      <c r="AY108" s="7">
        <v>94</v>
      </c>
      <c r="AZ108" s="7">
        <v>98</v>
      </c>
      <c r="BA108" s="7">
        <v>87</v>
      </c>
      <c r="BB108" s="7">
        <v>96</v>
      </c>
      <c r="BC108" s="7">
        <v>95</v>
      </c>
      <c r="BD108" s="7">
        <v>97</v>
      </c>
      <c r="BE108" s="7">
        <v>97</v>
      </c>
      <c r="BF108" s="7">
        <v>88</v>
      </c>
      <c r="BG108" s="7">
        <v>99</v>
      </c>
    </row>
    <row r="109" spans="29:59">
      <c r="AC109" s="3">
        <v>103</v>
      </c>
      <c r="AD109" s="3">
        <v>100</v>
      </c>
      <c r="AH109" s="6">
        <v>98</v>
      </c>
      <c r="AI109" s="7">
        <v>96</v>
      </c>
      <c r="AJ109" s="7">
        <v>91</v>
      </c>
      <c r="AK109" s="7">
        <v>91</v>
      </c>
      <c r="AL109" s="7">
        <v>96</v>
      </c>
      <c r="AM109" s="7">
        <v>99</v>
      </c>
      <c r="AN109" s="7">
        <v>99</v>
      </c>
      <c r="AO109" s="7">
        <v>99</v>
      </c>
      <c r="AP109" s="7">
        <v>99</v>
      </c>
      <c r="AQ109" s="7">
        <v>99</v>
      </c>
      <c r="AR109" s="7">
        <v>98</v>
      </c>
      <c r="AS109" s="7">
        <v>98</v>
      </c>
      <c r="AT109" s="7">
        <v>97</v>
      </c>
      <c r="AU109" s="7">
        <v>97</v>
      </c>
      <c r="AV109" s="7">
        <v>95</v>
      </c>
      <c r="AW109" s="7">
        <v>98</v>
      </c>
      <c r="AX109" s="7">
        <v>91</v>
      </c>
      <c r="AY109" s="7">
        <v>94</v>
      </c>
      <c r="AZ109" s="7">
        <v>98</v>
      </c>
      <c r="BA109" s="7">
        <v>87</v>
      </c>
      <c r="BB109" s="7">
        <v>97</v>
      </c>
      <c r="BC109" s="7">
        <v>95</v>
      </c>
      <c r="BD109" s="7">
        <v>97</v>
      </c>
      <c r="BE109" s="7">
        <v>97</v>
      </c>
      <c r="BF109" s="7">
        <v>89</v>
      </c>
      <c r="BG109" s="7">
        <v>99</v>
      </c>
    </row>
    <row r="110" spans="29:59">
      <c r="AC110" s="3">
        <v>104</v>
      </c>
      <c r="AD110" s="3">
        <v>100</v>
      </c>
      <c r="AH110" s="6">
        <v>99</v>
      </c>
      <c r="AI110" s="7">
        <v>96</v>
      </c>
      <c r="AJ110" s="7">
        <v>91</v>
      </c>
      <c r="AK110" s="7">
        <v>92</v>
      </c>
      <c r="AL110" s="7">
        <v>96</v>
      </c>
      <c r="AM110" s="7">
        <v>99</v>
      </c>
      <c r="AN110" s="7">
        <v>99</v>
      </c>
      <c r="AO110" s="7">
        <v>99</v>
      </c>
      <c r="AP110" s="7">
        <v>99</v>
      </c>
      <c r="AQ110" s="7">
        <v>99</v>
      </c>
      <c r="AR110" s="7">
        <v>98</v>
      </c>
      <c r="AS110" s="7">
        <v>98</v>
      </c>
      <c r="AT110" s="7">
        <v>98</v>
      </c>
      <c r="AU110" s="7">
        <v>98</v>
      </c>
      <c r="AV110" s="7">
        <v>96</v>
      </c>
      <c r="AW110" s="7">
        <v>98</v>
      </c>
      <c r="AX110" s="7">
        <v>94</v>
      </c>
      <c r="AY110" s="7">
        <v>94</v>
      </c>
      <c r="AZ110" s="7">
        <v>98</v>
      </c>
      <c r="BA110" s="7">
        <v>89</v>
      </c>
      <c r="BB110" s="7">
        <v>97</v>
      </c>
      <c r="BC110" s="7">
        <v>96</v>
      </c>
      <c r="BD110" s="7">
        <v>98</v>
      </c>
      <c r="BE110" s="7">
        <v>98</v>
      </c>
      <c r="BF110" s="7">
        <v>89</v>
      </c>
      <c r="BG110" s="7">
        <v>99</v>
      </c>
    </row>
    <row r="111" spans="29:59">
      <c r="AC111" s="3">
        <v>105</v>
      </c>
      <c r="AD111" s="3">
        <v>100</v>
      </c>
      <c r="AH111" s="6">
        <v>100</v>
      </c>
      <c r="AI111" s="7">
        <v>96</v>
      </c>
      <c r="AJ111" s="7">
        <v>92</v>
      </c>
      <c r="AK111" s="7">
        <v>92</v>
      </c>
      <c r="AL111" s="7">
        <v>96</v>
      </c>
      <c r="AM111" s="7">
        <v>99</v>
      </c>
      <c r="AN111" s="7">
        <v>99</v>
      </c>
      <c r="AO111" s="7">
        <v>99</v>
      </c>
      <c r="AP111" s="7">
        <v>99</v>
      </c>
      <c r="AQ111" s="7">
        <v>99</v>
      </c>
      <c r="AR111" s="7">
        <v>99</v>
      </c>
      <c r="AS111" s="7">
        <v>98</v>
      </c>
      <c r="AT111" s="7">
        <v>98</v>
      </c>
      <c r="AU111" s="7">
        <v>98</v>
      </c>
      <c r="AV111" s="7">
        <v>96</v>
      </c>
      <c r="AW111" s="7">
        <v>98</v>
      </c>
      <c r="AX111" s="7">
        <v>94</v>
      </c>
      <c r="AY111" s="7">
        <v>94</v>
      </c>
      <c r="AZ111" s="7">
        <v>99</v>
      </c>
      <c r="BA111" s="7">
        <v>90</v>
      </c>
      <c r="BB111" s="7">
        <v>97</v>
      </c>
      <c r="BC111" s="7">
        <v>96</v>
      </c>
      <c r="BD111" s="7">
        <v>99</v>
      </c>
      <c r="BE111" s="7">
        <v>98</v>
      </c>
      <c r="BF111" s="7">
        <v>90</v>
      </c>
      <c r="BG111" s="7">
        <v>99</v>
      </c>
    </row>
    <row r="112" spans="29:59">
      <c r="AC112" s="3">
        <v>106</v>
      </c>
      <c r="AD112" s="3">
        <v>100</v>
      </c>
      <c r="AH112" s="6">
        <v>101</v>
      </c>
      <c r="AI112" s="7">
        <v>96</v>
      </c>
      <c r="AJ112" s="7">
        <v>92</v>
      </c>
      <c r="AK112" s="7">
        <v>92</v>
      </c>
      <c r="AL112" s="7">
        <v>96</v>
      </c>
      <c r="AM112" s="7">
        <v>99</v>
      </c>
      <c r="AN112" s="7">
        <v>99</v>
      </c>
      <c r="AO112" s="7">
        <v>99</v>
      </c>
      <c r="AP112" s="7">
        <v>99</v>
      </c>
      <c r="AQ112" s="7">
        <v>99</v>
      </c>
      <c r="AR112" s="7">
        <v>99</v>
      </c>
      <c r="AS112" s="7">
        <v>98</v>
      </c>
      <c r="AT112" s="7">
        <v>98</v>
      </c>
      <c r="AU112" s="7">
        <v>98</v>
      </c>
      <c r="AV112" s="7">
        <v>96</v>
      </c>
      <c r="AW112" s="7">
        <v>99</v>
      </c>
      <c r="AX112" s="7">
        <v>94</v>
      </c>
      <c r="AY112" s="7">
        <v>94</v>
      </c>
      <c r="AZ112" s="7">
        <v>99</v>
      </c>
      <c r="BA112" s="7">
        <v>90</v>
      </c>
      <c r="BB112" s="7">
        <v>97</v>
      </c>
      <c r="BC112" s="7">
        <v>96</v>
      </c>
      <c r="BD112" s="7">
        <v>99</v>
      </c>
      <c r="BE112" s="7">
        <v>98</v>
      </c>
      <c r="BF112" s="7">
        <v>91</v>
      </c>
      <c r="BG112" s="7">
        <v>99</v>
      </c>
    </row>
    <row r="113" spans="29:59">
      <c r="AC113" s="3">
        <v>107</v>
      </c>
      <c r="AD113" s="3">
        <v>100</v>
      </c>
      <c r="AH113" s="6">
        <v>102</v>
      </c>
      <c r="AI113" s="7">
        <v>98</v>
      </c>
      <c r="AJ113" s="7">
        <v>94</v>
      </c>
      <c r="AK113" s="7">
        <v>94</v>
      </c>
      <c r="AL113" s="7">
        <v>97</v>
      </c>
      <c r="AM113" s="7">
        <v>99</v>
      </c>
      <c r="AN113" s="7">
        <v>99</v>
      </c>
      <c r="AO113" s="7">
        <v>99</v>
      </c>
      <c r="AP113" s="7">
        <v>99</v>
      </c>
      <c r="AQ113" s="7">
        <v>99</v>
      </c>
      <c r="AR113" s="7">
        <v>99</v>
      </c>
      <c r="AS113" s="7">
        <v>99</v>
      </c>
      <c r="AT113" s="7">
        <v>98</v>
      </c>
      <c r="AU113" s="7">
        <v>98</v>
      </c>
      <c r="AV113" s="7">
        <v>96</v>
      </c>
      <c r="AW113" s="7">
        <v>99</v>
      </c>
      <c r="AX113" s="7">
        <v>95</v>
      </c>
      <c r="AY113" s="7">
        <v>95</v>
      </c>
      <c r="AZ113" s="7">
        <v>99</v>
      </c>
      <c r="BA113" s="7">
        <v>90</v>
      </c>
      <c r="BB113" s="7">
        <v>98</v>
      </c>
      <c r="BC113" s="7">
        <v>97</v>
      </c>
      <c r="BD113" s="7">
        <v>99</v>
      </c>
      <c r="BE113" s="7">
        <v>99</v>
      </c>
      <c r="BF113" s="7">
        <v>93</v>
      </c>
      <c r="BG113" s="7">
        <v>99</v>
      </c>
    </row>
    <row r="114" spans="29:59">
      <c r="AC114" s="3">
        <v>108</v>
      </c>
      <c r="AD114" s="3">
        <v>100</v>
      </c>
      <c r="AH114" s="6">
        <v>103</v>
      </c>
      <c r="AI114" s="7">
        <v>98</v>
      </c>
      <c r="AJ114" s="7">
        <v>94</v>
      </c>
      <c r="AK114" s="7">
        <v>94</v>
      </c>
      <c r="AL114" s="7">
        <v>97</v>
      </c>
      <c r="AM114" s="7">
        <v>99</v>
      </c>
      <c r="AN114" s="7">
        <v>99</v>
      </c>
      <c r="AO114" s="7">
        <v>99</v>
      </c>
      <c r="AP114" s="7">
        <v>99</v>
      </c>
      <c r="AQ114" s="7">
        <v>99</v>
      </c>
      <c r="AR114" s="7">
        <v>99</v>
      </c>
      <c r="AS114" s="7">
        <v>99</v>
      </c>
      <c r="AT114" s="7">
        <v>98</v>
      </c>
      <c r="AU114" s="7">
        <v>98</v>
      </c>
      <c r="AV114" s="7">
        <v>97</v>
      </c>
      <c r="AW114" s="7">
        <v>99</v>
      </c>
      <c r="AX114" s="7">
        <v>95</v>
      </c>
      <c r="AY114" s="7">
        <v>95</v>
      </c>
      <c r="AZ114" s="7">
        <v>99</v>
      </c>
      <c r="BA114" s="7">
        <v>90</v>
      </c>
      <c r="BB114" s="7">
        <v>98</v>
      </c>
      <c r="BC114" s="7">
        <v>97</v>
      </c>
      <c r="BD114" s="7">
        <v>99</v>
      </c>
      <c r="BE114" s="7">
        <v>99</v>
      </c>
      <c r="BF114" s="7">
        <v>94</v>
      </c>
      <c r="BG114" s="7">
        <v>99</v>
      </c>
    </row>
    <row r="115" spans="29:59">
      <c r="AC115" s="3">
        <v>109</v>
      </c>
      <c r="AD115" s="3">
        <v>100</v>
      </c>
      <c r="AH115" s="6">
        <v>104</v>
      </c>
      <c r="AI115" s="7">
        <v>98</v>
      </c>
      <c r="AJ115" s="7">
        <v>94</v>
      </c>
      <c r="AK115" s="7">
        <v>94</v>
      </c>
      <c r="AL115" s="7">
        <v>97</v>
      </c>
      <c r="AM115" s="7">
        <v>99</v>
      </c>
      <c r="AN115" s="7">
        <v>99</v>
      </c>
      <c r="AO115" s="7">
        <v>99</v>
      </c>
      <c r="AP115" s="7">
        <v>99</v>
      </c>
      <c r="AQ115" s="7">
        <v>99</v>
      </c>
      <c r="AR115" s="7">
        <v>99</v>
      </c>
      <c r="AS115" s="7">
        <v>99</v>
      </c>
      <c r="AT115" s="7">
        <v>98</v>
      </c>
      <c r="AU115" s="7">
        <v>99</v>
      </c>
      <c r="AV115" s="7">
        <v>97</v>
      </c>
      <c r="AW115" s="7">
        <v>99</v>
      </c>
      <c r="AX115" s="7">
        <v>97</v>
      </c>
      <c r="AY115" s="7">
        <v>96</v>
      </c>
      <c r="AZ115" s="7">
        <v>99</v>
      </c>
      <c r="BA115" s="7">
        <v>92</v>
      </c>
      <c r="BB115" s="7">
        <v>98</v>
      </c>
      <c r="BC115" s="7">
        <v>97</v>
      </c>
      <c r="BD115" s="7">
        <v>99</v>
      </c>
      <c r="BE115" s="7">
        <v>99</v>
      </c>
      <c r="BF115" s="7">
        <v>94</v>
      </c>
      <c r="BG115" s="7">
        <v>99</v>
      </c>
    </row>
    <row r="116" spans="29:59">
      <c r="AC116" s="3">
        <v>110</v>
      </c>
      <c r="AD116" s="3">
        <v>100</v>
      </c>
      <c r="AH116" s="6">
        <v>105</v>
      </c>
      <c r="AI116" s="7">
        <v>98</v>
      </c>
      <c r="AJ116" s="7">
        <v>95</v>
      </c>
      <c r="AK116" s="7">
        <v>95</v>
      </c>
      <c r="AL116" s="7">
        <v>98</v>
      </c>
      <c r="AM116" s="7">
        <v>99</v>
      </c>
      <c r="AN116" s="7">
        <v>99</v>
      </c>
      <c r="AO116" s="7">
        <v>99</v>
      </c>
      <c r="AP116" s="7">
        <v>99</v>
      </c>
      <c r="AQ116" s="7">
        <v>99</v>
      </c>
      <c r="AR116" s="7">
        <v>99</v>
      </c>
      <c r="AS116" s="7">
        <v>99</v>
      </c>
      <c r="AT116" s="7">
        <v>99</v>
      </c>
      <c r="AU116" s="7">
        <v>99</v>
      </c>
      <c r="AV116" s="7">
        <v>97</v>
      </c>
      <c r="AW116" s="7">
        <v>99</v>
      </c>
      <c r="AX116" s="7">
        <v>97</v>
      </c>
      <c r="AY116" s="7">
        <v>98</v>
      </c>
      <c r="AZ116" s="7">
        <v>99</v>
      </c>
      <c r="BA116" s="7">
        <v>93</v>
      </c>
      <c r="BB116" s="7">
        <v>99</v>
      </c>
      <c r="BC116" s="7">
        <v>98</v>
      </c>
      <c r="BD116" s="7">
        <v>99</v>
      </c>
      <c r="BE116" s="7">
        <v>99</v>
      </c>
      <c r="BF116" s="7">
        <v>96</v>
      </c>
      <c r="BG116" s="7">
        <v>99</v>
      </c>
    </row>
    <row r="117" spans="29:59">
      <c r="AC117" s="3">
        <v>111</v>
      </c>
      <c r="AD117" s="3">
        <v>100</v>
      </c>
      <c r="AH117" s="6">
        <v>106</v>
      </c>
      <c r="AI117" s="7">
        <v>98</v>
      </c>
      <c r="AJ117" s="7">
        <v>96</v>
      </c>
      <c r="AK117" s="7">
        <v>95</v>
      </c>
      <c r="AL117" s="7">
        <v>99</v>
      </c>
      <c r="AM117" s="7">
        <v>99</v>
      </c>
      <c r="AN117" s="7">
        <v>99</v>
      </c>
      <c r="AO117" s="7">
        <v>99</v>
      </c>
      <c r="AP117" s="7">
        <v>99</v>
      </c>
      <c r="AQ117" s="7">
        <v>99</v>
      </c>
      <c r="AR117" s="7">
        <v>99</v>
      </c>
      <c r="AS117" s="7">
        <v>99</v>
      </c>
      <c r="AT117" s="7">
        <v>98</v>
      </c>
      <c r="AU117" s="7">
        <v>99</v>
      </c>
      <c r="AV117" s="7">
        <v>98</v>
      </c>
      <c r="AW117" s="7">
        <v>99</v>
      </c>
      <c r="AX117" s="7">
        <v>97</v>
      </c>
      <c r="AY117" s="7">
        <v>98</v>
      </c>
      <c r="AZ117" s="7">
        <v>99</v>
      </c>
      <c r="BA117" s="7">
        <v>93</v>
      </c>
      <c r="BB117" s="7">
        <v>99</v>
      </c>
      <c r="BC117" s="7">
        <v>98</v>
      </c>
      <c r="BD117" s="7">
        <v>99</v>
      </c>
      <c r="BE117" s="7">
        <v>99</v>
      </c>
      <c r="BF117" s="7">
        <v>96</v>
      </c>
      <c r="BG117" s="7">
        <v>99</v>
      </c>
    </row>
    <row r="118" spans="29:59">
      <c r="AC118" s="3">
        <v>112</v>
      </c>
      <c r="AD118" s="3">
        <v>100</v>
      </c>
      <c r="AH118" s="6">
        <v>107</v>
      </c>
      <c r="AI118" s="7">
        <v>98</v>
      </c>
      <c r="AJ118" s="7">
        <v>96</v>
      </c>
      <c r="AK118" s="7">
        <v>95</v>
      </c>
      <c r="AL118" s="7">
        <v>99</v>
      </c>
      <c r="AM118" s="7">
        <v>99</v>
      </c>
      <c r="AN118" s="7">
        <v>99</v>
      </c>
      <c r="AO118" s="7">
        <v>99</v>
      </c>
      <c r="AP118" s="7">
        <v>99</v>
      </c>
      <c r="AQ118" s="7">
        <v>99</v>
      </c>
      <c r="AR118" s="7">
        <v>99</v>
      </c>
      <c r="AS118" s="7">
        <v>99</v>
      </c>
      <c r="AT118" s="7">
        <v>99</v>
      </c>
      <c r="AU118" s="7">
        <v>99</v>
      </c>
      <c r="AV118" s="7">
        <v>99</v>
      </c>
      <c r="AW118" s="7">
        <v>99</v>
      </c>
      <c r="AX118" s="7">
        <v>97</v>
      </c>
      <c r="AY118" s="7">
        <v>98</v>
      </c>
      <c r="AZ118" s="7">
        <v>99</v>
      </c>
      <c r="BA118" s="7">
        <v>93</v>
      </c>
      <c r="BB118" s="7">
        <v>99</v>
      </c>
      <c r="BC118" s="7">
        <v>98</v>
      </c>
      <c r="BD118" s="7">
        <v>99</v>
      </c>
      <c r="BE118" s="7">
        <v>99</v>
      </c>
      <c r="BF118" s="7">
        <v>96</v>
      </c>
      <c r="BG118" s="7">
        <v>99</v>
      </c>
    </row>
    <row r="119" spans="29:59">
      <c r="AC119" s="3">
        <v>113</v>
      </c>
      <c r="AD119" s="3">
        <v>100</v>
      </c>
      <c r="AH119" s="6">
        <v>108</v>
      </c>
      <c r="AI119" s="7">
        <v>99</v>
      </c>
      <c r="AJ119" s="7">
        <v>96</v>
      </c>
      <c r="AK119" s="7">
        <v>96</v>
      </c>
      <c r="AL119" s="7">
        <v>99</v>
      </c>
      <c r="AM119" s="7">
        <v>99</v>
      </c>
      <c r="AN119" s="7">
        <v>99</v>
      </c>
      <c r="AO119" s="7">
        <v>99</v>
      </c>
      <c r="AP119" s="7">
        <v>99</v>
      </c>
      <c r="AQ119" s="7">
        <v>99</v>
      </c>
      <c r="AR119" s="7">
        <v>99</v>
      </c>
      <c r="AS119" s="7">
        <v>99</v>
      </c>
      <c r="AT119" s="7">
        <v>99</v>
      </c>
      <c r="AU119" s="7">
        <v>99</v>
      </c>
      <c r="AV119" s="7">
        <v>99</v>
      </c>
      <c r="AW119" s="7">
        <v>99</v>
      </c>
      <c r="AX119" s="7">
        <v>98</v>
      </c>
      <c r="AY119" s="7">
        <v>98</v>
      </c>
      <c r="AZ119" s="7">
        <v>99</v>
      </c>
      <c r="BA119" s="7">
        <v>94</v>
      </c>
      <c r="BB119" s="7">
        <v>99</v>
      </c>
      <c r="BC119" s="7">
        <v>98</v>
      </c>
      <c r="BD119" s="7">
        <v>99</v>
      </c>
      <c r="BE119" s="7">
        <v>99</v>
      </c>
      <c r="BF119" s="7">
        <v>97</v>
      </c>
      <c r="BG119" s="7">
        <v>99</v>
      </c>
    </row>
    <row r="120" spans="29:59">
      <c r="AC120" s="3">
        <v>114</v>
      </c>
      <c r="AD120" s="3">
        <v>100</v>
      </c>
      <c r="AH120" s="6">
        <v>109</v>
      </c>
      <c r="AI120" s="7">
        <v>99</v>
      </c>
      <c r="AJ120" s="7">
        <v>96</v>
      </c>
      <c r="AK120" s="7">
        <v>97</v>
      </c>
      <c r="AL120" s="7">
        <v>99</v>
      </c>
      <c r="AM120" s="7">
        <v>99</v>
      </c>
      <c r="AN120" s="7">
        <v>99</v>
      </c>
      <c r="AO120" s="7">
        <v>99</v>
      </c>
      <c r="AP120" s="7">
        <v>99</v>
      </c>
      <c r="AQ120" s="7">
        <v>99</v>
      </c>
      <c r="AR120" s="7">
        <v>99</v>
      </c>
      <c r="AS120" s="7">
        <v>99</v>
      </c>
      <c r="AT120" s="7">
        <v>99</v>
      </c>
      <c r="AU120" s="7">
        <v>99</v>
      </c>
      <c r="AV120" s="7">
        <v>99</v>
      </c>
      <c r="AW120" s="7">
        <v>99</v>
      </c>
      <c r="AX120" s="7">
        <v>99</v>
      </c>
      <c r="AY120" s="7">
        <v>98</v>
      </c>
      <c r="AZ120" s="7">
        <v>99</v>
      </c>
      <c r="BA120" s="7">
        <v>96</v>
      </c>
      <c r="BB120" s="7">
        <v>99</v>
      </c>
      <c r="BC120" s="7">
        <v>99</v>
      </c>
      <c r="BD120" s="7">
        <v>99</v>
      </c>
      <c r="BE120" s="7">
        <v>99</v>
      </c>
      <c r="BF120" s="7">
        <v>97</v>
      </c>
      <c r="BG120" s="7">
        <v>99</v>
      </c>
    </row>
    <row r="121" spans="29:59">
      <c r="AH121" s="6">
        <v>110</v>
      </c>
      <c r="AI121" s="7">
        <v>99</v>
      </c>
      <c r="AJ121" s="7">
        <v>98</v>
      </c>
      <c r="AK121" s="7">
        <v>97</v>
      </c>
      <c r="AL121" s="7">
        <v>99</v>
      </c>
      <c r="AM121" s="7">
        <v>99</v>
      </c>
      <c r="AN121" s="7">
        <v>99</v>
      </c>
      <c r="AO121" s="7">
        <v>99</v>
      </c>
      <c r="AP121" s="7">
        <v>99</v>
      </c>
      <c r="AQ121" s="7">
        <v>99</v>
      </c>
      <c r="AR121" s="7">
        <v>99</v>
      </c>
      <c r="AS121" s="7">
        <v>99</v>
      </c>
      <c r="AT121" s="7">
        <v>99</v>
      </c>
      <c r="AU121" s="7">
        <v>99</v>
      </c>
      <c r="AV121" s="7">
        <v>99</v>
      </c>
      <c r="AW121" s="7">
        <v>99</v>
      </c>
      <c r="AX121" s="7">
        <v>99</v>
      </c>
      <c r="AY121" s="7">
        <v>98</v>
      </c>
      <c r="AZ121" s="7">
        <v>99</v>
      </c>
      <c r="BA121" s="7">
        <v>97</v>
      </c>
      <c r="BB121" s="7">
        <v>99</v>
      </c>
      <c r="BC121" s="7">
        <v>99</v>
      </c>
      <c r="BD121" s="7">
        <v>99</v>
      </c>
      <c r="BE121" s="7">
        <v>99</v>
      </c>
      <c r="BF121" s="7">
        <v>97</v>
      </c>
      <c r="BG121" s="7">
        <v>99</v>
      </c>
    </row>
    <row r="122" spans="29:59">
      <c r="AH122" s="6">
        <v>111</v>
      </c>
      <c r="AI122" s="7">
        <v>99</v>
      </c>
      <c r="AJ122" s="7">
        <v>99</v>
      </c>
      <c r="AK122" s="7">
        <v>98</v>
      </c>
      <c r="AL122" s="7">
        <v>99</v>
      </c>
      <c r="AM122" s="7">
        <v>99</v>
      </c>
      <c r="AN122" s="7">
        <v>99</v>
      </c>
      <c r="AO122" s="7">
        <v>99</v>
      </c>
      <c r="AP122" s="7">
        <v>99</v>
      </c>
      <c r="AQ122" s="7">
        <v>99</v>
      </c>
      <c r="AR122" s="7">
        <v>99</v>
      </c>
      <c r="AS122" s="7">
        <v>99</v>
      </c>
      <c r="AT122" s="7">
        <v>99</v>
      </c>
      <c r="AU122" s="7">
        <v>99</v>
      </c>
      <c r="AV122" s="7">
        <v>99</v>
      </c>
      <c r="AW122" s="7">
        <v>99</v>
      </c>
      <c r="AX122" s="7">
        <v>99</v>
      </c>
      <c r="AY122" s="7">
        <v>98</v>
      </c>
      <c r="AZ122" s="7">
        <v>99</v>
      </c>
      <c r="BA122" s="7">
        <v>97</v>
      </c>
      <c r="BB122" s="7">
        <v>99</v>
      </c>
      <c r="BC122" s="7">
        <v>99</v>
      </c>
      <c r="BD122" s="7">
        <v>99</v>
      </c>
      <c r="BE122" s="7">
        <v>99</v>
      </c>
      <c r="BF122" s="7">
        <v>98</v>
      </c>
      <c r="BG122" s="7">
        <v>99</v>
      </c>
    </row>
    <row r="123" spans="29:59">
      <c r="AH123" s="6">
        <v>112</v>
      </c>
      <c r="AI123" s="7">
        <v>99</v>
      </c>
      <c r="AJ123" s="7">
        <v>99</v>
      </c>
      <c r="AK123" s="7">
        <v>98</v>
      </c>
      <c r="AL123" s="7">
        <v>99</v>
      </c>
      <c r="AM123" s="7">
        <v>99</v>
      </c>
      <c r="AN123" s="7">
        <v>99</v>
      </c>
      <c r="AO123" s="7">
        <v>99</v>
      </c>
      <c r="AP123" s="7">
        <v>99</v>
      </c>
      <c r="AQ123" s="7">
        <v>99</v>
      </c>
      <c r="AR123" s="7">
        <v>99</v>
      </c>
      <c r="AS123" s="7">
        <v>99</v>
      </c>
      <c r="AT123" s="7">
        <v>99</v>
      </c>
      <c r="AU123" s="7">
        <v>99</v>
      </c>
      <c r="AV123" s="7">
        <v>99</v>
      </c>
      <c r="AW123" s="7">
        <v>99</v>
      </c>
      <c r="AX123" s="7">
        <v>99</v>
      </c>
      <c r="AY123" s="7">
        <v>98</v>
      </c>
      <c r="AZ123" s="7">
        <v>99</v>
      </c>
      <c r="BA123" s="7">
        <v>97</v>
      </c>
      <c r="BB123" s="7">
        <v>99</v>
      </c>
      <c r="BC123" s="7">
        <v>99</v>
      </c>
      <c r="BD123" s="7">
        <v>99</v>
      </c>
      <c r="BE123" s="7">
        <v>99</v>
      </c>
      <c r="BF123" s="7">
        <v>98</v>
      </c>
      <c r="BG123" s="7">
        <v>99</v>
      </c>
    </row>
    <row r="124" spans="29:59">
      <c r="AH124" s="6">
        <v>113</v>
      </c>
      <c r="AI124" s="7">
        <v>99</v>
      </c>
      <c r="AJ124" s="7">
        <v>99</v>
      </c>
      <c r="AK124" s="7">
        <v>98</v>
      </c>
      <c r="AL124" s="7">
        <v>99</v>
      </c>
      <c r="AM124" s="7">
        <v>99</v>
      </c>
      <c r="AN124" s="7">
        <v>99</v>
      </c>
      <c r="AO124" s="7">
        <v>99</v>
      </c>
      <c r="AP124" s="7">
        <v>99</v>
      </c>
      <c r="AQ124" s="7">
        <v>99</v>
      </c>
      <c r="AR124" s="7">
        <v>99</v>
      </c>
      <c r="AS124" s="7">
        <v>99</v>
      </c>
      <c r="AT124" s="7">
        <v>99</v>
      </c>
      <c r="AU124" s="7">
        <v>99</v>
      </c>
      <c r="AV124" s="7">
        <v>99</v>
      </c>
      <c r="AW124" s="7">
        <v>99</v>
      </c>
      <c r="AX124" s="7">
        <v>99</v>
      </c>
      <c r="AY124" s="7">
        <v>98</v>
      </c>
      <c r="AZ124" s="7">
        <v>99</v>
      </c>
      <c r="BA124" s="7">
        <v>98</v>
      </c>
      <c r="BB124" s="7">
        <v>99</v>
      </c>
      <c r="BC124" s="7">
        <v>99</v>
      </c>
      <c r="BD124" s="7">
        <v>99</v>
      </c>
      <c r="BE124" s="7">
        <v>99</v>
      </c>
      <c r="BF124" s="7">
        <v>98</v>
      </c>
      <c r="BG124" s="7">
        <v>99</v>
      </c>
    </row>
    <row r="125" spans="29:59">
      <c r="AH125" s="6">
        <v>114</v>
      </c>
      <c r="AI125" s="7">
        <v>99</v>
      </c>
      <c r="AJ125" s="7">
        <v>99</v>
      </c>
      <c r="AK125" s="7">
        <v>99</v>
      </c>
      <c r="AL125" s="7">
        <v>99</v>
      </c>
      <c r="AM125" s="7">
        <v>99</v>
      </c>
      <c r="AN125" s="7">
        <v>99</v>
      </c>
      <c r="AO125" s="7">
        <v>99</v>
      </c>
      <c r="AP125" s="7">
        <v>99</v>
      </c>
      <c r="AQ125" s="7">
        <v>99</v>
      </c>
      <c r="AR125" s="7">
        <v>99</v>
      </c>
      <c r="AS125" s="7">
        <v>99</v>
      </c>
      <c r="AT125" s="7">
        <v>99</v>
      </c>
      <c r="AU125" s="7">
        <v>99</v>
      </c>
      <c r="AV125" s="7">
        <v>99</v>
      </c>
      <c r="AW125" s="7">
        <v>99</v>
      </c>
      <c r="AX125" s="7">
        <v>99</v>
      </c>
      <c r="AY125" s="7">
        <v>99</v>
      </c>
      <c r="AZ125" s="7">
        <v>99</v>
      </c>
      <c r="BA125" s="7">
        <v>99</v>
      </c>
      <c r="BB125" s="7">
        <v>99</v>
      </c>
      <c r="BC125" s="7">
        <v>99</v>
      </c>
      <c r="BD125" s="7">
        <v>99</v>
      </c>
      <c r="BE125" s="7">
        <v>99</v>
      </c>
      <c r="BF125" s="7">
        <v>99</v>
      </c>
      <c r="BG125" s="7">
        <v>99</v>
      </c>
    </row>
    <row r="126" spans="29:59">
      <c r="AH126" s="6">
        <v>115</v>
      </c>
      <c r="AI126" s="7">
        <v>99</v>
      </c>
      <c r="AJ126" s="7">
        <v>99</v>
      </c>
      <c r="AK126" s="7">
        <v>99</v>
      </c>
      <c r="AL126" s="7">
        <v>99</v>
      </c>
      <c r="AM126" s="7">
        <v>99</v>
      </c>
      <c r="AN126" s="7">
        <v>99</v>
      </c>
      <c r="AO126" s="7">
        <v>99</v>
      </c>
      <c r="AP126" s="7">
        <v>99</v>
      </c>
      <c r="AQ126" s="7">
        <v>99</v>
      </c>
      <c r="AR126" s="7">
        <v>99</v>
      </c>
      <c r="AS126" s="7">
        <v>99</v>
      </c>
      <c r="AT126" s="7">
        <v>99</v>
      </c>
      <c r="AU126" s="7">
        <v>99</v>
      </c>
      <c r="AV126" s="7">
        <v>99</v>
      </c>
      <c r="AW126" s="7">
        <v>99</v>
      </c>
      <c r="AX126" s="7">
        <v>99</v>
      </c>
      <c r="AY126" s="7">
        <v>99</v>
      </c>
      <c r="AZ126" s="7">
        <v>99</v>
      </c>
      <c r="BA126" s="7">
        <v>99</v>
      </c>
      <c r="BB126" s="7">
        <v>99</v>
      </c>
      <c r="BC126" s="7">
        <v>99</v>
      </c>
      <c r="BD126" s="7">
        <v>99</v>
      </c>
      <c r="BE126" s="7">
        <v>99</v>
      </c>
      <c r="BF126" s="7">
        <v>99</v>
      </c>
      <c r="BG126" s="7">
        <v>99</v>
      </c>
    </row>
  </sheetData>
  <sheetProtection algorithmName="SHA-512" hashValue="rylATMaTNtzZDThRJAQjMHLEb7LqyTI6S+eJzVvf8xQV8b165iPVCl8192FQqjZILVv5KqRF0sq1CmlaU29+aA==" saltValue="ZlTA3jK7/fsyxOOhz/PPqw==" spinCount="100000" sheet="1" objects="1" scenarios="1"/>
  <mergeCells count="46">
    <mergeCell ref="B2:EU2"/>
    <mergeCell ref="BJ5:BK5"/>
    <mergeCell ref="BL5:BM5"/>
    <mergeCell ref="BN5:BO5"/>
    <mergeCell ref="BP5:BQ5"/>
    <mergeCell ref="BR5:BS5"/>
    <mergeCell ref="BT5:BU5"/>
    <mergeCell ref="BX5:BY5"/>
    <mergeCell ref="BV5:BW5"/>
    <mergeCell ref="CX5:CY5"/>
    <mergeCell ref="BZ5:CA5"/>
    <mergeCell ref="CB5:CC5"/>
    <mergeCell ref="CF5:CG5"/>
    <mergeCell ref="CH5:CI5"/>
    <mergeCell ref="CJ5:CK5"/>
    <mergeCell ref="CL5:CM5"/>
    <mergeCell ref="CN5:CO5"/>
    <mergeCell ref="CP5:CQ5"/>
    <mergeCell ref="CR5:CS5"/>
    <mergeCell ref="CT5:CU5"/>
    <mergeCell ref="CV5:CW5"/>
    <mergeCell ref="DX5:DY5"/>
    <mergeCell ref="DZ5:EA5"/>
    <mergeCell ref="EB5:EC5"/>
    <mergeCell ref="DB5:DC5"/>
    <mergeCell ref="DD5:DE5"/>
    <mergeCell ref="DH5:DI5"/>
    <mergeCell ref="DJ5:DK5"/>
    <mergeCell ref="DL5:DM5"/>
    <mergeCell ref="DN5:DO5"/>
    <mergeCell ref="BI5:BI6"/>
    <mergeCell ref="ER5:ES5"/>
    <mergeCell ref="ET5:EU5"/>
    <mergeCell ref="B4:AA4"/>
    <mergeCell ref="AC4:AF4"/>
    <mergeCell ref="AH4:BG4"/>
    <mergeCell ref="BJ4:EU4"/>
    <mergeCell ref="EF5:EG5"/>
    <mergeCell ref="EH5:EI5"/>
    <mergeCell ref="EJ5:EK5"/>
    <mergeCell ref="EL5:EM5"/>
    <mergeCell ref="EN5:EO5"/>
    <mergeCell ref="EP5:EQ5"/>
    <mergeCell ref="DP5:DQ5"/>
    <mergeCell ref="DR5:DS5"/>
    <mergeCell ref="DT5:DU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5B62E-69BC-4966-9495-6E20B31BAA4C}">
  <sheetPr codeName="Hoja6"/>
  <dimension ref="B1:EU121"/>
  <sheetViews>
    <sheetView showGridLines="0" workbookViewId="0">
      <pane ySplit="1" topLeftCell="A2" activePane="bottomLeft" state="frozenSplit"/>
      <selection pane="bottomLeft" activeCell="EL36" sqref="EL36"/>
    </sheetView>
  </sheetViews>
  <sheetFormatPr baseColWidth="10" defaultRowHeight="15"/>
  <cols>
    <col min="2" max="27" width="6.85546875" style="10" customWidth="1"/>
    <col min="29" max="32" width="11.7109375" style="10" customWidth="1"/>
    <col min="34" max="34" width="4.85546875" style="10" bestFit="1" customWidth="1"/>
    <col min="35" max="35" width="5.28515625" style="10" customWidth="1"/>
    <col min="36" max="37" width="5.7109375" style="10" bestFit="1" customWidth="1"/>
    <col min="38" max="38" width="5.28515625" style="10" customWidth="1"/>
    <col min="39" max="39" width="4.85546875" style="10" bestFit="1" customWidth="1"/>
    <col min="40" max="40" width="5.7109375" style="10" bestFit="1" customWidth="1"/>
    <col min="41" max="41" width="5.28515625" style="10" customWidth="1"/>
    <col min="42" max="42" width="3.42578125" style="10" bestFit="1" customWidth="1"/>
    <col min="43" max="43" width="4" style="10" bestFit="1" customWidth="1"/>
    <col min="44" max="44" width="5.28515625" style="10" customWidth="1"/>
    <col min="45" max="45" width="5.7109375" style="10" bestFit="1" customWidth="1"/>
    <col min="46" max="46" width="5.28515625" style="10" customWidth="1"/>
    <col min="47" max="47" width="6.140625" style="10" bestFit="1" customWidth="1"/>
    <col min="48" max="48" width="5.28515625" style="10" customWidth="1"/>
    <col min="49" max="49" width="6.140625" style="10" bestFit="1" customWidth="1"/>
    <col min="50" max="50" width="5.7109375" style="10" bestFit="1" customWidth="1"/>
    <col min="51" max="51" width="5.28515625" style="10" customWidth="1"/>
    <col min="52" max="53" width="4.85546875" style="10" bestFit="1" customWidth="1"/>
    <col min="54" max="54" width="7.42578125" style="10" bestFit="1" customWidth="1"/>
    <col min="55" max="56" width="4.85546875" style="10" bestFit="1" customWidth="1"/>
    <col min="57" max="58" width="4.42578125" style="10" bestFit="1" customWidth="1"/>
    <col min="59" max="59" width="6.140625" style="10" bestFit="1" customWidth="1"/>
    <col min="61" max="61" width="7.42578125" style="10" bestFit="1" customWidth="1"/>
    <col min="62" max="64" width="4.140625" style="10" customWidth="1"/>
    <col min="65" max="66" width="4" style="10" bestFit="1" customWidth="1"/>
    <col min="67" max="68" width="4.140625" style="10" customWidth="1"/>
    <col min="69" max="72" width="4" style="10" bestFit="1" customWidth="1"/>
    <col min="73" max="74" width="4.140625" style="10" customWidth="1"/>
    <col min="75" max="75" width="4.42578125" style="10" bestFit="1" customWidth="1"/>
    <col min="76" max="76" width="4" style="10" bestFit="1" customWidth="1"/>
    <col min="77" max="77" width="4.42578125" style="10" bestFit="1" customWidth="1"/>
    <col min="78" max="78" width="4.140625" style="10" customWidth="1"/>
    <col min="79" max="82" width="4" style="10" bestFit="1" customWidth="1"/>
    <col min="83" max="83" width="5.28515625" style="10" bestFit="1" customWidth="1"/>
    <col min="84" max="86" width="4" style="10" bestFit="1" customWidth="1"/>
    <col min="87" max="87" width="6.7109375" style="10" bestFit="1" customWidth="1"/>
    <col min="88" max="89" width="7.28515625" style="10" bestFit="1" customWidth="1"/>
    <col min="90" max="90" width="6.7109375" style="10" bestFit="1" customWidth="1"/>
    <col min="91" max="91" width="6.140625" style="10" bestFit="1" customWidth="1"/>
    <col min="92" max="92" width="7.85546875" style="10" bestFit="1" customWidth="1"/>
    <col min="93" max="93" width="6.7109375" style="10" bestFit="1" customWidth="1"/>
    <col min="94" max="94" width="4" style="10" bestFit="1" customWidth="1"/>
    <col min="95" max="95" width="5" style="10" bestFit="1" customWidth="1"/>
    <col min="96" max="96" width="7.28515625" style="10" bestFit="1" customWidth="1"/>
    <col min="97" max="97" width="5.5703125" style="10" bestFit="1" customWidth="1"/>
    <col min="98" max="98" width="8.42578125" style="10" bestFit="1" customWidth="1"/>
    <col min="99" max="99" width="6.7109375" style="10" bestFit="1" customWidth="1"/>
    <col min="100" max="100" width="7.85546875" style="10" bestFit="1" customWidth="1"/>
    <col min="101" max="101" width="6.7109375" style="10" bestFit="1" customWidth="1"/>
    <col min="102" max="102" width="7.85546875" style="10" bestFit="1" customWidth="1"/>
    <col min="103" max="103" width="7.28515625" style="10" bestFit="1" customWidth="1"/>
    <col min="104" max="104" width="6.7109375" style="10" bestFit="1" customWidth="1"/>
    <col min="105" max="105" width="6.140625" style="10" bestFit="1" customWidth="1"/>
    <col min="106" max="106" width="7.28515625" style="10" bestFit="1" customWidth="1"/>
    <col min="107" max="107" width="6.140625" style="10" bestFit="1" customWidth="1"/>
    <col min="108" max="108" width="8.42578125" style="10" bestFit="1" customWidth="1"/>
    <col min="109" max="109" width="6.140625" style="10" bestFit="1" customWidth="1"/>
    <col min="110" max="110" width="6.7109375" style="10" bestFit="1" customWidth="1"/>
    <col min="111" max="111" width="5.5703125" style="10" bestFit="1" customWidth="1"/>
    <col min="112" max="114" width="8.85546875" style="10" bestFit="1" customWidth="1"/>
    <col min="115" max="115" width="7.42578125" style="10" bestFit="1" customWidth="1"/>
    <col min="116" max="116" width="9.5703125" style="10" bestFit="1" customWidth="1"/>
    <col min="117" max="117" width="8.140625" style="10" bestFit="1" customWidth="1"/>
    <col min="118" max="118" width="6.7109375" style="10" bestFit="1" customWidth="1"/>
    <col min="119" max="119" width="8.140625" style="10" bestFit="1" customWidth="1"/>
    <col min="120" max="120" width="7.42578125" style="10" bestFit="1" customWidth="1"/>
    <col min="121" max="121" width="6.7109375" style="10" bestFit="1" customWidth="1"/>
    <col min="122" max="122" width="8.140625" style="10" bestFit="1" customWidth="1"/>
    <col min="123" max="123" width="9.5703125" style="10" bestFit="1" customWidth="1"/>
    <col min="124" max="124" width="10.28515625" style="10" bestFit="1" customWidth="1"/>
    <col min="125" max="125" width="8.85546875" style="10" bestFit="1" customWidth="1"/>
    <col min="126" max="127" width="8.140625" style="10" bestFit="1" customWidth="1"/>
    <col min="128" max="128" width="4" style="10" bestFit="1" customWidth="1"/>
    <col min="129" max="129" width="9.5703125" style="10" bestFit="1" customWidth="1"/>
    <col min="130" max="130" width="8.140625" style="10" bestFit="1" customWidth="1"/>
    <col min="131" max="131" width="12" style="10" bestFit="1" customWidth="1"/>
    <col min="132" max="132" width="10" style="10" bestFit="1" customWidth="1"/>
    <col min="133" max="133" width="9.5703125" style="10" bestFit="1" customWidth="1"/>
    <col min="134" max="135" width="10.42578125" style="10" bestFit="1" customWidth="1"/>
    <col min="136" max="136" width="9.5703125" style="10" bestFit="1" customWidth="1"/>
    <col min="137" max="137" width="8.7109375" style="10" bestFit="1" customWidth="1"/>
    <col min="138" max="138" width="11.28515625" style="10" bestFit="1" customWidth="1"/>
    <col min="139" max="139" width="9.5703125" style="10" bestFit="1" customWidth="1"/>
    <col min="140" max="140" width="7.85546875" style="10" bestFit="1" customWidth="1"/>
    <col min="141" max="141" width="9.5703125" style="10" bestFit="1" customWidth="1"/>
    <col min="142" max="142" width="8.7109375" style="10" bestFit="1" customWidth="1"/>
    <col min="143" max="144" width="10.42578125" style="10" bestFit="1" customWidth="1"/>
    <col min="145" max="145" width="8.7109375" style="10" bestFit="1" customWidth="1"/>
    <col min="146" max="146" width="7.85546875" style="10" bestFit="1" customWidth="1"/>
    <col min="147" max="147" width="9.5703125" style="10" bestFit="1" customWidth="1"/>
    <col min="148" max="148" width="12.140625" style="10" bestFit="1" customWidth="1"/>
    <col min="149" max="149" width="11.28515625" style="10" bestFit="1" customWidth="1"/>
    <col min="150" max="150" width="9.5703125" style="10" bestFit="1" customWidth="1"/>
    <col min="151" max="151" width="8.7109375" style="10" bestFit="1" customWidth="1"/>
  </cols>
  <sheetData>
    <row r="1" spans="2:151" s="25" customFormat="1">
      <c r="B1" s="23" t="s">
        <v>248</v>
      </c>
      <c r="C1" s="23" t="s">
        <v>252</v>
      </c>
      <c r="D1" s="23" t="s">
        <v>235</v>
      </c>
      <c r="E1" s="23" t="s">
        <v>251</v>
      </c>
      <c r="F1" s="23" t="s">
        <v>364</v>
      </c>
      <c r="G1" s="23" t="s">
        <v>185</v>
      </c>
      <c r="H1" s="23" t="s">
        <v>365</v>
      </c>
      <c r="I1" s="23" t="s">
        <v>249</v>
      </c>
      <c r="J1" s="23" t="s">
        <v>366</v>
      </c>
      <c r="K1" s="23" t="s">
        <v>367</v>
      </c>
      <c r="L1" s="23" t="s">
        <v>368</v>
      </c>
      <c r="M1" s="23" t="s">
        <v>369</v>
      </c>
      <c r="N1" s="23" t="s">
        <v>370</v>
      </c>
      <c r="O1" s="23" t="s">
        <v>250</v>
      </c>
      <c r="P1" s="23" t="s">
        <v>236</v>
      </c>
      <c r="Q1" s="23" t="s">
        <v>371</v>
      </c>
      <c r="R1" s="23" t="s">
        <v>254</v>
      </c>
      <c r="S1" s="23" t="s">
        <v>234</v>
      </c>
      <c r="T1" s="23" t="s">
        <v>253</v>
      </c>
      <c r="U1" s="23" t="s">
        <v>372</v>
      </c>
      <c r="V1" s="23" t="s">
        <v>184</v>
      </c>
      <c r="W1" s="23" t="s">
        <v>266</v>
      </c>
      <c r="X1" s="23" t="s">
        <v>222</v>
      </c>
      <c r="Y1" s="23" t="s">
        <v>223</v>
      </c>
      <c r="Z1" s="23" t="s">
        <v>224</v>
      </c>
      <c r="AA1" s="23" t="s">
        <v>373</v>
      </c>
      <c r="AB1" s="23"/>
      <c r="AC1" s="23" t="s">
        <v>536</v>
      </c>
      <c r="AD1" s="23" t="s">
        <v>533</v>
      </c>
      <c r="AE1" s="23" t="s">
        <v>534</v>
      </c>
      <c r="AF1" s="23" t="s">
        <v>535</v>
      </c>
      <c r="AG1" s="23"/>
      <c r="AH1" s="23" t="s">
        <v>421</v>
      </c>
      <c r="AI1" s="23" t="s">
        <v>422</v>
      </c>
      <c r="AJ1" s="23" t="s">
        <v>423</v>
      </c>
      <c r="AK1" s="23" t="s">
        <v>424</v>
      </c>
      <c r="AL1" s="23" t="s">
        <v>425</v>
      </c>
      <c r="AM1" s="23" t="s">
        <v>426</v>
      </c>
      <c r="AN1" s="23" t="s">
        <v>427</v>
      </c>
      <c r="AO1" s="23" t="s">
        <v>428</v>
      </c>
      <c r="AP1" s="23" t="s">
        <v>429</v>
      </c>
      <c r="AQ1" s="23" t="s">
        <v>430</v>
      </c>
      <c r="AR1" s="23" t="s">
        <v>431</v>
      </c>
      <c r="AS1" s="23" t="s">
        <v>432</v>
      </c>
      <c r="AT1" s="23" t="s">
        <v>433</v>
      </c>
      <c r="AU1" s="23" t="s">
        <v>434</v>
      </c>
      <c r="AV1" s="23" t="s">
        <v>435</v>
      </c>
      <c r="AW1" s="23" t="s">
        <v>436</v>
      </c>
      <c r="AX1" s="23" t="s">
        <v>437</v>
      </c>
      <c r="AY1" s="23" t="s">
        <v>438</v>
      </c>
      <c r="AZ1" s="23" t="s">
        <v>439</v>
      </c>
      <c r="BA1" s="23" t="s">
        <v>440</v>
      </c>
      <c r="BB1" s="23" t="s">
        <v>441</v>
      </c>
      <c r="BC1" s="23" t="s">
        <v>442</v>
      </c>
      <c r="BD1" s="23" t="s">
        <v>443</v>
      </c>
      <c r="BE1" s="23" t="s">
        <v>444</v>
      </c>
      <c r="BF1" s="23" t="s">
        <v>445</v>
      </c>
      <c r="BG1" s="23" t="s">
        <v>446</v>
      </c>
      <c r="BH1" s="23"/>
      <c r="BI1" s="23" t="s">
        <v>447</v>
      </c>
      <c r="BJ1" s="24" t="s">
        <v>419</v>
      </c>
      <c r="BK1" s="23" t="s">
        <v>256</v>
      </c>
      <c r="BL1" s="24" t="s">
        <v>420</v>
      </c>
      <c r="BM1" s="23" t="s">
        <v>448</v>
      </c>
      <c r="BN1" s="24" t="s">
        <v>449</v>
      </c>
      <c r="BO1" s="23" t="s">
        <v>450</v>
      </c>
      <c r="BP1" s="24" t="s">
        <v>451</v>
      </c>
      <c r="BQ1" s="23" t="s">
        <v>452</v>
      </c>
      <c r="BR1" s="24" t="s">
        <v>453</v>
      </c>
      <c r="BS1" s="23" t="s">
        <v>454</v>
      </c>
      <c r="BT1" s="24" t="s">
        <v>455</v>
      </c>
      <c r="BU1" s="23" t="s">
        <v>456</v>
      </c>
      <c r="BV1" s="24" t="s">
        <v>457</v>
      </c>
      <c r="BW1" s="23" t="s">
        <v>458</v>
      </c>
      <c r="BX1" s="24" t="s">
        <v>257</v>
      </c>
      <c r="BY1" s="23" t="s">
        <v>459</v>
      </c>
      <c r="BZ1" s="24" t="s">
        <v>460</v>
      </c>
      <c r="CA1" s="23" t="s">
        <v>255</v>
      </c>
      <c r="CB1" s="24" t="s">
        <v>461</v>
      </c>
      <c r="CC1" s="23" t="s">
        <v>462</v>
      </c>
      <c r="CD1" s="24" t="s">
        <v>463</v>
      </c>
      <c r="CE1" s="23" t="s">
        <v>464</v>
      </c>
      <c r="CF1" s="24" t="s">
        <v>465</v>
      </c>
      <c r="CG1" s="23" t="s">
        <v>466</v>
      </c>
      <c r="CH1" s="24" t="s">
        <v>467</v>
      </c>
      <c r="CI1" s="23" t="s">
        <v>468</v>
      </c>
      <c r="CJ1" s="24" t="s">
        <v>469</v>
      </c>
      <c r="CK1" s="23" t="s">
        <v>470</v>
      </c>
      <c r="CL1" s="24" t="s">
        <v>471</v>
      </c>
      <c r="CM1" s="23" t="s">
        <v>472</v>
      </c>
      <c r="CN1" s="24" t="s">
        <v>473</v>
      </c>
      <c r="CO1" s="23" t="s">
        <v>474</v>
      </c>
      <c r="CP1" s="24" t="s">
        <v>475</v>
      </c>
      <c r="CQ1" s="23" t="s">
        <v>476</v>
      </c>
      <c r="CR1" s="24" t="s">
        <v>477</v>
      </c>
      <c r="CS1" s="23" t="s">
        <v>478</v>
      </c>
      <c r="CT1" s="24" t="s">
        <v>479</v>
      </c>
      <c r="CU1" s="23" t="s">
        <v>480</v>
      </c>
      <c r="CV1" s="24" t="s">
        <v>481</v>
      </c>
      <c r="CW1" s="23" t="s">
        <v>482</v>
      </c>
      <c r="CX1" s="24" t="s">
        <v>483</v>
      </c>
      <c r="CY1" s="23" t="s">
        <v>484</v>
      </c>
      <c r="CZ1" s="24" t="s">
        <v>485</v>
      </c>
      <c r="DA1" s="23" t="s">
        <v>486</v>
      </c>
      <c r="DB1" s="24" t="s">
        <v>487</v>
      </c>
      <c r="DC1" s="23" t="s">
        <v>488</v>
      </c>
      <c r="DD1" s="24" t="s">
        <v>489</v>
      </c>
      <c r="DE1" s="23" t="s">
        <v>490</v>
      </c>
      <c r="DF1" s="24" t="s">
        <v>491</v>
      </c>
      <c r="DG1" s="23" t="s">
        <v>492</v>
      </c>
      <c r="DH1" s="24" t="s">
        <v>493</v>
      </c>
      <c r="DI1" s="23" t="s">
        <v>494</v>
      </c>
      <c r="DJ1" s="24" t="s">
        <v>495</v>
      </c>
      <c r="DK1" s="23" t="s">
        <v>496</v>
      </c>
      <c r="DL1" s="24" t="s">
        <v>530</v>
      </c>
      <c r="DM1" s="23" t="s">
        <v>497</v>
      </c>
      <c r="DN1" s="24" t="s">
        <v>508</v>
      </c>
      <c r="DO1" s="23" t="s">
        <v>531</v>
      </c>
      <c r="DP1" s="24" t="s">
        <v>498</v>
      </c>
      <c r="DQ1" s="23" t="s">
        <v>499</v>
      </c>
      <c r="DR1" s="24" t="s">
        <v>532</v>
      </c>
      <c r="DS1" s="23" t="s">
        <v>500</v>
      </c>
      <c r="DT1" s="24" t="s">
        <v>501</v>
      </c>
      <c r="DU1" s="23" t="s">
        <v>502</v>
      </c>
      <c r="DV1" s="24" t="s">
        <v>503</v>
      </c>
      <c r="DW1" s="23" t="s">
        <v>504</v>
      </c>
      <c r="DX1" s="24" t="s">
        <v>505</v>
      </c>
      <c r="DY1" s="23" t="s">
        <v>506</v>
      </c>
      <c r="DZ1" s="24" t="s">
        <v>507</v>
      </c>
      <c r="EA1" s="23" t="s">
        <v>529</v>
      </c>
      <c r="EB1" s="24" t="s">
        <v>509</v>
      </c>
      <c r="EC1" s="23" t="s">
        <v>510</v>
      </c>
      <c r="ED1" s="24" t="s">
        <v>511</v>
      </c>
      <c r="EE1" s="23" t="s">
        <v>512</v>
      </c>
      <c r="EF1" s="24" t="s">
        <v>513</v>
      </c>
      <c r="EG1" s="23" t="s">
        <v>514</v>
      </c>
      <c r="EH1" s="24" t="s">
        <v>515</v>
      </c>
      <c r="EI1" s="23" t="s">
        <v>516</v>
      </c>
      <c r="EJ1" s="24" t="s">
        <v>517</v>
      </c>
      <c r="EK1" s="23" t="s">
        <v>518</v>
      </c>
      <c r="EL1" s="24" t="s">
        <v>519</v>
      </c>
      <c r="EM1" s="23" t="s">
        <v>520</v>
      </c>
      <c r="EN1" s="24" t="s">
        <v>521</v>
      </c>
      <c r="EO1" s="23" t="s">
        <v>522</v>
      </c>
      <c r="EP1" s="24" t="s">
        <v>523</v>
      </c>
      <c r="EQ1" s="23" t="s">
        <v>524</v>
      </c>
      <c r="ER1" s="24" t="s">
        <v>525</v>
      </c>
      <c r="ES1" s="23" t="s">
        <v>526</v>
      </c>
      <c r="ET1" s="24" t="s">
        <v>527</v>
      </c>
      <c r="EU1" s="23" t="s">
        <v>528</v>
      </c>
    </row>
    <row r="2" spans="2:151">
      <c r="B2" s="291" t="s">
        <v>361</v>
      </c>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91"/>
      <c r="AD2" s="291"/>
      <c r="AE2" s="291"/>
      <c r="AF2" s="291"/>
      <c r="AG2" s="291"/>
      <c r="AH2" s="291"/>
      <c r="AI2" s="291"/>
      <c r="AJ2" s="291"/>
      <c r="AK2" s="291"/>
      <c r="AL2" s="291"/>
      <c r="AM2" s="291"/>
      <c r="AN2" s="291"/>
      <c r="AO2" s="291"/>
      <c r="AP2" s="291"/>
      <c r="AQ2" s="291"/>
      <c r="AR2" s="291"/>
      <c r="AS2" s="291"/>
      <c r="AT2" s="291"/>
      <c r="AU2" s="291"/>
      <c r="AV2" s="291"/>
      <c r="AW2" s="291"/>
      <c r="AX2" s="291"/>
      <c r="AY2" s="291"/>
      <c r="AZ2" s="291"/>
      <c r="BA2" s="291"/>
      <c r="BB2" s="291"/>
      <c r="BC2" s="291"/>
      <c r="BD2" s="291"/>
      <c r="BE2" s="291"/>
      <c r="BF2" s="291"/>
      <c r="BG2" s="291"/>
      <c r="BH2" s="291"/>
      <c r="BI2" s="291"/>
      <c r="BJ2" s="291"/>
      <c r="BK2" s="291"/>
      <c r="BL2" s="291"/>
      <c r="BM2" s="291"/>
      <c r="BN2" s="291"/>
      <c r="BO2" s="291"/>
      <c r="BP2" s="291"/>
      <c r="BQ2" s="291"/>
      <c r="BR2" s="291"/>
      <c r="BS2" s="291"/>
      <c r="BT2" s="291"/>
      <c r="BU2" s="291"/>
      <c r="BV2" s="291"/>
      <c r="BW2" s="291"/>
      <c r="BX2" s="291"/>
      <c r="BY2" s="291"/>
      <c r="BZ2" s="291"/>
      <c r="CA2" s="291"/>
      <c r="CB2" s="291"/>
      <c r="CC2" s="291"/>
      <c r="CD2" s="291"/>
      <c r="CE2" s="291"/>
      <c r="CF2" s="291"/>
      <c r="CG2" s="291"/>
      <c r="CH2" s="291"/>
      <c r="CI2" s="291"/>
      <c r="CJ2" s="291"/>
      <c r="CK2" s="291"/>
      <c r="CL2" s="291"/>
      <c r="CM2" s="291"/>
      <c r="CN2" s="291"/>
      <c r="CO2" s="291"/>
      <c r="CP2" s="291"/>
      <c r="CQ2" s="291"/>
      <c r="CR2" s="291"/>
      <c r="CS2" s="291"/>
      <c r="CT2" s="291"/>
      <c r="CU2" s="291"/>
      <c r="CV2" s="291"/>
      <c r="CW2" s="291"/>
      <c r="CX2" s="291"/>
      <c r="CY2" s="291"/>
      <c r="CZ2" s="291"/>
      <c r="DA2" s="291"/>
      <c r="DB2" s="291"/>
      <c r="DC2" s="291"/>
      <c r="DD2" s="291"/>
      <c r="DE2" s="291"/>
      <c r="DF2" s="291"/>
      <c r="DG2" s="291"/>
      <c r="DH2" s="291"/>
      <c r="DI2" s="291"/>
      <c r="DJ2" s="291"/>
      <c r="DK2" s="291"/>
      <c r="DL2" s="291"/>
      <c r="DM2" s="291"/>
      <c r="DN2" s="291"/>
      <c r="DO2" s="291"/>
      <c r="DP2" s="291"/>
      <c r="DQ2" s="291"/>
      <c r="DR2" s="291"/>
      <c r="DS2" s="291"/>
      <c r="DT2" s="291"/>
      <c r="DU2" s="291"/>
      <c r="DV2" s="291"/>
      <c r="DW2" s="291"/>
      <c r="DX2" s="291"/>
      <c r="DY2" s="291"/>
      <c r="DZ2" s="291"/>
      <c r="EA2" s="291"/>
      <c r="EB2" s="291"/>
      <c r="EC2" s="291"/>
      <c r="ED2" s="291"/>
      <c r="EE2" s="291"/>
      <c r="EF2" s="291"/>
      <c r="EG2" s="291"/>
      <c r="EH2" s="291"/>
      <c r="EI2" s="291"/>
      <c r="EJ2" s="291"/>
      <c r="EK2" s="291"/>
      <c r="EL2" s="291"/>
      <c r="EM2" s="291"/>
      <c r="EN2" s="291"/>
      <c r="EO2" s="291"/>
      <c r="EP2" s="291"/>
      <c r="EQ2" s="291"/>
      <c r="ER2" s="291"/>
      <c r="ES2" s="291"/>
      <c r="ET2" s="291"/>
      <c r="EU2" s="291"/>
    </row>
    <row r="4" spans="2:151">
      <c r="B4" s="291" t="s">
        <v>341</v>
      </c>
      <c r="C4" s="291"/>
      <c r="D4" s="291"/>
      <c r="E4" s="291"/>
      <c r="F4" s="291"/>
      <c r="G4" s="291"/>
      <c r="H4" s="291"/>
      <c r="I4" s="291"/>
      <c r="J4" s="291"/>
      <c r="K4" s="291"/>
      <c r="L4" s="291"/>
      <c r="M4" s="291"/>
      <c r="N4" s="291"/>
      <c r="O4" s="291"/>
      <c r="P4" s="291"/>
      <c r="Q4" s="291"/>
      <c r="R4" s="291"/>
      <c r="S4" s="291"/>
      <c r="T4" s="291"/>
      <c r="U4" s="291"/>
      <c r="V4" s="291"/>
      <c r="W4" s="291"/>
      <c r="X4" s="291"/>
      <c r="Y4" s="291"/>
      <c r="Z4" s="291"/>
      <c r="AA4" s="291"/>
      <c r="AC4" s="291" t="s">
        <v>343</v>
      </c>
      <c r="AD4" s="291"/>
      <c r="AE4" s="291"/>
      <c r="AF4" s="291"/>
      <c r="AH4" s="291" t="s">
        <v>340</v>
      </c>
      <c r="AI4" s="291"/>
      <c r="AJ4" s="291"/>
      <c r="AK4" s="291"/>
      <c r="AL4" s="291"/>
      <c r="AM4" s="291"/>
      <c r="AN4" s="291"/>
      <c r="AO4" s="291"/>
      <c r="AP4" s="291"/>
      <c r="AQ4" s="291"/>
      <c r="AR4" s="291"/>
      <c r="AS4" s="291"/>
      <c r="AT4" s="291"/>
      <c r="AU4" s="291"/>
      <c r="AV4" s="291"/>
      <c r="AW4" s="291"/>
      <c r="AX4" s="291"/>
      <c r="AY4" s="291"/>
      <c r="AZ4" s="291"/>
      <c r="BA4" s="291"/>
      <c r="BB4" s="291"/>
      <c r="BC4" s="291"/>
      <c r="BD4" s="291"/>
      <c r="BE4" s="291"/>
      <c r="BF4" s="291"/>
      <c r="BG4" s="291"/>
      <c r="BI4" s="289" t="s">
        <v>215</v>
      </c>
      <c r="BJ4" s="289" t="s">
        <v>295</v>
      </c>
      <c r="BK4" s="289"/>
      <c r="BL4" s="289" t="s">
        <v>296</v>
      </c>
      <c r="BM4" s="289"/>
      <c r="BN4" s="289" t="s">
        <v>297</v>
      </c>
      <c r="BO4" s="290"/>
      <c r="BP4" s="293" t="s">
        <v>298</v>
      </c>
      <c r="BQ4" s="289"/>
      <c r="BR4" s="289" t="s">
        <v>299</v>
      </c>
      <c r="BS4" s="289"/>
      <c r="BT4" s="289" t="s">
        <v>300</v>
      </c>
      <c r="BU4" s="290"/>
      <c r="BV4" s="293" t="s">
        <v>301</v>
      </c>
      <c r="BW4" s="289"/>
      <c r="BX4" s="289" t="s">
        <v>302</v>
      </c>
      <c r="BY4" s="289"/>
      <c r="BZ4" s="289" t="s">
        <v>303</v>
      </c>
      <c r="CA4" s="290"/>
      <c r="CB4" s="293" t="s">
        <v>304</v>
      </c>
      <c r="CC4" s="289"/>
      <c r="CD4" s="11" t="s">
        <v>305</v>
      </c>
      <c r="CE4" s="11"/>
      <c r="CF4" s="289" t="s">
        <v>306</v>
      </c>
      <c r="CG4" s="290"/>
      <c r="CH4" s="293" t="s">
        <v>307</v>
      </c>
      <c r="CI4" s="289"/>
      <c r="CJ4" s="289" t="s">
        <v>308</v>
      </c>
      <c r="CK4" s="289"/>
      <c r="CL4" s="289" t="s">
        <v>309</v>
      </c>
      <c r="CM4" s="290"/>
      <c r="CN4" s="293" t="s">
        <v>310</v>
      </c>
      <c r="CO4" s="289"/>
      <c r="CP4" s="289" t="s">
        <v>311</v>
      </c>
      <c r="CQ4" s="289"/>
      <c r="CR4" s="289" t="s">
        <v>312</v>
      </c>
      <c r="CS4" s="290"/>
      <c r="CT4" s="293" t="s">
        <v>313</v>
      </c>
      <c r="CU4" s="289"/>
      <c r="CV4" s="289" t="s">
        <v>314</v>
      </c>
      <c r="CW4" s="289"/>
      <c r="CX4" s="289" t="s">
        <v>315</v>
      </c>
      <c r="CY4" s="290"/>
      <c r="CZ4" s="11" t="s">
        <v>316</v>
      </c>
      <c r="DA4" s="11"/>
      <c r="DB4" s="289" t="s">
        <v>317</v>
      </c>
      <c r="DC4" s="289"/>
      <c r="DD4" s="289" t="s">
        <v>318</v>
      </c>
      <c r="DE4" s="290"/>
      <c r="DF4" s="11" t="s">
        <v>319</v>
      </c>
      <c r="DG4" s="11"/>
      <c r="DH4" s="289" t="s">
        <v>320</v>
      </c>
      <c r="DI4" s="289"/>
      <c r="DJ4" s="289" t="s">
        <v>321</v>
      </c>
      <c r="DK4" s="290"/>
      <c r="DL4" s="293" t="s">
        <v>322</v>
      </c>
      <c r="DM4" s="289"/>
      <c r="DN4" s="289" t="s">
        <v>323</v>
      </c>
      <c r="DO4" s="289"/>
      <c r="DP4" s="289" t="s">
        <v>324</v>
      </c>
      <c r="DQ4" s="290"/>
      <c r="DR4" s="293" t="s">
        <v>325</v>
      </c>
      <c r="DS4" s="289"/>
      <c r="DT4" s="289" t="s">
        <v>326</v>
      </c>
      <c r="DU4" s="289"/>
      <c r="DV4" s="11" t="s">
        <v>327</v>
      </c>
      <c r="DW4" s="12"/>
      <c r="DX4" s="293" t="s">
        <v>328</v>
      </c>
      <c r="DY4" s="289"/>
      <c r="DZ4" s="289" t="s">
        <v>329</v>
      </c>
      <c r="EA4" s="289"/>
      <c r="EB4" s="289" t="s">
        <v>330</v>
      </c>
      <c r="EC4" s="290"/>
      <c r="ED4" s="11" t="s">
        <v>331</v>
      </c>
      <c r="EE4" s="11"/>
      <c r="EF4" s="289" t="s">
        <v>332</v>
      </c>
      <c r="EG4" s="289"/>
      <c r="EH4" s="289" t="s">
        <v>333</v>
      </c>
      <c r="EI4" s="290"/>
      <c r="EJ4" s="293" t="s">
        <v>334</v>
      </c>
      <c r="EK4" s="289"/>
      <c r="EL4" s="289" t="s">
        <v>335</v>
      </c>
      <c r="EM4" s="289"/>
      <c r="EN4" s="289" t="s">
        <v>336</v>
      </c>
      <c r="EO4" s="290"/>
      <c r="EP4" s="293" t="s">
        <v>337</v>
      </c>
      <c r="EQ4" s="289"/>
      <c r="ER4" s="289" t="s">
        <v>338</v>
      </c>
      <c r="ES4" s="289"/>
      <c r="ET4" s="289" t="s">
        <v>339</v>
      </c>
      <c r="EU4" s="290"/>
    </row>
    <row r="5" spans="2:151">
      <c r="B5" s="2" t="s">
        <v>293</v>
      </c>
      <c r="C5" s="2">
        <v>1</v>
      </c>
      <c r="D5" s="2" t="s">
        <v>199</v>
      </c>
      <c r="E5" s="2" t="s">
        <v>200</v>
      </c>
      <c r="F5" s="2">
        <v>3</v>
      </c>
      <c r="G5" s="2" t="s">
        <v>201</v>
      </c>
      <c r="H5" s="2" t="s">
        <v>202</v>
      </c>
      <c r="I5" s="2">
        <v>5</v>
      </c>
      <c r="J5" s="2" t="s">
        <v>203</v>
      </c>
      <c r="K5" s="2" t="s">
        <v>204</v>
      </c>
      <c r="L5" s="2">
        <v>7</v>
      </c>
      <c r="M5" s="2" t="s">
        <v>205</v>
      </c>
      <c r="N5" s="2" t="s">
        <v>206</v>
      </c>
      <c r="O5" s="2" t="s">
        <v>234</v>
      </c>
      <c r="P5" s="2" t="s">
        <v>235</v>
      </c>
      <c r="Q5" s="2" t="s">
        <v>236</v>
      </c>
      <c r="R5" s="16" t="s">
        <v>248</v>
      </c>
      <c r="S5" s="2" t="s">
        <v>249</v>
      </c>
      <c r="T5" s="2" t="s">
        <v>250</v>
      </c>
      <c r="U5" s="2" t="s">
        <v>251</v>
      </c>
      <c r="V5" s="2" t="s">
        <v>252</v>
      </c>
      <c r="W5" s="2" t="s">
        <v>253</v>
      </c>
      <c r="X5" s="2" t="s">
        <v>254</v>
      </c>
      <c r="Y5" s="2" t="s">
        <v>255</v>
      </c>
      <c r="Z5" s="2" t="s">
        <v>256</v>
      </c>
      <c r="AA5" s="2" t="s">
        <v>257</v>
      </c>
      <c r="AC5" s="2" t="s">
        <v>215</v>
      </c>
      <c r="AD5" s="2" t="s">
        <v>222</v>
      </c>
      <c r="AE5" s="2" t="s">
        <v>223</v>
      </c>
      <c r="AF5" s="2" t="s">
        <v>224</v>
      </c>
      <c r="AH5" s="5" t="s">
        <v>216</v>
      </c>
      <c r="AI5" s="5">
        <v>1</v>
      </c>
      <c r="AJ5" s="5" t="s">
        <v>199</v>
      </c>
      <c r="AK5" s="5" t="s">
        <v>200</v>
      </c>
      <c r="AL5" s="5">
        <v>3</v>
      </c>
      <c r="AM5" s="5" t="s">
        <v>201</v>
      </c>
      <c r="AN5" s="5" t="s">
        <v>202</v>
      </c>
      <c r="AO5" s="5">
        <v>5</v>
      </c>
      <c r="AP5" s="5" t="s">
        <v>203</v>
      </c>
      <c r="AQ5" s="5" t="s">
        <v>204</v>
      </c>
      <c r="AR5" s="5">
        <v>7</v>
      </c>
      <c r="AS5" s="5" t="s">
        <v>205</v>
      </c>
      <c r="AT5" s="5" t="s">
        <v>206</v>
      </c>
      <c r="AU5" s="5" t="s">
        <v>234</v>
      </c>
      <c r="AV5" s="5" t="s">
        <v>235</v>
      </c>
      <c r="AW5" s="5" t="s">
        <v>236</v>
      </c>
      <c r="AX5" s="5" t="s">
        <v>248</v>
      </c>
      <c r="AY5" s="5" t="s">
        <v>249</v>
      </c>
      <c r="AZ5" s="5" t="s">
        <v>250</v>
      </c>
      <c r="BA5" s="5" t="s">
        <v>251</v>
      </c>
      <c r="BB5" s="5" t="s">
        <v>252</v>
      </c>
      <c r="BC5" s="5" t="s">
        <v>253</v>
      </c>
      <c r="BD5" s="5" t="s">
        <v>254</v>
      </c>
      <c r="BE5" s="5" t="s">
        <v>255</v>
      </c>
      <c r="BF5" s="5" t="s">
        <v>256</v>
      </c>
      <c r="BG5" s="5" t="s">
        <v>257</v>
      </c>
      <c r="BI5" s="289"/>
      <c r="BJ5" s="8" t="s">
        <v>216</v>
      </c>
      <c r="BK5" s="8" t="s">
        <v>226</v>
      </c>
      <c r="BL5" s="8" t="s">
        <v>216</v>
      </c>
      <c r="BM5" s="8" t="s">
        <v>226</v>
      </c>
      <c r="BN5" s="8" t="s">
        <v>216</v>
      </c>
      <c r="BO5" s="13" t="s">
        <v>226</v>
      </c>
      <c r="BP5" s="14" t="s">
        <v>216</v>
      </c>
      <c r="BQ5" s="8" t="s">
        <v>226</v>
      </c>
      <c r="BR5" s="8" t="s">
        <v>216</v>
      </c>
      <c r="BS5" s="8" t="s">
        <v>226</v>
      </c>
      <c r="BT5" s="8" t="s">
        <v>216</v>
      </c>
      <c r="BU5" s="13" t="s">
        <v>226</v>
      </c>
      <c r="BV5" s="14" t="s">
        <v>216</v>
      </c>
      <c r="BW5" s="8" t="s">
        <v>226</v>
      </c>
      <c r="BX5" s="8" t="s">
        <v>216</v>
      </c>
      <c r="BY5" s="8" t="s">
        <v>226</v>
      </c>
      <c r="BZ5" s="8" t="s">
        <v>216</v>
      </c>
      <c r="CA5" s="13" t="s">
        <v>226</v>
      </c>
      <c r="CB5" s="8" t="s">
        <v>216</v>
      </c>
      <c r="CC5" s="8" t="s">
        <v>226</v>
      </c>
      <c r="CD5" s="8" t="s">
        <v>216</v>
      </c>
      <c r="CE5" s="8" t="s">
        <v>226</v>
      </c>
      <c r="CF5" s="8" t="s">
        <v>216</v>
      </c>
      <c r="CG5" s="8" t="s">
        <v>226</v>
      </c>
      <c r="CH5" s="8" t="s">
        <v>216</v>
      </c>
      <c r="CI5" s="8" t="s">
        <v>226</v>
      </c>
      <c r="CJ5" s="8" t="s">
        <v>216</v>
      </c>
      <c r="CK5" s="8" t="s">
        <v>226</v>
      </c>
      <c r="CL5" s="8" t="s">
        <v>216</v>
      </c>
      <c r="CM5" s="13" t="s">
        <v>226</v>
      </c>
      <c r="CN5" s="8" t="s">
        <v>216</v>
      </c>
      <c r="CO5" s="8" t="s">
        <v>226</v>
      </c>
      <c r="CP5" s="8" t="s">
        <v>216</v>
      </c>
      <c r="CQ5" s="8" t="s">
        <v>226</v>
      </c>
      <c r="CR5" s="8" t="s">
        <v>216</v>
      </c>
      <c r="CS5" s="13" t="s">
        <v>226</v>
      </c>
      <c r="CT5" s="8" t="s">
        <v>216</v>
      </c>
      <c r="CU5" s="8" t="s">
        <v>226</v>
      </c>
      <c r="CV5" s="8" t="s">
        <v>216</v>
      </c>
      <c r="CW5" s="8" t="s">
        <v>226</v>
      </c>
      <c r="CX5" s="8" t="s">
        <v>216</v>
      </c>
      <c r="CY5" s="13" t="s">
        <v>226</v>
      </c>
      <c r="CZ5" s="8" t="s">
        <v>216</v>
      </c>
      <c r="DA5" s="8" t="s">
        <v>226</v>
      </c>
      <c r="DB5" s="8" t="s">
        <v>216</v>
      </c>
      <c r="DC5" s="8" t="s">
        <v>226</v>
      </c>
      <c r="DD5" s="8" t="s">
        <v>216</v>
      </c>
      <c r="DE5" s="13" t="s">
        <v>226</v>
      </c>
      <c r="DF5" s="8" t="s">
        <v>216</v>
      </c>
      <c r="DG5" s="8" t="s">
        <v>226</v>
      </c>
      <c r="DH5" s="8" t="s">
        <v>216</v>
      </c>
      <c r="DI5" s="8" t="s">
        <v>226</v>
      </c>
      <c r="DJ5" s="8" t="s">
        <v>216</v>
      </c>
      <c r="DK5" s="13" t="s">
        <v>226</v>
      </c>
      <c r="DL5" s="8" t="s">
        <v>216</v>
      </c>
      <c r="DM5" s="8" t="s">
        <v>226</v>
      </c>
      <c r="DN5" s="8" t="s">
        <v>216</v>
      </c>
      <c r="DO5" s="8" t="s">
        <v>226</v>
      </c>
      <c r="DP5" s="8" t="s">
        <v>216</v>
      </c>
      <c r="DQ5" s="13" t="s">
        <v>226</v>
      </c>
      <c r="DR5" s="8" t="s">
        <v>216</v>
      </c>
      <c r="DS5" s="8" t="s">
        <v>226</v>
      </c>
      <c r="DT5" s="8" t="s">
        <v>216</v>
      </c>
      <c r="DU5" s="8" t="s">
        <v>226</v>
      </c>
      <c r="DV5" s="8" t="s">
        <v>216</v>
      </c>
      <c r="DW5" s="13" t="s">
        <v>226</v>
      </c>
      <c r="DX5" s="8" t="s">
        <v>216</v>
      </c>
      <c r="DY5" s="8" t="s">
        <v>226</v>
      </c>
      <c r="DZ5" s="8" t="s">
        <v>216</v>
      </c>
      <c r="EA5" s="8" t="s">
        <v>226</v>
      </c>
      <c r="EB5" s="8" t="s">
        <v>216</v>
      </c>
      <c r="EC5" s="13" t="s">
        <v>226</v>
      </c>
      <c r="ED5" s="8" t="s">
        <v>216</v>
      </c>
      <c r="EE5" s="8" t="s">
        <v>226</v>
      </c>
      <c r="EF5" s="8" t="s">
        <v>216</v>
      </c>
      <c r="EG5" s="8" t="s">
        <v>226</v>
      </c>
      <c r="EH5" s="8" t="s">
        <v>216</v>
      </c>
      <c r="EI5" s="13" t="s">
        <v>226</v>
      </c>
      <c r="EJ5" s="14" t="s">
        <v>216</v>
      </c>
      <c r="EK5" s="8" t="s">
        <v>226</v>
      </c>
      <c r="EL5" s="8" t="s">
        <v>216</v>
      </c>
      <c r="EM5" s="8" t="s">
        <v>226</v>
      </c>
      <c r="EN5" s="8" t="s">
        <v>216</v>
      </c>
      <c r="EO5" s="13" t="s">
        <v>226</v>
      </c>
      <c r="EP5" s="8" t="s">
        <v>216</v>
      </c>
      <c r="EQ5" s="8" t="s">
        <v>226</v>
      </c>
      <c r="ER5" s="8" t="s">
        <v>216</v>
      </c>
      <c r="ES5" s="8" t="s">
        <v>226</v>
      </c>
      <c r="ET5" s="8" t="s">
        <v>216</v>
      </c>
      <c r="EU5" s="13" t="s">
        <v>226</v>
      </c>
    </row>
    <row r="6" spans="2:151">
      <c r="B6" s="9">
        <v>0</v>
      </c>
      <c r="C6" s="9">
        <v>0</v>
      </c>
      <c r="D6" s="9">
        <v>0</v>
      </c>
      <c r="E6" s="9">
        <v>0</v>
      </c>
      <c r="F6" s="9">
        <v>0</v>
      </c>
      <c r="G6" s="9">
        <v>0</v>
      </c>
      <c r="H6" s="9">
        <v>0</v>
      </c>
      <c r="I6" s="9">
        <v>0</v>
      </c>
      <c r="J6" s="9">
        <v>0</v>
      </c>
      <c r="K6" s="9">
        <v>0</v>
      </c>
      <c r="L6" s="9">
        <v>0</v>
      </c>
      <c r="M6" s="9">
        <v>0</v>
      </c>
      <c r="N6" s="9">
        <v>0</v>
      </c>
      <c r="O6" s="9">
        <v>0</v>
      </c>
      <c r="P6" s="9">
        <v>0</v>
      </c>
      <c r="Q6" s="9">
        <v>0</v>
      </c>
      <c r="R6" s="17">
        <v>0</v>
      </c>
      <c r="S6" s="9">
        <v>0</v>
      </c>
      <c r="T6" s="9">
        <v>0</v>
      </c>
      <c r="U6" s="9">
        <v>0</v>
      </c>
      <c r="V6" s="9">
        <v>0</v>
      </c>
      <c r="W6" s="9">
        <v>0</v>
      </c>
      <c r="X6" s="10">
        <v>0</v>
      </c>
      <c r="Y6" s="10">
        <v>0</v>
      </c>
      <c r="Z6" s="10">
        <v>0</v>
      </c>
      <c r="AA6" s="10">
        <v>0</v>
      </c>
      <c r="AC6" s="10">
        <v>0</v>
      </c>
      <c r="AD6" s="10">
        <v>0</v>
      </c>
      <c r="AE6" s="10">
        <v>0</v>
      </c>
      <c r="AF6" s="10">
        <v>0</v>
      </c>
      <c r="AH6" s="10">
        <v>0</v>
      </c>
      <c r="AI6" s="10">
        <v>3</v>
      </c>
      <c r="AJ6" s="10">
        <v>3</v>
      </c>
      <c r="AK6" s="10">
        <v>3</v>
      </c>
      <c r="AL6" s="10">
        <v>1</v>
      </c>
      <c r="AM6" s="10">
        <v>1</v>
      </c>
      <c r="AN6" s="10">
        <v>2</v>
      </c>
      <c r="AO6" s="10">
        <v>3</v>
      </c>
      <c r="AP6" s="10">
        <v>6</v>
      </c>
      <c r="AQ6" s="10">
        <v>5</v>
      </c>
      <c r="AR6" s="10">
        <v>1</v>
      </c>
      <c r="AS6" s="10">
        <v>3</v>
      </c>
      <c r="AT6" s="10">
        <v>4</v>
      </c>
      <c r="AU6" s="10">
        <v>4</v>
      </c>
      <c r="AV6" s="10">
        <v>6</v>
      </c>
      <c r="AW6" s="10">
        <v>7</v>
      </c>
      <c r="AX6" s="10">
        <v>5</v>
      </c>
      <c r="AY6" s="10">
        <v>7</v>
      </c>
      <c r="AZ6" s="10">
        <v>1</v>
      </c>
      <c r="BA6" s="10">
        <v>4</v>
      </c>
      <c r="BB6" s="10">
        <v>14</v>
      </c>
      <c r="BC6" s="10">
        <v>10</v>
      </c>
      <c r="BD6" s="10">
        <v>8</v>
      </c>
      <c r="BE6" s="10">
        <v>3</v>
      </c>
      <c r="BF6" s="10">
        <v>7</v>
      </c>
      <c r="BG6" s="10">
        <v>13</v>
      </c>
      <c r="BI6" s="10">
        <v>0</v>
      </c>
      <c r="BJ6" s="10">
        <v>0</v>
      </c>
      <c r="BK6" s="10">
        <v>8</v>
      </c>
      <c r="BL6" s="10">
        <v>0</v>
      </c>
      <c r="BM6" s="10">
        <v>7</v>
      </c>
      <c r="BN6" s="10">
        <v>0</v>
      </c>
      <c r="BO6" s="10">
        <v>10</v>
      </c>
      <c r="BP6" s="10">
        <v>0</v>
      </c>
      <c r="BQ6" s="10">
        <v>4</v>
      </c>
      <c r="BR6" s="10">
        <v>0</v>
      </c>
      <c r="BS6" s="10">
        <v>8</v>
      </c>
      <c r="BT6" s="10">
        <v>0</v>
      </c>
      <c r="BU6" s="10">
        <v>12</v>
      </c>
      <c r="BV6" s="10">
        <v>0</v>
      </c>
      <c r="BW6" s="10">
        <v>6</v>
      </c>
      <c r="BX6" s="10">
        <v>0</v>
      </c>
      <c r="BY6" s="10">
        <v>16</v>
      </c>
      <c r="BZ6" s="10">
        <v>0</v>
      </c>
      <c r="CA6" s="10">
        <v>9</v>
      </c>
      <c r="CB6" s="10">
        <v>0</v>
      </c>
      <c r="CC6" s="10">
        <v>8</v>
      </c>
      <c r="CD6" s="10">
        <v>0</v>
      </c>
      <c r="CE6" s="10">
        <v>11</v>
      </c>
      <c r="CF6" s="10">
        <v>0</v>
      </c>
      <c r="CG6" s="10">
        <v>7</v>
      </c>
      <c r="CH6" s="10">
        <v>0</v>
      </c>
      <c r="CI6" s="10">
        <v>12</v>
      </c>
      <c r="CJ6" s="10">
        <v>0</v>
      </c>
      <c r="CK6" s="10">
        <v>2</v>
      </c>
      <c r="CL6" s="10">
        <v>0</v>
      </c>
      <c r="CM6" s="10">
        <v>2</v>
      </c>
      <c r="CN6" s="10">
        <v>0</v>
      </c>
      <c r="CO6" s="10">
        <v>7</v>
      </c>
      <c r="CP6" s="10">
        <v>0</v>
      </c>
      <c r="CQ6" s="10">
        <v>3</v>
      </c>
      <c r="CR6" s="10">
        <v>0</v>
      </c>
      <c r="CS6" s="10">
        <v>3</v>
      </c>
      <c r="CT6" s="10">
        <v>0</v>
      </c>
      <c r="CU6" s="10">
        <v>10</v>
      </c>
      <c r="CV6" s="10">
        <v>0</v>
      </c>
      <c r="CW6" s="10">
        <v>3</v>
      </c>
      <c r="CX6" s="10">
        <v>0</v>
      </c>
      <c r="CY6" s="10">
        <v>18</v>
      </c>
      <c r="CZ6" s="10">
        <v>0</v>
      </c>
      <c r="DA6" s="10">
        <v>7</v>
      </c>
      <c r="DB6" s="10">
        <v>0</v>
      </c>
      <c r="DC6" s="10">
        <v>8</v>
      </c>
      <c r="DD6" s="10">
        <v>0</v>
      </c>
      <c r="DE6" s="10">
        <v>13</v>
      </c>
      <c r="DF6" s="10">
        <v>0</v>
      </c>
      <c r="DG6" s="10">
        <v>10</v>
      </c>
      <c r="DH6" s="10">
        <v>0</v>
      </c>
      <c r="DI6" s="10">
        <v>13</v>
      </c>
      <c r="DJ6" s="10">
        <v>0</v>
      </c>
      <c r="DK6" s="10">
        <v>19</v>
      </c>
      <c r="DL6" s="10">
        <v>0</v>
      </c>
      <c r="DM6" s="10">
        <v>1</v>
      </c>
      <c r="DN6" s="10">
        <v>0</v>
      </c>
      <c r="DO6" s="10">
        <v>2</v>
      </c>
      <c r="DP6" s="10">
        <v>0</v>
      </c>
      <c r="DQ6" s="10">
        <v>1</v>
      </c>
      <c r="DR6" s="10">
        <v>0</v>
      </c>
      <c r="DS6" s="10">
        <v>12</v>
      </c>
      <c r="DT6" s="10">
        <v>0</v>
      </c>
      <c r="DU6" s="10">
        <v>7</v>
      </c>
      <c r="DV6" s="10">
        <v>0</v>
      </c>
      <c r="DW6" s="10">
        <v>13</v>
      </c>
      <c r="DX6" s="10">
        <v>0</v>
      </c>
      <c r="DY6" s="10">
        <v>9</v>
      </c>
      <c r="DZ6" s="10">
        <v>0</v>
      </c>
      <c r="EA6" s="10">
        <v>13</v>
      </c>
      <c r="EB6" s="10">
        <v>0</v>
      </c>
      <c r="EC6" s="10">
        <v>3</v>
      </c>
      <c r="ED6" s="10">
        <v>0</v>
      </c>
      <c r="EE6" s="10">
        <v>9</v>
      </c>
      <c r="EF6" s="10">
        <v>0</v>
      </c>
      <c r="EG6" s="10">
        <v>10</v>
      </c>
      <c r="EH6" s="10">
        <v>0</v>
      </c>
      <c r="EI6" s="10">
        <v>17</v>
      </c>
      <c r="EJ6" s="10">
        <v>0</v>
      </c>
      <c r="EK6" s="10">
        <v>14</v>
      </c>
      <c r="EL6" s="10">
        <v>0</v>
      </c>
      <c r="EM6" s="10">
        <v>13</v>
      </c>
      <c r="EN6" s="10">
        <v>0</v>
      </c>
      <c r="EO6" s="10">
        <v>13</v>
      </c>
      <c r="EP6" s="10">
        <v>0</v>
      </c>
      <c r="EQ6" s="10">
        <v>9</v>
      </c>
      <c r="ER6" s="10">
        <v>0</v>
      </c>
      <c r="ES6" s="10">
        <v>14</v>
      </c>
      <c r="ET6" s="10">
        <v>0</v>
      </c>
      <c r="EU6" s="10">
        <v>17</v>
      </c>
    </row>
    <row r="7" spans="2:151">
      <c r="B7" s="9">
        <v>1</v>
      </c>
      <c r="C7" s="9">
        <v>9</v>
      </c>
      <c r="D7" s="9">
        <v>9</v>
      </c>
      <c r="E7" s="9">
        <v>8</v>
      </c>
      <c r="F7" s="9">
        <v>10</v>
      </c>
      <c r="G7" s="9">
        <v>6</v>
      </c>
      <c r="H7" s="9">
        <v>6</v>
      </c>
      <c r="I7" s="9">
        <v>12</v>
      </c>
      <c r="J7" s="9">
        <v>20</v>
      </c>
      <c r="K7" s="9">
        <v>15</v>
      </c>
      <c r="L7" s="9">
        <v>4</v>
      </c>
      <c r="M7" s="9">
        <v>10</v>
      </c>
      <c r="N7" s="9">
        <v>12</v>
      </c>
      <c r="O7" s="9">
        <v>12</v>
      </c>
      <c r="P7" s="9">
        <v>10</v>
      </c>
      <c r="Q7" s="9">
        <v>15</v>
      </c>
      <c r="R7" s="17">
        <v>15</v>
      </c>
      <c r="S7" s="9">
        <v>10</v>
      </c>
      <c r="T7" s="9">
        <v>12</v>
      </c>
      <c r="U7" s="9">
        <v>7</v>
      </c>
      <c r="V7" s="9">
        <v>60</v>
      </c>
      <c r="W7" s="9">
        <v>60</v>
      </c>
      <c r="X7" s="10">
        <v>20</v>
      </c>
      <c r="Y7" s="10">
        <v>9</v>
      </c>
      <c r="Z7" s="10">
        <v>12</v>
      </c>
      <c r="AA7" s="10">
        <v>62</v>
      </c>
      <c r="AC7" s="10">
        <v>1</v>
      </c>
      <c r="AD7" s="10">
        <v>0</v>
      </c>
      <c r="AE7" s="10">
        <v>5</v>
      </c>
      <c r="AF7" s="10">
        <v>35</v>
      </c>
      <c r="AH7" s="15">
        <v>1</v>
      </c>
      <c r="AI7" s="15">
        <v>7</v>
      </c>
      <c r="AJ7" s="15">
        <v>7</v>
      </c>
      <c r="AK7" s="15">
        <v>6</v>
      </c>
      <c r="AL7" s="15">
        <v>6</v>
      </c>
      <c r="AM7" s="15">
        <v>2</v>
      </c>
      <c r="AN7" s="15">
        <v>4</v>
      </c>
      <c r="AO7" s="15">
        <v>7</v>
      </c>
      <c r="AP7" s="15">
        <v>12</v>
      </c>
      <c r="AQ7" s="15">
        <v>11</v>
      </c>
      <c r="AR7" s="15">
        <v>1</v>
      </c>
      <c r="AS7" s="15">
        <v>8</v>
      </c>
      <c r="AT7" s="15">
        <v>9</v>
      </c>
      <c r="AU7" s="15">
        <v>10</v>
      </c>
      <c r="AV7" s="15">
        <v>13</v>
      </c>
      <c r="AW7" s="15">
        <v>16</v>
      </c>
      <c r="AX7" s="15">
        <v>10</v>
      </c>
      <c r="AY7" s="15">
        <v>15</v>
      </c>
      <c r="AZ7" s="15">
        <v>3</v>
      </c>
      <c r="BA7" s="15">
        <v>8</v>
      </c>
      <c r="BB7" s="10">
        <v>29</v>
      </c>
      <c r="BC7" s="10">
        <v>22</v>
      </c>
      <c r="BD7" s="10">
        <v>16</v>
      </c>
      <c r="BE7" s="10">
        <v>7</v>
      </c>
      <c r="BF7" s="10">
        <v>15</v>
      </c>
      <c r="BG7" s="10">
        <v>28</v>
      </c>
      <c r="BI7" s="10">
        <v>1</v>
      </c>
      <c r="BJ7" s="10">
        <v>30</v>
      </c>
      <c r="BK7" s="10">
        <v>23</v>
      </c>
      <c r="BL7" s="10">
        <v>20</v>
      </c>
      <c r="BM7" s="10">
        <v>20</v>
      </c>
      <c r="BN7" s="10">
        <v>30</v>
      </c>
      <c r="BO7" s="10">
        <v>29</v>
      </c>
      <c r="BP7" s="10">
        <v>20</v>
      </c>
      <c r="BQ7" s="10">
        <v>14</v>
      </c>
      <c r="BR7" s="10">
        <v>30</v>
      </c>
      <c r="BS7" s="10">
        <v>24</v>
      </c>
      <c r="BT7" s="10">
        <v>30</v>
      </c>
      <c r="BU7" s="10">
        <v>33</v>
      </c>
      <c r="BV7" s="10">
        <v>20</v>
      </c>
      <c r="BW7" s="10">
        <v>17</v>
      </c>
      <c r="BX7" s="10">
        <v>60</v>
      </c>
      <c r="BY7" s="10">
        <v>41</v>
      </c>
      <c r="BZ7" s="10">
        <v>30</v>
      </c>
      <c r="CA7" s="10">
        <v>30</v>
      </c>
      <c r="CB7" s="10">
        <v>20</v>
      </c>
      <c r="CC7" s="10">
        <v>21</v>
      </c>
      <c r="CD7" s="10">
        <v>60</v>
      </c>
      <c r="CE7" s="10">
        <v>33</v>
      </c>
      <c r="CF7" s="10">
        <v>30</v>
      </c>
      <c r="CG7" s="10">
        <v>22</v>
      </c>
      <c r="CH7" s="10">
        <v>60</v>
      </c>
      <c r="CI7" s="10">
        <v>35</v>
      </c>
      <c r="CJ7" s="10">
        <v>12</v>
      </c>
      <c r="CK7" s="10">
        <v>7</v>
      </c>
      <c r="CL7" s="10">
        <v>12</v>
      </c>
      <c r="CM7" s="10">
        <v>8</v>
      </c>
      <c r="CN7" s="10">
        <v>20</v>
      </c>
      <c r="CO7" s="10">
        <v>22</v>
      </c>
      <c r="CP7" s="10">
        <v>15</v>
      </c>
      <c r="CQ7" s="10">
        <v>11</v>
      </c>
      <c r="CR7" s="10">
        <v>15</v>
      </c>
      <c r="CS7" s="10">
        <v>10</v>
      </c>
      <c r="CT7" s="10">
        <v>30</v>
      </c>
      <c r="CU7" s="10">
        <v>31</v>
      </c>
      <c r="CV7" s="10">
        <v>12</v>
      </c>
      <c r="CW7" s="10">
        <v>10</v>
      </c>
      <c r="CX7" s="10">
        <v>60</v>
      </c>
      <c r="CY7" s="10">
        <v>50</v>
      </c>
      <c r="CZ7" s="10">
        <v>30</v>
      </c>
      <c r="DA7" s="10">
        <v>26</v>
      </c>
      <c r="DB7" s="10">
        <v>30</v>
      </c>
      <c r="DC7" s="10">
        <v>27</v>
      </c>
      <c r="DD7" s="10">
        <v>60</v>
      </c>
      <c r="DE7" s="10">
        <v>40</v>
      </c>
      <c r="DF7" s="10">
        <v>30</v>
      </c>
      <c r="DG7" s="10">
        <v>29</v>
      </c>
      <c r="DH7" s="10">
        <v>60</v>
      </c>
      <c r="DI7" s="10">
        <v>35</v>
      </c>
      <c r="DJ7" s="10">
        <v>60</v>
      </c>
      <c r="DK7" s="10">
        <v>49</v>
      </c>
      <c r="DL7" s="10">
        <v>15</v>
      </c>
      <c r="DM7" s="10">
        <v>6</v>
      </c>
      <c r="DN7" s="10">
        <v>12</v>
      </c>
      <c r="DO7" s="10">
        <v>7</v>
      </c>
      <c r="DP7" s="10">
        <v>10</v>
      </c>
      <c r="DQ7" s="10">
        <v>1</v>
      </c>
      <c r="DR7" s="10">
        <v>60</v>
      </c>
      <c r="DS7" s="10">
        <v>34</v>
      </c>
      <c r="DT7" s="10">
        <v>20</v>
      </c>
      <c r="DU7" s="10">
        <v>21</v>
      </c>
      <c r="DV7" s="10">
        <v>60</v>
      </c>
      <c r="DW7" s="10">
        <v>36</v>
      </c>
      <c r="DX7" s="10">
        <v>30</v>
      </c>
      <c r="DY7" s="10">
        <v>26</v>
      </c>
      <c r="DZ7" s="10">
        <v>30</v>
      </c>
      <c r="EA7" s="10">
        <v>35</v>
      </c>
      <c r="EB7" s="10">
        <v>24</v>
      </c>
      <c r="EC7" s="10">
        <v>12</v>
      </c>
      <c r="ED7" s="10">
        <v>20</v>
      </c>
      <c r="EE7" s="10">
        <v>24</v>
      </c>
      <c r="EF7" s="10">
        <v>30</v>
      </c>
      <c r="EG7" s="10">
        <v>29</v>
      </c>
      <c r="EH7" s="10">
        <v>60</v>
      </c>
      <c r="EI7" s="10">
        <v>43</v>
      </c>
      <c r="EJ7" s="10">
        <v>30</v>
      </c>
      <c r="EK7" s="10">
        <v>34</v>
      </c>
      <c r="EL7" s="10">
        <v>30</v>
      </c>
      <c r="EM7" s="10">
        <v>34</v>
      </c>
      <c r="EN7" s="10">
        <v>30</v>
      </c>
      <c r="EO7" s="10">
        <v>33</v>
      </c>
      <c r="EP7" s="10">
        <v>30</v>
      </c>
      <c r="EQ7" s="10">
        <v>28</v>
      </c>
      <c r="ER7" s="10">
        <v>60</v>
      </c>
      <c r="ES7" s="10">
        <v>39</v>
      </c>
      <c r="ET7" s="10">
        <v>60</v>
      </c>
      <c r="EU7" s="10">
        <v>43</v>
      </c>
    </row>
    <row r="8" spans="2:151">
      <c r="B8" s="9">
        <v>2</v>
      </c>
      <c r="C8" s="9">
        <v>17</v>
      </c>
      <c r="D8" s="9">
        <v>17</v>
      </c>
      <c r="E8" s="9">
        <v>15</v>
      </c>
      <c r="F8" s="9">
        <v>20</v>
      </c>
      <c r="G8" s="9">
        <v>11</v>
      </c>
      <c r="H8" s="9">
        <v>12</v>
      </c>
      <c r="I8" s="9">
        <v>24</v>
      </c>
      <c r="J8" s="9">
        <v>40</v>
      </c>
      <c r="K8" s="9">
        <v>30</v>
      </c>
      <c r="L8" s="9">
        <v>8</v>
      </c>
      <c r="M8" s="9">
        <v>20</v>
      </c>
      <c r="N8" s="9">
        <v>24</v>
      </c>
      <c r="O8" s="9">
        <v>24</v>
      </c>
      <c r="P8" s="9">
        <v>20</v>
      </c>
      <c r="Q8" s="9">
        <v>30</v>
      </c>
      <c r="R8" s="17">
        <v>30</v>
      </c>
      <c r="S8" s="9">
        <v>20</v>
      </c>
      <c r="T8" s="9">
        <v>24</v>
      </c>
      <c r="U8" s="9">
        <v>14</v>
      </c>
      <c r="V8" s="9">
        <v>68</v>
      </c>
      <c r="W8" s="9">
        <v>62</v>
      </c>
      <c r="X8" s="9">
        <v>40</v>
      </c>
      <c r="Y8" s="10">
        <v>17</v>
      </c>
      <c r="Z8" s="9">
        <v>24</v>
      </c>
      <c r="AA8" s="10">
        <v>62</v>
      </c>
      <c r="AC8" s="10">
        <v>2</v>
      </c>
      <c r="AD8" s="10">
        <v>0</v>
      </c>
      <c r="AE8" s="10">
        <v>10</v>
      </c>
      <c r="AF8" s="10">
        <v>38</v>
      </c>
      <c r="AH8" s="15">
        <v>2</v>
      </c>
      <c r="AI8" s="15">
        <v>7</v>
      </c>
      <c r="AJ8" s="15">
        <v>7</v>
      </c>
      <c r="AK8" s="15">
        <v>7</v>
      </c>
      <c r="AL8" s="15">
        <v>7</v>
      </c>
      <c r="AM8" s="15">
        <v>2</v>
      </c>
      <c r="AN8" s="15">
        <v>4</v>
      </c>
      <c r="AO8" s="15">
        <v>8</v>
      </c>
      <c r="AP8" s="15">
        <v>12</v>
      </c>
      <c r="AQ8" s="15">
        <v>13</v>
      </c>
      <c r="AR8" s="15">
        <v>1</v>
      </c>
      <c r="AS8" s="15">
        <v>9</v>
      </c>
      <c r="AT8" s="15">
        <v>10</v>
      </c>
      <c r="AU8" s="15">
        <v>11</v>
      </c>
      <c r="AV8" s="15">
        <v>15</v>
      </c>
      <c r="AW8" s="15">
        <v>19</v>
      </c>
      <c r="AX8" s="15">
        <v>12</v>
      </c>
      <c r="AY8" s="15">
        <v>16</v>
      </c>
      <c r="AZ8" s="15">
        <v>4</v>
      </c>
      <c r="BA8" s="15">
        <v>9</v>
      </c>
      <c r="BB8" s="10">
        <v>32</v>
      </c>
      <c r="BC8" s="10">
        <v>23</v>
      </c>
      <c r="BD8" s="10">
        <v>19</v>
      </c>
      <c r="BE8" s="10">
        <v>9</v>
      </c>
      <c r="BF8" s="10">
        <v>17</v>
      </c>
      <c r="BG8" s="10">
        <v>31</v>
      </c>
      <c r="BI8" s="10">
        <v>2</v>
      </c>
      <c r="BJ8" s="10">
        <v>60</v>
      </c>
      <c r="BK8" s="10">
        <v>38</v>
      </c>
      <c r="BL8" s="10">
        <v>40</v>
      </c>
      <c r="BM8" s="10">
        <v>33</v>
      </c>
      <c r="BN8" s="10">
        <v>60</v>
      </c>
      <c r="BO8" s="10">
        <v>44</v>
      </c>
      <c r="BP8" s="10">
        <v>40</v>
      </c>
      <c r="BQ8" s="10">
        <v>27</v>
      </c>
      <c r="BR8" s="10">
        <v>60</v>
      </c>
      <c r="BS8" s="10">
        <v>38</v>
      </c>
      <c r="BT8" s="10">
        <v>60</v>
      </c>
      <c r="BU8" s="10">
        <v>47</v>
      </c>
      <c r="BV8" s="10">
        <v>40</v>
      </c>
      <c r="BW8" s="10">
        <v>28</v>
      </c>
      <c r="BX8" s="10">
        <v>65</v>
      </c>
      <c r="BY8" s="10">
        <v>55</v>
      </c>
      <c r="BZ8" s="10">
        <v>60</v>
      </c>
      <c r="CA8" s="10">
        <v>48</v>
      </c>
      <c r="CB8" s="10">
        <v>40</v>
      </c>
      <c r="CC8" s="10">
        <v>34</v>
      </c>
      <c r="CD8" s="10">
        <v>65</v>
      </c>
      <c r="CE8" s="10">
        <v>55</v>
      </c>
      <c r="CF8" s="10">
        <v>60</v>
      </c>
      <c r="CG8" s="10">
        <v>38</v>
      </c>
      <c r="CH8" s="10">
        <v>65</v>
      </c>
      <c r="CI8" s="10">
        <v>55</v>
      </c>
      <c r="CJ8" s="10">
        <v>24</v>
      </c>
      <c r="CK8" s="10">
        <v>14</v>
      </c>
      <c r="CL8" s="10">
        <v>24</v>
      </c>
      <c r="CM8" s="10">
        <v>17</v>
      </c>
      <c r="CN8" s="10">
        <v>40</v>
      </c>
      <c r="CO8" s="10">
        <v>35</v>
      </c>
      <c r="CP8" s="10">
        <v>30</v>
      </c>
      <c r="CQ8" s="10">
        <v>22</v>
      </c>
      <c r="CR8" s="10">
        <v>30</v>
      </c>
      <c r="CS8" s="10">
        <v>20</v>
      </c>
      <c r="CT8" s="10">
        <v>60</v>
      </c>
      <c r="CU8" s="10">
        <v>50</v>
      </c>
      <c r="CV8" s="10">
        <v>24</v>
      </c>
      <c r="CW8" s="10">
        <v>20</v>
      </c>
      <c r="CX8" s="10">
        <v>68</v>
      </c>
      <c r="CY8" s="10">
        <v>71</v>
      </c>
      <c r="CZ8" s="10">
        <v>60</v>
      </c>
      <c r="DA8" s="10">
        <v>48</v>
      </c>
      <c r="DB8" s="10">
        <v>60</v>
      </c>
      <c r="DC8" s="10">
        <v>48</v>
      </c>
      <c r="DD8" s="10">
        <v>64</v>
      </c>
      <c r="DE8" s="10">
        <v>61</v>
      </c>
      <c r="DF8" s="10">
        <v>60</v>
      </c>
      <c r="DG8" s="10">
        <v>46</v>
      </c>
      <c r="DH8" s="10">
        <v>64</v>
      </c>
      <c r="DI8" s="10">
        <v>55</v>
      </c>
      <c r="DJ8" s="10">
        <v>64</v>
      </c>
      <c r="DK8" s="10">
        <v>66</v>
      </c>
      <c r="DL8" s="10">
        <v>30</v>
      </c>
      <c r="DM8" s="10">
        <v>15</v>
      </c>
      <c r="DN8" s="10">
        <v>24</v>
      </c>
      <c r="DO8" s="10">
        <v>14</v>
      </c>
      <c r="DP8" s="10">
        <v>20</v>
      </c>
      <c r="DQ8" s="10">
        <v>3</v>
      </c>
      <c r="DR8" s="10">
        <v>65</v>
      </c>
      <c r="DS8" s="10">
        <v>51</v>
      </c>
      <c r="DT8" s="10">
        <v>40</v>
      </c>
      <c r="DU8" s="10">
        <v>34</v>
      </c>
      <c r="DV8" s="10">
        <v>64</v>
      </c>
      <c r="DW8" s="10">
        <v>51</v>
      </c>
      <c r="DX8" s="10">
        <v>60</v>
      </c>
      <c r="DY8" s="10">
        <v>40</v>
      </c>
      <c r="DZ8" s="10">
        <v>60</v>
      </c>
      <c r="EA8" s="10">
        <v>49</v>
      </c>
      <c r="EB8" s="10">
        <v>36</v>
      </c>
      <c r="EC8" s="10">
        <v>22</v>
      </c>
      <c r="ED8" s="10">
        <v>40</v>
      </c>
      <c r="EE8" s="10">
        <v>37</v>
      </c>
      <c r="EF8" s="10">
        <v>60</v>
      </c>
      <c r="EG8" s="10">
        <v>43</v>
      </c>
      <c r="EH8" s="10">
        <v>63</v>
      </c>
      <c r="EI8" s="10">
        <v>60</v>
      </c>
      <c r="EJ8" s="10">
        <v>60</v>
      </c>
      <c r="EK8" s="10">
        <v>47</v>
      </c>
      <c r="EL8" s="10">
        <v>60</v>
      </c>
      <c r="EM8" s="10">
        <v>48</v>
      </c>
      <c r="EN8" s="10">
        <v>60</v>
      </c>
      <c r="EO8" s="10">
        <v>47</v>
      </c>
      <c r="EP8" s="10">
        <v>60</v>
      </c>
      <c r="EQ8" s="10">
        <v>44</v>
      </c>
      <c r="ER8" s="10">
        <v>65</v>
      </c>
      <c r="ES8" s="10">
        <v>58</v>
      </c>
      <c r="ET8" s="10">
        <v>65</v>
      </c>
      <c r="EU8" s="10">
        <v>60</v>
      </c>
    </row>
    <row r="9" spans="2:151">
      <c r="B9" s="9">
        <v>3</v>
      </c>
      <c r="C9" s="9">
        <v>25</v>
      </c>
      <c r="D9" s="9">
        <v>25</v>
      </c>
      <c r="E9" s="9">
        <v>22</v>
      </c>
      <c r="F9" s="9">
        <v>30</v>
      </c>
      <c r="G9" s="9">
        <v>16</v>
      </c>
      <c r="H9" s="9">
        <v>18</v>
      </c>
      <c r="I9" s="9">
        <v>36</v>
      </c>
      <c r="J9" s="9">
        <v>60</v>
      </c>
      <c r="K9" s="9">
        <v>45</v>
      </c>
      <c r="L9" s="9">
        <v>13</v>
      </c>
      <c r="M9" s="9">
        <v>30</v>
      </c>
      <c r="N9" s="9">
        <v>36</v>
      </c>
      <c r="O9" s="9">
        <v>36</v>
      </c>
      <c r="P9" s="9">
        <v>30</v>
      </c>
      <c r="Q9" s="9">
        <v>45</v>
      </c>
      <c r="R9" s="17">
        <v>45</v>
      </c>
      <c r="S9" s="9">
        <v>30</v>
      </c>
      <c r="T9" s="9">
        <v>36</v>
      </c>
      <c r="U9" s="9">
        <v>20</v>
      </c>
      <c r="V9" s="9">
        <v>75</v>
      </c>
      <c r="W9" s="9">
        <v>65</v>
      </c>
      <c r="X9" s="9">
        <v>60</v>
      </c>
      <c r="Y9" s="10">
        <v>25</v>
      </c>
      <c r="Z9" s="10">
        <v>36</v>
      </c>
      <c r="AA9" s="10">
        <v>64</v>
      </c>
      <c r="AC9" s="10">
        <v>3</v>
      </c>
      <c r="AD9" s="10">
        <v>0</v>
      </c>
      <c r="AE9" s="10">
        <v>15</v>
      </c>
      <c r="AF9" s="10">
        <v>41</v>
      </c>
      <c r="AH9" s="15">
        <v>3</v>
      </c>
      <c r="AI9" s="15">
        <v>8</v>
      </c>
      <c r="AJ9" s="15">
        <v>7</v>
      </c>
      <c r="AK9" s="15">
        <v>8</v>
      </c>
      <c r="AL9" s="15">
        <v>7</v>
      </c>
      <c r="AM9" s="15">
        <v>2</v>
      </c>
      <c r="AN9" s="15">
        <v>4</v>
      </c>
      <c r="AO9" s="15">
        <v>8</v>
      </c>
      <c r="AP9" s="15">
        <v>13</v>
      </c>
      <c r="AQ9" s="15">
        <v>14</v>
      </c>
      <c r="AR9" s="15">
        <v>1</v>
      </c>
      <c r="AS9" s="15">
        <v>10</v>
      </c>
      <c r="AT9" s="15">
        <v>10</v>
      </c>
      <c r="AU9" s="15">
        <v>13</v>
      </c>
      <c r="AV9" s="15">
        <v>16</v>
      </c>
      <c r="AW9" s="15">
        <v>20</v>
      </c>
      <c r="AX9" s="15">
        <v>13</v>
      </c>
      <c r="AY9" s="15">
        <v>17</v>
      </c>
      <c r="AZ9" s="15">
        <v>4</v>
      </c>
      <c r="BA9" s="15">
        <v>10</v>
      </c>
      <c r="BB9" s="10">
        <v>33</v>
      </c>
      <c r="BC9" s="10">
        <v>24</v>
      </c>
      <c r="BD9" s="10">
        <v>20</v>
      </c>
      <c r="BE9" s="10">
        <v>10</v>
      </c>
      <c r="BF9" s="10">
        <v>18</v>
      </c>
      <c r="BG9" s="10">
        <v>33</v>
      </c>
      <c r="BI9" s="10">
        <v>3</v>
      </c>
      <c r="BJ9" s="10">
        <v>64</v>
      </c>
      <c r="BK9" s="10">
        <v>53</v>
      </c>
      <c r="BL9" s="10">
        <v>60</v>
      </c>
      <c r="BM9" s="10">
        <v>46</v>
      </c>
      <c r="BN9" s="10">
        <v>64</v>
      </c>
      <c r="BO9" s="10">
        <v>56</v>
      </c>
      <c r="BP9" s="10">
        <v>60</v>
      </c>
      <c r="BQ9" s="10">
        <v>41</v>
      </c>
      <c r="BR9" s="10">
        <v>65</v>
      </c>
      <c r="BS9" s="10">
        <v>50</v>
      </c>
      <c r="BT9" s="10">
        <v>68</v>
      </c>
      <c r="BU9" s="10">
        <v>59</v>
      </c>
      <c r="BV9" s="10">
        <v>60</v>
      </c>
      <c r="BW9" s="10">
        <v>39</v>
      </c>
      <c r="BX9" s="10">
        <v>70</v>
      </c>
      <c r="BY9" s="10">
        <v>65</v>
      </c>
      <c r="BZ9" s="10">
        <v>65</v>
      </c>
      <c r="CA9" s="10">
        <v>57</v>
      </c>
      <c r="CB9" s="10">
        <v>60</v>
      </c>
      <c r="CC9" s="10">
        <v>47</v>
      </c>
      <c r="CD9" s="10">
        <v>70</v>
      </c>
      <c r="CE9" s="10">
        <v>70</v>
      </c>
      <c r="CF9" s="10">
        <v>65</v>
      </c>
      <c r="CG9" s="10">
        <v>54</v>
      </c>
      <c r="CH9" s="10">
        <v>70</v>
      </c>
      <c r="CI9" s="10">
        <v>70</v>
      </c>
      <c r="CJ9" s="10">
        <v>36</v>
      </c>
      <c r="CK9" s="10">
        <v>22</v>
      </c>
      <c r="CL9" s="10">
        <v>36</v>
      </c>
      <c r="CM9" s="10">
        <v>26</v>
      </c>
      <c r="CN9" s="10">
        <v>60</v>
      </c>
      <c r="CO9" s="10">
        <v>48</v>
      </c>
      <c r="CP9" s="10">
        <v>45</v>
      </c>
      <c r="CQ9" s="10">
        <v>34</v>
      </c>
      <c r="CR9" s="10">
        <v>45</v>
      </c>
      <c r="CS9" s="10">
        <v>30</v>
      </c>
      <c r="CT9" s="10">
        <v>65</v>
      </c>
      <c r="CU9" s="10">
        <v>64</v>
      </c>
      <c r="CV9" s="10">
        <v>36</v>
      </c>
      <c r="CW9" s="10">
        <v>30</v>
      </c>
      <c r="CX9" s="10">
        <v>75</v>
      </c>
      <c r="CY9" s="10">
        <v>83</v>
      </c>
      <c r="CZ9" s="10">
        <v>65</v>
      </c>
      <c r="DA9" s="10">
        <v>65</v>
      </c>
      <c r="DB9" s="10">
        <v>65</v>
      </c>
      <c r="DC9" s="10">
        <v>66</v>
      </c>
      <c r="DD9" s="10">
        <v>68</v>
      </c>
      <c r="DE9" s="10">
        <v>75</v>
      </c>
      <c r="DF9" s="10">
        <v>64</v>
      </c>
      <c r="DG9" s="10">
        <v>61</v>
      </c>
      <c r="DH9" s="10">
        <v>68</v>
      </c>
      <c r="DI9" s="10">
        <v>72</v>
      </c>
      <c r="DJ9" s="10">
        <v>68</v>
      </c>
      <c r="DK9" s="10">
        <v>76</v>
      </c>
      <c r="DL9" s="10">
        <v>45</v>
      </c>
      <c r="DM9" s="10">
        <v>28</v>
      </c>
      <c r="DN9" s="10">
        <v>36</v>
      </c>
      <c r="DO9" s="10">
        <v>23</v>
      </c>
      <c r="DP9" s="10">
        <v>30</v>
      </c>
      <c r="DQ9" s="10">
        <v>7</v>
      </c>
      <c r="DR9" s="10">
        <v>70</v>
      </c>
      <c r="DS9" s="10">
        <v>64</v>
      </c>
      <c r="DT9" s="10">
        <v>60</v>
      </c>
      <c r="DU9" s="10">
        <v>44</v>
      </c>
      <c r="DV9" s="10">
        <v>68</v>
      </c>
      <c r="DW9" s="10">
        <v>62</v>
      </c>
      <c r="DX9" s="10">
        <v>62</v>
      </c>
      <c r="DY9" s="10">
        <v>50</v>
      </c>
      <c r="DZ9" s="10">
        <v>64</v>
      </c>
      <c r="EA9" s="10">
        <v>61</v>
      </c>
      <c r="EB9" s="10">
        <v>48</v>
      </c>
      <c r="EC9" s="10">
        <v>32</v>
      </c>
      <c r="ED9" s="10">
        <v>60</v>
      </c>
      <c r="EE9" s="10">
        <v>49</v>
      </c>
      <c r="EF9" s="10">
        <v>62</v>
      </c>
      <c r="EG9" s="10">
        <v>53</v>
      </c>
      <c r="EH9" s="10">
        <v>66</v>
      </c>
      <c r="EI9" s="10">
        <v>71</v>
      </c>
      <c r="EJ9" s="10">
        <v>64</v>
      </c>
      <c r="EK9" s="10">
        <v>56</v>
      </c>
      <c r="EL9" s="10">
        <v>63</v>
      </c>
      <c r="EM9" s="10">
        <v>58</v>
      </c>
      <c r="EN9" s="10">
        <v>64</v>
      </c>
      <c r="EO9" s="10">
        <v>59</v>
      </c>
      <c r="EP9" s="10">
        <v>64</v>
      </c>
      <c r="EQ9" s="10">
        <v>57</v>
      </c>
      <c r="ER9" s="10">
        <v>70</v>
      </c>
      <c r="ES9" s="10">
        <v>73</v>
      </c>
      <c r="ET9" s="10">
        <v>70</v>
      </c>
      <c r="EU9" s="10">
        <v>72</v>
      </c>
    </row>
    <row r="10" spans="2:151">
      <c r="B10" s="9">
        <v>4</v>
      </c>
      <c r="C10" s="9">
        <v>34</v>
      </c>
      <c r="D10" s="9">
        <v>34</v>
      </c>
      <c r="E10" s="9">
        <v>29</v>
      </c>
      <c r="F10" s="9">
        <v>40</v>
      </c>
      <c r="G10" s="9">
        <v>21</v>
      </c>
      <c r="H10" s="9">
        <v>24</v>
      </c>
      <c r="I10" s="9">
        <v>48</v>
      </c>
      <c r="J10" s="9">
        <v>62</v>
      </c>
      <c r="K10" s="9">
        <v>60</v>
      </c>
      <c r="L10" s="9">
        <v>17</v>
      </c>
      <c r="M10" s="9">
        <v>40</v>
      </c>
      <c r="N10" s="9">
        <v>48</v>
      </c>
      <c r="O10" s="9">
        <v>48</v>
      </c>
      <c r="P10" s="9">
        <v>40</v>
      </c>
      <c r="Q10" s="9">
        <v>60</v>
      </c>
      <c r="R10" s="17">
        <v>60</v>
      </c>
      <c r="S10" s="9">
        <v>40</v>
      </c>
      <c r="T10" s="9">
        <v>48</v>
      </c>
      <c r="U10" s="9">
        <v>26</v>
      </c>
      <c r="V10" s="9">
        <v>78</v>
      </c>
      <c r="W10" s="9">
        <v>67</v>
      </c>
      <c r="X10" s="9">
        <v>62</v>
      </c>
      <c r="Y10" s="10">
        <v>34</v>
      </c>
      <c r="Z10" s="10">
        <v>48</v>
      </c>
      <c r="AA10" s="10">
        <v>66</v>
      </c>
      <c r="AC10" s="10">
        <v>4</v>
      </c>
      <c r="AD10" s="10">
        <v>0</v>
      </c>
      <c r="AE10" s="10">
        <v>20</v>
      </c>
      <c r="AF10" s="10">
        <v>44</v>
      </c>
      <c r="AH10" s="15">
        <v>4</v>
      </c>
      <c r="AI10" s="15">
        <v>8</v>
      </c>
      <c r="AJ10" s="15">
        <v>8</v>
      </c>
      <c r="AK10" s="15">
        <v>8</v>
      </c>
      <c r="AL10" s="15">
        <v>8</v>
      </c>
      <c r="AM10" s="15">
        <v>2</v>
      </c>
      <c r="AN10" s="15">
        <v>4</v>
      </c>
      <c r="AO10" s="15">
        <v>9</v>
      </c>
      <c r="AP10" s="15">
        <v>13</v>
      </c>
      <c r="AQ10" s="15">
        <v>15</v>
      </c>
      <c r="AR10" s="15">
        <v>1</v>
      </c>
      <c r="AS10" s="15">
        <v>11</v>
      </c>
      <c r="AT10" s="15">
        <v>11</v>
      </c>
      <c r="AU10" s="15">
        <v>13</v>
      </c>
      <c r="AV10" s="15">
        <v>17</v>
      </c>
      <c r="AW10" s="15">
        <v>21</v>
      </c>
      <c r="AX10" s="15">
        <v>13</v>
      </c>
      <c r="AY10" s="15">
        <v>17</v>
      </c>
      <c r="AZ10" s="15">
        <v>5</v>
      </c>
      <c r="BA10" s="15">
        <v>10</v>
      </c>
      <c r="BB10" s="10">
        <v>34</v>
      </c>
      <c r="BC10" s="10">
        <v>24</v>
      </c>
      <c r="BD10" s="10">
        <v>20</v>
      </c>
      <c r="BE10" s="10">
        <v>10</v>
      </c>
      <c r="BF10" s="10">
        <v>18</v>
      </c>
      <c r="BG10" s="10">
        <v>33</v>
      </c>
      <c r="BI10" s="10">
        <v>4</v>
      </c>
      <c r="BJ10" s="10">
        <v>68</v>
      </c>
      <c r="BK10" s="10">
        <v>66</v>
      </c>
      <c r="BL10" s="10">
        <v>64</v>
      </c>
      <c r="BM10" s="10">
        <v>57</v>
      </c>
      <c r="BN10" s="10">
        <v>68</v>
      </c>
      <c r="BO10" s="10">
        <v>66</v>
      </c>
      <c r="BP10" s="10">
        <v>68</v>
      </c>
      <c r="BQ10" s="10">
        <v>53</v>
      </c>
      <c r="BR10" s="10">
        <v>70</v>
      </c>
      <c r="BS10" s="10">
        <v>61</v>
      </c>
      <c r="BT10" s="10">
        <v>75</v>
      </c>
      <c r="BU10" s="10">
        <v>69</v>
      </c>
      <c r="BV10" s="10">
        <v>65</v>
      </c>
      <c r="BW10" s="10">
        <v>50</v>
      </c>
      <c r="BX10" s="10">
        <v>75</v>
      </c>
      <c r="BY10" s="10">
        <v>73</v>
      </c>
      <c r="BZ10" s="10">
        <v>70</v>
      </c>
      <c r="CA10" s="10">
        <v>65</v>
      </c>
      <c r="CB10" s="10">
        <v>65</v>
      </c>
      <c r="CC10" s="10">
        <v>59</v>
      </c>
      <c r="CD10" s="10">
        <v>75</v>
      </c>
      <c r="CE10" s="10">
        <v>81</v>
      </c>
      <c r="CF10" s="10">
        <v>70</v>
      </c>
      <c r="CG10" s="10">
        <v>66</v>
      </c>
      <c r="CH10" s="10">
        <v>75</v>
      </c>
      <c r="CI10" s="10">
        <v>83</v>
      </c>
      <c r="CJ10" s="10">
        <v>48</v>
      </c>
      <c r="CK10" s="10">
        <v>32</v>
      </c>
      <c r="CL10" s="10">
        <v>48</v>
      </c>
      <c r="CM10" s="10">
        <v>35</v>
      </c>
      <c r="CN10" s="10">
        <v>65</v>
      </c>
      <c r="CO10" s="10">
        <v>59</v>
      </c>
      <c r="CP10" s="10">
        <v>60</v>
      </c>
      <c r="CQ10" s="10">
        <v>45</v>
      </c>
      <c r="CR10" s="10">
        <v>60</v>
      </c>
      <c r="CS10" s="10">
        <v>41</v>
      </c>
      <c r="CT10" s="10">
        <v>70</v>
      </c>
      <c r="CU10" s="10">
        <v>76</v>
      </c>
      <c r="CV10" s="10">
        <v>48</v>
      </c>
      <c r="CW10" s="10">
        <v>40</v>
      </c>
      <c r="CX10" s="10">
        <v>80</v>
      </c>
      <c r="CY10" s="10">
        <v>92</v>
      </c>
      <c r="CZ10" s="10">
        <v>70</v>
      </c>
      <c r="DA10" s="10">
        <v>77</v>
      </c>
      <c r="DB10" s="10">
        <v>70</v>
      </c>
      <c r="DC10" s="10">
        <v>79</v>
      </c>
      <c r="DD10" s="10">
        <v>72</v>
      </c>
      <c r="DE10" s="10">
        <v>83</v>
      </c>
      <c r="DF10" s="10">
        <v>68</v>
      </c>
      <c r="DG10" s="10">
        <v>74</v>
      </c>
      <c r="DH10" s="10">
        <v>72</v>
      </c>
      <c r="DI10" s="10">
        <v>85</v>
      </c>
      <c r="DJ10" s="10">
        <v>72</v>
      </c>
      <c r="DK10" s="10">
        <v>84</v>
      </c>
      <c r="DL10" s="10">
        <v>60</v>
      </c>
      <c r="DM10" s="10">
        <v>42</v>
      </c>
      <c r="DN10" s="10">
        <v>48</v>
      </c>
      <c r="DO10" s="10">
        <v>34</v>
      </c>
      <c r="DP10" s="10">
        <v>40</v>
      </c>
      <c r="DQ10" s="10">
        <v>14</v>
      </c>
      <c r="DR10" s="10">
        <v>75</v>
      </c>
      <c r="DS10" s="10">
        <v>75</v>
      </c>
      <c r="DT10" s="10">
        <v>64</v>
      </c>
      <c r="DU10" s="10">
        <v>54</v>
      </c>
      <c r="DV10" s="10">
        <v>72</v>
      </c>
      <c r="DW10" s="10">
        <v>71</v>
      </c>
      <c r="DX10" s="10">
        <v>65</v>
      </c>
      <c r="DY10" s="10">
        <v>60</v>
      </c>
      <c r="DZ10" s="10">
        <v>68</v>
      </c>
      <c r="EA10" s="10">
        <v>70</v>
      </c>
      <c r="EB10" s="10">
        <v>60</v>
      </c>
      <c r="EC10" s="10">
        <v>44</v>
      </c>
      <c r="ED10" s="10">
        <v>63</v>
      </c>
      <c r="EE10" s="10">
        <v>60</v>
      </c>
      <c r="EF10" s="10">
        <v>64</v>
      </c>
      <c r="EG10" s="10">
        <v>62</v>
      </c>
      <c r="EH10" s="10">
        <v>69</v>
      </c>
      <c r="EI10" s="10">
        <v>79</v>
      </c>
      <c r="EJ10" s="10">
        <v>68</v>
      </c>
      <c r="EK10" s="10">
        <v>63</v>
      </c>
      <c r="EL10" s="10">
        <v>66</v>
      </c>
      <c r="EM10" s="10">
        <v>66</v>
      </c>
      <c r="EN10" s="10">
        <v>68</v>
      </c>
      <c r="EO10" s="10">
        <v>69</v>
      </c>
      <c r="EP10" s="10">
        <v>68</v>
      </c>
      <c r="EQ10" s="10">
        <v>68</v>
      </c>
      <c r="ER10" s="10">
        <v>75</v>
      </c>
      <c r="ES10" s="10">
        <v>85</v>
      </c>
      <c r="ET10" s="10">
        <v>75</v>
      </c>
      <c r="EU10" s="10">
        <v>81</v>
      </c>
    </row>
    <row r="11" spans="2:151">
      <c r="B11" s="9">
        <v>5</v>
      </c>
      <c r="C11" s="9">
        <v>43</v>
      </c>
      <c r="D11" s="9">
        <v>43</v>
      </c>
      <c r="E11" s="9">
        <v>37</v>
      </c>
      <c r="F11" s="9">
        <v>50</v>
      </c>
      <c r="G11" s="9">
        <v>26</v>
      </c>
      <c r="H11" s="9">
        <v>30</v>
      </c>
      <c r="I11" s="9">
        <v>60</v>
      </c>
      <c r="J11" s="9">
        <v>64</v>
      </c>
      <c r="K11" s="9">
        <v>61</v>
      </c>
      <c r="L11" s="9">
        <v>21</v>
      </c>
      <c r="M11" s="9">
        <v>50</v>
      </c>
      <c r="N11" s="9">
        <v>60</v>
      </c>
      <c r="O11" s="9">
        <v>60</v>
      </c>
      <c r="P11" s="9">
        <v>50</v>
      </c>
      <c r="Q11" s="9">
        <v>62</v>
      </c>
      <c r="R11" s="17">
        <v>75</v>
      </c>
      <c r="S11" s="9">
        <v>50</v>
      </c>
      <c r="T11" s="9">
        <v>60</v>
      </c>
      <c r="U11" s="9">
        <v>33</v>
      </c>
      <c r="V11" s="9">
        <v>82</v>
      </c>
      <c r="W11" s="9">
        <v>69</v>
      </c>
      <c r="X11" s="9">
        <v>64</v>
      </c>
      <c r="Y11" s="10">
        <v>43</v>
      </c>
      <c r="Z11" s="10">
        <v>60</v>
      </c>
      <c r="AA11" s="10">
        <v>68</v>
      </c>
      <c r="AC11" s="10">
        <v>5</v>
      </c>
      <c r="AD11" s="10">
        <v>0</v>
      </c>
      <c r="AE11" s="10">
        <v>25</v>
      </c>
      <c r="AF11" s="10">
        <v>47</v>
      </c>
      <c r="AH11" s="15">
        <v>5</v>
      </c>
      <c r="AI11" s="15">
        <v>8</v>
      </c>
      <c r="AJ11" s="15">
        <v>8</v>
      </c>
      <c r="AK11" s="15">
        <v>8</v>
      </c>
      <c r="AL11" s="15">
        <v>8</v>
      </c>
      <c r="AM11" s="15">
        <v>2</v>
      </c>
      <c r="AN11" s="15">
        <v>4</v>
      </c>
      <c r="AO11" s="15">
        <v>9</v>
      </c>
      <c r="AP11" s="15">
        <v>14</v>
      </c>
      <c r="AQ11" s="15">
        <v>16</v>
      </c>
      <c r="AR11" s="15">
        <v>1</v>
      </c>
      <c r="AS11" s="15">
        <v>11</v>
      </c>
      <c r="AT11" s="15">
        <v>11</v>
      </c>
      <c r="AU11" s="15">
        <v>13</v>
      </c>
      <c r="AV11" s="15">
        <v>17</v>
      </c>
      <c r="AW11" s="15">
        <v>21</v>
      </c>
      <c r="AX11" s="15">
        <v>13</v>
      </c>
      <c r="AY11" s="15">
        <v>17</v>
      </c>
      <c r="AZ11" s="15">
        <v>5</v>
      </c>
      <c r="BA11" s="15">
        <v>10</v>
      </c>
      <c r="BB11" s="10">
        <v>34</v>
      </c>
      <c r="BC11" s="10">
        <v>24</v>
      </c>
      <c r="BD11" s="10">
        <v>21</v>
      </c>
      <c r="BE11" s="10">
        <v>11</v>
      </c>
      <c r="BF11" s="10">
        <v>18</v>
      </c>
      <c r="BG11" s="10">
        <v>34</v>
      </c>
      <c r="BI11" s="10">
        <v>5</v>
      </c>
      <c r="BJ11" s="10">
        <v>72</v>
      </c>
      <c r="BK11" s="10">
        <v>77</v>
      </c>
      <c r="BL11" s="10">
        <v>68</v>
      </c>
      <c r="BM11" s="10">
        <v>67</v>
      </c>
      <c r="BN11" s="10">
        <v>68</v>
      </c>
      <c r="BO11" s="10">
        <v>66</v>
      </c>
      <c r="BP11" s="10">
        <v>75</v>
      </c>
      <c r="BQ11" s="10">
        <v>64</v>
      </c>
      <c r="BR11" s="10">
        <v>75</v>
      </c>
      <c r="BS11" s="10">
        <v>70</v>
      </c>
      <c r="BT11" s="10">
        <v>77</v>
      </c>
      <c r="BU11" s="10">
        <v>76</v>
      </c>
      <c r="BV11" s="10">
        <v>70</v>
      </c>
      <c r="BW11" s="10">
        <v>60</v>
      </c>
      <c r="BX11" s="10">
        <v>78</v>
      </c>
      <c r="BY11" s="10">
        <v>79</v>
      </c>
      <c r="BZ11" s="10">
        <v>75</v>
      </c>
      <c r="CA11" s="10">
        <v>71</v>
      </c>
      <c r="CB11" s="10">
        <v>70</v>
      </c>
      <c r="CC11" s="10">
        <v>69</v>
      </c>
      <c r="CD11" s="10">
        <v>80</v>
      </c>
      <c r="CE11" s="10">
        <v>90</v>
      </c>
      <c r="CF11" s="10">
        <v>75</v>
      </c>
      <c r="CG11" s="10">
        <v>76</v>
      </c>
      <c r="CH11" s="10">
        <v>80</v>
      </c>
      <c r="CI11" s="10">
        <v>92</v>
      </c>
      <c r="CJ11" s="10">
        <v>60</v>
      </c>
      <c r="CK11" s="10">
        <v>41</v>
      </c>
      <c r="CL11" s="10">
        <v>60</v>
      </c>
      <c r="CM11" s="10">
        <v>44</v>
      </c>
      <c r="CN11" s="10">
        <v>70</v>
      </c>
      <c r="CO11" s="10">
        <v>69</v>
      </c>
      <c r="CP11" s="10">
        <v>65</v>
      </c>
      <c r="CQ11" s="10">
        <v>57</v>
      </c>
      <c r="CR11" s="10">
        <v>65</v>
      </c>
      <c r="CS11" s="10">
        <v>53</v>
      </c>
      <c r="CT11" s="10">
        <v>75</v>
      </c>
      <c r="CU11" s="10">
        <v>84</v>
      </c>
      <c r="CV11" s="10">
        <v>60</v>
      </c>
      <c r="CW11" s="10">
        <v>50</v>
      </c>
      <c r="CX11" s="10">
        <v>85</v>
      </c>
      <c r="CY11" s="10">
        <v>96</v>
      </c>
      <c r="CZ11" s="10">
        <v>75</v>
      </c>
      <c r="DA11" s="10">
        <v>87</v>
      </c>
      <c r="DB11" s="10">
        <v>75</v>
      </c>
      <c r="DC11" s="10">
        <v>87</v>
      </c>
      <c r="DD11" s="10">
        <v>75</v>
      </c>
      <c r="DE11" s="10">
        <v>88</v>
      </c>
      <c r="DF11" s="10">
        <v>72</v>
      </c>
      <c r="DG11" s="10">
        <v>84</v>
      </c>
      <c r="DH11" s="10">
        <v>75</v>
      </c>
      <c r="DI11" s="10">
        <v>93</v>
      </c>
      <c r="DJ11" s="10">
        <v>75</v>
      </c>
      <c r="DK11" s="10">
        <v>90</v>
      </c>
      <c r="DL11" s="10">
        <v>65</v>
      </c>
      <c r="DM11" s="10">
        <v>57</v>
      </c>
      <c r="DN11" s="10">
        <v>60</v>
      </c>
      <c r="DO11" s="10">
        <v>44</v>
      </c>
      <c r="DP11" s="10">
        <v>50</v>
      </c>
      <c r="DQ11" s="10">
        <v>23</v>
      </c>
      <c r="DR11" s="10">
        <v>77</v>
      </c>
      <c r="DS11" s="10">
        <v>83</v>
      </c>
      <c r="DT11" s="10">
        <v>68</v>
      </c>
      <c r="DU11" s="10">
        <v>64</v>
      </c>
      <c r="DV11" s="10">
        <v>75</v>
      </c>
      <c r="DW11" s="10">
        <v>78</v>
      </c>
      <c r="DX11" s="10">
        <v>67</v>
      </c>
      <c r="DY11" s="10">
        <v>67</v>
      </c>
      <c r="DZ11" s="10">
        <v>72</v>
      </c>
      <c r="EA11" s="10">
        <v>79</v>
      </c>
      <c r="EB11" s="10">
        <v>65</v>
      </c>
      <c r="EC11" s="10">
        <v>55</v>
      </c>
      <c r="ED11" s="10">
        <v>66</v>
      </c>
      <c r="EE11" s="10">
        <v>71</v>
      </c>
      <c r="EF11" s="10">
        <v>66</v>
      </c>
      <c r="EG11" s="10">
        <v>70</v>
      </c>
      <c r="EH11" s="10">
        <v>72</v>
      </c>
      <c r="EI11" s="10">
        <v>86</v>
      </c>
      <c r="EJ11" s="10">
        <v>72</v>
      </c>
      <c r="EK11" s="10">
        <v>71</v>
      </c>
      <c r="EL11" s="10">
        <v>69</v>
      </c>
      <c r="EM11" s="10">
        <v>73</v>
      </c>
      <c r="EN11" s="10">
        <v>72</v>
      </c>
      <c r="EO11" s="10">
        <v>76</v>
      </c>
      <c r="EP11" s="10">
        <v>72</v>
      </c>
      <c r="EQ11" s="10">
        <v>78</v>
      </c>
      <c r="ER11" s="10">
        <v>80</v>
      </c>
      <c r="ES11" s="10">
        <v>92</v>
      </c>
      <c r="ET11" s="10">
        <v>77</v>
      </c>
      <c r="EU11" s="10">
        <v>87</v>
      </c>
    </row>
    <row r="12" spans="2:151">
      <c r="B12" s="9">
        <v>6</v>
      </c>
      <c r="C12" s="9">
        <v>52</v>
      </c>
      <c r="D12" s="9">
        <v>52</v>
      </c>
      <c r="E12" s="9">
        <v>45</v>
      </c>
      <c r="F12" s="9">
        <v>60</v>
      </c>
      <c r="G12" s="9">
        <v>31</v>
      </c>
      <c r="H12" s="9">
        <v>36</v>
      </c>
      <c r="I12" s="9">
        <v>62</v>
      </c>
      <c r="J12" s="9">
        <v>66</v>
      </c>
      <c r="K12" s="9">
        <v>63</v>
      </c>
      <c r="L12" s="9">
        <v>26</v>
      </c>
      <c r="M12" s="9">
        <v>60</v>
      </c>
      <c r="N12" s="9">
        <v>62</v>
      </c>
      <c r="O12" s="9">
        <v>61</v>
      </c>
      <c r="P12" s="9">
        <v>60</v>
      </c>
      <c r="Q12" s="9">
        <v>64</v>
      </c>
      <c r="R12" s="17">
        <v>77</v>
      </c>
      <c r="S12" s="9">
        <v>60</v>
      </c>
      <c r="T12" s="9">
        <v>63</v>
      </c>
      <c r="U12" s="9">
        <v>40</v>
      </c>
      <c r="V12" s="9">
        <v>85</v>
      </c>
      <c r="W12" s="9">
        <v>72</v>
      </c>
      <c r="X12" s="10">
        <v>66</v>
      </c>
      <c r="Y12" s="9">
        <v>52</v>
      </c>
      <c r="Z12" s="10">
        <v>64</v>
      </c>
      <c r="AA12" s="10">
        <v>70</v>
      </c>
      <c r="AC12" s="10">
        <v>6</v>
      </c>
      <c r="AD12" s="10">
        <v>0</v>
      </c>
      <c r="AE12" s="10">
        <v>30</v>
      </c>
      <c r="AF12" s="10">
        <v>50</v>
      </c>
      <c r="AH12" s="15">
        <v>6</v>
      </c>
      <c r="AI12" s="15">
        <v>9</v>
      </c>
      <c r="AJ12" s="15">
        <v>8</v>
      </c>
      <c r="AK12" s="15">
        <v>8</v>
      </c>
      <c r="AL12" s="15">
        <v>8</v>
      </c>
      <c r="AM12" s="15">
        <v>3</v>
      </c>
      <c r="AN12" s="15">
        <v>6</v>
      </c>
      <c r="AO12" s="15">
        <v>9</v>
      </c>
      <c r="AP12" s="15">
        <v>14</v>
      </c>
      <c r="AQ12" s="15">
        <v>16</v>
      </c>
      <c r="AR12" s="15">
        <v>1</v>
      </c>
      <c r="AS12" s="15">
        <v>12</v>
      </c>
      <c r="AT12" s="15">
        <v>11</v>
      </c>
      <c r="AU12" s="15">
        <v>13</v>
      </c>
      <c r="AV12" s="15">
        <v>17</v>
      </c>
      <c r="AW12" s="15">
        <v>21</v>
      </c>
      <c r="AX12" s="15">
        <v>13</v>
      </c>
      <c r="AY12" s="15">
        <v>17</v>
      </c>
      <c r="AZ12" s="15">
        <v>5</v>
      </c>
      <c r="BA12" s="15">
        <v>10</v>
      </c>
      <c r="BB12" s="10">
        <v>34</v>
      </c>
      <c r="BC12" s="10">
        <v>24</v>
      </c>
      <c r="BD12" s="10">
        <v>21</v>
      </c>
      <c r="BE12" s="10">
        <v>11</v>
      </c>
      <c r="BF12" s="10">
        <v>18</v>
      </c>
      <c r="BG12" s="10">
        <v>34</v>
      </c>
      <c r="BI12" s="10">
        <v>6</v>
      </c>
      <c r="BJ12" s="10">
        <v>75</v>
      </c>
      <c r="BK12" s="10">
        <v>86</v>
      </c>
      <c r="BL12" s="10">
        <v>72</v>
      </c>
      <c r="BM12" s="10">
        <v>76</v>
      </c>
      <c r="BN12" s="10">
        <v>72</v>
      </c>
      <c r="BO12" s="10">
        <v>74</v>
      </c>
      <c r="BP12" s="10">
        <v>78</v>
      </c>
      <c r="BQ12" s="10">
        <v>74</v>
      </c>
      <c r="BR12" s="10">
        <v>78</v>
      </c>
      <c r="BS12" s="10">
        <v>78</v>
      </c>
      <c r="BT12" s="10">
        <v>80</v>
      </c>
      <c r="BU12" s="10">
        <v>83</v>
      </c>
      <c r="BV12" s="10">
        <v>75</v>
      </c>
      <c r="BW12" s="10">
        <v>70</v>
      </c>
      <c r="BX12" s="10">
        <v>82</v>
      </c>
      <c r="BY12" s="10">
        <v>85</v>
      </c>
      <c r="BZ12" s="10">
        <v>78</v>
      </c>
      <c r="CA12" s="10">
        <v>76</v>
      </c>
      <c r="CB12" s="10">
        <v>75</v>
      </c>
      <c r="CC12" s="10">
        <v>79</v>
      </c>
      <c r="CD12" s="10">
        <v>85</v>
      </c>
      <c r="CE12" s="10">
        <v>96</v>
      </c>
      <c r="CF12" s="10">
        <v>78</v>
      </c>
      <c r="CG12" s="10">
        <v>84</v>
      </c>
      <c r="CH12" s="10">
        <v>85</v>
      </c>
      <c r="CI12" s="10">
        <v>97</v>
      </c>
      <c r="CJ12" s="10">
        <v>65</v>
      </c>
      <c r="CK12" s="10">
        <v>52</v>
      </c>
      <c r="CL12" s="10">
        <v>64</v>
      </c>
      <c r="CM12" s="10">
        <v>53</v>
      </c>
      <c r="CN12" s="10">
        <v>75</v>
      </c>
      <c r="CO12" s="10">
        <v>80</v>
      </c>
      <c r="CP12" s="10">
        <v>70</v>
      </c>
      <c r="CQ12" s="10">
        <v>71</v>
      </c>
      <c r="CR12" s="10">
        <v>70</v>
      </c>
      <c r="CS12" s="10">
        <v>68</v>
      </c>
      <c r="CT12" s="10">
        <v>80</v>
      </c>
      <c r="CU12" s="10">
        <v>91</v>
      </c>
      <c r="CV12" s="10">
        <v>65</v>
      </c>
      <c r="CW12" s="10">
        <v>61</v>
      </c>
      <c r="CX12" s="10">
        <v>90</v>
      </c>
      <c r="CY12" s="10">
        <v>98</v>
      </c>
      <c r="CZ12" s="10">
        <v>80</v>
      </c>
      <c r="DA12" s="10">
        <v>94</v>
      </c>
      <c r="DB12" s="10">
        <v>80</v>
      </c>
      <c r="DC12" s="10">
        <v>93</v>
      </c>
      <c r="DD12" s="10">
        <v>78</v>
      </c>
      <c r="DE12" s="10">
        <v>92</v>
      </c>
      <c r="DF12" s="10">
        <v>75</v>
      </c>
      <c r="DG12" s="10">
        <v>90</v>
      </c>
      <c r="DH12" s="10">
        <v>85</v>
      </c>
      <c r="DI12" s="10">
        <v>98</v>
      </c>
      <c r="DJ12" s="10">
        <v>85</v>
      </c>
      <c r="DK12" s="10">
        <v>95</v>
      </c>
      <c r="DL12" s="10">
        <v>70</v>
      </c>
      <c r="DM12" s="10">
        <v>72</v>
      </c>
      <c r="DN12" s="10">
        <v>64</v>
      </c>
      <c r="DO12" s="10">
        <v>55</v>
      </c>
      <c r="DP12" s="10">
        <v>60</v>
      </c>
      <c r="DQ12" s="10">
        <v>36</v>
      </c>
      <c r="DR12" s="10">
        <v>80</v>
      </c>
      <c r="DS12" s="10">
        <v>89</v>
      </c>
      <c r="DT12" s="10">
        <v>72</v>
      </c>
      <c r="DU12" s="10">
        <v>73</v>
      </c>
      <c r="DV12" s="10">
        <v>77</v>
      </c>
      <c r="DW12" s="10">
        <v>84</v>
      </c>
      <c r="DX12" s="10">
        <v>69</v>
      </c>
      <c r="DY12" s="10">
        <v>73</v>
      </c>
      <c r="DZ12" s="10">
        <v>75</v>
      </c>
      <c r="EA12" s="10">
        <v>87</v>
      </c>
      <c r="EB12" s="10">
        <v>70</v>
      </c>
      <c r="EC12" s="10">
        <v>67</v>
      </c>
      <c r="ED12" s="10">
        <v>69</v>
      </c>
      <c r="EE12" s="10">
        <v>80</v>
      </c>
      <c r="EF12" s="10">
        <v>69</v>
      </c>
      <c r="EG12" s="10">
        <v>76</v>
      </c>
      <c r="EH12" s="10">
        <v>75</v>
      </c>
      <c r="EI12" s="10">
        <v>90</v>
      </c>
      <c r="EJ12" s="10">
        <v>75</v>
      </c>
      <c r="EK12" s="10">
        <v>78</v>
      </c>
      <c r="EL12" s="10">
        <v>72</v>
      </c>
      <c r="EM12" s="10">
        <v>79</v>
      </c>
      <c r="EN12" s="10">
        <v>75</v>
      </c>
      <c r="EO12" s="10">
        <v>82</v>
      </c>
      <c r="EP12" s="10">
        <v>75</v>
      </c>
      <c r="EQ12" s="10">
        <v>86</v>
      </c>
      <c r="ER12" s="10">
        <v>85</v>
      </c>
      <c r="ES12" s="10">
        <v>97</v>
      </c>
      <c r="ET12" s="10">
        <v>80</v>
      </c>
      <c r="EU12" s="10">
        <v>92</v>
      </c>
    </row>
    <row r="13" spans="2:151">
      <c r="B13" s="9">
        <v>7</v>
      </c>
      <c r="C13" s="9">
        <v>60</v>
      </c>
      <c r="D13" s="9">
        <v>60</v>
      </c>
      <c r="E13" s="9">
        <v>53</v>
      </c>
      <c r="F13" s="9">
        <v>64</v>
      </c>
      <c r="G13" s="9">
        <v>37</v>
      </c>
      <c r="H13" s="9">
        <v>42</v>
      </c>
      <c r="I13" s="9">
        <v>65</v>
      </c>
      <c r="J13" s="9">
        <v>69</v>
      </c>
      <c r="K13" s="9">
        <v>65</v>
      </c>
      <c r="L13" s="9">
        <v>30</v>
      </c>
      <c r="M13" s="9">
        <v>62</v>
      </c>
      <c r="N13" s="9">
        <v>65</v>
      </c>
      <c r="O13" s="9">
        <v>63</v>
      </c>
      <c r="P13" s="9">
        <v>63</v>
      </c>
      <c r="Q13" s="9">
        <v>66</v>
      </c>
      <c r="R13" s="17">
        <v>80</v>
      </c>
      <c r="S13" s="9">
        <v>64</v>
      </c>
      <c r="T13" s="9">
        <v>66</v>
      </c>
      <c r="U13" s="9">
        <v>47</v>
      </c>
      <c r="V13" s="9">
        <v>89</v>
      </c>
      <c r="W13" s="9">
        <v>75</v>
      </c>
      <c r="X13" s="9">
        <v>69</v>
      </c>
      <c r="Y13" s="10">
        <v>60</v>
      </c>
      <c r="Z13" s="10">
        <v>68</v>
      </c>
      <c r="AA13" s="10">
        <v>72</v>
      </c>
      <c r="AC13" s="10">
        <v>7</v>
      </c>
      <c r="AD13" s="10">
        <v>0</v>
      </c>
      <c r="AE13" s="10">
        <v>35</v>
      </c>
      <c r="AF13" s="10">
        <v>53</v>
      </c>
      <c r="AH13" s="15">
        <v>7</v>
      </c>
      <c r="AI13" s="15">
        <v>9</v>
      </c>
      <c r="AJ13" s="15">
        <v>8</v>
      </c>
      <c r="AK13" s="15">
        <v>9</v>
      </c>
      <c r="AL13" s="15">
        <v>8</v>
      </c>
      <c r="AM13" s="15">
        <v>4</v>
      </c>
      <c r="AN13" s="15">
        <v>8</v>
      </c>
      <c r="AO13" s="15">
        <v>9</v>
      </c>
      <c r="AP13" s="15">
        <v>14</v>
      </c>
      <c r="AQ13" s="15">
        <v>16</v>
      </c>
      <c r="AR13" s="15">
        <v>1</v>
      </c>
      <c r="AS13" s="15">
        <v>12</v>
      </c>
      <c r="AT13" s="15">
        <v>11</v>
      </c>
      <c r="AU13" s="15">
        <v>13</v>
      </c>
      <c r="AV13" s="15">
        <v>17</v>
      </c>
      <c r="AW13" s="15">
        <v>21</v>
      </c>
      <c r="AX13" s="15">
        <v>13</v>
      </c>
      <c r="AY13" s="15">
        <v>17</v>
      </c>
      <c r="AZ13" s="15">
        <v>5</v>
      </c>
      <c r="BA13" s="15">
        <v>12</v>
      </c>
      <c r="BB13" s="10">
        <v>34</v>
      </c>
      <c r="BC13" s="10">
        <v>24</v>
      </c>
      <c r="BD13" s="10">
        <v>21</v>
      </c>
      <c r="BE13" s="10">
        <v>11</v>
      </c>
      <c r="BF13" s="10">
        <v>18</v>
      </c>
      <c r="BG13" s="10">
        <v>34</v>
      </c>
      <c r="BI13" s="10">
        <v>7</v>
      </c>
      <c r="BJ13" s="10">
        <v>80</v>
      </c>
      <c r="BK13" s="10">
        <v>93</v>
      </c>
      <c r="BL13" s="10">
        <v>75</v>
      </c>
      <c r="BM13" s="10">
        <v>85</v>
      </c>
      <c r="BN13" s="10">
        <v>75</v>
      </c>
      <c r="BO13" s="10">
        <v>82</v>
      </c>
      <c r="BP13" s="10">
        <v>82</v>
      </c>
      <c r="BQ13" s="10">
        <v>85</v>
      </c>
      <c r="BR13" s="10">
        <v>82</v>
      </c>
      <c r="BS13" s="10">
        <v>87</v>
      </c>
      <c r="BT13" s="10">
        <v>83</v>
      </c>
      <c r="BU13" s="10">
        <v>89</v>
      </c>
      <c r="BV13" s="10">
        <v>80</v>
      </c>
      <c r="BW13" s="10">
        <v>80</v>
      </c>
      <c r="BX13" s="10">
        <v>85</v>
      </c>
      <c r="BY13" s="10">
        <v>90</v>
      </c>
      <c r="BZ13" s="10">
        <v>82</v>
      </c>
      <c r="CA13" s="10">
        <v>83</v>
      </c>
      <c r="CB13" s="10">
        <v>80</v>
      </c>
      <c r="CC13" s="10">
        <v>87</v>
      </c>
      <c r="CD13" s="10">
        <v>100</v>
      </c>
      <c r="CE13" s="10">
        <v>99</v>
      </c>
      <c r="CF13" s="10">
        <v>82</v>
      </c>
      <c r="CG13" s="10">
        <v>91</v>
      </c>
      <c r="CH13" s="10">
        <v>100</v>
      </c>
      <c r="CI13" s="10">
        <v>99</v>
      </c>
      <c r="CJ13" s="10">
        <v>70</v>
      </c>
      <c r="CK13" s="10">
        <v>64</v>
      </c>
      <c r="CL13" s="10">
        <v>68</v>
      </c>
      <c r="CM13" s="10">
        <v>61</v>
      </c>
      <c r="CN13" s="10">
        <v>85</v>
      </c>
      <c r="CO13" s="10">
        <v>89</v>
      </c>
      <c r="CP13" s="10">
        <v>75</v>
      </c>
      <c r="CQ13" s="10">
        <v>84</v>
      </c>
      <c r="CR13" s="10">
        <v>75</v>
      </c>
      <c r="CS13" s="10">
        <v>84</v>
      </c>
      <c r="CT13" s="10">
        <v>85</v>
      </c>
      <c r="CU13" s="10">
        <v>96</v>
      </c>
      <c r="CV13" s="10">
        <v>70</v>
      </c>
      <c r="CW13" s="10">
        <v>71</v>
      </c>
      <c r="CX13" s="10">
        <v>95</v>
      </c>
      <c r="CY13" s="10">
        <v>99</v>
      </c>
      <c r="CZ13" s="10">
        <v>85</v>
      </c>
      <c r="DA13" s="10">
        <v>98</v>
      </c>
      <c r="DB13" s="10">
        <v>85</v>
      </c>
      <c r="DC13" s="10">
        <v>97</v>
      </c>
      <c r="DD13" s="10">
        <v>82</v>
      </c>
      <c r="DE13" s="10">
        <v>95</v>
      </c>
      <c r="DF13" s="10">
        <v>78</v>
      </c>
      <c r="DG13" s="10">
        <v>94</v>
      </c>
      <c r="DH13" s="10">
        <v>100</v>
      </c>
      <c r="DI13" s="10">
        <v>99</v>
      </c>
      <c r="DJ13" s="10">
        <v>100</v>
      </c>
      <c r="DK13" s="10">
        <v>99</v>
      </c>
      <c r="DL13" s="10">
        <v>75</v>
      </c>
      <c r="DM13" s="10">
        <v>86</v>
      </c>
      <c r="DN13" s="10">
        <v>68</v>
      </c>
      <c r="DO13" s="10">
        <v>66</v>
      </c>
      <c r="DP13" s="10">
        <v>68</v>
      </c>
      <c r="DQ13" s="10">
        <v>52</v>
      </c>
      <c r="DR13" s="10">
        <v>83</v>
      </c>
      <c r="DS13" s="10">
        <v>94</v>
      </c>
      <c r="DT13" s="10">
        <v>75</v>
      </c>
      <c r="DU13" s="10">
        <v>79</v>
      </c>
      <c r="DV13" s="10">
        <v>80</v>
      </c>
      <c r="DW13" s="10">
        <v>88</v>
      </c>
      <c r="DX13" s="10">
        <v>72</v>
      </c>
      <c r="DY13" s="10">
        <v>79</v>
      </c>
      <c r="DZ13" s="10">
        <v>80</v>
      </c>
      <c r="EA13" s="10">
        <v>93</v>
      </c>
      <c r="EB13" s="10">
        <v>75</v>
      </c>
      <c r="EC13" s="10">
        <v>79</v>
      </c>
      <c r="ED13" s="10">
        <v>72</v>
      </c>
      <c r="EE13" s="10">
        <v>87</v>
      </c>
      <c r="EF13" s="10">
        <v>71</v>
      </c>
      <c r="EG13" s="10">
        <v>82</v>
      </c>
      <c r="EH13" s="10">
        <v>78</v>
      </c>
      <c r="EI13" s="10">
        <v>94</v>
      </c>
      <c r="EJ13" s="10">
        <v>80</v>
      </c>
      <c r="EK13" s="10">
        <v>87</v>
      </c>
      <c r="EL13" s="10">
        <v>75</v>
      </c>
      <c r="EM13" s="10">
        <v>84</v>
      </c>
      <c r="EN13" s="10">
        <v>78</v>
      </c>
      <c r="EO13" s="10">
        <v>89</v>
      </c>
      <c r="EP13" s="10">
        <v>80</v>
      </c>
      <c r="EQ13" s="10">
        <v>93</v>
      </c>
      <c r="ER13" s="10">
        <v>100</v>
      </c>
      <c r="ES13" s="10">
        <v>99</v>
      </c>
      <c r="ET13" s="10">
        <v>83</v>
      </c>
      <c r="EU13" s="10">
        <v>95</v>
      </c>
    </row>
    <row r="14" spans="2:151">
      <c r="B14" s="9">
        <v>8</v>
      </c>
      <c r="C14" s="9">
        <v>62</v>
      </c>
      <c r="D14" s="9">
        <v>65</v>
      </c>
      <c r="E14" s="9">
        <v>60</v>
      </c>
      <c r="F14" s="9">
        <v>68</v>
      </c>
      <c r="G14" s="9">
        <v>43</v>
      </c>
      <c r="H14" s="9">
        <v>48</v>
      </c>
      <c r="I14" s="9">
        <v>67</v>
      </c>
      <c r="J14" s="9">
        <v>71</v>
      </c>
      <c r="K14" s="9">
        <v>67</v>
      </c>
      <c r="L14" s="9">
        <v>34</v>
      </c>
      <c r="M14" s="9">
        <v>65</v>
      </c>
      <c r="N14" s="9">
        <v>67</v>
      </c>
      <c r="O14" s="9">
        <v>65</v>
      </c>
      <c r="P14" s="9">
        <v>66</v>
      </c>
      <c r="Q14" s="9">
        <v>69</v>
      </c>
      <c r="R14" s="17">
        <v>83</v>
      </c>
      <c r="S14" s="9">
        <v>68</v>
      </c>
      <c r="T14" s="9">
        <v>69</v>
      </c>
      <c r="U14" s="9">
        <v>54</v>
      </c>
      <c r="V14" s="9">
        <v>94</v>
      </c>
      <c r="W14" s="9">
        <v>77</v>
      </c>
      <c r="X14" s="9">
        <v>71</v>
      </c>
      <c r="Y14" s="10">
        <v>61</v>
      </c>
      <c r="Z14" s="10">
        <v>72</v>
      </c>
      <c r="AA14" s="10">
        <v>74</v>
      </c>
      <c r="AC14" s="10">
        <v>8</v>
      </c>
      <c r="AD14" s="10">
        <v>2</v>
      </c>
      <c r="AE14" s="10">
        <v>40</v>
      </c>
      <c r="AF14" s="10">
        <v>56</v>
      </c>
      <c r="AH14" s="15">
        <v>8</v>
      </c>
      <c r="AI14" s="15">
        <v>9</v>
      </c>
      <c r="AJ14" s="15">
        <v>9</v>
      </c>
      <c r="AK14" s="15">
        <v>10</v>
      </c>
      <c r="AL14" s="15">
        <v>8</v>
      </c>
      <c r="AM14" s="15">
        <v>4</v>
      </c>
      <c r="AN14" s="15">
        <v>8</v>
      </c>
      <c r="AO14" s="15">
        <v>9</v>
      </c>
      <c r="AP14" s="15">
        <v>14</v>
      </c>
      <c r="AQ14" s="15">
        <v>16</v>
      </c>
      <c r="AR14" s="15">
        <v>1</v>
      </c>
      <c r="AS14" s="15">
        <v>12</v>
      </c>
      <c r="AT14" s="15">
        <v>11</v>
      </c>
      <c r="AU14" s="15">
        <v>13</v>
      </c>
      <c r="AV14" s="15">
        <v>18</v>
      </c>
      <c r="AW14" s="15">
        <v>21</v>
      </c>
      <c r="AX14" s="15">
        <v>13</v>
      </c>
      <c r="AY14" s="15">
        <v>17</v>
      </c>
      <c r="AZ14" s="15">
        <v>5</v>
      </c>
      <c r="BA14" s="15">
        <v>15</v>
      </c>
      <c r="BB14" s="10">
        <v>34</v>
      </c>
      <c r="BC14" s="10">
        <v>24</v>
      </c>
      <c r="BD14" s="10">
        <v>21</v>
      </c>
      <c r="BE14" s="10">
        <v>11</v>
      </c>
      <c r="BF14" s="10">
        <v>18</v>
      </c>
      <c r="BG14" s="10">
        <v>34</v>
      </c>
      <c r="BI14" s="10">
        <v>8</v>
      </c>
      <c r="BJ14" s="10">
        <v>85</v>
      </c>
      <c r="BK14" s="10">
        <v>97</v>
      </c>
      <c r="BL14" s="10">
        <v>85</v>
      </c>
      <c r="BM14" s="10">
        <v>92</v>
      </c>
      <c r="BN14" s="10">
        <v>80</v>
      </c>
      <c r="BO14" s="10">
        <v>89</v>
      </c>
      <c r="BP14" s="10">
        <v>85</v>
      </c>
      <c r="BQ14" s="10">
        <v>96</v>
      </c>
      <c r="BR14" s="10">
        <v>85</v>
      </c>
      <c r="BS14" s="10">
        <v>94</v>
      </c>
      <c r="BT14" s="10">
        <v>85</v>
      </c>
      <c r="BU14" s="10">
        <v>95</v>
      </c>
      <c r="BV14" s="10">
        <v>85</v>
      </c>
      <c r="BW14" s="10">
        <v>89</v>
      </c>
      <c r="BX14" s="10">
        <v>92</v>
      </c>
      <c r="BY14" s="10">
        <v>95</v>
      </c>
      <c r="BZ14" s="10">
        <v>85</v>
      </c>
      <c r="CA14" s="10">
        <v>90</v>
      </c>
      <c r="CB14" s="10">
        <v>85</v>
      </c>
      <c r="CC14" s="10">
        <v>94</v>
      </c>
      <c r="CF14" s="10">
        <v>85</v>
      </c>
      <c r="CG14" s="10">
        <v>96</v>
      </c>
      <c r="CJ14" s="10">
        <v>75</v>
      </c>
      <c r="CK14" s="10">
        <v>76</v>
      </c>
      <c r="CL14" s="10">
        <v>72</v>
      </c>
      <c r="CM14" s="10">
        <v>69</v>
      </c>
      <c r="CN14" s="10">
        <v>100</v>
      </c>
      <c r="CO14" s="10">
        <v>97</v>
      </c>
      <c r="CP14" s="10">
        <v>85</v>
      </c>
      <c r="CQ14" s="10">
        <v>95</v>
      </c>
      <c r="CR14" s="10">
        <v>85</v>
      </c>
      <c r="CS14" s="10">
        <v>96</v>
      </c>
      <c r="CT14" s="10">
        <v>92</v>
      </c>
      <c r="CU14" s="10">
        <v>98</v>
      </c>
      <c r="CV14" s="10">
        <v>75</v>
      </c>
      <c r="CW14" s="10">
        <v>82</v>
      </c>
      <c r="CX14" s="10">
        <v>100</v>
      </c>
      <c r="CY14" s="10">
        <v>99</v>
      </c>
      <c r="CZ14" s="10">
        <v>100</v>
      </c>
      <c r="DA14" s="10">
        <v>99</v>
      </c>
      <c r="DB14" s="10">
        <v>90</v>
      </c>
      <c r="DC14" s="10">
        <v>99</v>
      </c>
      <c r="DD14" s="10">
        <v>85</v>
      </c>
      <c r="DE14" s="10">
        <v>97</v>
      </c>
      <c r="DF14" s="10">
        <v>82</v>
      </c>
      <c r="DG14" s="10">
        <v>97</v>
      </c>
      <c r="DL14" s="10">
        <v>85</v>
      </c>
      <c r="DM14" s="10">
        <v>96</v>
      </c>
      <c r="DN14" s="10">
        <v>72</v>
      </c>
      <c r="DO14" s="10">
        <v>76</v>
      </c>
      <c r="DP14" s="10">
        <v>75</v>
      </c>
      <c r="DQ14" s="10">
        <v>72</v>
      </c>
      <c r="DR14" s="10">
        <v>85</v>
      </c>
      <c r="DS14" s="10">
        <v>97</v>
      </c>
      <c r="DT14" s="10">
        <v>78</v>
      </c>
      <c r="DU14" s="10">
        <v>85</v>
      </c>
      <c r="DV14" s="10">
        <v>83</v>
      </c>
      <c r="DW14" s="10">
        <v>93</v>
      </c>
      <c r="DX14" s="10">
        <v>75</v>
      </c>
      <c r="DY14" s="10">
        <v>84</v>
      </c>
      <c r="DZ14" s="10">
        <v>85</v>
      </c>
      <c r="EA14" s="10">
        <v>97</v>
      </c>
      <c r="EB14" s="10">
        <v>80</v>
      </c>
      <c r="EC14" s="10">
        <v>89</v>
      </c>
      <c r="ED14" s="10">
        <v>75</v>
      </c>
      <c r="EE14" s="10">
        <v>93</v>
      </c>
      <c r="EF14" s="10">
        <v>73</v>
      </c>
      <c r="EG14" s="10">
        <v>87</v>
      </c>
      <c r="EH14" s="10">
        <v>82</v>
      </c>
      <c r="EI14" s="10">
        <v>96</v>
      </c>
      <c r="EJ14" s="10">
        <v>85</v>
      </c>
      <c r="EK14" s="10">
        <v>95</v>
      </c>
      <c r="EL14" s="10">
        <v>78</v>
      </c>
      <c r="EM14" s="10">
        <v>90</v>
      </c>
      <c r="EN14" s="10">
        <v>82</v>
      </c>
      <c r="EO14" s="10">
        <v>94</v>
      </c>
      <c r="EP14" s="10">
        <v>85</v>
      </c>
      <c r="EQ14" s="10">
        <v>97</v>
      </c>
      <c r="ET14" s="10">
        <v>85</v>
      </c>
      <c r="EU14" s="10">
        <v>97</v>
      </c>
    </row>
    <row r="15" spans="2:151">
      <c r="B15" s="9">
        <v>9</v>
      </c>
      <c r="C15" s="9">
        <v>64</v>
      </c>
      <c r="D15" s="9">
        <v>70</v>
      </c>
      <c r="E15" s="9">
        <v>65</v>
      </c>
      <c r="F15" s="9">
        <v>72</v>
      </c>
      <c r="G15" s="9">
        <v>49</v>
      </c>
      <c r="H15" s="9">
        <v>54</v>
      </c>
      <c r="I15" s="9">
        <v>69</v>
      </c>
      <c r="J15" s="9">
        <v>73</v>
      </c>
      <c r="K15" s="9">
        <v>69</v>
      </c>
      <c r="L15" s="9">
        <v>39</v>
      </c>
      <c r="M15" s="9">
        <v>67</v>
      </c>
      <c r="N15" s="9">
        <v>69</v>
      </c>
      <c r="O15" s="9">
        <v>66</v>
      </c>
      <c r="P15" s="9">
        <v>69</v>
      </c>
      <c r="Q15" s="9">
        <v>71</v>
      </c>
      <c r="R15" s="17">
        <v>85</v>
      </c>
      <c r="S15" s="9">
        <v>72</v>
      </c>
      <c r="T15" s="9">
        <v>72</v>
      </c>
      <c r="U15" s="9">
        <v>60</v>
      </c>
      <c r="V15" s="9">
        <v>98</v>
      </c>
      <c r="W15" s="9">
        <v>80</v>
      </c>
      <c r="X15" s="10">
        <v>73</v>
      </c>
      <c r="Y15" s="9">
        <v>63</v>
      </c>
      <c r="Z15" s="10">
        <v>75</v>
      </c>
      <c r="AA15" s="10">
        <v>75</v>
      </c>
      <c r="AC15" s="10">
        <v>9</v>
      </c>
      <c r="AD15" s="10">
        <v>5</v>
      </c>
      <c r="AE15" s="10">
        <v>45</v>
      </c>
      <c r="AF15" s="10">
        <v>60</v>
      </c>
      <c r="AH15" s="15">
        <v>9</v>
      </c>
      <c r="AI15" s="15">
        <v>10</v>
      </c>
      <c r="AJ15" s="15">
        <v>11</v>
      </c>
      <c r="AK15" s="15">
        <v>13</v>
      </c>
      <c r="AL15" s="15">
        <v>8</v>
      </c>
      <c r="AM15" s="15">
        <v>4</v>
      </c>
      <c r="AN15" s="15">
        <v>8</v>
      </c>
      <c r="AO15" s="15">
        <v>9</v>
      </c>
      <c r="AP15" s="15">
        <v>14</v>
      </c>
      <c r="AQ15" s="15">
        <v>16</v>
      </c>
      <c r="AR15" s="15">
        <v>1</v>
      </c>
      <c r="AS15" s="15">
        <v>12</v>
      </c>
      <c r="AT15" s="15">
        <v>11</v>
      </c>
      <c r="AU15" s="15">
        <v>13</v>
      </c>
      <c r="AV15" s="15">
        <v>18</v>
      </c>
      <c r="AW15" s="15">
        <v>21</v>
      </c>
      <c r="AX15" s="15">
        <v>13</v>
      </c>
      <c r="AY15" s="15">
        <v>17</v>
      </c>
      <c r="AZ15" s="15">
        <v>5</v>
      </c>
      <c r="BA15" s="15">
        <v>16</v>
      </c>
      <c r="BB15" s="10">
        <v>34</v>
      </c>
      <c r="BC15" s="10">
        <v>24</v>
      </c>
      <c r="BD15" s="10">
        <v>21</v>
      </c>
      <c r="BE15" s="10">
        <v>13</v>
      </c>
      <c r="BF15" s="10">
        <v>18</v>
      </c>
      <c r="BG15" s="10">
        <v>34</v>
      </c>
      <c r="BI15" s="10">
        <v>9</v>
      </c>
      <c r="BJ15" s="10">
        <v>100</v>
      </c>
      <c r="BK15" s="10">
        <v>100</v>
      </c>
      <c r="BL15" s="10">
        <v>100</v>
      </c>
      <c r="BM15" s="10">
        <v>98</v>
      </c>
      <c r="BN15" s="10">
        <v>85</v>
      </c>
      <c r="BO15" s="10">
        <v>95</v>
      </c>
      <c r="BR15" s="10">
        <v>100</v>
      </c>
      <c r="BS15" s="10">
        <v>98</v>
      </c>
      <c r="BT15" s="10">
        <v>100</v>
      </c>
      <c r="BU15" s="10">
        <v>98</v>
      </c>
      <c r="BV15" s="10">
        <v>100</v>
      </c>
      <c r="BW15" s="10">
        <v>97</v>
      </c>
      <c r="BX15" s="10">
        <v>100</v>
      </c>
      <c r="BY15" s="10">
        <v>99</v>
      </c>
      <c r="BZ15" s="10">
        <v>100</v>
      </c>
      <c r="CA15" s="10">
        <v>97</v>
      </c>
      <c r="CB15" s="10">
        <v>100</v>
      </c>
      <c r="CC15" s="10">
        <v>98</v>
      </c>
      <c r="CF15" s="10">
        <v>100</v>
      </c>
      <c r="CG15" s="10">
        <v>99</v>
      </c>
      <c r="CJ15" s="10">
        <v>80</v>
      </c>
      <c r="CK15" s="10">
        <v>88</v>
      </c>
      <c r="CL15" s="10">
        <v>75</v>
      </c>
      <c r="CM15" s="10">
        <v>77</v>
      </c>
      <c r="CR15" s="10">
        <v>100</v>
      </c>
      <c r="CS15" s="10">
        <v>99</v>
      </c>
      <c r="CV15" s="10">
        <v>100</v>
      </c>
      <c r="CW15" s="10">
        <v>99</v>
      </c>
      <c r="DD15" s="10">
        <v>95</v>
      </c>
      <c r="DE15" s="10">
        <v>99</v>
      </c>
      <c r="DF15" s="10">
        <v>92</v>
      </c>
      <c r="DG15" s="10">
        <v>99</v>
      </c>
      <c r="DN15" s="10">
        <v>75</v>
      </c>
      <c r="DO15" s="10">
        <v>84</v>
      </c>
      <c r="DP15" s="10">
        <v>85</v>
      </c>
      <c r="DQ15" s="10">
        <v>92</v>
      </c>
      <c r="DR15" s="10">
        <v>100</v>
      </c>
      <c r="DS15" s="10">
        <v>99</v>
      </c>
      <c r="DT15" s="10">
        <v>82</v>
      </c>
      <c r="DU15" s="10">
        <v>92</v>
      </c>
      <c r="DV15" s="10">
        <v>85</v>
      </c>
      <c r="DW15" s="10">
        <v>97</v>
      </c>
      <c r="DX15" s="10">
        <v>78</v>
      </c>
      <c r="DY15" s="10">
        <v>88</v>
      </c>
      <c r="DZ15" s="10">
        <v>100</v>
      </c>
      <c r="EA15" s="10">
        <v>99</v>
      </c>
      <c r="EB15" s="10">
        <v>85</v>
      </c>
      <c r="EC15" s="10">
        <v>97</v>
      </c>
      <c r="ED15" s="10">
        <v>85</v>
      </c>
      <c r="EE15" s="10">
        <v>98</v>
      </c>
      <c r="EF15" s="10">
        <v>75</v>
      </c>
      <c r="EG15" s="10">
        <v>92</v>
      </c>
      <c r="EH15" s="10">
        <v>85</v>
      </c>
      <c r="EI15" s="10">
        <v>98</v>
      </c>
      <c r="EL15" s="10">
        <v>82</v>
      </c>
      <c r="EM15" s="10">
        <v>94</v>
      </c>
      <c r="EN15" s="10">
        <v>85</v>
      </c>
      <c r="EO15" s="10">
        <v>98</v>
      </c>
      <c r="EP15" s="10">
        <v>100</v>
      </c>
      <c r="EQ15" s="10">
        <v>99</v>
      </c>
      <c r="ET15" s="10">
        <v>92</v>
      </c>
      <c r="EU15" s="10">
        <v>98</v>
      </c>
    </row>
    <row r="16" spans="2:151">
      <c r="B16" s="9">
        <v>10</v>
      </c>
      <c r="C16" s="9">
        <v>66</v>
      </c>
      <c r="D16" s="9">
        <v>75</v>
      </c>
      <c r="E16" s="9">
        <v>70</v>
      </c>
      <c r="F16" s="9">
        <v>75</v>
      </c>
      <c r="G16" s="9">
        <v>54</v>
      </c>
      <c r="H16" s="9">
        <v>60</v>
      </c>
      <c r="I16" s="9">
        <v>72</v>
      </c>
      <c r="J16" s="9">
        <v>75</v>
      </c>
      <c r="K16" s="9">
        <v>71</v>
      </c>
      <c r="L16" s="9">
        <v>43</v>
      </c>
      <c r="M16" s="9">
        <v>69</v>
      </c>
      <c r="N16" s="9">
        <v>72</v>
      </c>
      <c r="O16" s="9">
        <v>67</v>
      </c>
      <c r="P16" s="10">
        <v>72</v>
      </c>
      <c r="Q16" s="9">
        <v>73</v>
      </c>
      <c r="R16" s="17">
        <v>88</v>
      </c>
      <c r="S16" s="9">
        <v>75</v>
      </c>
      <c r="T16" s="9">
        <v>75</v>
      </c>
      <c r="U16" s="9">
        <v>61</v>
      </c>
      <c r="V16" s="9">
        <v>102</v>
      </c>
      <c r="W16" s="9">
        <v>83</v>
      </c>
      <c r="X16" s="10">
        <v>75</v>
      </c>
      <c r="Y16" s="9">
        <v>64</v>
      </c>
      <c r="Z16" s="10">
        <v>77</v>
      </c>
      <c r="AA16" s="10">
        <v>76</v>
      </c>
      <c r="AC16" s="10">
        <v>10</v>
      </c>
      <c r="AD16" s="10">
        <v>7</v>
      </c>
      <c r="AE16" s="10">
        <v>50</v>
      </c>
      <c r="AF16" s="10">
        <v>62</v>
      </c>
      <c r="AH16" s="15">
        <v>10</v>
      </c>
      <c r="AI16" s="15">
        <v>12</v>
      </c>
      <c r="AJ16" s="15">
        <v>14</v>
      </c>
      <c r="AK16" s="15">
        <v>13</v>
      </c>
      <c r="AL16" s="15">
        <v>11</v>
      </c>
      <c r="AM16" s="15">
        <v>4</v>
      </c>
      <c r="AN16" s="15">
        <v>8</v>
      </c>
      <c r="AO16" s="15">
        <v>9</v>
      </c>
      <c r="AP16" s="15">
        <v>14</v>
      </c>
      <c r="AQ16" s="15">
        <v>17</v>
      </c>
      <c r="AR16" s="15">
        <v>1</v>
      </c>
      <c r="AS16" s="15">
        <v>15</v>
      </c>
      <c r="AT16" s="15">
        <v>12</v>
      </c>
      <c r="AU16" s="15">
        <v>14</v>
      </c>
      <c r="AV16" s="15">
        <v>21</v>
      </c>
      <c r="AW16" s="15">
        <v>21</v>
      </c>
      <c r="AX16" s="15">
        <v>13</v>
      </c>
      <c r="AY16" s="15">
        <v>19</v>
      </c>
      <c r="AZ16" s="15">
        <v>5</v>
      </c>
      <c r="BA16" s="15">
        <v>17</v>
      </c>
      <c r="BB16" s="10">
        <v>34</v>
      </c>
      <c r="BC16" s="10">
        <v>24</v>
      </c>
      <c r="BD16" s="10">
        <v>21</v>
      </c>
      <c r="BE16" s="10">
        <v>16</v>
      </c>
      <c r="BF16" s="10">
        <v>18</v>
      </c>
      <c r="BG16" s="10">
        <v>34</v>
      </c>
      <c r="BI16" s="10">
        <v>10</v>
      </c>
      <c r="BN16" s="10">
        <v>100</v>
      </c>
      <c r="BO16" s="10">
        <v>99</v>
      </c>
      <c r="CJ16" s="10">
        <v>85</v>
      </c>
      <c r="CK16" s="10">
        <v>97</v>
      </c>
      <c r="CL16" s="10">
        <v>78</v>
      </c>
      <c r="CM16" s="10">
        <v>86</v>
      </c>
      <c r="DD16" s="10">
        <v>100</v>
      </c>
      <c r="DE16" s="10">
        <v>99</v>
      </c>
      <c r="DF16" s="10">
        <v>100</v>
      </c>
      <c r="DG16" s="10">
        <v>99</v>
      </c>
      <c r="DN16" s="10">
        <v>80</v>
      </c>
      <c r="DO16" s="10">
        <v>91</v>
      </c>
      <c r="DT16" s="10">
        <v>85</v>
      </c>
      <c r="DU16" s="10">
        <v>95</v>
      </c>
      <c r="DV16" s="10">
        <v>100</v>
      </c>
      <c r="DW16" s="10">
        <v>99</v>
      </c>
      <c r="DX16" s="10">
        <v>82</v>
      </c>
      <c r="DY16" s="10">
        <v>93</v>
      </c>
      <c r="EF16" s="10">
        <v>85</v>
      </c>
      <c r="EG16" s="10">
        <v>97</v>
      </c>
      <c r="EH16" s="10">
        <v>92</v>
      </c>
      <c r="EI16" s="10">
        <v>99</v>
      </c>
      <c r="EL16" s="10">
        <v>85</v>
      </c>
      <c r="EM16" s="10">
        <v>98</v>
      </c>
      <c r="EN16" s="10">
        <v>100</v>
      </c>
      <c r="EO16" s="10">
        <v>99</v>
      </c>
      <c r="ET16" s="10">
        <v>100</v>
      </c>
      <c r="EU16" s="10">
        <v>99</v>
      </c>
    </row>
    <row r="17" spans="2:143">
      <c r="B17" s="10">
        <v>11</v>
      </c>
      <c r="C17" s="10">
        <v>69</v>
      </c>
      <c r="D17" s="10">
        <v>76</v>
      </c>
      <c r="E17" s="10">
        <v>75</v>
      </c>
      <c r="F17" s="10">
        <v>76</v>
      </c>
      <c r="G17" s="10">
        <v>60</v>
      </c>
      <c r="H17" s="10">
        <v>61</v>
      </c>
      <c r="I17" s="10">
        <v>75</v>
      </c>
      <c r="J17" s="10">
        <v>77</v>
      </c>
      <c r="K17" s="10">
        <v>73</v>
      </c>
      <c r="L17" s="9">
        <v>47</v>
      </c>
      <c r="M17" s="10">
        <v>72</v>
      </c>
      <c r="N17" s="10">
        <v>75</v>
      </c>
      <c r="O17" s="10">
        <v>68</v>
      </c>
      <c r="P17" s="10">
        <v>75</v>
      </c>
      <c r="Q17" s="10">
        <v>75</v>
      </c>
      <c r="R17" s="18">
        <v>91</v>
      </c>
      <c r="S17" s="10">
        <v>78</v>
      </c>
      <c r="T17" s="10">
        <v>78</v>
      </c>
      <c r="U17" s="10">
        <v>63</v>
      </c>
      <c r="V17" s="10">
        <v>106</v>
      </c>
      <c r="W17" s="10">
        <v>85</v>
      </c>
      <c r="X17" s="10">
        <v>78</v>
      </c>
      <c r="Y17" s="9">
        <v>65</v>
      </c>
      <c r="Z17" s="10">
        <v>79</v>
      </c>
      <c r="AA17" s="10">
        <v>78</v>
      </c>
      <c r="AC17" s="10">
        <v>11</v>
      </c>
      <c r="AD17" s="10">
        <v>10</v>
      </c>
      <c r="AE17" s="10">
        <v>55</v>
      </c>
      <c r="AF17" s="10">
        <v>64</v>
      </c>
      <c r="AH17" s="15">
        <v>11</v>
      </c>
      <c r="AI17" s="15">
        <v>12</v>
      </c>
      <c r="AJ17" s="15">
        <v>14</v>
      </c>
      <c r="AK17" s="15">
        <v>13</v>
      </c>
      <c r="AL17" s="15">
        <v>13</v>
      </c>
      <c r="AM17" s="15">
        <v>6</v>
      </c>
      <c r="AN17" s="15">
        <v>9</v>
      </c>
      <c r="AO17" s="15">
        <v>9</v>
      </c>
      <c r="AP17" s="15">
        <v>14</v>
      </c>
      <c r="AQ17" s="15">
        <v>17</v>
      </c>
      <c r="AR17" s="15">
        <v>1</v>
      </c>
      <c r="AS17" s="15">
        <v>17</v>
      </c>
      <c r="AT17" s="15">
        <v>13</v>
      </c>
      <c r="AU17" s="15">
        <v>14</v>
      </c>
      <c r="AV17" s="15">
        <v>24</v>
      </c>
      <c r="AW17" s="15">
        <v>21</v>
      </c>
      <c r="AX17" s="15">
        <v>13</v>
      </c>
      <c r="AY17" s="15">
        <v>22</v>
      </c>
      <c r="AZ17" s="15">
        <v>5</v>
      </c>
      <c r="BA17" s="15">
        <v>17</v>
      </c>
      <c r="BB17" s="10">
        <v>34</v>
      </c>
      <c r="BC17" s="10">
        <v>24</v>
      </c>
      <c r="BD17" s="10">
        <v>21</v>
      </c>
      <c r="BE17" s="10">
        <v>17</v>
      </c>
      <c r="BF17" s="10">
        <v>18</v>
      </c>
      <c r="BG17" s="10">
        <v>34</v>
      </c>
      <c r="BI17" s="10">
        <v>11</v>
      </c>
      <c r="CL17" s="10">
        <v>82</v>
      </c>
      <c r="CM17" s="10">
        <v>93</v>
      </c>
      <c r="DN17" s="10">
        <v>85</v>
      </c>
      <c r="DO17" s="10">
        <v>97</v>
      </c>
      <c r="DT17" s="10">
        <v>100</v>
      </c>
      <c r="DU17" s="10">
        <v>99</v>
      </c>
      <c r="DX17" s="10">
        <v>85</v>
      </c>
      <c r="DY17" s="10">
        <v>96</v>
      </c>
      <c r="EF17" s="10">
        <v>100</v>
      </c>
      <c r="EG17" s="10">
        <v>99</v>
      </c>
      <c r="EH17" s="10">
        <v>100</v>
      </c>
      <c r="EI17" s="10">
        <v>99</v>
      </c>
      <c r="EL17" s="10">
        <v>100</v>
      </c>
      <c r="EM17" s="10">
        <v>99</v>
      </c>
    </row>
    <row r="18" spans="2:143">
      <c r="B18" s="10">
        <v>12</v>
      </c>
      <c r="C18" s="10">
        <v>71</v>
      </c>
      <c r="D18" s="10">
        <v>77</v>
      </c>
      <c r="E18" s="10">
        <v>76</v>
      </c>
      <c r="F18" s="10">
        <v>78</v>
      </c>
      <c r="G18" s="10">
        <v>62</v>
      </c>
      <c r="H18" s="10">
        <v>63</v>
      </c>
      <c r="I18" s="10">
        <v>77</v>
      </c>
      <c r="J18" s="10">
        <v>79</v>
      </c>
      <c r="K18" s="10">
        <v>74</v>
      </c>
      <c r="L18" s="9">
        <v>52</v>
      </c>
      <c r="M18" s="10">
        <v>75</v>
      </c>
      <c r="N18" s="10">
        <v>76</v>
      </c>
      <c r="O18" s="10">
        <v>69</v>
      </c>
      <c r="P18" s="10">
        <v>76</v>
      </c>
      <c r="Q18" s="10">
        <v>76</v>
      </c>
      <c r="R18" s="18">
        <v>94</v>
      </c>
      <c r="S18" s="10">
        <v>82</v>
      </c>
      <c r="T18" s="10">
        <v>82</v>
      </c>
      <c r="U18" s="10">
        <v>65</v>
      </c>
      <c r="V18" s="10">
        <v>111</v>
      </c>
      <c r="W18" s="10">
        <v>89</v>
      </c>
      <c r="X18" s="10">
        <v>82</v>
      </c>
      <c r="Y18" s="9">
        <v>66</v>
      </c>
      <c r="Z18" s="10">
        <v>80</v>
      </c>
      <c r="AA18" s="10">
        <v>79</v>
      </c>
      <c r="AC18" s="10">
        <v>12</v>
      </c>
      <c r="AD18" s="10">
        <v>12</v>
      </c>
      <c r="AE18" s="10">
        <v>60</v>
      </c>
      <c r="AF18" s="10">
        <v>66</v>
      </c>
      <c r="AH18" s="15">
        <v>12</v>
      </c>
      <c r="AI18" s="15">
        <v>12</v>
      </c>
      <c r="AJ18" s="15">
        <v>15</v>
      </c>
      <c r="AK18" s="15">
        <v>14</v>
      </c>
      <c r="AL18" s="15">
        <v>14</v>
      </c>
      <c r="AM18" s="15">
        <v>8</v>
      </c>
      <c r="AN18" s="15">
        <v>11</v>
      </c>
      <c r="AO18" s="15">
        <v>12</v>
      </c>
      <c r="AP18" s="15">
        <v>14</v>
      </c>
      <c r="AQ18" s="15">
        <v>17</v>
      </c>
      <c r="AR18" s="15">
        <v>1</v>
      </c>
      <c r="AS18" s="15">
        <v>17</v>
      </c>
      <c r="AT18" s="15">
        <v>16</v>
      </c>
      <c r="AU18" s="15">
        <v>17</v>
      </c>
      <c r="AV18" s="15">
        <v>24</v>
      </c>
      <c r="AW18" s="15">
        <v>21</v>
      </c>
      <c r="AX18" s="15">
        <v>13</v>
      </c>
      <c r="AY18" s="15">
        <v>23</v>
      </c>
      <c r="AZ18" s="15">
        <v>8</v>
      </c>
      <c r="BA18" s="15">
        <v>17</v>
      </c>
      <c r="BB18" s="10">
        <v>34</v>
      </c>
      <c r="BC18" s="10">
        <v>24</v>
      </c>
      <c r="BD18" s="10">
        <v>21</v>
      </c>
      <c r="BE18" s="10">
        <v>17</v>
      </c>
      <c r="BF18" s="10">
        <v>21</v>
      </c>
      <c r="BG18" s="10">
        <v>34</v>
      </c>
      <c r="BI18" s="10">
        <v>12</v>
      </c>
      <c r="DN18" s="10">
        <v>100</v>
      </c>
      <c r="DO18" s="10">
        <v>99</v>
      </c>
      <c r="DX18" s="10">
        <v>100</v>
      </c>
      <c r="DY18" s="10">
        <v>99</v>
      </c>
    </row>
    <row r="19" spans="2:143">
      <c r="B19" s="10">
        <v>13</v>
      </c>
      <c r="C19" s="10">
        <v>73</v>
      </c>
      <c r="D19" s="10">
        <v>78</v>
      </c>
      <c r="E19" s="10">
        <v>77</v>
      </c>
      <c r="F19" s="10">
        <v>79</v>
      </c>
      <c r="G19" s="10">
        <v>65</v>
      </c>
      <c r="H19" s="10">
        <v>65</v>
      </c>
      <c r="I19" s="10">
        <v>79</v>
      </c>
      <c r="J19" s="10">
        <v>81</v>
      </c>
      <c r="K19" s="10">
        <v>75</v>
      </c>
      <c r="L19" s="9">
        <v>56</v>
      </c>
      <c r="M19" s="10">
        <v>76</v>
      </c>
      <c r="N19" s="10">
        <v>77</v>
      </c>
      <c r="O19" s="10">
        <v>71</v>
      </c>
      <c r="P19" s="10">
        <v>77</v>
      </c>
      <c r="Q19" s="10">
        <v>78</v>
      </c>
      <c r="R19" s="18">
        <v>97</v>
      </c>
      <c r="S19" s="10">
        <v>85</v>
      </c>
      <c r="T19" s="10">
        <v>85</v>
      </c>
      <c r="U19" s="10">
        <v>67</v>
      </c>
      <c r="V19" s="10">
        <v>115</v>
      </c>
      <c r="W19" s="10">
        <v>94</v>
      </c>
      <c r="X19" s="10">
        <v>85</v>
      </c>
      <c r="Y19" s="9">
        <v>67</v>
      </c>
      <c r="Z19" s="10">
        <v>81</v>
      </c>
      <c r="AA19" s="10">
        <v>81</v>
      </c>
      <c r="AC19" s="10">
        <v>13</v>
      </c>
      <c r="AD19" s="10">
        <v>15</v>
      </c>
      <c r="AE19" s="10">
        <v>63</v>
      </c>
      <c r="AF19" s="10">
        <v>68</v>
      </c>
      <c r="AH19" s="15">
        <v>13</v>
      </c>
      <c r="AI19" s="15">
        <v>12</v>
      </c>
      <c r="AJ19" s="15">
        <v>15</v>
      </c>
      <c r="AK19" s="15">
        <v>15</v>
      </c>
      <c r="AL19" s="15">
        <v>14</v>
      </c>
      <c r="AM19" s="15">
        <v>8</v>
      </c>
      <c r="AN19" s="15">
        <v>12</v>
      </c>
      <c r="AO19" s="15">
        <v>14</v>
      </c>
      <c r="AP19" s="15">
        <v>14</v>
      </c>
      <c r="AQ19" s="15">
        <v>17</v>
      </c>
      <c r="AR19" s="15">
        <v>1</v>
      </c>
      <c r="AS19" s="15">
        <v>18</v>
      </c>
      <c r="AT19" s="15">
        <v>19</v>
      </c>
      <c r="AU19" s="15">
        <v>20</v>
      </c>
      <c r="AV19" s="15">
        <v>25</v>
      </c>
      <c r="AW19" s="15">
        <v>21</v>
      </c>
      <c r="AX19" s="15">
        <v>13</v>
      </c>
      <c r="AY19" s="15">
        <v>24</v>
      </c>
      <c r="AZ19" s="15">
        <v>11</v>
      </c>
      <c r="BA19" s="15">
        <v>17</v>
      </c>
      <c r="BB19" s="10">
        <v>34</v>
      </c>
      <c r="BC19" s="10">
        <v>24</v>
      </c>
      <c r="BD19" s="10">
        <v>21</v>
      </c>
      <c r="BE19" s="10">
        <v>17</v>
      </c>
      <c r="BF19" s="10">
        <v>25</v>
      </c>
      <c r="BG19" s="10">
        <v>34</v>
      </c>
    </row>
    <row r="20" spans="2:143">
      <c r="B20" s="10">
        <v>14</v>
      </c>
      <c r="C20" s="10">
        <v>75</v>
      </c>
      <c r="D20" s="10">
        <v>79</v>
      </c>
      <c r="E20" s="10">
        <v>78</v>
      </c>
      <c r="F20" s="10">
        <v>81</v>
      </c>
      <c r="G20" s="10">
        <v>67</v>
      </c>
      <c r="H20" s="10">
        <v>67</v>
      </c>
      <c r="I20" s="10">
        <v>81</v>
      </c>
      <c r="J20" s="10">
        <v>83</v>
      </c>
      <c r="K20" s="10">
        <v>77</v>
      </c>
      <c r="L20" s="9">
        <v>60</v>
      </c>
      <c r="M20" s="10">
        <v>77</v>
      </c>
      <c r="N20" s="10">
        <v>78</v>
      </c>
      <c r="O20" s="10">
        <v>73</v>
      </c>
      <c r="P20" s="10">
        <v>78</v>
      </c>
      <c r="Q20" s="10">
        <v>79</v>
      </c>
      <c r="R20" s="18">
        <v>100</v>
      </c>
      <c r="S20" s="10">
        <v>100</v>
      </c>
      <c r="T20" s="10">
        <v>90</v>
      </c>
      <c r="U20" s="10">
        <v>69</v>
      </c>
      <c r="W20" s="10">
        <v>98</v>
      </c>
      <c r="X20" s="10">
        <v>90</v>
      </c>
      <c r="Y20" s="9">
        <v>68</v>
      </c>
      <c r="Z20" s="10">
        <v>83</v>
      </c>
      <c r="AA20" s="10">
        <v>82</v>
      </c>
      <c r="AC20" s="10">
        <v>14</v>
      </c>
      <c r="AD20" s="10">
        <v>17</v>
      </c>
      <c r="AE20" s="10">
        <v>66</v>
      </c>
      <c r="AF20" s="10">
        <v>70</v>
      </c>
      <c r="AH20" s="15">
        <v>14</v>
      </c>
      <c r="AI20" s="15">
        <v>13</v>
      </c>
      <c r="AJ20" s="15">
        <v>16</v>
      </c>
      <c r="AK20" s="15">
        <v>16</v>
      </c>
      <c r="AL20" s="15">
        <v>14</v>
      </c>
      <c r="AM20" s="15">
        <v>8</v>
      </c>
      <c r="AN20" s="15">
        <v>13</v>
      </c>
      <c r="AO20" s="15">
        <v>14</v>
      </c>
      <c r="AP20" s="15">
        <v>14</v>
      </c>
      <c r="AQ20" s="15">
        <v>17</v>
      </c>
      <c r="AR20" s="15">
        <v>2</v>
      </c>
      <c r="AS20" s="15">
        <v>18</v>
      </c>
      <c r="AT20" s="15">
        <v>19</v>
      </c>
      <c r="AU20" s="15">
        <v>21</v>
      </c>
      <c r="AV20" s="15">
        <v>25</v>
      </c>
      <c r="AW20" s="15">
        <v>21</v>
      </c>
      <c r="AX20" s="15">
        <v>13</v>
      </c>
      <c r="AY20" s="15">
        <v>24</v>
      </c>
      <c r="AZ20" s="15">
        <v>11</v>
      </c>
      <c r="BA20" s="15">
        <v>20</v>
      </c>
      <c r="BB20" s="10">
        <v>34</v>
      </c>
      <c r="BC20" s="10">
        <v>24</v>
      </c>
      <c r="BD20" s="10">
        <v>21</v>
      </c>
      <c r="BE20" s="10">
        <v>18</v>
      </c>
      <c r="BF20" s="10">
        <v>25</v>
      </c>
      <c r="BG20" s="10">
        <v>34</v>
      </c>
    </row>
    <row r="21" spans="2:143">
      <c r="B21" s="10">
        <v>15</v>
      </c>
      <c r="C21" s="10">
        <v>76</v>
      </c>
      <c r="D21" s="10">
        <v>81</v>
      </c>
      <c r="E21" s="10">
        <v>79</v>
      </c>
      <c r="F21" s="10">
        <v>82</v>
      </c>
      <c r="G21" s="10">
        <v>69</v>
      </c>
      <c r="H21" s="10">
        <v>68</v>
      </c>
      <c r="I21" s="10">
        <v>83</v>
      </c>
      <c r="J21" s="10">
        <v>85</v>
      </c>
      <c r="K21" s="10">
        <v>79</v>
      </c>
      <c r="L21" s="9">
        <v>62</v>
      </c>
      <c r="M21" s="10">
        <v>78</v>
      </c>
      <c r="N21" s="10">
        <v>79</v>
      </c>
      <c r="O21" s="10">
        <v>74</v>
      </c>
      <c r="P21" s="10">
        <v>79</v>
      </c>
      <c r="Q21" s="10">
        <v>80</v>
      </c>
      <c r="R21" s="18">
        <v>103</v>
      </c>
      <c r="S21" s="10">
        <v>115</v>
      </c>
      <c r="T21" s="10">
        <v>95</v>
      </c>
      <c r="U21" s="10">
        <v>71</v>
      </c>
      <c r="W21" s="10">
        <v>102</v>
      </c>
      <c r="X21" s="10">
        <v>95</v>
      </c>
      <c r="Y21" s="9">
        <v>69</v>
      </c>
      <c r="Z21" s="10">
        <v>85</v>
      </c>
      <c r="AA21" s="10">
        <v>84</v>
      </c>
      <c r="AC21" s="10">
        <v>15</v>
      </c>
      <c r="AD21" s="10">
        <v>19</v>
      </c>
      <c r="AE21" s="10">
        <v>69</v>
      </c>
      <c r="AF21" s="10">
        <v>72</v>
      </c>
      <c r="AH21" s="15">
        <v>15</v>
      </c>
      <c r="AI21" s="15">
        <v>13</v>
      </c>
      <c r="AJ21" s="15">
        <v>16</v>
      </c>
      <c r="AK21" s="15">
        <v>18</v>
      </c>
      <c r="AL21" s="15">
        <v>15</v>
      </c>
      <c r="AM21" s="15">
        <v>8</v>
      </c>
      <c r="AN21" s="15">
        <v>13</v>
      </c>
      <c r="AO21" s="15">
        <v>14</v>
      </c>
      <c r="AP21" s="15">
        <v>14</v>
      </c>
      <c r="AQ21" s="15">
        <v>19</v>
      </c>
      <c r="AR21" s="15">
        <v>2</v>
      </c>
      <c r="AS21" s="15">
        <v>18</v>
      </c>
      <c r="AT21" s="15">
        <v>20</v>
      </c>
      <c r="AU21" s="15">
        <v>21</v>
      </c>
      <c r="AV21" s="15">
        <v>25</v>
      </c>
      <c r="AW21" s="15">
        <v>24</v>
      </c>
      <c r="AX21" s="15">
        <v>16</v>
      </c>
      <c r="AY21" s="15">
        <v>24</v>
      </c>
      <c r="AZ21" s="15">
        <v>12</v>
      </c>
      <c r="BA21" s="15">
        <v>22</v>
      </c>
      <c r="BB21" s="10">
        <v>34</v>
      </c>
      <c r="BC21" s="10">
        <v>24</v>
      </c>
      <c r="BD21" s="10">
        <v>21</v>
      </c>
      <c r="BE21" s="10">
        <v>18</v>
      </c>
      <c r="BF21" s="10">
        <v>25</v>
      </c>
      <c r="BG21" s="10">
        <v>34</v>
      </c>
    </row>
    <row r="22" spans="2:143">
      <c r="B22" s="10">
        <v>16</v>
      </c>
      <c r="C22" s="10">
        <v>78</v>
      </c>
      <c r="D22" s="10">
        <v>82</v>
      </c>
      <c r="E22" s="10">
        <v>79</v>
      </c>
      <c r="F22" s="10">
        <v>84</v>
      </c>
      <c r="G22" s="10">
        <v>72</v>
      </c>
      <c r="H22" s="10">
        <v>69</v>
      </c>
      <c r="I22" s="10">
        <v>85</v>
      </c>
      <c r="J22" s="10">
        <v>90</v>
      </c>
      <c r="K22" s="10">
        <v>81</v>
      </c>
      <c r="L22" s="9">
        <v>65</v>
      </c>
      <c r="M22" s="10">
        <v>79</v>
      </c>
      <c r="N22" s="10">
        <v>80</v>
      </c>
      <c r="O22" s="10">
        <v>75</v>
      </c>
      <c r="P22" s="10">
        <v>81</v>
      </c>
      <c r="Q22" s="10">
        <v>81</v>
      </c>
      <c r="R22" s="18">
        <v>106</v>
      </c>
      <c r="T22" s="10">
        <v>100</v>
      </c>
      <c r="U22" s="10">
        <v>73</v>
      </c>
      <c r="W22" s="10">
        <v>106</v>
      </c>
      <c r="X22" s="10">
        <v>100</v>
      </c>
      <c r="Y22" s="9">
        <v>71</v>
      </c>
      <c r="Z22" s="10">
        <v>88</v>
      </c>
      <c r="AA22" s="10">
        <v>85</v>
      </c>
      <c r="AC22" s="10">
        <v>16</v>
      </c>
      <c r="AD22" s="10">
        <v>21</v>
      </c>
      <c r="AE22" s="10">
        <v>72</v>
      </c>
      <c r="AF22" s="10">
        <v>74</v>
      </c>
      <c r="AH22" s="15">
        <v>16</v>
      </c>
      <c r="AI22" s="15">
        <v>13</v>
      </c>
      <c r="AJ22" s="15">
        <v>17</v>
      </c>
      <c r="AK22" s="15">
        <v>20</v>
      </c>
      <c r="AL22" s="15">
        <v>15</v>
      </c>
      <c r="AM22" s="15">
        <v>10</v>
      </c>
      <c r="AN22" s="15">
        <v>13</v>
      </c>
      <c r="AO22" s="15">
        <v>14</v>
      </c>
      <c r="AP22" s="15">
        <v>14</v>
      </c>
      <c r="AQ22" s="15">
        <v>22</v>
      </c>
      <c r="AR22" s="15">
        <v>2</v>
      </c>
      <c r="AS22" s="15">
        <v>18</v>
      </c>
      <c r="AT22" s="15">
        <v>20</v>
      </c>
      <c r="AU22" s="15">
        <v>21</v>
      </c>
      <c r="AV22" s="15">
        <v>25</v>
      </c>
      <c r="AW22" s="15">
        <v>27</v>
      </c>
      <c r="AX22" s="15">
        <v>20</v>
      </c>
      <c r="AY22" s="15">
        <v>24</v>
      </c>
      <c r="AZ22" s="15">
        <v>12</v>
      </c>
      <c r="BA22" s="15">
        <v>23</v>
      </c>
      <c r="BB22" s="10">
        <v>34</v>
      </c>
      <c r="BC22" s="10">
        <v>24</v>
      </c>
      <c r="BD22" s="10">
        <v>21</v>
      </c>
      <c r="BE22" s="10">
        <v>18</v>
      </c>
      <c r="BF22" s="10">
        <v>25</v>
      </c>
      <c r="BG22" s="10">
        <v>34</v>
      </c>
    </row>
    <row r="23" spans="2:143">
      <c r="B23" s="10">
        <v>17</v>
      </c>
      <c r="C23" s="10">
        <v>79</v>
      </c>
      <c r="D23" s="10">
        <v>83</v>
      </c>
      <c r="E23" s="10">
        <v>80</v>
      </c>
      <c r="F23" s="10">
        <v>85</v>
      </c>
      <c r="G23" s="10">
        <v>75</v>
      </c>
      <c r="H23" s="10">
        <v>71</v>
      </c>
      <c r="I23" s="10">
        <v>88</v>
      </c>
      <c r="J23" s="10">
        <v>95</v>
      </c>
      <c r="K23" s="10">
        <v>83</v>
      </c>
      <c r="L23" s="9">
        <v>67</v>
      </c>
      <c r="M23" s="10">
        <v>80</v>
      </c>
      <c r="N23" s="10">
        <v>80</v>
      </c>
      <c r="O23" s="10">
        <v>76</v>
      </c>
      <c r="P23" s="10">
        <v>82</v>
      </c>
      <c r="Q23" s="10">
        <v>82</v>
      </c>
      <c r="R23" s="18">
        <v>109</v>
      </c>
      <c r="T23" s="10">
        <v>105</v>
      </c>
      <c r="U23" s="10">
        <v>74</v>
      </c>
      <c r="W23" s="10">
        <v>111</v>
      </c>
      <c r="X23" s="10">
        <v>105</v>
      </c>
      <c r="Y23" s="9">
        <v>73</v>
      </c>
      <c r="Z23" s="10">
        <v>92</v>
      </c>
      <c r="AA23" s="10">
        <v>95</v>
      </c>
      <c r="AC23" s="10">
        <v>17</v>
      </c>
      <c r="AD23" s="10">
        <v>23</v>
      </c>
      <c r="AE23" s="10">
        <v>75</v>
      </c>
      <c r="AF23" s="10">
        <v>75</v>
      </c>
      <c r="AH23" s="15">
        <v>17</v>
      </c>
      <c r="AI23" s="15">
        <v>16</v>
      </c>
      <c r="AJ23" s="15">
        <v>19</v>
      </c>
      <c r="AK23" s="15">
        <v>21</v>
      </c>
      <c r="AL23" s="15">
        <v>15</v>
      </c>
      <c r="AM23" s="15">
        <v>12</v>
      </c>
      <c r="AN23" s="15">
        <v>13</v>
      </c>
      <c r="AO23" s="15">
        <v>14</v>
      </c>
      <c r="AP23" s="15">
        <v>14</v>
      </c>
      <c r="AQ23" s="15">
        <v>22</v>
      </c>
      <c r="AR23" s="15">
        <v>2</v>
      </c>
      <c r="AS23" s="15">
        <v>18</v>
      </c>
      <c r="AT23" s="15">
        <v>20</v>
      </c>
      <c r="AU23" s="15">
        <v>21</v>
      </c>
      <c r="AV23" s="15">
        <v>25</v>
      </c>
      <c r="AW23" s="15">
        <v>27</v>
      </c>
      <c r="AX23" s="15">
        <v>21</v>
      </c>
      <c r="AY23" s="15">
        <v>24</v>
      </c>
      <c r="AZ23" s="15">
        <v>12</v>
      </c>
      <c r="BA23" s="15">
        <v>23</v>
      </c>
      <c r="BB23" s="10">
        <v>34</v>
      </c>
      <c r="BC23" s="10">
        <v>24</v>
      </c>
      <c r="BD23" s="10">
        <v>21</v>
      </c>
      <c r="BE23" s="10">
        <v>20</v>
      </c>
      <c r="BF23" s="10">
        <v>25</v>
      </c>
      <c r="BG23" s="10">
        <v>34</v>
      </c>
    </row>
    <row r="24" spans="2:143">
      <c r="B24" s="10">
        <v>18</v>
      </c>
      <c r="C24" s="10">
        <v>81</v>
      </c>
      <c r="D24" s="10">
        <v>84</v>
      </c>
      <c r="E24" s="10">
        <v>80</v>
      </c>
      <c r="F24" s="10">
        <v>90</v>
      </c>
      <c r="G24" s="10">
        <v>77</v>
      </c>
      <c r="H24" s="10">
        <v>73</v>
      </c>
      <c r="I24" s="10">
        <v>92</v>
      </c>
      <c r="J24" s="10">
        <v>100</v>
      </c>
      <c r="K24" s="10">
        <v>85</v>
      </c>
      <c r="L24" s="9">
        <v>69</v>
      </c>
      <c r="M24" s="10">
        <v>81</v>
      </c>
      <c r="N24" s="10">
        <v>81</v>
      </c>
      <c r="O24" s="10">
        <v>77</v>
      </c>
      <c r="P24" s="10">
        <v>83</v>
      </c>
      <c r="Q24" s="10">
        <v>84</v>
      </c>
      <c r="R24" s="18">
        <v>112</v>
      </c>
      <c r="T24" s="10">
        <v>110</v>
      </c>
      <c r="U24" s="10">
        <v>75</v>
      </c>
      <c r="W24" s="10">
        <v>115</v>
      </c>
      <c r="X24" s="10">
        <v>110</v>
      </c>
      <c r="Y24" s="9">
        <v>74</v>
      </c>
      <c r="Z24" s="10">
        <v>95</v>
      </c>
      <c r="AA24" s="10">
        <v>105</v>
      </c>
      <c r="AC24" s="10">
        <v>18</v>
      </c>
      <c r="AD24" s="10">
        <v>25</v>
      </c>
      <c r="AE24" s="10">
        <v>78</v>
      </c>
      <c r="AF24" s="10">
        <v>77</v>
      </c>
      <c r="AH24" s="15">
        <v>18</v>
      </c>
      <c r="AI24" s="15">
        <v>19</v>
      </c>
      <c r="AJ24" s="15">
        <v>21</v>
      </c>
      <c r="AK24" s="15">
        <v>21</v>
      </c>
      <c r="AL24" s="15">
        <v>15</v>
      </c>
      <c r="AM24" s="15">
        <v>12</v>
      </c>
      <c r="AN24" s="15">
        <v>15</v>
      </c>
      <c r="AO24" s="15">
        <v>14</v>
      </c>
      <c r="AP24" s="15">
        <v>14</v>
      </c>
      <c r="AQ24" s="15">
        <v>22</v>
      </c>
      <c r="AR24" s="15">
        <v>2</v>
      </c>
      <c r="AS24" s="15">
        <v>18</v>
      </c>
      <c r="AT24" s="15">
        <v>20</v>
      </c>
      <c r="AU24" s="15">
        <v>21</v>
      </c>
      <c r="AV24" s="15">
        <v>25</v>
      </c>
      <c r="AW24" s="15">
        <v>27</v>
      </c>
      <c r="AX24" s="15">
        <v>21</v>
      </c>
      <c r="AY24" s="15">
        <v>24</v>
      </c>
      <c r="AZ24" s="15">
        <v>12</v>
      </c>
      <c r="BA24" s="15">
        <v>23</v>
      </c>
      <c r="BB24" s="10">
        <v>34</v>
      </c>
      <c r="BC24" s="10">
        <v>24</v>
      </c>
      <c r="BD24" s="10">
        <v>21</v>
      </c>
      <c r="BE24" s="10">
        <v>23</v>
      </c>
      <c r="BF24" s="10">
        <v>25</v>
      </c>
      <c r="BG24" s="10">
        <v>34</v>
      </c>
    </row>
    <row r="25" spans="2:143">
      <c r="B25" s="10">
        <v>19</v>
      </c>
      <c r="C25" s="10">
        <v>82</v>
      </c>
      <c r="D25" s="10">
        <v>85</v>
      </c>
      <c r="E25" s="10">
        <v>81</v>
      </c>
      <c r="F25" s="10">
        <v>95</v>
      </c>
      <c r="G25" s="10">
        <v>80</v>
      </c>
      <c r="H25" s="10">
        <v>74</v>
      </c>
      <c r="I25" s="10">
        <v>95</v>
      </c>
      <c r="J25" s="10">
        <v>105</v>
      </c>
      <c r="K25" s="10">
        <v>92</v>
      </c>
      <c r="L25" s="9">
        <v>72</v>
      </c>
      <c r="M25" s="10">
        <v>82</v>
      </c>
      <c r="N25" s="10">
        <v>82</v>
      </c>
      <c r="O25" s="10">
        <v>78</v>
      </c>
      <c r="P25" s="10">
        <v>84</v>
      </c>
      <c r="Q25" s="10">
        <v>85</v>
      </c>
      <c r="R25" s="18">
        <v>115</v>
      </c>
      <c r="T25" s="10">
        <v>115</v>
      </c>
      <c r="U25" s="10">
        <v>77</v>
      </c>
      <c r="X25" s="10">
        <v>115</v>
      </c>
      <c r="Y25" s="9">
        <v>75</v>
      </c>
      <c r="Z25" s="10">
        <v>99</v>
      </c>
      <c r="AA25" s="10">
        <v>115</v>
      </c>
      <c r="AC25" s="10">
        <v>19</v>
      </c>
      <c r="AD25" s="10">
        <v>28</v>
      </c>
      <c r="AE25" s="10">
        <v>81</v>
      </c>
      <c r="AF25" s="10">
        <v>79</v>
      </c>
      <c r="AH25" s="15">
        <v>19</v>
      </c>
      <c r="AI25" s="15">
        <v>20</v>
      </c>
      <c r="AJ25" s="15">
        <v>21</v>
      </c>
      <c r="AK25" s="15">
        <v>21</v>
      </c>
      <c r="AL25" s="15">
        <v>15</v>
      </c>
      <c r="AM25" s="15">
        <v>12</v>
      </c>
      <c r="AN25" s="15">
        <v>17</v>
      </c>
      <c r="AO25" s="15">
        <v>15</v>
      </c>
      <c r="AP25" s="15">
        <v>14</v>
      </c>
      <c r="AQ25" s="15">
        <v>22</v>
      </c>
      <c r="AR25" s="15">
        <v>3</v>
      </c>
      <c r="AS25" s="15">
        <v>18</v>
      </c>
      <c r="AT25" s="15">
        <v>21</v>
      </c>
      <c r="AU25" s="15">
        <v>21</v>
      </c>
      <c r="AV25" s="15">
        <v>26</v>
      </c>
      <c r="AW25" s="15">
        <v>27</v>
      </c>
      <c r="AX25" s="15">
        <v>21</v>
      </c>
      <c r="AY25" s="15">
        <v>24</v>
      </c>
      <c r="AZ25" s="15">
        <v>12</v>
      </c>
      <c r="BA25" s="15">
        <v>23</v>
      </c>
      <c r="BB25" s="10">
        <v>34</v>
      </c>
      <c r="BC25" s="10">
        <v>24</v>
      </c>
      <c r="BD25" s="10">
        <v>21</v>
      </c>
      <c r="BE25" s="10">
        <v>23</v>
      </c>
      <c r="BF25" s="10">
        <v>25</v>
      </c>
      <c r="BG25" s="10">
        <v>34</v>
      </c>
    </row>
    <row r="26" spans="2:143">
      <c r="B26" s="10">
        <v>20</v>
      </c>
      <c r="C26" s="10">
        <v>84</v>
      </c>
      <c r="D26" s="10">
        <v>91</v>
      </c>
      <c r="E26" s="10">
        <v>82</v>
      </c>
      <c r="F26" s="10">
        <v>100</v>
      </c>
      <c r="G26" s="10">
        <v>83</v>
      </c>
      <c r="H26" s="10">
        <v>75</v>
      </c>
      <c r="I26" s="10">
        <v>99</v>
      </c>
      <c r="J26" s="10">
        <v>110</v>
      </c>
      <c r="K26" s="10">
        <v>99</v>
      </c>
      <c r="L26" s="9">
        <v>75</v>
      </c>
      <c r="M26" s="10">
        <v>83</v>
      </c>
      <c r="N26" s="10">
        <v>83</v>
      </c>
      <c r="O26" s="10">
        <v>79</v>
      </c>
      <c r="P26" s="10">
        <v>85</v>
      </c>
      <c r="Q26" s="10">
        <v>91</v>
      </c>
      <c r="R26" s="18"/>
      <c r="U26" s="10">
        <v>80</v>
      </c>
      <c r="Y26" s="9">
        <v>77</v>
      </c>
      <c r="Z26" s="10">
        <v>102</v>
      </c>
      <c r="AC26" s="10">
        <v>20</v>
      </c>
      <c r="AD26" s="10">
        <v>30</v>
      </c>
      <c r="AE26" s="10">
        <v>85</v>
      </c>
      <c r="AF26" s="10">
        <v>80</v>
      </c>
      <c r="AH26" s="15">
        <v>20</v>
      </c>
      <c r="AI26" s="15">
        <v>20</v>
      </c>
      <c r="AJ26" s="15">
        <v>22</v>
      </c>
      <c r="AK26" s="15">
        <v>22</v>
      </c>
      <c r="AL26" s="15">
        <v>19</v>
      </c>
      <c r="AM26" s="15">
        <v>12</v>
      </c>
      <c r="AN26" s="15">
        <v>18</v>
      </c>
      <c r="AO26" s="15">
        <v>15</v>
      </c>
      <c r="AP26" s="15">
        <v>19</v>
      </c>
      <c r="AQ26" s="15">
        <v>22</v>
      </c>
      <c r="AR26" s="15">
        <v>3</v>
      </c>
      <c r="AS26" s="15">
        <v>21</v>
      </c>
      <c r="AT26" s="15">
        <v>21</v>
      </c>
      <c r="AU26" s="15">
        <v>21</v>
      </c>
      <c r="AV26" s="15">
        <v>28</v>
      </c>
      <c r="AW26" s="15">
        <v>27</v>
      </c>
      <c r="AX26" s="15">
        <v>21</v>
      </c>
      <c r="AY26" s="15">
        <v>27</v>
      </c>
      <c r="AZ26" s="15">
        <v>12</v>
      </c>
      <c r="BA26" s="15">
        <v>25</v>
      </c>
      <c r="BB26" s="10">
        <v>34</v>
      </c>
      <c r="BC26" s="10">
        <v>24</v>
      </c>
      <c r="BD26" s="10">
        <v>26</v>
      </c>
      <c r="BE26" s="10">
        <v>23</v>
      </c>
      <c r="BF26" s="10">
        <v>25</v>
      </c>
      <c r="BG26" s="10">
        <v>34</v>
      </c>
    </row>
    <row r="27" spans="2:143">
      <c r="B27" s="10">
        <v>21</v>
      </c>
      <c r="C27" s="10">
        <v>85</v>
      </c>
      <c r="D27" s="10">
        <v>97</v>
      </c>
      <c r="E27" s="10">
        <v>83</v>
      </c>
      <c r="F27" s="10">
        <v>105</v>
      </c>
      <c r="G27" s="10">
        <v>85</v>
      </c>
      <c r="H27" s="10">
        <v>78</v>
      </c>
      <c r="I27" s="10">
        <v>102</v>
      </c>
      <c r="J27" s="10">
        <v>115</v>
      </c>
      <c r="K27" s="10">
        <v>106</v>
      </c>
      <c r="L27" s="9">
        <v>80</v>
      </c>
      <c r="M27" s="10">
        <v>84</v>
      </c>
      <c r="N27" s="10">
        <v>84</v>
      </c>
      <c r="O27" s="10">
        <v>81</v>
      </c>
      <c r="P27" s="10">
        <v>89</v>
      </c>
      <c r="Q27" s="10">
        <v>97</v>
      </c>
      <c r="R27" s="18"/>
      <c r="U27" s="10">
        <v>83</v>
      </c>
      <c r="Y27" s="10">
        <v>80</v>
      </c>
      <c r="Z27" s="10">
        <v>106</v>
      </c>
      <c r="AC27" s="10">
        <v>21</v>
      </c>
      <c r="AD27" s="10">
        <v>33</v>
      </c>
      <c r="AE27" s="10">
        <v>89</v>
      </c>
      <c r="AF27" s="10">
        <v>81</v>
      </c>
      <c r="AH27" s="15">
        <v>21</v>
      </c>
      <c r="AI27" s="15">
        <v>20</v>
      </c>
      <c r="AJ27" s="15">
        <v>22</v>
      </c>
      <c r="AK27" s="15">
        <v>22</v>
      </c>
      <c r="AL27" s="15">
        <v>23</v>
      </c>
      <c r="AM27" s="15">
        <v>14</v>
      </c>
      <c r="AN27" s="15">
        <v>18</v>
      </c>
      <c r="AO27" s="15">
        <v>15</v>
      </c>
      <c r="AP27" s="15">
        <v>24</v>
      </c>
      <c r="AQ27" s="15">
        <v>22</v>
      </c>
      <c r="AR27" s="15">
        <v>3</v>
      </c>
      <c r="AS27" s="15">
        <v>24</v>
      </c>
      <c r="AT27" s="15">
        <v>21</v>
      </c>
      <c r="AU27" s="15">
        <v>21</v>
      </c>
      <c r="AV27" s="15">
        <v>31</v>
      </c>
      <c r="AW27" s="15">
        <v>27</v>
      </c>
      <c r="AX27" s="15">
        <v>21</v>
      </c>
      <c r="AY27" s="15">
        <v>30</v>
      </c>
      <c r="AZ27" s="15">
        <v>12</v>
      </c>
      <c r="BA27" s="15">
        <v>27</v>
      </c>
      <c r="BB27" s="10">
        <v>34</v>
      </c>
      <c r="BC27" s="10">
        <v>24</v>
      </c>
      <c r="BD27" s="10">
        <v>32</v>
      </c>
      <c r="BE27" s="10">
        <v>23</v>
      </c>
      <c r="BF27" s="10">
        <v>25</v>
      </c>
      <c r="BG27" s="10">
        <v>34</v>
      </c>
    </row>
    <row r="28" spans="2:143">
      <c r="B28" s="10">
        <v>22</v>
      </c>
      <c r="C28" s="10">
        <v>100</v>
      </c>
      <c r="D28" s="10">
        <v>10</v>
      </c>
      <c r="E28" s="10">
        <v>84</v>
      </c>
      <c r="F28" s="10">
        <v>110</v>
      </c>
      <c r="G28" s="10">
        <v>90</v>
      </c>
      <c r="H28" s="10">
        <v>82</v>
      </c>
      <c r="I28" s="10">
        <v>106</v>
      </c>
      <c r="K28" s="10">
        <v>115</v>
      </c>
      <c r="L28" s="9">
        <v>85</v>
      </c>
      <c r="M28" s="10">
        <v>85</v>
      </c>
      <c r="N28" s="10">
        <v>85</v>
      </c>
      <c r="O28" s="10">
        <v>82</v>
      </c>
      <c r="P28" s="10">
        <v>94</v>
      </c>
      <c r="Q28" s="10">
        <v>103</v>
      </c>
      <c r="R28" s="18"/>
      <c r="U28" s="10">
        <v>85</v>
      </c>
      <c r="Y28" s="10">
        <v>83</v>
      </c>
      <c r="Z28" s="10">
        <v>109</v>
      </c>
      <c r="AC28" s="10">
        <v>22</v>
      </c>
      <c r="AD28" s="10">
        <v>35</v>
      </c>
      <c r="AE28" s="10">
        <v>93</v>
      </c>
      <c r="AF28" s="10">
        <v>83</v>
      </c>
      <c r="AH28" s="15">
        <v>22</v>
      </c>
      <c r="AI28" s="15">
        <v>21</v>
      </c>
      <c r="AJ28" s="15">
        <v>23</v>
      </c>
      <c r="AK28" s="15">
        <v>24</v>
      </c>
      <c r="AL28" s="15">
        <v>24</v>
      </c>
      <c r="AM28" s="15">
        <v>16</v>
      </c>
      <c r="AN28" s="15">
        <v>18</v>
      </c>
      <c r="AO28" s="15">
        <v>15</v>
      </c>
      <c r="AP28" s="15">
        <v>25</v>
      </c>
      <c r="AQ28" s="15">
        <v>22</v>
      </c>
      <c r="AR28" s="15">
        <v>3</v>
      </c>
      <c r="AS28" s="15">
        <v>25</v>
      </c>
      <c r="AT28" s="15">
        <v>22</v>
      </c>
      <c r="AU28" s="15">
        <v>21</v>
      </c>
      <c r="AV28" s="15">
        <v>31</v>
      </c>
      <c r="AW28" s="15">
        <v>27</v>
      </c>
      <c r="AX28" s="15">
        <v>21</v>
      </c>
      <c r="AY28" s="15">
        <v>30</v>
      </c>
      <c r="AZ28" s="15">
        <v>12</v>
      </c>
      <c r="BA28" s="15">
        <v>27</v>
      </c>
      <c r="BB28" s="10">
        <v>34</v>
      </c>
      <c r="BC28" s="10">
        <v>24</v>
      </c>
      <c r="BD28" s="10">
        <v>33</v>
      </c>
      <c r="BE28" s="10">
        <v>23</v>
      </c>
      <c r="BF28" s="10">
        <v>25</v>
      </c>
      <c r="BG28" s="10">
        <v>34</v>
      </c>
    </row>
    <row r="29" spans="2:143">
      <c r="B29" s="10">
        <v>23</v>
      </c>
      <c r="C29" s="10">
        <v>115</v>
      </c>
      <c r="D29" s="10">
        <v>109</v>
      </c>
      <c r="E29" s="10">
        <v>85</v>
      </c>
      <c r="F29" s="10">
        <v>115</v>
      </c>
      <c r="G29" s="10">
        <v>95</v>
      </c>
      <c r="H29" s="10">
        <v>85</v>
      </c>
      <c r="I29" s="10">
        <v>109</v>
      </c>
      <c r="L29" s="9">
        <v>100</v>
      </c>
      <c r="M29" s="10">
        <v>92</v>
      </c>
      <c r="N29" s="10">
        <v>95</v>
      </c>
      <c r="O29" s="10">
        <v>83</v>
      </c>
      <c r="P29" s="10">
        <v>98</v>
      </c>
      <c r="Q29" s="10">
        <v>109</v>
      </c>
      <c r="R29" s="18"/>
      <c r="U29" s="10">
        <v>91</v>
      </c>
      <c r="Y29" s="10">
        <v>85</v>
      </c>
      <c r="Z29" s="10">
        <v>112</v>
      </c>
      <c r="AC29" s="10">
        <v>23</v>
      </c>
      <c r="AD29" s="10">
        <v>37</v>
      </c>
      <c r="AE29" s="10">
        <v>97</v>
      </c>
      <c r="AF29" s="10">
        <v>85</v>
      </c>
      <c r="AH29" s="15">
        <v>23</v>
      </c>
      <c r="AI29" s="15">
        <v>21</v>
      </c>
      <c r="AJ29" s="15">
        <v>23</v>
      </c>
      <c r="AK29" s="15">
        <v>26</v>
      </c>
      <c r="AL29" s="15">
        <v>24</v>
      </c>
      <c r="AM29" s="15">
        <v>16</v>
      </c>
      <c r="AN29" s="15">
        <v>18</v>
      </c>
      <c r="AO29" s="15">
        <v>15</v>
      </c>
      <c r="AP29" s="15">
        <v>25</v>
      </c>
      <c r="AQ29" s="15">
        <v>22</v>
      </c>
      <c r="AR29" s="15">
        <v>3</v>
      </c>
      <c r="AS29" s="15">
        <v>25</v>
      </c>
      <c r="AT29" s="15">
        <v>22</v>
      </c>
      <c r="AU29" s="15">
        <v>22</v>
      </c>
      <c r="AV29" s="15">
        <v>31</v>
      </c>
      <c r="AW29" s="15">
        <v>27</v>
      </c>
      <c r="AX29" s="15">
        <v>21</v>
      </c>
      <c r="AY29" s="15">
        <v>31</v>
      </c>
      <c r="AZ29" s="15">
        <v>12</v>
      </c>
      <c r="BA29" s="15">
        <v>27</v>
      </c>
      <c r="BB29" s="10">
        <v>34</v>
      </c>
      <c r="BC29" s="10">
        <v>24</v>
      </c>
      <c r="BD29" s="10">
        <v>33</v>
      </c>
      <c r="BE29" s="10">
        <v>23</v>
      </c>
      <c r="BF29" s="10">
        <v>25</v>
      </c>
      <c r="BG29" s="10">
        <v>34</v>
      </c>
    </row>
    <row r="30" spans="2:143">
      <c r="B30" s="10">
        <v>24</v>
      </c>
      <c r="D30" s="10">
        <v>115</v>
      </c>
      <c r="E30" s="10">
        <v>91</v>
      </c>
      <c r="G30" s="10">
        <v>100</v>
      </c>
      <c r="H30" s="10">
        <v>93</v>
      </c>
      <c r="I30" s="10">
        <v>111</v>
      </c>
      <c r="L30" s="9"/>
      <c r="M30" s="10">
        <v>99</v>
      </c>
      <c r="N30" s="10">
        <v>105</v>
      </c>
      <c r="O30" s="10">
        <v>84</v>
      </c>
      <c r="P30" s="10">
        <v>102</v>
      </c>
      <c r="Q30" s="10">
        <v>115</v>
      </c>
      <c r="R30" s="18"/>
      <c r="U30" s="10">
        <v>97</v>
      </c>
      <c r="Y30" s="10">
        <v>92</v>
      </c>
      <c r="Z30" s="10">
        <v>115</v>
      </c>
      <c r="AC30" s="10">
        <v>24</v>
      </c>
      <c r="AD30" s="10">
        <v>39</v>
      </c>
      <c r="AE30" s="10">
        <v>100</v>
      </c>
      <c r="AF30" s="10">
        <v>88</v>
      </c>
      <c r="AH30" s="15">
        <v>24</v>
      </c>
      <c r="AI30" s="15">
        <v>21</v>
      </c>
      <c r="AJ30" s="15">
        <v>24</v>
      </c>
      <c r="AK30" s="15">
        <v>26</v>
      </c>
      <c r="AL30" s="15">
        <v>24</v>
      </c>
      <c r="AM30" s="15">
        <v>16</v>
      </c>
      <c r="AN30" s="15">
        <v>20</v>
      </c>
      <c r="AO30" s="15">
        <v>19</v>
      </c>
      <c r="AP30" s="15">
        <v>26</v>
      </c>
      <c r="AQ30" s="15">
        <v>22</v>
      </c>
      <c r="AR30" s="15">
        <v>3</v>
      </c>
      <c r="AS30" s="15">
        <v>25</v>
      </c>
      <c r="AT30" s="15">
        <v>25</v>
      </c>
      <c r="AU30" s="15">
        <v>25</v>
      </c>
      <c r="AV30" s="15">
        <v>31</v>
      </c>
      <c r="AW30" s="15">
        <v>27</v>
      </c>
      <c r="AX30" s="15">
        <v>21</v>
      </c>
      <c r="AY30" s="15">
        <v>31</v>
      </c>
      <c r="AZ30" s="15">
        <v>15</v>
      </c>
      <c r="BA30" s="15">
        <v>27</v>
      </c>
      <c r="BB30" s="10">
        <v>34</v>
      </c>
      <c r="BC30" s="10">
        <v>24</v>
      </c>
      <c r="BD30" s="10">
        <v>33</v>
      </c>
      <c r="BE30" s="10">
        <v>23</v>
      </c>
      <c r="BF30" s="10">
        <v>28</v>
      </c>
      <c r="BG30" s="10">
        <v>34</v>
      </c>
    </row>
    <row r="31" spans="2:143">
      <c r="B31" s="10">
        <v>25</v>
      </c>
      <c r="E31" s="10">
        <v>97</v>
      </c>
      <c r="H31" s="10">
        <v>100</v>
      </c>
      <c r="I31" s="10">
        <v>113</v>
      </c>
      <c r="L31" s="9"/>
      <c r="M31" s="10">
        <v>106</v>
      </c>
      <c r="N31" s="10">
        <v>115</v>
      </c>
      <c r="O31" s="10">
        <v>85</v>
      </c>
      <c r="P31" s="10">
        <v>106</v>
      </c>
      <c r="R31" s="18"/>
      <c r="U31" s="10">
        <v>103</v>
      </c>
      <c r="Y31" s="10">
        <v>99</v>
      </c>
      <c r="AC31" s="10">
        <v>25</v>
      </c>
      <c r="AD31" s="10">
        <v>41</v>
      </c>
      <c r="AF31" s="10">
        <v>91</v>
      </c>
      <c r="AH31" s="15">
        <v>25</v>
      </c>
      <c r="AI31" s="15">
        <v>23</v>
      </c>
      <c r="AJ31" s="15">
        <v>27</v>
      </c>
      <c r="AK31" s="15">
        <v>27</v>
      </c>
      <c r="AL31" s="15">
        <v>24</v>
      </c>
      <c r="AM31" s="15">
        <v>17</v>
      </c>
      <c r="AN31" s="15">
        <v>22</v>
      </c>
      <c r="AO31" s="15">
        <v>24</v>
      </c>
      <c r="AP31" s="15">
        <v>26</v>
      </c>
      <c r="AQ31" s="15">
        <v>22</v>
      </c>
      <c r="AR31" s="15">
        <v>4</v>
      </c>
      <c r="AS31" s="15">
        <v>26</v>
      </c>
      <c r="AT31" s="15">
        <v>27</v>
      </c>
      <c r="AU31" s="15">
        <v>28</v>
      </c>
      <c r="AV31" s="15">
        <v>31</v>
      </c>
      <c r="AW31" s="15">
        <v>27</v>
      </c>
      <c r="AX31" s="15">
        <v>21</v>
      </c>
      <c r="AY31" s="15">
        <v>31</v>
      </c>
      <c r="AZ31" s="15">
        <v>19</v>
      </c>
      <c r="BA31" s="15">
        <v>27</v>
      </c>
      <c r="BB31" s="10">
        <v>34</v>
      </c>
      <c r="BC31" s="10">
        <v>24</v>
      </c>
      <c r="BD31" s="10">
        <v>33</v>
      </c>
      <c r="BE31" s="10">
        <v>26</v>
      </c>
      <c r="BF31" s="10">
        <v>32</v>
      </c>
      <c r="BG31" s="10">
        <v>34</v>
      </c>
    </row>
    <row r="32" spans="2:143">
      <c r="B32" s="10">
        <v>26</v>
      </c>
      <c r="E32" s="10">
        <v>103</v>
      </c>
      <c r="I32" s="10">
        <v>115</v>
      </c>
      <c r="M32" s="10">
        <v>115</v>
      </c>
      <c r="O32" s="10">
        <v>92</v>
      </c>
      <c r="P32" s="10">
        <v>111</v>
      </c>
      <c r="R32" s="18"/>
      <c r="U32" s="10">
        <v>109</v>
      </c>
      <c r="Y32" s="10">
        <v>106</v>
      </c>
      <c r="AC32" s="10">
        <v>26</v>
      </c>
      <c r="AD32" s="10">
        <v>43</v>
      </c>
      <c r="AF32" s="10">
        <v>93</v>
      </c>
      <c r="AH32" s="15">
        <v>26</v>
      </c>
      <c r="AI32" s="15">
        <v>25</v>
      </c>
      <c r="AJ32" s="15">
        <v>28</v>
      </c>
      <c r="AK32" s="15">
        <v>27</v>
      </c>
      <c r="AL32" s="15">
        <v>24</v>
      </c>
      <c r="AM32" s="15">
        <v>18</v>
      </c>
      <c r="AN32" s="15">
        <v>22</v>
      </c>
      <c r="AO32" s="15">
        <v>24</v>
      </c>
      <c r="AP32" s="15">
        <v>26</v>
      </c>
      <c r="AQ32" s="15">
        <v>22</v>
      </c>
      <c r="AR32" s="15">
        <v>4</v>
      </c>
      <c r="AS32" s="15">
        <v>26</v>
      </c>
      <c r="AT32" s="15">
        <v>27</v>
      </c>
      <c r="AU32" s="15">
        <v>28</v>
      </c>
      <c r="AV32" s="15">
        <v>32</v>
      </c>
      <c r="AW32" s="15">
        <v>27</v>
      </c>
      <c r="AX32" s="15">
        <v>21</v>
      </c>
      <c r="AY32" s="15">
        <v>31</v>
      </c>
      <c r="AZ32" s="15">
        <v>20</v>
      </c>
      <c r="BA32" s="15">
        <v>29</v>
      </c>
      <c r="BB32" s="10">
        <v>34</v>
      </c>
      <c r="BC32" s="10">
        <v>24</v>
      </c>
      <c r="BD32" s="10">
        <v>33</v>
      </c>
      <c r="BE32" s="10">
        <v>29</v>
      </c>
      <c r="BF32" s="10">
        <v>32</v>
      </c>
      <c r="BG32" s="10">
        <v>34</v>
      </c>
    </row>
    <row r="33" spans="2:59">
      <c r="B33" s="10">
        <v>27</v>
      </c>
      <c r="E33" s="10">
        <v>109</v>
      </c>
      <c r="O33" s="10">
        <v>99</v>
      </c>
      <c r="P33" s="10">
        <v>115</v>
      </c>
      <c r="R33" s="18"/>
      <c r="U33" s="10">
        <v>115</v>
      </c>
      <c r="Y33" s="10">
        <v>115</v>
      </c>
      <c r="AC33" s="10">
        <v>27</v>
      </c>
      <c r="AD33" s="10">
        <v>45</v>
      </c>
      <c r="AF33" s="10">
        <v>95</v>
      </c>
      <c r="AH33" s="15">
        <v>27</v>
      </c>
      <c r="AI33" s="15">
        <v>26</v>
      </c>
      <c r="AJ33" s="15">
        <v>29</v>
      </c>
      <c r="AK33" s="15">
        <v>27</v>
      </c>
      <c r="AL33" s="15">
        <v>24</v>
      </c>
      <c r="AM33" s="15">
        <v>20</v>
      </c>
      <c r="AN33" s="15">
        <v>22</v>
      </c>
      <c r="AO33" s="15">
        <v>25</v>
      </c>
      <c r="AP33" s="15">
        <v>27</v>
      </c>
      <c r="AQ33" s="15">
        <v>22</v>
      </c>
      <c r="AR33" s="15">
        <v>5</v>
      </c>
      <c r="AS33" s="15">
        <v>26</v>
      </c>
      <c r="AT33" s="15">
        <v>28</v>
      </c>
      <c r="AU33" s="15">
        <v>28</v>
      </c>
      <c r="AV33" s="15">
        <v>32</v>
      </c>
      <c r="AW33" s="15">
        <v>27</v>
      </c>
      <c r="AX33" s="15">
        <v>21</v>
      </c>
      <c r="AY33" s="15">
        <v>31</v>
      </c>
      <c r="AZ33" s="15">
        <v>20</v>
      </c>
      <c r="BA33" s="15">
        <v>31</v>
      </c>
      <c r="BB33" s="10">
        <v>34</v>
      </c>
      <c r="BC33" s="10">
        <v>24</v>
      </c>
      <c r="BD33" s="10">
        <v>33</v>
      </c>
      <c r="BE33" s="10">
        <v>29</v>
      </c>
      <c r="BF33" s="10">
        <v>32</v>
      </c>
      <c r="BG33" s="10">
        <v>34</v>
      </c>
    </row>
    <row r="34" spans="2:59">
      <c r="B34" s="10">
        <v>28</v>
      </c>
      <c r="E34" s="10">
        <v>115</v>
      </c>
      <c r="O34" s="10">
        <v>106</v>
      </c>
      <c r="R34" s="18"/>
      <c r="AC34" s="10">
        <v>28</v>
      </c>
      <c r="AD34" s="10">
        <v>46</v>
      </c>
      <c r="AF34" s="10">
        <v>97</v>
      </c>
      <c r="AH34" s="15">
        <v>28</v>
      </c>
      <c r="AI34" s="15">
        <v>26</v>
      </c>
      <c r="AJ34" s="15">
        <v>29</v>
      </c>
      <c r="AK34" s="15">
        <v>28</v>
      </c>
      <c r="AL34" s="15">
        <v>24</v>
      </c>
      <c r="AM34" s="15">
        <v>21</v>
      </c>
      <c r="AN34" s="15">
        <v>22</v>
      </c>
      <c r="AO34" s="15">
        <v>25</v>
      </c>
      <c r="AP34" s="15">
        <v>27</v>
      </c>
      <c r="AQ34" s="15">
        <v>22</v>
      </c>
      <c r="AR34" s="15">
        <v>6</v>
      </c>
      <c r="AS34" s="15">
        <v>26</v>
      </c>
      <c r="AT34" s="15">
        <v>28</v>
      </c>
      <c r="AU34" s="15">
        <v>28</v>
      </c>
      <c r="AV34" s="15">
        <v>32</v>
      </c>
      <c r="AW34" s="15">
        <v>27</v>
      </c>
      <c r="AX34" s="15">
        <v>21</v>
      </c>
      <c r="AY34" s="15">
        <v>31</v>
      </c>
      <c r="AZ34" s="15">
        <v>20</v>
      </c>
      <c r="BA34" s="15">
        <v>31</v>
      </c>
      <c r="BB34" s="10">
        <v>34</v>
      </c>
      <c r="BC34" s="10">
        <v>24</v>
      </c>
      <c r="BD34" s="10">
        <v>33</v>
      </c>
      <c r="BE34" s="10">
        <v>29</v>
      </c>
      <c r="BF34" s="10">
        <v>32</v>
      </c>
      <c r="BG34" s="10">
        <v>34</v>
      </c>
    </row>
    <row r="35" spans="2:59">
      <c r="B35" s="10">
        <v>29</v>
      </c>
      <c r="O35" s="10">
        <v>115</v>
      </c>
      <c r="R35" s="18"/>
      <c r="AC35" s="10">
        <v>29</v>
      </c>
      <c r="AD35" s="10">
        <v>47</v>
      </c>
      <c r="AF35" s="10">
        <v>100</v>
      </c>
      <c r="AH35" s="15">
        <v>29</v>
      </c>
      <c r="AI35" s="15">
        <v>26</v>
      </c>
      <c r="AJ35" s="15">
        <v>30</v>
      </c>
      <c r="AK35" s="15">
        <v>30</v>
      </c>
      <c r="AL35" s="15">
        <v>24</v>
      </c>
      <c r="AM35" s="15">
        <v>21</v>
      </c>
      <c r="AN35" s="15">
        <v>23</v>
      </c>
      <c r="AO35" s="15">
        <v>25</v>
      </c>
      <c r="AP35" s="15">
        <v>27</v>
      </c>
      <c r="AQ35" s="15">
        <v>22</v>
      </c>
      <c r="AR35" s="15">
        <v>6</v>
      </c>
      <c r="AS35" s="15">
        <v>26</v>
      </c>
      <c r="AT35" s="15">
        <v>28</v>
      </c>
      <c r="AU35" s="15">
        <v>29</v>
      </c>
      <c r="AV35" s="15">
        <v>33</v>
      </c>
      <c r="AW35" s="15">
        <v>27</v>
      </c>
      <c r="AX35" s="15">
        <v>21</v>
      </c>
      <c r="AY35" s="15">
        <v>31</v>
      </c>
      <c r="AZ35" s="15">
        <v>21</v>
      </c>
      <c r="BA35" s="15">
        <v>31</v>
      </c>
      <c r="BB35" s="10">
        <v>34</v>
      </c>
      <c r="BC35" s="10">
        <v>24</v>
      </c>
      <c r="BD35" s="10">
        <v>33</v>
      </c>
      <c r="BE35" s="10">
        <v>29</v>
      </c>
      <c r="BF35" s="10">
        <v>32</v>
      </c>
      <c r="BG35" s="10">
        <v>34</v>
      </c>
    </row>
    <row r="36" spans="2:59">
      <c r="R36" s="18"/>
      <c r="AC36" s="10">
        <v>30</v>
      </c>
      <c r="AD36" s="10">
        <v>48</v>
      </c>
      <c r="AF36" s="10">
        <v>100</v>
      </c>
      <c r="AH36" s="15">
        <v>30</v>
      </c>
      <c r="AI36" s="15">
        <v>26</v>
      </c>
      <c r="AJ36" s="15">
        <v>30</v>
      </c>
      <c r="AK36" s="15">
        <v>31</v>
      </c>
      <c r="AL36" s="15">
        <v>27</v>
      </c>
      <c r="AM36" s="15">
        <v>21</v>
      </c>
      <c r="AN36" s="15">
        <v>25</v>
      </c>
      <c r="AO36" s="15">
        <v>26</v>
      </c>
      <c r="AP36" s="15">
        <v>27</v>
      </c>
      <c r="AQ36" s="15">
        <v>28</v>
      </c>
      <c r="AR36" s="15">
        <v>7</v>
      </c>
      <c r="AS36" s="15">
        <v>28</v>
      </c>
      <c r="AT36" s="15">
        <v>29</v>
      </c>
      <c r="AU36" s="15">
        <v>29</v>
      </c>
      <c r="AV36" s="15">
        <v>35</v>
      </c>
      <c r="AW36" s="15">
        <v>33</v>
      </c>
      <c r="AX36" s="15">
        <v>25</v>
      </c>
      <c r="AY36" s="15">
        <v>34</v>
      </c>
      <c r="AZ36" s="15">
        <v>21</v>
      </c>
      <c r="BA36" s="15">
        <v>31</v>
      </c>
      <c r="BB36" s="10">
        <v>34</v>
      </c>
      <c r="BC36" s="10">
        <v>24</v>
      </c>
      <c r="BD36" s="10">
        <v>33</v>
      </c>
      <c r="BE36" s="10">
        <v>29</v>
      </c>
      <c r="BF36" s="10">
        <v>32</v>
      </c>
      <c r="BG36" s="10">
        <v>34</v>
      </c>
    </row>
    <row r="37" spans="2:59">
      <c r="AC37" s="10">
        <v>31</v>
      </c>
      <c r="AD37" s="10">
        <v>49</v>
      </c>
      <c r="AH37" s="15">
        <v>31</v>
      </c>
      <c r="AI37" s="15">
        <v>26</v>
      </c>
      <c r="AJ37" s="15">
        <v>30</v>
      </c>
      <c r="AK37" s="15">
        <v>32</v>
      </c>
      <c r="AL37" s="15">
        <v>31</v>
      </c>
      <c r="AM37" s="15">
        <v>23</v>
      </c>
      <c r="AN37" s="15">
        <v>26</v>
      </c>
      <c r="AO37" s="15">
        <v>26</v>
      </c>
      <c r="AP37" s="15">
        <v>27</v>
      </c>
      <c r="AQ37" s="15">
        <v>33</v>
      </c>
      <c r="AR37" s="15">
        <v>9</v>
      </c>
      <c r="AS37" s="15">
        <v>31</v>
      </c>
      <c r="AT37" s="15">
        <v>29</v>
      </c>
      <c r="AU37" s="15">
        <v>29</v>
      </c>
      <c r="AV37" s="15">
        <v>36</v>
      </c>
      <c r="AW37" s="15">
        <v>38</v>
      </c>
      <c r="AX37" s="15">
        <v>29</v>
      </c>
      <c r="AY37" s="15">
        <v>37</v>
      </c>
      <c r="AZ37" s="15">
        <v>21</v>
      </c>
      <c r="BA37" s="15">
        <v>31</v>
      </c>
      <c r="BB37" s="10">
        <v>34</v>
      </c>
      <c r="BC37" s="10">
        <v>24</v>
      </c>
      <c r="BD37" s="10">
        <v>33</v>
      </c>
      <c r="BE37" s="10">
        <v>29</v>
      </c>
      <c r="BF37" s="10">
        <v>32</v>
      </c>
      <c r="BG37" s="10">
        <v>34</v>
      </c>
    </row>
    <row r="38" spans="2:59">
      <c r="AC38" s="10">
        <v>32</v>
      </c>
      <c r="AD38" s="10">
        <v>50</v>
      </c>
      <c r="AH38" s="10">
        <v>32</v>
      </c>
      <c r="AI38" s="10">
        <v>26</v>
      </c>
      <c r="AJ38" s="10">
        <v>30</v>
      </c>
      <c r="AK38" s="10">
        <v>32</v>
      </c>
      <c r="AL38" s="10">
        <v>31</v>
      </c>
      <c r="AM38" s="10">
        <v>25</v>
      </c>
      <c r="AN38" s="10">
        <v>26</v>
      </c>
      <c r="AO38" s="10">
        <v>26</v>
      </c>
      <c r="AP38" s="10">
        <v>27</v>
      </c>
      <c r="AQ38" s="10">
        <v>33</v>
      </c>
      <c r="AR38" s="10">
        <v>9</v>
      </c>
      <c r="AS38" s="10">
        <v>31</v>
      </c>
      <c r="AT38" s="10">
        <v>29</v>
      </c>
      <c r="AU38" s="10">
        <v>29</v>
      </c>
      <c r="AV38" s="10">
        <v>36</v>
      </c>
      <c r="AW38" s="10">
        <v>38</v>
      </c>
      <c r="AX38" s="10">
        <v>29</v>
      </c>
      <c r="AY38" s="10">
        <v>37</v>
      </c>
      <c r="AZ38" s="10">
        <v>21</v>
      </c>
      <c r="BA38" s="10">
        <v>31</v>
      </c>
      <c r="BB38" s="10">
        <v>34</v>
      </c>
      <c r="BC38" s="10">
        <v>24</v>
      </c>
      <c r="BD38" s="10">
        <v>33</v>
      </c>
      <c r="BE38" s="10">
        <v>29</v>
      </c>
      <c r="BF38" s="10">
        <v>32</v>
      </c>
      <c r="BG38" s="10">
        <v>34</v>
      </c>
    </row>
    <row r="39" spans="2:59">
      <c r="AC39" s="10">
        <v>33</v>
      </c>
      <c r="AD39" s="10">
        <v>52</v>
      </c>
      <c r="AH39" s="10">
        <v>33</v>
      </c>
      <c r="AI39" s="10">
        <v>26</v>
      </c>
      <c r="AJ39" s="10">
        <v>31</v>
      </c>
      <c r="AK39" s="10">
        <v>32</v>
      </c>
      <c r="AL39" s="10">
        <v>32</v>
      </c>
      <c r="AM39" s="10">
        <v>25</v>
      </c>
      <c r="AN39" s="10">
        <v>27</v>
      </c>
      <c r="AO39" s="10">
        <v>26</v>
      </c>
      <c r="AP39" s="10">
        <v>27</v>
      </c>
      <c r="AQ39" s="10">
        <v>34</v>
      </c>
      <c r="AR39" s="10">
        <v>9</v>
      </c>
      <c r="AS39" s="10">
        <v>31</v>
      </c>
      <c r="AT39" s="10">
        <v>30</v>
      </c>
      <c r="AU39" s="10">
        <v>29</v>
      </c>
      <c r="AV39" s="10">
        <v>36</v>
      </c>
      <c r="AW39" s="10">
        <v>39</v>
      </c>
      <c r="AX39" s="10">
        <v>30</v>
      </c>
      <c r="AY39" s="10">
        <v>37</v>
      </c>
      <c r="AZ39" s="10">
        <v>21</v>
      </c>
      <c r="BA39" s="10">
        <v>32</v>
      </c>
      <c r="BB39" s="10">
        <v>34</v>
      </c>
      <c r="BC39" s="10">
        <v>24</v>
      </c>
      <c r="BD39" s="10">
        <v>33</v>
      </c>
      <c r="BE39" s="10">
        <v>29</v>
      </c>
      <c r="BF39" s="10">
        <v>32</v>
      </c>
      <c r="BG39" s="10">
        <v>34</v>
      </c>
    </row>
    <row r="40" spans="2:59">
      <c r="AC40" s="10">
        <v>34</v>
      </c>
      <c r="AD40" s="10">
        <v>54</v>
      </c>
      <c r="AH40" s="10">
        <v>34</v>
      </c>
      <c r="AI40" s="10">
        <v>29</v>
      </c>
      <c r="AJ40" s="10">
        <v>33</v>
      </c>
      <c r="AK40" s="10">
        <v>32</v>
      </c>
      <c r="AL40" s="10">
        <v>32</v>
      </c>
      <c r="AM40" s="10">
        <v>25</v>
      </c>
      <c r="AN40" s="10">
        <v>27</v>
      </c>
      <c r="AO40" s="10">
        <v>26</v>
      </c>
      <c r="AP40" s="10">
        <v>27</v>
      </c>
      <c r="AQ40" s="10">
        <v>34</v>
      </c>
      <c r="AR40" s="10">
        <v>10</v>
      </c>
      <c r="AS40" s="10">
        <v>31</v>
      </c>
      <c r="AT40" s="10">
        <v>31</v>
      </c>
      <c r="AU40" s="10">
        <v>29</v>
      </c>
      <c r="AV40" s="10">
        <v>36</v>
      </c>
      <c r="AW40" s="10">
        <v>39</v>
      </c>
      <c r="AX40" s="10">
        <v>30</v>
      </c>
      <c r="AY40" s="10">
        <v>37</v>
      </c>
      <c r="AZ40" s="10">
        <v>21</v>
      </c>
      <c r="BA40" s="10">
        <v>34</v>
      </c>
      <c r="BB40" s="10">
        <v>34</v>
      </c>
      <c r="BC40" s="10">
        <v>24</v>
      </c>
      <c r="BD40" s="10">
        <v>33</v>
      </c>
      <c r="BE40" s="10">
        <v>31</v>
      </c>
      <c r="BF40" s="10">
        <v>32</v>
      </c>
      <c r="BG40" s="10">
        <v>34</v>
      </c>
    </row>
    <row r="41" spans="2:59">
      <c r="AC41" s="10">
        <v>35</v>
      </c>
      <c r="AD41" s="10">
        <v>56</v>
      </c>
      <c r="AH41" s="10">
        <v>35</v>
      </c>
      <c r="AI41" s="10">
        <v>31</v>
      </c>
      <c r="AJ41" s="10">
        <v>34</v>
      </c>
      <c r="AK41" s="10">
        <v>33</v>
      </c>
      <c r="AL41" s="10">
        <v>32</v>
      </c>
      <c r="AM41" s="10">
        <v>26</v>
      </c>
      <c r="AN41" s="10">
        <v>27</v>
      </c>
      <c r="AO41" s="10">
        <v>26</v>
      </c>
      <c r="AP41" s="10">
        <v>27</v>
      </c>
      <c r="AQ41" s="10">
        <v>34</v>
      </c>
      <c r="AR41" s="10">
        <v>12</v>
      </c>
      <c r="AS41" s="10">
        <v>31</v>
      </c>
      <c r="AT41" s="10">
        <v>31</v>
      </c>
      <c r="AU41" s="10">
        <v>30</v>
      </c>
      <c r="AV41" s="10">
        <v>36</v>
      </c>
      <c r="AW41" s="10">
        <v>39</v>
      </c>
      <c r="AX41" s="10">
        <v>30</v>
      </c>
      <c r="AY41" s="10">
        <v>37</v>
      </c>
      <c r="AZ41" s="10">
        <v>21</v>
      </c>
      <c r="BA41" s="10">
        <v>34</v>
      </c>
      <c r="BB41" s="10">
        <v>34</v>
      </c>
      <c r="BC41" s="10">
        <v>24</v>
      </c>
      <c r="BD41" s="10">
        <v>33</v>
      </c>
      <c r="BE41" s="10">
        <v>34</v>
      </c>
      <c r="BF41" s="10">
        <v>32</v>
      </c>
      <c r="BG41" s="10">
        <v>34</v>
      </c>
    </row>
    <row r="42" spans="2:59">
      <c r="AC42" s="10">
        <v>36</v>
      </c>
      <c r="AD42" s="10">
        <v>58</v>
      </c>
      <c r="AH42" s="10">
        <v>36</v>
      </c>
      <c r="AI42" s="10">
        <v>31</v>
      </c>
      <c r="AJ42" s="10">
        <v>35</v>
      </c>
      <c r="AK42" s="10">
        <v>33</v>
      </c>
      <c r="AL42" s="10">
        <v>32</v>
      </c>
      <c r="AM42" s="10">
        <v>26</v>
      </c>
      <c r="AN42" s="10">
        <v>28</v>
      </c>
      <c r="AO42" s="10">
        <v>30</v>
      </c>
      <c r="AP42" s="10">
        <v>27</v>
      </c>
      <c r="AQ42" s="10">
        <v>34</v>
      </c>
      <c r="AR42" s="10">
        <v>12</v>
      </c>
      <c r="AS42" s="10">
        <v>31</v>
      </c>
      <c r="AT42" s="10">
        <v>31</v>
      </c>
      <c r="AU42" s="10">
        <v>33</v>
      </c>
      <c r="AV42" s="10">
        <v>37</v>
      </c>
      <c r="AW42" s="10">
        <v>39</v>
      </c>
      <c r="AX42" s="10">
        <v>30</v>
      </c>
      <c r="AY42" s="10">
        <v>38</v>
      </c>
      <c r="AZ42" s="10">
        <v>25</v>
      </c>
      <c r="BA42" s="10">
        <v>34</v>
      </c>
      <c r="BB42" s="10">
        <v>34</v>
      </c>
      <c r="BC42" s="10">
        <v>24</v>
      </c>
      <c r="BD42" s="10">
        <v>33</v>
      </c>
      <c r="BE42" s="10">
        <v>34</v>
      </c>
      <c r="BF42" s="10">
        <v>35</v>
      </c>
      <c r="BG42" s="10">
        <v>34</v>
      </c>
    </row>
    <row r="43" spans="2:59">
      <c r="AC43" s="10">
        <v>37</v>
      </c>
      <c r="AD43" s="10">
        <v>60</v>
      </c>
      <c r="AH43" s="10">
        <v>37</v>
      </c>
      <c r="AI43" s="10">
        <v>32</v>
      </c>
      <c r="AJ43" s="10">
        <v>35</v>
      </c>
      <c r="AK43" s="10">
        <v>35</v>
      </c>
      <c r="AL43" s="10">
        <v>32</v>
      </c>
      <c r="AM43" s="10">
        <v>28</v>
      </c>
      <c r="AN43" s="10">
        <v>30</v>
      </c>
      <c r="AO43" s="10">
        <v>33</v>
      </c>
      <c r="AP43" s="10">
        <v>27</v>
      </c>
      <c r="AQ43" s="10">
        <v>34</v>
      </c>
      <c r="AR43" s="10">
        <v>12</v>
      </c>
      <c r="AS43" s="10">
        <v>31</v>
      </c>
      <c r="AT43" s="10">
        <v>31</v>
      </c>
      <c r="AU43" s="10">
        <v>35</v>
      </c>
      <c r="AV43" s="10">
        <v>37</v>
      </c>
      <c r="AW43" s="10">
        <v>39</v>
      </c>
      <c r="AX43" s="10">
        <v>30</v>
      </c>
      <c r="AY43" s="10">
        <v>38</v>
      </c>
      <c r="AZ43" s="10">
        <v>29</v>
      </c>
      <c r="BA43" s="10">
        <v>34</v>
      </c>
      <c r="BB43" s="10">
        <v>34</v>
      </c>
      <c r="BC43" s="10">
        <v>24</v>
      </c>
      <c r="BD43" s="10">
        <v>33</v>
      </c>
      <c r="BE43" s="10">
        <v>34</v>
      </c>
      <c r="BF43" s="10">
        <v>38</v>
      </c>
      <c r="BG43" s="10">
        <v>34</v>
      </c>
    </row>
    <row r="44" spans="2:59">
      <c r="AC44" s="10">
        <v>38</v>
      </c>
      <c r="AD44" s="10">
        <v>61</v>
      </c>
      <c r="AH44" s="10">
        <v>38</v>
      </c>
      <c r="AI44" s="10">
        <v>32</v>
      </c>
      <c r="AJ44" s="10">
        <v>35</v>
      </c>
      <c r="AK44" s="10">
        <v>36</v>
      </c>
      <c r="AL44" s="10">
        <v>32</v>
      </c>
      <c r="AM44" s="10">
        <v>31</v>
      </c>
      <c r="AN44" s="10">
        <v>30</v>
      </c>
      <c r="AO44" s="10">
        <v>33</v>
      </c>
      <c r="AP44" s="10">
        <v>27</v>
      </c>
      <c r="AQ44" s="10">
        <v>34</v>
      </c>
      <c r="AR44" s="10">
        <v>12</v>
      </c>
      <c r="AS44" s="10">
        <v>31</v>
      </c>
      <c r="AT44" s="10">
        <v>31</v>
      </c>
      <c r="AU44" s="10">
        <v>35</v>
      </c>
      <c r="AV44" s="10">
        <v>38</v>
      </c>
      <c r="AW44" s="10">
        <v>39</v>
      </c>
      <c r="AX44" s="10">
        <v>30</v>
      </c>
      <c r="AY44" s="10">
        <v>38</v>
      </c>
      <c r="AZ44" s="10">
        <v>30</v>
      </c>
      <c r="BA44" s="10">
        <v>34</v>
      </c>
      <c r="BB44" s="10">
        <v>34</v>
      </c>
      <c r="BC44" s="10">
        <v>24</v>
      </c>
      <c r="BD44" s="10">
        <v>33</v>
      </c>
      <c r="BE44" s="10">
        <v>34</v>
      </c>
      <c r="BF44" s="10">
        <v>38</v>
      </c>
      <c r="BG44" s="10">
        <v>34</v>
      </c>
    </row>
    <row r="45" spans="2:59">
      <c r="AC45" s="10">
        <v>39</v>
      </c>
      <c r="AD45" s="10">
        <v>62</v>
      </c>
      <c r="AH45" s="10">
        <v>39</v>
      </c>
      <c r="AI45" s="10">
        <v>32</v>
      </c>
      <c r="AJ45" s="10">
        <v>35</v>
      </c>
      <c r="AK45" s="10">
        <v>37</v>
      </c>
      <c r="AL45" s="10">
        <v>32</v>
      </c>
      <c r="AM45" s="10">
        <v>31</v>
      </c>
      <c r="AN45" s="10">
        <v>30</v>
      </c>
      <c r="AO45" s="10">
        <v>34</v>
      </c>
      <c r="AP45" s="10">
        <v>28</v>
      </c>
      <c r="AQ45" s="10">
        <v>34</v>
      </c>
      <c r="AR45" s="10">
        <v>14</v>
      </c>
      <c r="AS45" s="10">
        <v>31</v>
      </c>
      <c r="AT45" s="10">
        <v>31</v>
      </c>
      <c r="AU45" s="10">
        <v>35</v>
      </c>
      <c r="AV45" s="10">
        <v>39</v>
      </c>
      <c r="AW45" s="10">
        <v>39</v>
      </c>
      <c r="AX45" s="10">
        <v>30</v>
      </c>
      <c r="AY45" s="10">
        <v>38</v>
      </c>
      <c r="AZ45" s="10">
        <v>30</v>
      </c>
      <c r="BA45" s="10">
        <v>34</v>
      </c>
      <c r="BB45" s="10">
        <v>34</v>
      </c>
      <c r="BC45" s="10">
        <v>24</v>
      </c>
      <c r="BD45" s="10">
        <v>33</v>
      </c>
      <c r="BE45" s="10">
        <v>34</v>
      </c>
      <c r="BF45" s="10">
        <v>38</v>
      </c>
      <c r="BG45" s="10">
        <v>34</v>
      </c>
    </row>
    <row r="46" spans="2:59">
      <c r="AC46" s="10">
        <v>40</v>
      </c>
      <c r="AD46" s="10">
        <v>63</v>
      </c>
      <c r="AH46" s="10">
        <v>40</v>
      </c>
      <c r="AI46" s="10">
        <v>32</v>
      </c>
      <c r="AJ46" s="10">
        <v>35</v>
      </c>
      <c r="AK46" s="10">
        <v>37</v>
      </c>
      <c r="AL46" s="10">
        <v>36</v>
      </c>
      <c r="AM46" s="10">
        <v>31</v>
      </c>
      <c r="AN46" s="10">
        <v>31</v>
      </c>
      <c r="AO46" s="10">
        <v>34</v>
      </c>
      <c r="AP46" s="10">
        <v>32</v>
      </c>
      <c r="AQ46" s="10">
        <v>34</v>
      </c>
      <c r="AR46" s="10">
        <v>16</v>
      </c>
      <c r="AS46" s="10">
        <v>34</v>
      </c>
      <c r="AT46" s="10">
        <v>31</v>
      </c>
      <c r="AU46" s="10">
        <v>36</v>
      </c>
      <c r="AV46" s="10">
        <v>41</v>
      </c>
      <c r="AW46" s="10">
        <v>39</v>
      </c>
      <c r="AX46" s="10">
        <v>30</v>
      </c>
      <c r="AY46" s="10">
        <v>40</v>
      </c>
      <c r="AZ46" s="10">
        <v>30</v>
      </c>
      <c r="BA46" s="10">
        <v>36</v>
      </c>
      <c r="BB46" s="10">
        <v>34</v>
      </c>
      <c r="BC46" s="10">
        <v>24</v>
      </c>
      <c r="BD46" s="10">
        <v>38</v>
      </c>
      <c r="BE46" s="10">
        <v>34</v>
      </c>
      <c r="BF46" s="10">
        <v>38</v>
      </c>
      <c r="BG46" s="10">
        <v>34</v>
      </c>
    </row>
    <row r="47" spans="2:59">
      <c r="AC47" s="10">
        <v>41</v>
      </c>
      <c r="AD47" s="10">
        <v>64</v>
      </c>
      <c r="AH47" s="10">
        <v>41</v>
      </c>
      <c r="AI47" s="10">
        <v>32</v>
      </c>
      <c r="AJ47" s="10">
        <v>36</v>
      </c>
      <c r="AK47" s="10">
        <v>37</v>
      </c>
      <c r="AL47" s="10">
        <v>40</v>
      </c>
      <c r="AM47" s="10">
        <v>31</v>
      </c>
      <c r="AN47" s="10">
        <v>31</v>
      </c>
      <c r="AO47" s="10">
        <v>34</v>
      </c>
      <c r="AP47" s="10">
        <v>36</v>
      </c>
      <c r="AQ47" s="10">
        <v>34</v>
      </c>
      <c r="AR47" s="10">
        <v>17</v>
      </c>
      <c r="AS47" s="10">
        <v>37</v>
      </c>
      <c r="AT47" s="10">
        <v>31</v>
      </c>
      <c r="AU47" s="10">
        <v>36</v>
      </c>
      <c r="AV47" s="10">
        <v>42</v>
      </c>
      <c r="AW47" s="10">
        <v>39</v>
      </c>
      <c r="AX47" s="10">
        <v>30</v>
      </c>
      <c r="AY47" s="10">
        <v>42</v>
      </c>
      <c r="AZ47" s="10">
        <v>30</v>
      </c>
      <c r="BA47" s="10">
        <v>38</v>
      </c>
      <c r="BB47" s="10">
        <v>34</v>
      </c>
      <c r="BC47" s="10">
        <v>24</v>
      </c>
      <c r="BD47" s="10">
        <v>43</v>
      </c>
      <c r="BE47" s="10">
        <v>34</v>
      </c>
      <c r="BF47" s="10">
        <v>38</v>
      </c>
      <c r="BG47" s="10">
        <v>34</v>
      </c>
    </row>
    <row r="48" spans="2:59">
      <c r="AC48" s="10">
        <v>42</v>
      </c>
      <c r="AD48" s="10">
        <v>65</v>
      </c>
      <c r="AH48" s="10">
        <v>42</v>
      </c>
      <c r="AI48" s="10">
        <v>32</v>
      </c>
      <c r="AJ48" s="10">
        <v>37</v>
      </c>
      <c r="AK48" s="10">
        <v>38</v>
      </c>
      <c r="AL48" s="10">
        <v>40</v>
      </c>
      <c r="AM48" s="10">
        <v>31</v>
      </c>
      <c r="AN48" s="10">
        <v>33</v>
      </c>
      <c r="AO48" s="10">
        <v>34</v>
      </c>
      <c r="AP48" s="10">
        <v>37</v>
      </c>
      <c r="AQ48" s="10">
        <v>34</v>
      </c>
      <c r="AR48" s="10">
        <v>17</v>
      </c>
      <c r="AS48" s="10">
        <v>37</v>
      </c>
      <c r="AT48" s="10">
        <v>31</v>
      </c>
      <c r="AU48" s="10">
        <v>36</v>
      </c>
      <c r="AV48" s="10">
        <v>42</v>
      </c>
      <c r="AW48" s="10">
        <v>39</v>
      </c>
      <c r="AX48" s="10">
        <v>30</v>
      </c>
      <c r="AY48" s="10">
        <v>42</v>
      </c>
      <c r="AZ48" s="10">
        <v>30</v>
      </c>
      <c r="BA48" s="10">
        <v>38</v>
      </c>
      <c r="BB48" s="10">
        <v>34</v>
      </c>
      <c r="BC48" s="10">
        <v>24</v>
      </c>
      <c r="BD48" s="10">
        <v>43</v>
      </c>
      <c r="BE48" s="10">
        <v>34</v>
      </c>
      <c r="BF48" s="10">
        <v>38</v>
      </c>
      <c r="BG48" s="10">
        <v>34</v>
      </c>
    </row>
    <row r="49" spans="29:59">
      <c r="AC49" s="10">
        <v>43</v>
      </c>
      <c r="AD49" s="10">
        <v>66</v>
      </c>
      <c r="AH49" s="10">
        <v>43</v>
      </c>
      <c r="AI49" s="10">
        <v>35</v>
      </c>
      <c r="AJ49" s="10">
        <v>39</v>
      </c>
      <c r="AK49" s="10">
        <v>38</v>
      </c>
      <c r="AL49" s="10">
        <v>40</v>
      </c>
      <c r="AM49" s="10">
        <v>33</v>
      </c>
      <c r="AN49" s="10">
        <v>35</v>
      </c>
      <c r="AO49" s="10">
        <v>34</v>
      </c>
      <c r="AP49" s="10">
        <v>37</v>
      </c>
      <c r="AQ49" s="10">
        <v>34</v>
      </c>
      <c r="AR49" s="10">
        <v>19</v>
      </c>
      <c r="AS49" s="10">
        <v>37</v>
      </c>
      <c r="AT49" s="10">
        <v>34</v>
      </c>
      <c r="AU49" s="10">
        <v>36</v>
      </c>
      <c r="AV49" s="10">
        <v>42</v>
      </c>
      <c r="AW49" s="10">
        <v>39</v>
      </c>
      <c r="AX49" s="10">
        <v>30</v>
      </c>
      <c r="AY49" s="10">
        <v>42</v>
      </c>
      <c r="AZ49" s="10">
        <v>30</v>
      </c>
      <c r="BA49" s="10">
        <v>38</v>
      </c>
      <c r="BB49" s="10">
        <v>34</v>
      </c>
      <c r="BC49" s="10">
        <v>24</v>
      </c>
      <c r="BD49" s="10">
        <v>43</v>
      </c>
      <c r="BE49" s="10">
        <v>38</v>
      </c>
      <c r="BF49" s="10">
        <v>38</v>
      </c>
      <c r="BG49" s="10">
        <v>34</v>
      </c>
    </row>
    <row r="50" spans="29:59">
      <c r="AC50" s="10">
        <v>44</v>
      </c>
      <c r="AD50" s="10">
        <v>67</v>
      </c>
      <c r="AH50" s="10">
        <v>44</v>
      </c>
      <c r="AI50" s="10">
        <v>38</v>
      </c>
      <c r="AJ50" s="10">
        <v>40</v>
      </c>
      <c r="AK50" s="10">
        <v>39</v>
      </c>
      <c r="AL50" s="10">
        <v>40</v>
      </c>
      <c r="AM50" s="10">
        <v>34</v>
      </c>
      <c r="AN50" s="10">
        <v>36</v>
      </c>
      <c r="AO50" s="10">
        <v>34</v>
      </c>
      <c r="AP50" s="10">
        <v>37</v>
      </c>
      <c r="AQ50" s="10">
        <v>34</v>
      </c>
      <c r="AR50" s="10">
        <v>21</v>
      </c>
      <c r="AS50" s="10">
        <v>37</v>
      </c>
      <c r="AT50" s="10">
        <v>37</v>
      </c>
      <c r="AU50" s="10">
        <v>36</v>
      </c>
      <c r="AV50" s="10">
        <v>42</v>
      </c>
      <c r="AW50" s="10">
        <v>39</v>
      </c>
      <c r="AX50" s="10">
        <v>30</v>
      </c>
      <c r="AY50" s="10">
        <v>42</v>
      </c>
      <c r="AZ50" s="10">
        <v>30</v>
      </c>
      <c r="BA50" s="10">
        <v>38</v>
      </c>
      <c r="BB50" s="10">
        <v>34</v>
      </c>
      <c r="BC50" s="10">
        <v>24</v>
      </c>
      <c r="BD50" s="10">
        <v>43</v>
      </c>
      <c r="BE50" s="10">
        <v>41</v>
      </c>
      <c r="BF50" s="10">
        <v>38</v>
      </c>
      <c r="BG50" s="10">
        <v>34</v>
      </c>
    </row>
    <row r="51" spans="29:59">
      <c r="AC51" s="10">
        <v>45</v>
      </c>
      <c r="AD51" s="10">
        <v>68</v>
      </c>
      <c r="AH51" s="10">
        <v>45</v>
      </c>
      <c r="AI51" s="10">
        <v>38</v>
      </c>
      <c r="AJ51" s="10">
        <v>40</v>
      </c>
      <c r="AK51" s="10">
        <v>40</v>
      </c>
      <c r="AL51" s="10">
        <v>40</v>
      </c>
      <c r="AM51" s="10">
        <v>35</v>
      </c>
      <c r="AN51" s="10">
        <v>36</v>
      </c>
      <c r="AO51" s="10">
        <v>34</v>
      </c>
      <c r="AP51" s="10">
        <v>38</v>
      </c>
      <c r="AQ51" s="10">
        <v>38</v>
      </c>
      <c r="AR51" s="10">
        <v>21</v>
      </c>
      <c r="AS51" s="10">
        <v>37</v>
      </c>
      <c r="AT51" s="10">
        <v>37</v>
      </c>
      <c r="AU51" s="10">
        <v>36</v>
      </c>
      <c r="AV51" s="10">
        <v>42</v>
      </c>
      <c r="AW51" s="10">
        <v>41</v>
      </c>
      <c r="AX51" s="10">
        <v>33</v>
      </c>
      <c r="AY51" s="10">
        <v>42</v>
      </c>
      <c r="AZ51" s="10">
        <v>30</v>
      </c>
      <c r="BA51" s="10">
        <v>38</v>
      </c>
      <c r="BB51" s="10">
        <v>34</v>
      </c>
      <c r="BC51" s="10">
        <v>24</v>
      </c>
      <c r="BD51" s="10">
        <v>43</v>
      </c>
      <c r="BE51" s="10">
        <v>42</v>
      </c>
      <c r="BF51" s="10">
        <v>38</v>
      </c>
      <c r="BG51" s="10">
        <v>34</v>
      </c>
    </row>
    <row r="52" spans="29:59">
      <c r="AC52" s="10">
        <v>46</v>
      </c>
      <c r="AD52" s="10">
        <v>68</v>
      </c>
      <c r="AH52" s="10">
        <v>46</v>
      </c>
      <c r="AI52" s="10">
        <v>38</v>
      </c>
      <c r="AJ52" s="10">
        <v>40</v>
      </c>
      <c r="AK52" s="10">
        <v>41</v>
      </c>
      <c r="AL52" s="10">
        <v>40</v>
      </c>
      <c r="AM52" s="10">
        <v>35</v>
      </c>
      <c r="AN52" s="10">
        <v>36</v>
      </c>
      <c r="AO52" s="10">
        <v>34</v>
      </c>
      <c r="AP52" s="10">
        <v>38</v>
      </c>
      <c r="AQ52" s="10">
        <v>41</v>
      </c>
      <c r="AR52" s="10">
        <v>21</v>
      </c>
      <c r="AS52" s="10">
        <v>37</v>
      </c>
      <c r="AT52" s="10">
        <v>37</v>
      </c>
      <c r="AU52" s="10">
        <v>37</v>
      </c>
      <c r="AV52" s="10">
        <v>43</v>
      </c>
      <c r="AW52" s="10">
        <v>44</v>
      </c>
      <c r="AX52" s="10">
        <v>37</v>
      </c>
      <c r="AY52" s="10">
        <v>42</v>
      </c>
      <c r="AZ52" s="10">
        <v>30</v>
      </c>
      <c r="BA52" s="10">
        <v>38</v>
      </c>
      <c r="BB52" s="10">
        <v>34</v>
      </c>
      <c r="BC52" s="10">
        <v>24</v>
      </c>
      <c r="BD52" s="10">
        <v>43</v>
      </c>
      <c r="BE52" s="10">
        <v>42</v>
      </c>
      <c r="BF52" s="10">
        <v>38</v>
      </c>
      <c r="BG52" s="10">
        <v>34</v>
      </c>
    </row>
    <row r="53" spans="29:59">
      <c r="AC53" s="10">
        <v>47</v>
      </c>
      <c r="AD53" s="10">
        <v>69</v>
      </c>
      <c r="AH53" s="10">
        <v>47</v>
      </c>
      <c r="AI53" s="10">
        <v>38</v>
      </c>
      <c r="AJ53" s="10">
        <v>40</v>
      </c>
      <c r="AK53" s="10">
        <v>41</v>
      </c>
      <c r="AL53" s="10">
        <v>40</v>
      </c>
      <c r="AM53" s="10">
        <v>35</v>
      </c>
      <c r="AN53" s="10">
        <v>36</v>
      </c>
      <c r="AO53" s="10">
        <v>34</v>
      </c>
      <c r="AP53" s="10">
        <v>38</v>
      </c>
      <c r="AQ53" s="10">
        <v>42</v>
      </c>
      <c r="AR53" s="10">
        <v>24</v>
      </c>
      <c r="AS53" s="10">
        <v>37</v>
      </c>
      <c r="AT53" s="10">
        <v>37</v>
      </c>
      <c r="AU53" s="10">
        <v>38</v>
      </c>
      <c r="AV53" s="10">
        <v>43</v>
      </c>
      <c r="AW53" s="10">
        <v>44</v>
      </c>
      <c r="AX53" s="10">
        <v>37</v>
      </c>
      <c r="AY53" s="10">
        <v>42</v>
      </c>
      <c r="AZ53" s="10">
        <v>30</v>
      </c>
      <c r="BA53" s="10">
        <v>41</v>
      </c>
      <c r="BB53" s="10">
        <v>34</v>
      </c>
      <c r="BC53" s="10">
        <v>24</v>
      </c>
      <c r="BD53" s="10">
        <v>43</v>
      </c>
      <c r="BE53" s="10">
        <v>42</v>
      </c>
      <c r="BF53" s="10">
        <v>38</v>
      </c>
      <c r="BG53" s="10">
        <v>34</v>
      </c>
    </row>
    <row r="54" spans="29:59">
      <c r="AC54" s="10">
        <v>48</v>
      </c>
      <c r="AD54" s="10">
        <v>70</v>
      </c>
      <c r="AH54" s="10">
        <v>48</v>
      </c>
      <c r="AI54" s="10">
        <v>39</v>
      </c>
      <c r="AJ54" s="10">
        <v>40</v>
      </c>
      <c r="AK54" s="10">
        <v>41</v>
      </c>
      <c r="AL54" s="10">
        <v>40</v>
      </c>
      <c r="AM54" s="10">
        <v>35</v>
      </c>
      <c r="AN54" s="10">
        <v>38</v>
      </c>
      <c r="AO54" s="10">
        <v>38</v>
      </c>
      <c r="AP54" s="10">
        <v>38</v>
      </c>
      <c r="AQ54" s="10">
        <v>42</v>
      </c>
      <c r="AR54" s="10">
        <v>26</v>
      </c>
      <c r="AS54" s="10">
        <v>37</v>
      </c>
      <c r="AT54" s="10">
        <v>37</v>
      </c>
      <c r="AU54" s="10">
        <v>40</v>
      </c>
      <c r="AV54" s="10">
        <v>44</v>
      </c>
      <c r="AW54" s="10">
        <v>44</v>
      </c>
      <c r="AX54" s="10">
        <v>37</v>
      </c>
      <c r="AY54" s="10">
        <v>42</v>
      </c>
      <c r="AZ54" s="10">
        <v>34</v>
      </c>
      <c r="BA54" s="10">
        <v>43</v>
      </c>
      <c r="BB54" s="10">
        <v>34</v>
      </c>
      <c r="BC54" s="10">
        <v>24</v>
      </c>
      <c r="BD54" s="10">
        <v>43</v>
      </c>
      <c r="BE54" s="10">
        <v>42</v>
      </c>
      <c r="BF54" s="10">
        <v>41</v>
      </c>
      <c r="BG54" s="10">
        <v>34</v>
      </c>
    </row>
    <row r="55" spans="29:59">
      <c r="AC55" s="10">
        <v>49</v>
      </c>
      <c r="AD55" s="10">
        <v>71</v>
      </c>
      <c r="AH55" s="10">
        <v>49</v>
      </c>
      <c r="AI55" s="10">
        <v>39</v>
      </c>
      <c r="AJ55" s="10">
        <v>41</v>
      </c>
      <c r="AK55" s="10">
        <v>42</v>
      </c>
      <c r="AL55" s="10">
        <v>40</v>
      </c>
      <c r="AM55" s="10">
        <v>37</v>
      </c>
      <c r="AN55" s="10">
        <v>40</v>
      </c>
      <c r="AO55" s="10">
        <v>43</v>
      </c>
      <c r="AP55" s="10">
        <v>38</v>
      </c>
      <c r="AQ55" s="10">
        <v>42</v>
      </c>
      <c r="AR55" s="10">
        <v>27</v>
      </c>
      <c r="AS55" s="10">
        <v>37</v>
      </c>
      <c r="AT55" s="10">
        <v>37</v>
      </c>
      <c r="AU55" s="10">
        <v>41</v>
      </c>
      <c r="AV55" s="10">
        <v>44</v>
      </c>
      <c r="AW55" s="10">
        <v>44</v>
      </c>
      <c r="AX55" s="10">
        <v>37</v>
      </c>
      <c r="AY55" s="10">
        <v>42</v>
      </c>
      <c r="AZ55" s="10">
        <v>37</v>
      </c>
      <c r="BA55" s="10">
        <v>43</v>
      </c>
      <c r="BB55" s="10">
        <v>34</v>
      </c>
      <c r="BC55" s="10">
        <v>24</v>
      </c>
      <c r="BD55" s="10">
        <v>43</v>
      </c>
      <c r="BE55" s="10">
        <v>42</v>
      </c>
      <c r="BF55" s="10">
        <v>43</v>
      </c>
      <c r="BG55" s="10">
        <v>34</v>
      </c>
    </row>
    <row r="56" spans="29:59">
      <c r="AC56" s="10">
        <v>50</v>
      </c>
      <c r="AD56" s="10">
        <v>72</v>
      </c>
      <c r="AH56" s="10">
        <v>50</v>
      </c>
      <c r="AI56" s="10">
        <v>39</v>
      </c>
      <c r="AJ56" s="10">
        <v>41</v>
      </c>
      <c r="AK56" s="10">
        <v>42</v>
      </c>
      <c r="AL56" s="10">
        <v>43</v>
      </c>
      <c r="AM56" s="10">
        <v>39</v>
      </c>
      <c r="AN56" s="10">
        <v>40</v>
      </c>
      <c r="AO56" s="10">
        <v>43</v>
      </c>
      <c r="AP56" s="10">
        <v>38</v>
      </c>
      <c r="AQ56" s="10">
        <v>42</v>
      </c>
      <c r="AR56" s="10">
        <v>27</v>
      </c>
      <c r="AS56" s="10">
        <v>40</v>
      </c>
      <c r="AT56" s="10">
        <v>37</v>
      </c>
      <c r="AU56" s="10">
        <v>41</v>
      </c>
      <c r="AV56" s="10">
        <v>46</v>
      </c>
      <c r="AW56" s="10">
        <v>44</v>
      </c>
      <c r="AX56" s="10">
        <v>37</v>
      </c>
      <c r="AY56" s="10">
        <v>44</v>
      </c>
      <c r="AZ56" s="10">
        <v>37</v>
      </c>
      <c r="BA56" s="10">
        <v>43</v>
      </c>
      <c r="BB56" s="10">
        <v>34</v>
      </c>
      <c r="BC56" s="10">
        <v>24</v>
      </c>
      <c r="BD56" s="10">
        <v>43</v>
      </c>
      <c r="BE56" s="10">
        <v>42</v>
      </c>
      <c r="BF56" s="10">
        <v>43</v>
      </c>
      <c r="BG56" s="10">
        <v>34</v>
      </c>
    </row>
    <row r="57" spans="29:59">
      <c r="AC57" s="10">
        <v>51</v>
      </c>
      <c r="AD57" s="10">
        <v>73</v>
      </c>
      <c r="AH57" s="10">
        <v>51</v>
      </c>
      <c r="AI57" s="10">
        <v>39</v>
      </c>
      <c r="AJ57" s="10">
        <v>43</v>
      </c>
      <c r="AK57" s="10">
        <v>43</v>
      </c>
      <c r="AL57" s="10">
        <v>46</v>
      </c>
      <c r="AM57" s="10">
        <v>39</v>
      </c>
      <c r="AN57" s="10">
        <v>40</v>
      </c>
      <c r="AO57" s="10">
        <v>43</v>
      </c>
      <c r="AP57" s="10">
        <v>38</v>
      </c>
      <c r="AQ57" s="10">
        <v>42</v>
      </c>
      <c r="AR57" s="10">
        <v>28</v>
      </c>
      <c r="AS57" s="10">
        <v>43</v>
      </c>
      <c r="AT57" s="10">
        <v>37</v>
      </c>
      <c r="AU57" s="10">
        <v>41</v>
      </c>
      <c r="AV57" s="10">
        <v>47</v>
      </c>
      <c r="AW57" s="10">
        <v>44</v>
      </c>
      <c r="AX57" s="10">
        <v>37</v>
      </c>
      <c r="AY57" s="10">
        <v>46</v>
      </c>
      <c r="AZ57" s="10">
        <v>38</v>
      </c>
      <c r="BA57" s="10">
        <v>43</v>
      </c>
      <c r="BB57" s="10">
        <v>34</v>
      </c>
      <c r="BC57" s="10">
        <v>24</v>
      </c>
      <c r="BD57" s="10">
        <v>43</v>
      </c>
      <c r="BE57" s="10">
        <v>42</v>
      </c>
      <c r="BF57" s="10">
        <v>43</v>
      </c>
      <c r="BG57" s="10">
        <v>34</v>
      </c>
    </row>
    <row r="58" spans="29:59">
      <c r="AC58" s="10">
        <v>52</v>
      </c>
      <c r="AD58" s="10">
        <v>74</v>
      </c>
      <c r="AH58" s="10">
        <v>52</v>
      </c>
      <c r="AI58" s="10">
        <v>41</v>
      </c>
      <c r="AJ58" s="10">
        <v>44</v>
      </c>
      <c r="AK58" s="10">
        <v>44</v>
      </c>
      <c r="AL58" s="10">
        <v>46</v>
      </c>
      <c r="AM58" s="10">
        <v>39</v>
      </c>
      <c r="AN58" s="10">
        <v>41</v>
      </c>
      <c r="AO58" s="10">
        <v>44</v>
      </c>
      <c r="AP58" s="10">
        <v>38</v>
      </c>
      <c r="AQ58" s="10">
        <v>42</v>
      </c>
      <c r="AR58" s="10">
        <v>30</v>
      </c>
      <c r="AS58" s="10">
        <v>43</v>
      </c>
      <c r="AT58" s="10">
        <v>37</v>
      </c>
      <c r="AU58" s="10">
        <v>41</v>
      </c>
      <c r="AV58" s="10">
        <v>47</v>
      </c>
      <c r="AW58" s="10">
        <v>44</v>
      </c>
      <c r="AX58" s="10">
        <v>37</v>
      </c>
      <c r="AY58" s="10">
        <v>47</v>
      </c>
      <c r="AZ58" s="10">
        <v>38</v>
      </c>
      <c r="BA58" s="10">
        <v>43</v>
      </c>
      <c r="BB58" s="10">
        <v>34</v>
      </c>
      <c r="BC58" s="10">
        <v>24</v>
      </c>
      <c r="BD58" s="10">
        <v>43</v>
      </c>
      <c r="BE58" s="10">
        <v>44</v>
      </c>
      <c r="BF58" s="10">
        <v>43</v>
      </c>
      <c r="BG58" s="10">
        <v>34</v>
      </c>
    </row>
    <row r="59" spans="29:59">
      <c r="AC59" s="10">
        <v>53</v>
      </c>
      <c r="AD59" s="10">
        <v>75</v>
      </c>
      <c r="AH59" s="10">
        <v>53</v>
      </c>
      <c r="AI59" s="10">
        <v>44</v>
      </c>
      <c r="AJ59" s="10">
        <v>45</v>
      </c>
      <c r="AK59" s="10">
        <v>45</v>
      </c>
      <c r="AL59" s="10">
        <v>46</v>
      </c>
      <c r="AM59" s="10">
        <v>40</v>
      </c>
      <c r="AN59" s="10">
        <v>41</v>
      </c>
      <c r="AO59" s="10">
        <v>44</v>
      </c>
      <c r="AP59" s="10">
        <v>38</v>
      </c>
      <c r="AQ59" s="10">
        <v>42</v>
      </c>
      <c r="AR59" s="10">
        <v>32</v>
      </c>
      <c r="AS59" s="10">
        <v>43</v>
      </c>
      <c r="AT59" s="10">
        <v>40</v>
      </c>
      <c r="AU59" s="10">
        <v>41</v>
      </c>
      <c r="AV59" s="10">
        <v>47</v>
      </c>
      <c r="AW59" s="10">
        <v>44</v>
      </c>
      <c r="AX59" s="10">
        <v>37</v>
      </c>
      <c r="AY59" s="10">
        <v>47</v>
      </c>
      <c r="AZ59" s="10">
        <v>38</v>
      </c>
      <c r="BA59" s="10">
        <v>43</v>
      </c>
      <c r="BB59" s="10">
        <v>34</v>
      </c>
      <c r="BC59" s="10">
        <v>24</v>
      </c>
      <c r="BD59" s="10">
        <v>43</v>
      </c>
      <c r="BE59" s="10">
        <v>47</v>
      </c>
      <c r="BF59" s="10">
        <v>43</v>
      </c>
      <c r="BG59" s="10">
        <v>34</v>
      </c>
    </row>
    <row r="60" spans="29:59">
      <c r="AC60" s="10">
        <v>54</v>
      </c>
      <c r="AD60" s="10">
        <v>76</v>
      </c>
      <c r="AH60" s="10">
        <v>54</v>
      </c>
      <c r="AI60" s="10">
        <v>44</v>
      </c>
      <c r="AJ60" s="10">
        <v>45</v>
      </c>
      <c r="AK60" s="10">
        <v>46</v>
      </c>
      <c r="AL60" s="10">
        <v>46</v>
      </c>
      <c r="AM60" s="10">
        <v>42</v>
      </c>
      <c r="AN60" s="10">
        <v>42</v>
      </c>
      <c r="AO60" s="10">
        <v>44</v>
      </c>
      <c r="AP60" s="10">
        <v>38</v>
      </c>
      <c r="AQ60" s="10">
        <v>42</v>
      </c>
      <c r="AR60" s="10">
        <v>32</v>
      </c>
      <c r="AS60" s="10">
        <v>43</v>
      </c>
      <c r="AT60" s="10">
        <v>43</v>
      </c>
      <c r="AU60" s="10">
        <v>41</v>
      </c>
      <c r="AV60" s="10">
        <v>47</v>
      </c>
      <c r="AW60" s="10">
        <v>44</v>
      </c>
      <c r="AX60" s="10">
        <v>37</v>
      </c>
      <c r="AY60" s="10">
        <v>47</v>
      </c>
      <c r="AZ60" s="10">
        <v>38</v>
      </c>
      <c r="BA60" s="10">
        <v>45</v>
      </c>
      <c r="BB60" s="10">
        <v>34</v>
      </c>
      <c r="BC60" s="10">
        <v>24</v>
      </c>
      <c r="BD60" s="10">
        <v>43</v>
      </c>
      <c r="BE60" s="10">
        <v>47</v>
      </c>
      <c r="BF60" s="10">
        <v>44</v>
      </c>
      <c r="BG60" s="10">
        <v>34</v>
      </c>
    </row>
    <row r="61" spans="29:59">
      <c r="AC61" s="10">
        <v>55</v>
      </c>
      <c r="AD61" s="10">
        <v>77</v>
      </c>
      <c r="AH61" s="10">
        <v>55</v>
      </c>
      <c r="AI61" s="10">
        <v>44</v>
      </c>
      <c r="AJ61" s="10">
        <v>45</v>
      </c>
      <c r="AK61" s="10">
        <v>46</v>
      </c>
      <c r="AL61" s="10">
        <v>46</v>
      </c>
      <c r="AM61" s="10">
        <v>44</v>
      </c>
      <c r="AN61" s="10">
        <v>44</v>
      </c>
      <c r="AO61" s="10">
        <v>44</v>
      </c>
      <c r="AP61" s="10">
        <v>38</v>
      </c>
      <c r="AQ61" s="10">
        <v>42</v>
      </c>
      <c r="AR61" s="10">
        <v>33</v>
      </c>
      <c r="AS61" s="10">
        <v>43</v>
      </c>
      <c r="AT61" s="10">
        <v>43</v>
      </c>
      <c r="AU61" s="10">
        <v>41</v>
      </c>
      <c r="AV61" s="10">
        <v>47</v>
      </c>
      <c r="AW61" s="10">
        <v>44</v>
      </c>
      <c r="AX61" s="10">
        <v>37</v>
      </c>
      <c r="AY61" s="10">
        <v>47</v>
      </c>
      <c r="AZ61" s="10">
        <v>38</v>
      </c>
      <c r="BA61" s="10">
        <v>46</v>
      </c>
      <c r="BB61" s="10">
        <v>34</v>
      </c>
      <c r="BC61" s="10">
        <v>24</v>
      </c>
      <c r="BD61" s="10">
        <v>43</v>
      </c>
      <c r="BE61" s="10">
        <v>47</v>
      </c>
      <c r="BF61" s="10">
        <v>44</v>
      </c>
      <c r="BG61" s="10">
        <v>34</v>
      </c>
    </row>
    <row r="62" spans="29:59">
      <c r="AC62" s="10">
        <v>56</v>
      </c>
      <c r="AD62" s="10">
        <v>78</v>
      </c>
      <c r="AH62" s="10">
        <v>56</v>
      </c>
      <c r="AI62" s="10">
        <v>44</v>
      </c>
      <c r="AJ62" s="10">
        <v>46</v>
      </c>
      <c r="AK62" s="10">
        <v>47</v>
      </c>
      <c r="AL62" s="10">
        <v>46</v>
      </c>
      <c r="AM62" s="10">
        <v>44</v>
      </c>
      <c r="AN62" s="10">
        <v>44</v>
      </c>
      <c r="AO62" s="10">
        <v>44</v>
      </c>
      <c r="AP62" s="10">
        <v>38</v>
      </c>
      <c r="AQ62" s="10">
        <v>42</v>
      </c>
      <c r="AR62" s="10">
        <v>36</v>
      </c>
      <c r="AS62" s="10">
        <v>43</v>
      </c>
      <c r="AT62" s="10">
        <v>43</v>
      </c>
      <c r="AU62" s="10">
        <v>42</v>
      </c>
      <c r="AV62" s="10">
        <v>48</v>
      </c>
      <c r="AW62" s="10">
        <v>44</v>
      </c>
      <c r="AX62" s="10">
        <v>37</v>
      </c>
      <c r="AY62" s="10">
        <v>47</v>
      </c>
      <c r="AZ62" s="10">
        <v>38</v>
      </c>
      <c r="BA62" s="10">
        <v>46</v>
      </c>
      <c r="BB62" s="10">
        <v>34</v>
      </c>
      <c r="BC62" s="10">
        <v>24</v>
      </c>
      <c r="BD62" s="10">
        <v>43</v>
      </c>
      <c r="BE62" s="10">
        <v>47</v>
      </c>
      <c r="BF62" s="10">
        <v>44</v>
      </c>
      <c r="BG62" s="10">
        <v>34</v>
      </c>
    </row>
    <row r="63" spans="29:59">
      <c r="AC63" s="10">
        <v>57</v>
      </c>
      <c r="AD63" s="10">
        <v>79</v>
      </c>
      <c r="AH63" s="10">
        <v>57</v>
      </c>
      <c r="AI63" s="10">
        <v>44</v>
      </c>
      <c r="AJ63" s="10">
        <v>46</v>
      </c>
      <c r="AK63" s="10">
        <v>47</v>
      </c>
      <c r="AL63" s="10">
        <v>47</v>
      </c>
      <c r="AM63" s="10">
        <v>45</v>
      </c>
      <c r="AN63" s="10">
        <v>44</v>
      </c>
      <c r="AO63" s="10">
        <v>44</v>
      </c>
      <c r="AP63" s="10">
        <v>38</v>
      </c>
      <c r="AQ63" s="10">
        <v>42</v>
      </c>
      <c r="AR63" s="10">
        <v>39</v>
      </c>
      <c r="AS63" s="10">
        <v>43</v>
      </c>
      <c r="AT63" s="10">
        <v>43</v>
      </c>
      <c r="AU63" s="10">
        <v>42</v>
      </c>
      <c r="AV63" s="10">
        <v>48</v>
      </c>
      <c r="AW63" s="10">
        <v>44</v>
      </c>
      <c r="AX63" s="10">
        <v>37</v>
      </c>
      <c r="AY63" s="10">
        <v>47</v>
      </c>
      <c r="AZ63" s="10">
        <v>38</v>
      </c>
      <c r="BA63" s="10">
        <v>46</v>
      </c>
      <c r="BB63" s="10">
        <v>35</v>
      </c>
      <c r="BC63" s="10">
        <v>24</v>
      </c>
      <c r="BD63" s="10">
        <v>43</v>
      </c>
      <c r="BE63" s="10">
        <v>47</v>
      </c>
      <c r="BF63" s="10">
        <v>44</v>
      </c>
      <c r="BG63" s="10">
        <v>34</v>
      </c>
    </row>
    <row r="64" spans="29:59">
      <c r="AC64" s="10">
        <v>58</v>
      </c>
      <c r="AD64" s="10">
        <v>79</v>
      </c>
      <c r="AH64" s="10">
        <v>58</v>
      </c>
      <c r="AI64" s="10">
        <v>45</v>
      </c>
      <c r="AJ64" s="10">
        <v>47</v>
      </c>
      <c r="AK64" s="10">
        <v>47</v>
      </c>
      <c r="AL64" s="10">
        <v>47</v>
      </c>
      <c r="AM64" s="10">
        <v>45</v>
      </c>
      <c r="AN64" s="10">
        <v>45</v>
      </c>
      <c r="AO64" s="10">
        <v>44</v>
      </c>
      <c r="AP64" s="10">
        <v>38</v>
      </c>
      <c r="AQ64" s="10">
        <v>42</v>
      </c>
      <c r="AR64" s="10">
        <v>40</v>
      </c>
      <c r="AS64" s="10">
        <v>43</v>
      </c>
      <c r="AT64" s="10">
        <v>43</v>
      </c>
      <c r="AU64" s="10">
        <v>43</v>
      </c>
      <c r="AV64" s="10">
        <v>49</v>
      </c>
      <c r="AW64" s="10">
        <v>44</v>
      </c>
      <c r="AX64" s="10">
        <v>37</v>
      </c>
      <c r="AY64" s="10">
        <v>47</v>
      </c>
      <c r="AZ64" s="10">
        <v>38</v>
      </c>
      <c r="BA64" s="10">
        <v>46</v>
      </c>
      <c r="BB64" s="10">
        <v>35</v>
      </c>
      <c r="BC64" s="10">
        <v>24</v>
      </c>
      <c r="BD64" s="10">
        <v>43</v>
      </c>
      <c r="BE64" s="10">
        <v>47</v>
      </c>
      <c r="BF64" s="10">
        <v>44</v>
      </c>
      <c r="BG64" s="10">
        <v>34</v>
      </c>
    </row>
    <row r="65" spans="29:59">
      <c r="AC65" s="10">
        <v>59</v>
      </c>
      <c r="AD65" s="10">
        <v>80</v>
      </c>
      <c r="AH65" s="10">
        <v>59</v>
      </c>
      <c r="AI65" s="10">
        <v>45</v>
      </c>
      <c r="AJ65" s="10">
        <v>48</v>
      </c>
      <c r="AK65" s="10">
        <v>48</v>
      </c>
      <c r="AL65" s="10">
        <v>47</v>
      </c>
      <c r="AM65" s="10">
        <v>45</v>
      </c>
      <c r="AN65" s="10">
        <v>45</v>
      </c>
      <c r="AO65" s="10">
        <v>45</v>
      </c>
      <c r="AP65" s="10">
        <v>39</v>
      </c>
      <c r="AQ65" s="10">
        <v>43</v>
      </c>
      <c r="AR65" s="10">
        <v>41</v>
      </c>
      <c r="AS65" s="10">
        <v>43</v>
      </c>
      <c r="AT65" s="10">
        <v>43</v>
      </c>
      <c r="AU65" s="10">
        <v>45</v>
      </c>
      <c r="AV65" s="10">
        <v>50</v>
      </c>
      <c r="AW65" s="10">
        <v>44</v>
      </c>
      <c r="AX65" s="10">
        <v>37</v>
      </c>
      <c r="AY65" s="10">
        <v>47</v>
      </c>
      <c r="AZ65" s="10">
        <v>38</v>
      </c>
      <c r="BA65" s="10">
        <v>46</v>
      </c>
      <c r="BB65" s="10">
        <v>36</v>
      </c>
      <c r="BC65" s="10">
        <v>26</v>
      </c>
      <c r="BD65" s="10">
        <v>44</v>
      </c>
      <c r="BE65" s="10">
        <v>47</v>
      </c>
      <c r="BF65" s="10">
        <v>44</v>
      </c>
      <c r="BG65" s="10">
        <v>34</v>
      </c>
    </row>
    <row r="66" spans="29:59">
      <c r="AC66" s="10">
        <v>60</v>
      </c>
      <c r="AD66" s="10">
        <v>80</v>
      </c>
      <c r="AH66" s="10">
        <v>60</v>
      </c>
      <c r="AI66" s="10">
        <v>47</v>
      </c>
      <c r="AJ66" s="10">
        <v>49</v>
      </c>
      <c r="AK66" s="10">
        <v>49</v>
      </c>
      <c r="AL66" s="10">
        <v>50</v>
      </c>
      <c r="AM66" s="10">
        <v>48</v>
      </c>
      <c r="AN66" s="10">
        <v>47</v>
      </c>
      <c r="AO66" s="10">
        <v>48</v>
      </c>
      <c r="AP66" s="10">
        <v>43</v>
      </c>
      <c r="AQ66" s="10">
        <v>47</v>
      </c>
      <c r="AR66" s="10">
        <v>44</v>
      </c>
      <c r="AS66" s="10">
        <v>45</v>
      </c>
      <c r="AT66" s="10">
        <v>43</v>
      </c>
      <c r="AU66" s="10">
        <v>49</v>
      </c>
      <c r="AV66" s="10">
        <v>52</v>
      </c>
      <c r="AW66" s="10">
        <v>47</v>
      </c>
      <c r="AX66" s="10">
        <v>40</v>
      </c>
      <c r="AY66" s="10">
        <v>50</v>
      </c>
      <c r="AZ66" s="10">
        <v>43</v>
      </c>
      <c r="BA66" s="10">
        <v>48</v>
      </c>
      <c r="BB66" s="10">
        <v>48</v>
      </c>
      <c r="BC66" s="10">
        <v>36</v>
      </c>
      <c r="BD66" s="10">
        <v>48</v>
      </c>
      <c r="BE66" s="10">
        <v>50</v>
      </c>
      <c r="BF66" s="10">
        <v>46</v>
      </c>
      <c r="BG66" s="10">
        <v>45</v>
      </c>
    </row>
    <row r="67" spans="29:59">
      <c r="AC67" s="10">
        <v>61</v>
      </c>
      <c r="AD67" s="10">
        <v>81</v>
      </c>
      <c r="AH67" s="10">
        <v>61</v>
      </c>
      <c r="AI67" s="10">
        <v>50</v>
      </c>
      <c r="AJ67" s="10">
        <v>50</v>
      </c>
      <c r="AK67" s="10">
        <v>50</v>
      </c>
      <c r="AL67" s="10">
        <v>52</v>
      </c>
      <c r="AM67" s="10">
        <v>50</v>
      </c>
      <c r="AN67" s="10">
        <v>50</v>
      </c>
      <c r="AO67" s="10">
        <v>52</v>
      </c>
      <c r="AP67" s="10">
        <v>47</v>
      </c>
      <c r="AQ67" s="10">
        <v>54</v>
      </c>
      <c r="AR67" s="10">
        <v>46</v>
      </c>
      <c r="AS67" s="10">
        <v>47</v>
      </c>
      <c r="AT67" s="10">
        <v>43</v>
      </c>
      <c r="AU67" s="10">
        <v>53</v>
      </c>
      <c r="AV67" s="10">
        <v>54</v>
      </c>
      <c r="AW67" s="10">
        <v>51</v>
      </c>
      <c r="AX67" s="10">
        <v>44</v>
      </c>
      <c r="AY67" s="10">
        <v>53</v>
      </c>
      <c r="AZ67" s="10">
        <v>48</v>
      </c>
      <c r="BA67" s="10">
        <v>52</v>
      </c>
      <c r="BB67" s="10">
        <v>60</v>
      </c>
      <c r="BC67" s="10">
        <v>48</v>
      </c>
      <c r="BD67" s="10">
        <v>52</v>
      </c>
      <c r="BE67" s="10">
        <v>56</v>
      </c>
      <c r="BF67" s="10">
        <v>48</v>
      </c>
      <c r="BG67" s="10">
        <v>56</v>
      </c>
    </row>
    <row r="68" spans="29:59">
      <c r="AC68" s="10">
        <v>62</v>
      </c>
      <c r="AD68" s="10">
        <v>81</v>
      </c>
      <c r="AH68" s="10">
        <v>62</v>
      </c>
      <c r="AI68" s="10">
        <v>53</v>
      </c>
      <c r="AJ68" s="10">
        <v>51</v>
      </c>
      <c r="AK68" s="10">
        <v>50</v>
      </c>
      <c r="AL68" s="10">
        <v>53</v>
      </c>
      <c r="AM68" s="10">
        <v>53</v>
      </c>
      <c r="AN68" s="10">
        <v>52</v>
      </c>
      <c r="AO68" s="10">
        <v>55</v>
      </c>
      <c r="AP68" s="10">
        <v>51</v>
      </c>
      <c r="AQ68" s="10">
        <v>57</v>
      </c>
      <c r="AR68" s="10">
        <v>51</v>
      </c>
      <c r="AS68" s="10">
        <v>50</v>
      </c>
      <c r="AT68" s="10">
        <v>43</v>
      </c>
      <c r="AU68" s="10">
        <v>55</v>
      </c>
      <c r="AV68" s="10">
        <v>55</v>
      </c>
      <c r="AW68" s="10">
        <v>54</v>
      </c>
      <c r="AX68" s="10">
        <v>44</v>
      </c>
      <c r="AY68" s="10">
        <v>53</v>
      </c>
      <c r="AZ68" s="10">
        <v>49</v>
      </c>
      <c r="BA68" s="10">
        <v>54</v>
      </c>
      <c r="BB68" s="10">
        <v>61</v>
      </c>
      <c r="BC68" s="10">
        <v>56</v>
      </c>
      <c r="BD68" s="10">
        <v>56</v>
      </c>
      <c r="BE68" s="10">
        <v>59</v>
      </c>
      <c r="BF68" s="10">
        <v>48</v>
      </c>
      <c r="BG68" s="10">
        <v>63</v>
      </c>
    </row>
    <row r="69" spans="29:59">
      <c r="AC69" s="10">
        <v>63</v>
      </c>
      <c r="AD69" s="10">
        <v>82</v>
      </c>
      <c r="AH69" s="10">
        <v>63</v>
      </c>
      <c r="AI69" s="10">
        <v>55</v>
      </c>
      <c r="AJ69" s="10">
        <v>51</v>
      </c>
      <c r="AK69" s="10">
        <v>51</v>
      </c>
      <c r="AL69" s="10">
        <v>53</v>
      </c>
      <c r="AM69" s="10">
        <v>55</v>
      </c>
      <c r="AN69" s="10">
        <v>55</v>
      </c>
      <c r="AO69" s="10">
        <v>59</v>
      </c>
      <c r="AP69" s="10">
        <v>55</v>
      </c>
      <c r="AQ69" s="10">
        <v>61</v>
      </c>
      <c r="AR69" s="10">
        <v>55</v>
      </c>
      <c r="AS69" s="10">
        <v>53</v>
      </c>
      <c r="AT69" s="10">
        <v>45</v>
      </c>
      <c r="AU69" s="10">
        <v>58</v>
      </c>
      <c r="AV69" s="10">
        <v>57</v>
      </c>
      <c r="AW69" s="10">
        <v>58</v>
      </c>
      <c r="AX69" s="10">
        <v>44</v>
      </c>
      <c r="AY69" s="10">
        <v>53</v>
      </c>
      <c r="AZ69" s="10">
        <v>53</v>
      </c>
      <c r="BA69" s="10">
        <v>55</v>
      </c>
      <c r="BB69" s="10">
        <v>61</v>
      </c>
      <c r="BC69" s="10">
        <v>63</v>
      </c>
      <c r="BD69" s="10">
        <v>59</v>
      </c>
      <c r="BE69" s="10">
        <v>62</v>
      </c>
      <c r="BF69" s="10">
        <v>49</v>
      </c>
      <c r="BG69" s="10">
        <v>70</v>
      </c>
    </row>
    <row r="70" spans="29:59">
      <c r="AC70" s="10">
        <v>64</v>
      </c>
      <c r="AD70" s="10">
        <v>83</v>
      </c>
      <c r="AH70" s="10">
        <v>64</v>
      </c>
      <c r="AI70" s="10">
        <v>58</v>
      </c>
      <c r="AJ70" s="10">
        <v>52</v>
      </c>
      <c r="AK70" s="10">
        <v>52</v>
      </c>
      <c r="AL70" s="10">
        <v>56</v>
      </c>
      <c r="AM70" s="10">
        <v>55</v>
      </c>
      <c r="AN70" s="10">
        <v>57</v>
      </c>
      <c r="AO70" s="10">
        <v>59</v>
      </c>
      <c r="AP70" s="10">
        <v>58</v>
      </c>
      <c r="AQ70" s="10">
        <v>64</v>
      </c>
      <c r="AR70" s="10">
        <v>56</v>
      </c>
      <c r="AS70" s="10">
        <v>53</v>
      </c>
      <c r="AT70" s="10">
        <v>47</v>
      </c>
      <c r="AU70" s="10">
        <v>62</v>
      </c>
      <c r="AV70" s="10">
        <v>58</v>
      </c>
      <c r="AW70" s="10">
        <v>61</v>
      </c>
      <c r="AX70" s="10">
        <v>44</v>
      </c>
      <c r="AY70" s="10">
        <v>56</v>
      </c>
      <c r="AZ70" s="10">
        <v>56</v>
      </c>
      <c r="BA70" s="10">
        <v>57</v>
      </c>
      <c r="BB70" s="10">
        <v>61</v>
      </c>
      <c r="BC70" s="10">
        <v>64</v>
      </c>
      <c r="BD70" s="10">
        <v>61</v>
      </c>
      <c r="BE70" s="10">
        <v>68</v>
      </c>
      <c r="BF70" s="10">
        <v>51</v>
      </c>
      <c r="BG70" s="10">
        <v>74</v>
      </c>
    </row>
    <row r="71" spans="29:59">
      <c r="AC71" s="10">
        <v>65</v>
      </c>
      <c r="AD71" s="10">
        <v>84</v>
      </c>
      <c r="AH71" s="10">
        <v>65</v>
      </c>
      <c r="AI71" s="10">
        <v>61</v>
      </c>
      <c r="AJ71" s="10">
        <v>53</v>
      </c>
      <c r="AK71" s="10">
        <v>53</v>
      </c>
      <c r="AL71" s="10">
        <v>59</v>
      </c>
      <c r="AM71" s="10">
        <v>58</v>
      </c>
      <c r="AN71" s="10">
        <v>59</v>
      </c>
      <c r="AO71" s="10">
        <v>63</v>
      </c>
      <c r="AP71" s="10">
        <v>62</v>
      </c>
      <c r="AQ71" s="10">
        <v>67</v>
      </c>
      <c r="AR71" s="10">
        <v>58</v>
      </c>
      <c r="AS71" s="10">
        <v>55</v>
      </c>
      <c r="AT71" s="10">
        <v>50</v>
      </c>
      <c r="AU71" s="10">
        <v>65</v>
      </c>
      <c r="AV71" s="10">
        <v>60</v>
      </c>
      <c r="AW71" s="10">
        <v>64</v>
      </c>
      <c r="AX71" s="10">
        <v>44</v>
      </c>
      <c r="AY71" s="10">
        <v>59</v>
      </c>
      <c r="AZ71" s="10">
        <v>56</v>
      </c>
      <c r="BA71" s="10">
        <v>58</v>
      </c>
      <c r="BB71" s="10">
        <v>61</v>
      </c>
      <c r="BC71" s="10">
        <v>68</v>
      </c>
      <c r="BD71" s="10">
        <v>64</v>
      </c>
      <c r="BE71" s="10">
        <v>72</v>
      </c>
      <c r="BF71" s="10">
        <v>53</v>
      </c>
      <c r="BG71" s="10">
        <v>79</v>
      </c>
    </row>
    <row r="72" spans="29:59">
      <c r="AC72" s="10">
        <v>66</v>
      </c>
      <c r="AD72" s="10">
        <v>85</v>
      </c>
      <c r="AH72" s="10">
        <v>66</v>
      </c>
      <c r="AI72" s="10">
        <v>64</v>
      </c>
      <c r="AJ72" s="10">
        <v>54</v>
      </c>
      <c r="AK72" s="10">
        <v>53</v>
      </c>
      <c r="AL72" s="10">
        <v>60</v>
      </c>
      <c r="AM72" s="10">
        <v>60</v>
      </c>
      <c r="AN72" s="10">
        <v>61</v>
      </c>
      <c r="AO72" s="10">
        <v>66</v>
      </c>
      <c r="AP72" s="10">
        <v>65</v>
      </c>
      <c r="AQ72" s="10">
        <v>70</v>
      </c>
      <c r="AR72" s="10">
        <v>61</v>
      </c>
      <c r="AS72" s="10">
        <v>58</v>
      </c>
      <c r="AT72" s="10">
        <v>53</v>
      </c>
      <c r="AU72" s="10">
        <v>70</v>
      </c>
      <c r="AV72" s="10">
        <v>61</v>
      </c>
      <c r="AW72" s="10">
        <v>67</v>
      </c>
      <c r="AX72" s="10">
        <v>44</v>
      </c>
      <c r="AY72" s="10">
        <v>59</v>
      </c>
      <c r="AZ72" s="10">
        <v>59</v>
      </c>
      <c r="BA72" s="10">
        <v>59</v>
      </c>
      <c r="BB72" s="10">
        <v>62</v>
      </c>
      <c r="BC72" s="10">
        <v>72</v>
      </c>
      <c r="BD72" s="10">
        <v>66</v>
      </c>
      <c r="BE72" s="10">
        <v>77</v>
      </c>
      <c r="BF72" s="10">
        <v>53</v>
      </c>
      <c r="BG72" s="10">
        <v>81</v>
      </c>
    </row>
    <row r="73" spans="29:59">
      <c r="AC73" s="10">
        <v>67</v>
      </c>
      <c r="AD73" s="10">
        <v>86</v>
      </c>
      <c r="AH73" s="10">
        <v>67</v>
      </c>
      <c r="AI73" s="10">
        <v>67</v>
      </c>
      <c r="AJ73" s="10">
        <v>54</v>
      </c>
      <c r="AK73" s="10">
        <v>54</v>
      </c>
      <c r="AL73" s="10">
        <v>60</v>
      </c>
      <c r="AM73" s="10">
        <v>63</v>
      </c>
      <c r="AN73" s="10">
        <v>63</v>
      </c>
      <c r="AO73" s="10">
        <v>69</v>
      </c>
      <c r="AP73" s="10">
        <v>68</v>
      </c>
      <c r="AQ73" s="10">
        <v>72</v>
      </c>
      <c r="AR73" s="10">
        <v>65</v>
      </c>
      <c r="AS73" s="10">
        <v>60</v>
      </c>
      <c r="AT73" s="10">
        <v>53</v>
      </c>
      <c r="AU73" s="10">
        <v>73</v>
      </c>
      <c r="AV73" s="10">
        <v>63</v>
      </c>
      <c r="AW73" s="10">
        <v>69</v>
      </c>
      <c r="AX73" s="10">
        <v>44</v>
      </c>
      <c r="AY73" s="10">
        <v>59</v>
      </c>
      <c r="AZ73" s="10">
        <v>63</v>
      </c>
      <c r="BA73" s="10">
        <v>61</v>
      </c>
      <c r="BB73" s="10">
        <v>63</v>
      </c>
      <c r="BC73" s="10">
        <v>74</v>
      </c>
      <c r="BD73" s="10">
        <v>68</v>
      </c>
      <c r="BE73" s="10">
        <v>81</v>
      </c>
      <c r="BF73" s="10">
        <v>53</v>
      </c>
      <c r="BG73" s="10">
        <v>84</v>
      </c>
    </row>
    <row r="74" spans="29:59">
      <c r="AC74" s="10">
        <v>68</v>
      </c>
      <c r="AD74" s="10">
        <f>AD73</f>
        <v>86</v>
      </c>
      <c r="AH74" s="10">
        <v>68</v>
      </c>
      <c r="AI74" s="10">
        <v>68</v>
      </c>
      <c r="AJ74" s="10">
        <v>55</v>
      </c>
      <c r="AK74" s="10">
        <v>54</v>
      </c>
      <c r="AL74" s="10">
        <v>63</v>
      </c>
      <c r="AM74" s="10">
        <v>65</v>
      </c>
      <c r="AN74" s="10">
        <v>66</v>
      </c>
      <c r="AO74" s="10">
        <v>72</v>
      </c>
      <c r="AP74" s="10">
        <v>69</v>
      </c>
      <c r="AQ74" s="10">
        <v>75</v>
      </c>
      <c r="AR74" s="10">
        <v>70</v>
      </c>
      <c r="AS74" s="10">
        <v>62</v>
      </c>
      <c r="AT74" s="10">
        <v>55</v>
      </c>
      <c r="AU74" s="10">
        <v>76</v>
      </c>
      <c r="AV74" s="10">
        <v>65</v>
      </c>
      <c r="AW74" s="10">
        <v>70</v>
      </c>
      <c r="AX74" s="10">
        <v>44</v>
      </c>
      <c r="AY74" s="10">
        <v>62</v>
      </c>
      <c r="AZ74" s="10">
        <v>63</v>
      </c>
      <c r="BA74" s="10">
        <v>62</v>
      </c>
      <c r="BB74" s="10">
        <v>70</v>
      </c>
      <c r="BC74" s="10">
        <v>77</v>
      </c>
      <c r="BD74" s="10">
        <v>69</v>
      </c>
      <c r="BE74" s="10">
        <v>84</v>
      </c>
      <c r="BF74" s="10">
        <v>55</v>
      </c>
      <c r="BG74" s="10">
        <v>85</v>
      </c>
    </row>
    <row r="75" spans="29:59">
      <c r="AC75" s="10">
        <v>69</v>
      </c>
      <c r="AD75" s="10">
        <v>87</v>
      </c>
      <c r="AH75" s="10">
        <v>69</v>
      </c>
      <c r="AI75" s="10">
        <v>70</v>
      </c>
      <c r="AJ75" s="10">
        <v>56</v>
      </c>
      <c r="AK75" s="10">
        <v>55</v>
      </c>
      <c r="AL75" s="10">
        <v>65</v>
      </c>
      <c r="AM75" s="10">
        <v>69</v>
      </c>
      <c r="AN75" s="10">
        <v>70</v>
      </c>
      <c r="AO75" s="10">
        <v>74</v>
      </c>
      <c r="AP75" s="10">
        <v>72</v>
      </c>
      <c r="AQ75" s="10">
        <v>77</v>
      </c>
      <c r="AR75" s="10">
        <v>72</v>
      </c>
      <c r="AS75" s="10">
        <v>65</v>
      </c>
      <c r="AT75" s="10">
        <v>58</v>
      </c>
      <c r="AU75" s="10">
        <v>78</v>
      </c>
      <c r="AV75" s="10">
        <v>66</v>
      </c>
      <c r="AW75" s="10">
        <v>71</v>
      </c>
      <c r="AX75" s="10">
        <v>44</v>
      </c>
      <c r="AY75" s="10">
        <v>65</v>
      </c>
      <c r="AZ75" s="10">
        <v>66</v>
      </c>
      <c r="BA75" s="10">
        <v>64</v>
      </c>
      <c r="BB75" s="10">
        <v>76</v>
      </c>
      <c r="BC75" s="10">
        <v>78</v>
      </c>
      <c r="BD75" s="10">
        <v>70</v>
      </c>
      <c r="BE75" s="10">
        <v>87</v>
      </c>
      <c r="BF75" s="10">
        <v>56</v>
      </c>
      <c r="BG75" s="10">
        <v>87</v>
      </c>
    </row>
    <row r="76" spans="29:59">
      <c r="AC76" s="10">
        <v>70</v>
      </c>
      <c r="AD76" s="10">
        <f t="shared" ref="AD76:AD78" si="0">AD75</f>
        <v>87</v>
      </c>
      <c r="AH76" s="10">
        <v>70</v>
      </c>
      <c r="AI76" s="10">
        <v>73</v>
      </c>
      <c r="AJ76" s="10">
        <v>58</v>
      </c>
      <c r="AK76" s="10">
        <v>57</v>
      </c>
      <c r="AL76" s="10">
        <v>66</v>
      </c>
      <c r="AM76" s="10">
        <v>72</v>
      </c>
      <c r="AN76" s="10">
        <v>72</v>
      </c>
      <c r="AO76" s="10">
        <v>77</v>
      </c>
      <c r="AP76" s="10">
        <v>75</v>
      </c>
      <c r="AQ76" s="10">
        <v>79</v>
      </c>
      <c r="AR76" s="10">
        <v>74</v>
      </c>
      <c r="AS76" s="10">
        <v>67</v>
      </c>
      <c r="AT76" s="10">
        <v>60</v>
      </c>
      <c r="AU76" s="10">
        <v>80</v>
      </c>
      <c r="AV76" s="10">
        <v>68</v>
      </c>
      <c r="AW76" s="10">
        <v>73</v>
      </c>
      <c r="AX76" s="10">
        <v>44</v>
      </c>
      <c r="AY76" s="10">
        <v>66</v>
      </c>
      <c r="AZ76" s="10">
        <v>70</v>
      </c>
      <c r="BA76" s="10">
        <v>65</v>
      </c>
      <c r="BB76" s="10">
        <v>76</v>
      </c>
      <c r="BC76" s="10">
        <v>80</v>
      </c>
      <c r="BD76" s="10">
        <v>72</v>
      </c>
      <c r="BE76" s="10">
        <v>88</v>
      </c>
      <c r="BF76" s="10">
        <v>56</v>
      </c>
      <c r="BG76" s="10">
        <v>89</v>
      </c>
    </row>
    <row r="77" spans="29:59">
      <c r="AC77" s="10">
        <v>71</v>
      </c>
      <c r="AD77" s="10">
        <f t="shared" si="0"/>
        <v>87</v>
      </c>
      <c r="AH77" s="10">
        <v>71</v>
      </c>
      <c r="AI77" s="10">
        <v>76</v>
      </c>
      <c r="AJ77" s="10">
        <v>59</v>
      </c>
      <c r="AK77" s="10">
        <v>59</v>
      </c>
      <c r="AL77" s="10">
        <v>66</v>
      </c>
      <c r="AM77" s="10">
        <v>73</v>
      </c>
      <c r="AN77" s="10">
        <v>74</v>
      </c>
      <c r="AO77" s="10">
        <v>78</v>
      </c>
      <c r="AP77" s="10">
        <v>78</v>
      </c>
      <c r="AQ77" s="10">
        <v>81</v>
      </c>
      <c r="AR77" s="10">
        <v>74</v>
      </c>
      <c r="AS77" s="10">
        <v>67</v>
      </c>
      <c r="AT77" s="10">
        <v>62</v>
      </c>
      <c r="AU77" s="10">
        <v>83</v>
      </c>
      <c r="AV77" s="10">
        <v>70</v>
      </c>
      <c r="AW77" s="10">
        <v>75</v>
      </c>
      <c r="AX77" s="10">
        <v>44</v>
      </c>
      <c r="AY77" s="10">
        <v>66</v>
      </c>
      <c r="AZ77" s="10">
        <v>70</v>
      </c>
      <c r="BA77" s="10">
        <v>66</v>
      </c>
      <c r="BB77" s="10">
        <v>76</v>
      </c>
      <c r="BC77" s="10">
        <v>80</v>
      </c>
      <c r="BD77" s="10">
        <v>74</v>
      </c>
      <c r="BE77" s="10">
        <v>90</v>
      </c>
      <c r="BF77" s="10">
        <v>56</v>
      </c>
      <c r="BG77" s="10">
        <v>90</v>
      </c>
    </row>
    <row r="78" spans="29:59">
      <c r="AC78" s="10">
        <v>72</v>
      </c>
      <c r="AD78" s="10">
        <f t="shared" si="0"/>
        <v>87</v>
      </c>
      <c r="AH78" s="10">
        <v>72</v>
      </c>
      <c r="AI78" s="10">
        <v>78</v>
      </c>
      <c r="AJ78" s="10">
        <v>60</v>
      </c>
      <c r="AK78" s="10">
        <v>60</v>
      </c>
      <c r="AL78" s="10">
        <v>69</v>
      </c>
      <c r="AM78" s="10">
        <v>76</v>
      </c>
      <c r="AN78" s="10">
        <v>77</v>
      </c>
      <c r="AO78" s="10">
        <v>80</v>
      </c>
      <c r="AP78" s="10">
        <v>81</v>
      </c>
      <c r="AQ78" s="10">
        <v>83</v>
      </c>
      <c r="AR78" s="10">
        <v>79</v>
      </c>
      <c r="AS78" s="10">
        <v>69</v>
      </c>
      <c r="AT78" s="10">
        <v>65</v>
      </c>
      <c r="AU78" s="10">
        <v>85</v>
      </c>
      <c r="AV78" s="10">
        <v>72</v>
      </c>
      <c r="AW78" s="10">
        <v>77</v>
      </c>
      <c r="AX78" s="10">
        <v>44</v>
      </c>
      <c r="AY78" s="10">
        <v>69</v>
      </c>
      <c r="AZ78" s="10">
        <v>73</v>
      </c>
      <c r="BA78" s="10">
        <v>68</v>
      </c>
      <c r="BB78" s="10">
        <v>76</v>
      </c>
      <c r="BC78" s="10">
        <v>81</v>
      </c>
      <c r="BD78" s="10">
        <v>76</v>
      </c>
      <c r="BE78" s="10">
        <v>91</v>
      </c>
      <c r="BF78" s="10">
        <v>58</v>
      </c>
      <c r="BG78" s="10">
        <v>91</v>
      </c>
    </row>
    <row r="79" spans="29:59">
      <c r="AC79" s="10">
        <v>73</v>
      </c>
      <c r="AD79" s="10">
        <v>88</v>
      </c>
      <c r="AH79" s="10">
        <v>73</v>
      </c>
      <c r="AI79" s="10">
        <v>80</v>
      </c>
      <c r="AJ79" s="10">
        <v>61</v>
      </c>
      <c r="AK79" s="10">
        <v>63</v>
      </c>
      <c r="AL79" s="10">
        <v>71</v>
      </c>
      <c r="AM79" s="10">
        <v>79</v>
      </c>
      <c r="AN79" s="10">
        <v>79</v>
      </c>
      <c r="AO79" s="10">
        <v>82</v>
      </c>
      <c r="AP79" s="10">
        <v>84</v>
      </c>
      <c r="AQ79" s="10">
        <v>86</v>
      </c>
      <c r="AR79" s="10">
        <v>83</v>
      </c>
      <c r="AS79" s="10">
        <v>71</v>
      </c>
      <c r="AT79" s="10">
        <v>67</v>
      </c>
      <c r="AU79" s="10">
        <v>88</v>
      </c>
      <c r="AV79" s="10">
        <v>75</v>
      </c>
      <c r="AW79" s="10">
        <v>79</v>
      </c>
      <c r="AX79" s="10">
        <v>44</v>
      </c>
      <c r="AY79" s="10">
        <v>72</v>
      </c>
      <c r="AZ79" s="10">
        <v>76</v>
      </c>
      <c r="BA79" s="10">
        <v>70</v>
      </c>
      <c r="BB79" s="10">
        <v>77</v>
      </c>
      <c r="BC79" s="10">
        <v>82</v>
      </c>
      <c r="BD79" s="10">
        <v>78</v>
      </c>
      <c r="BE79" s="10">
        <v>92</v>
      </c>
      <c r="BF79" s="10">
        <v>60</v>
      </c>
      <c r="BG79" s="10">
        <v>92</v>
      </c>
    </row>
    <row r="80" spans="29:59">
      <c r="AC80" s="10">
        <v>74</v>
      </c>
      <c r="AD80" s="10">
        <f t="shared" ref="AD80:AD81" si="1">AD79</f>
        <v>88</v>
      </c>
      <c r="AH80" s="10">
        <v>74</v>
      </c>
      <c r="AI80" s="10">
        <v>82</v>
      </c>
      <c r="AJ80" s="10">
        <v>63</v>
      </c>
      <c r="AK80" s="10">
        <v>67</v>
      </c>
      <c r="AL80" s="10">
        <v>72</v>
      </c>
      <c r="AM80" s="10">
        <v>79</v>
      </c>
      <c r="AN80" s="10">
        <v>83</v>
      </c>
      <c r="AO80" s="10">
        <v>82</v>
      </c>
      <c r="AP80" s="10">
        <v>86</v>
      </c>
      <c r="AQ80" s="10">
        <v>89</v>
      </c>
      <c r="AR80" s="10">
        <v>84</v>
      </c>
      <c r="AS80" s="10">
        <v>72</v>
      </c>
      <c r="AT80" s="10">
        <v>67</v>
      </c>
      <c r="AU80" s="10">
        <v>90</v>
      </c>
      <c r="AV80" s="10">
        <v>79</v>
      </c>
      <c r="AW80" s="10">
        <v>81</v>
      </c>
      <c r="AX80" s="10">
        <v>44</v>
      </c>
      <c r="AY80" s="10">
        <v>73</v>
      </c>
      <c r="AZ80" s="10">
        <v>77</v>
      </c>
      <c r="BA80" s="10">
        <v>73</v>
      </c>
      <c r="BB80" s="10">
        <v>78</v>
      </c>
      <c r="BC80" s="10">
        <v>82</v>
      </c>
      <c r="BD80" s="10">
        <v>80</v>
      </c>
      <c r="BE80" s="10">
        <v>94</v>
      </c>
      <c r="BF80" s="10">
        <v>60</v>
      </c>
      <c r="BG80" s="10">
        <v>94</v>
      </c>
    </row>
    <row r="81" spans="29:59">
      <c r="AC81" s="10">
        <v>75</v>
      </c>
      <c r="AD81" s="10">
        <f t="shared" si="1"/>
        <v>88</v>
      </c>
      <c r="AH81" s="10">
        <v>75</v>
      </c>
      <c r="AI81" s="10">
        <v>84</v>
      </c>
      <c r="AJ81" s="10">
        <v>67</v>
      </c>
      <c r="AK81" s="10">
        <v>71</v>
      </c>
      <c r="AL81" s="10">
        <v>74</v>
      </c>
      <c r="AM81" s="10">
        <v>81</v>
      </c>
      <c r="AN81" s="10">
        <v>87</v>
      </c>
      <c r="AO81" s="10">
        <v>84</v>
      </c>
      <c r="AP81" s="10">
        <v>87</v>
      </c>
      <c r="AQ81" s="10">
        <v>91</v>
      </c>
      <c r="AR81" s="10">
        <v>85</v>
      </c>
      <c r="AS81" s="10">
        <v>74</v>
      </c>
      <c r="AT81" s="10">
        <v>69</v>
      </c>
      <c r="AU81" s="10">
        <v>91</v>
      </c>
      <c r="AV81" s="10">
        <v>82</v>
      </c>
      <c r="AW81" s="10">
        <v>83</v>
      </c>
      <c r="AX81" s="10">
        <v>48</v>
      </c>
      <c r="AY81" s="10">
        <v>76</v>
      </c>
      <c r="AZ81" s="10">
        <v>79</v>
      </c>
      <c r="BA81" s="10">
        <v>75</v>
      </c>
      <c r="BB81" s="10">
        <v>81</v>
      </c>
      <c r="BC81" s="10">
        <v>83</v>
      </c>
      <c r="BD81" s="10">
        <v>81</v>
      </c>
      <c r="BE81" s="10">
        <v>95</v>
      </c>
      <c r="BF81" s="10">
        <v>61</v>
      </c>
      <c r="BG81" s="10">
        <v>95</v>
      </c>
    </row>
    <row r="82" spans="29:59">
      <c r="AC82" s="10">
        <v>76</v>
      </c>
      <c r="AD82" s="10">
        <v>89</v>
      </c>
      <c r="AH82" s="10">
        <v>76</v>
      </c>
      <c r="AI82" s="10">
        <v>87</v>
      </c>
      <c r="AJ82" s="10">
        <v>71</v>
      </c>
      <c r="AK82" s="10">
        <v>76</v>
      </c>
      <c r="AL82" s="10">
        <v>77</v>
      </c>
      <c r="AM82" s="10">
        <v>83</v>
      </c>
      <c r="AN82" s="10">
        <v>88</v>
      </c>
      <c r="AO82" s="10">
        <v>86</v>
      </c>
      <c r="AP82" s="10">
        <v>89</v>
      </c>
      <c r="AQ82" s="10">
        <v>92</v>
      </c>
      <c r="AR82" s="10">
        <v>87</v>
      </c>
      <c r="AS82" s="10">
        <v>78</v>
      </c>
      <c r="AT82" s="10">
        <v>71</v>
      </c>
      <c r="AU82" s="10">
        <v>93</v>
      </c>
      <c r="AV82" s="10">
        <v>85</v>
      </c>
      <c r="AW82" s="10">
        <v>86</v>
      </c>
      <c r="AX82" s="10">
        <v>52</v>
      </c>
      <c r="AY82" s="10">
        <v>78</v>
      </c>
      <c r="AZ82" s="10">
        <v>81</v>
      </c>
      <c r="BA82" s="10">
        <v>77</v>
      </c>
      <c r="BB82" s="10">
        <v>84</v>
      </c>
      <c r="BC82" s="10">
        <v>84</v>
      </c>
      <c r="BD82" s="10">
        <v>82</v>
      </c>
      <c r="BE82" s="10">
        <v>96</v>
      </c>
      <c r="BF82" s="10">
        <v>63</v>
      </c>
      <c r="BG82" s="10">
        <v>96</v>
      </c>
    </row>
    <row r="83" spans="29:59">
      <c r="AC83" s="10">
        <v>77</v>
      </c>
      <c r="AD83" s="10">
        <f t="shared" ref="AD83:AD84" si="2">AD82</f>
        <v>89</v>
      </c>
      <c r="AH83" s="10">
        <v>77</v>
      </c>
      <c r="AI83" s="10">
        <v>89</v>
      </c>
      <c r="AJ83" s="10">
        <v>75</v>
      </c>
      <c r="AK83" s="10">
        <v>80</v>
      </c>
      <c r="AL83" s="10">
        <v>79</v>
      </c>
      <c r="AM83" s="10">
        <v>85</v>
      </c>
      <c r="AN83" s="10">
        <v>88</v>
      </c>
      <c r="AO83" s="10">
        <v>88</v>
      </c>
      <c r="AP83" s="10">
        <v>90</v>
      </c>
      <c r="AQ83" s="10">
        <v>93</v>
      </c>
      <c r="AR83" s="10">
        <v>87</v>
      </c>
      <c r="AS83" s="10">
        <v>82</v>
      </c>
      <c r="AT83" s="10">
        <v>72</v>
      </c>
      <c r="AU83" s="10">
        <v>95</v>
      </c>
      <c r="AV83" s="10">
        <v>88</v>
      </c>
      <c r="AW83" s="10">
        <v>87</v>
      </c>
      <c r="AX83" s="10">
        <v>55</v>
      </c>
      <c r="AY83" s="10">
        <v>79</v>
      </c>
      <c r="AZ83" s="10">
        <v>81</v>
      </c>
      <c r="BA83" s="10">
        <v>78</v>
      </c>
      <c r="BB83" s="10">
        <v>85</v>
      </c>
      <c r="BC83" s="10">
        <v>85</v>
      </c>
      <c r="BD83" s="10">
        <v>82</v>
      </c>
      <c r="BE83" s="10">
        <v>96</v>
      </c>
      <c r="BF83" s="10">
        <v>65</v>
      </c>
      <c r="BG83" s="10">
        <v>96</v>
      </c>
    </row>
    <row r="84" spans="29:59">
      <c r="AC84" s="10">
        <v>78</v>
      </c>
      <c r="AD84" s="10">
        <f t="shared" si="2"/>
        <v>89</v>
      </c>
      <c r="AH84" s="10">
        <v>78</v>
      </c>
      <c r="AI84" s="10">
        <v>91</v>
      </c>
      <c r="AJ84" s="10">
        <v>78</v>
      </c>
      <c r="AK84" s="10">
        <v>84</v>
      </c>
      <c r="AL84" s="10">
        <v>82</v>
      </c>
      <c r="AM84" s="10">
        <v>87</v>
      </c>
      <c r="AN84" s="10">
        <v>90</v>
      </c>
      <c r="AO84" s="10">
        <v>90</v>
      </c>
      <c r="AP84" s="10">
        <v>92</v>
      </c>
      <c r="AQ84" s="10">
        <v>95</v>
      </c>
      <c r="AR84" s="10">
        <v>87</v>
      </c>
      <c r="AS84" s="10">
        <v>85</v>
      </c>
      <c r="AT84" s="10">
        <v>74</v>
      </c>
      <c r="AU84" s="10">
        <v>96</v>
      </c>
      <c r="AV84" s="10">
        <v>90</v>
      </c>
      <c r="AW84" s="10">
        <v>89</v>
      </c>
      <c r="AX84" s="10">
        <v>57</v>
      </c>
      <c r="AY84" s="10">
        <v>83</v>
      </c>
      <c r="AZ84" s="10">
        <v>84</v>
      </c>
      <c r="BA84" s="10">
        <v>79</v>
      </c>
      <c r="BB84" s="10">
        <v>87</v>
      </c>
      <c r="BC84" s="10">
        <v>86</v>
      </c>
      <c r="BD84" s="10">
        <v>83</v>
      </c>
      <c r="BE84" s="10">
        <v>97</v>
      </c>
      <c r="BF84" s="10">
        <v>66</v>
      </c>
      <c r="BG84" s="10">
        <v>97</v>
      </c>
    </row>
    <row r="85" spans="29:59">
      <c r="AC85" s="10">
        <v>79</v>
      </c>
      <c r="AD85" s="10">
        <v>90</v>
      </c>
      <c r="AH85" s="10">
        <v>79</v>
      </c>
      <c r="AI85" s="10">
        <v>93</v>
      </c>
      <c r="AJ85" s="10">
        <v>81</v>
      </c>
      <c r="AK85" s="10">
        <v>86</v>
      </c>
      <c r="AL85" s="10">
        <v>85</v>
      </c>
      <c r="AM85" s="10">
        <v>88</v>
      </c>
      <c r="AN85" s="10">
        <v>91</v>
      </c>
      <c r="AO85" s="10">
        <v>91</v>
      </c>
      <c r="AP85" s="10">
        <v>93</v>
      </c>
      <c r="AQ85" s="10">
        <v>96</v>
      </c>
      <c r="AR85" s="10">
        <v>87</v>
      </c>
      <c r="AS85" s="10">
        <v>89</v>
      </c>
      <c r="AT85" s="10">
        <v>78</v>
      </c>
      <c r="AU85" s="10">
        <v>97</v>
      </c>
      <c r="AV85" s="10">
        <v>92</v>
      </c>
      <c r="AW85" s="10">
        <v>91</v>
      </c>
      <c r="AX85" s="10">
        <v>58</v>
      </c>
      <c r="AY85" s="10">
        <v>85</v>
      </c>
      <c r="AZ85" s="10">
        <v>85</v>
      </c>
      <c r="BA85" s="10">
        <v>79</v>
      </c>
      <c r="BB85" s="10">
        <v>89</v>
      </c>
      <c r="BC85" s="10">
        <v>86</v>
      </c>
      <c r="BD85" s="10">
        <v>84</v>
      </c>
      <c r="BE85" s="10">
        <v>97</v>
      </c>
      <c r="BF85" s="10">
        <v>68</v>
      </c>
      <c r="BG85" s="10">
        <v>98</v>
      </c>
    </row>
    <row r="86" spans="29:59">
      <c r="AC86" s="10">
        <v>80</v>
      </c>
      <c r="AD86" s="10">
        <f t="shared" ref="AD86:AD87" si="3">AD85</f>
        <v>90</v>
      </c>
      <c r="AH86" s="10">
        <v>80</v>
      </c>
      <c r="AI86" s="10">
        <v>94</v>
      </c>
      <c r="AJ86" s="10">
        <v>84</v>
      </c>
      <c r="AK86" s="10">
        <v>88</v>
      </c>
      <c r="AL86" s="10">
        <v>87</v>
      </c>
      <c r="AM86" s="10">
        <v>90</v>
      </c>
      <c r="AN86" s="10">
        <v>91</v>
      </c>
      <c r="AO86" s="10">
        <v>92</v>
      </c>
      <c r="AP86" s="10">
        <v>94</v>
      </c>
      <c r="AQ86" s="10">
        <v>97</v>
      </c>
      <c r="AR86" s="10">
        <v>91</v>
      </c>
      <c r="AS86" s="10">
        <v>90</v>
      </c>
      <c r="AT86" s="10">
        <v>82</v>
      </c>
      <c r="AU86" s="10">
        <v>98</v>
      </c>
      <c r="AV86" s="10">
        <v>93</v>
      </c>
      <c r="AW86" s="10">
        <v>93</v>
      </c>
      <c r="AX86" s="10">
        <v>60</v>
      </c>
      <c r="AY86" s="10">
        <v>86</v>
      </c>
      <c r="AZ86" s="10">
        <v>86</v>
      </c>
      <c r="BA86" s="10">
        <v>81</v>
      </c>
      <c r="BB86" s="10">
        <v>89</v>
      </c>
      <c r="BC86" s="10">
        <v>87</v>
      </c>
      <c r="BD86" s="10">
        <v>84</v>
      </c>
      <c r="BE86" s="10">
        <v>97</v>
      </c>
      <c r="BF86" s="10">
        <v>71</v>
      </c>
      <c r="BG86" s="10">
        <v>98</v>
      </c>
    </row>
    <row r="87" spans="29:59">
      <c r="AC87" s="10">
        <v>81</v>
      </c>
      <c r="AD87" s="10">
        <f t="shared" si="3"/>
        <v>90</v>
      </c>
      <c r="AH87" s="10">
        <v>81</v>
      </c>
      <c r="AI87" s="10">
        <v>85</v>
      </c>
      <c r="AJ87" s="10">
        <v>86</v>
      </c>
      <c r="AK87" s="10">
        <v>89</v>
      </c>
      <c r="AL87" s="10">
        <v>88</v>
      </c>
      <c r="AM87" s="10">
        <v>92</v>
      </c>
      <c r="AN87" s="10">
        <v>92</v>
      </c>
      <c r="AO87" s="10">
        <v>94</v>
      </c>
      <c r="AP87" s="10">
        <v>94</v>
      </c>
      <c r="AQ87" s="10">
        <v>97</v>
      </c>
      <c r="AR87" s="10">
        <v>94</v>
      </c>
      <c r="AS87" s="10">
        <v>94</v>
      </c>
      <c r="AT87" s="10">
        <v>85</v>
      </c>
      <c r="AU87" s="10">
        <v>98</v>
      </c>
      <c r="AV87" s="10">
        <v>94</v>
      </c>
      <c r="AW87" s="10">
        <v>95</v>
      </c>
      <c r="AX87" s="10">
        <v>64</v>
      </c>
      <c r="AY87" s="10">
        <v>87</v>
      </c>
      <c r="AZ87" s="10">
        <v>86</v>
      </c>
      <c r="BA87" s="10">
        <v>82</v>
      </c>
      <c r="BB87" s="10">
        <v>90</v>
      </c>
      <c r="BC87" s="10">
        <v>88</v>
      </c>
      <c r="BD87" s="10">
        <v>84</v>
      </c>
      <c r="BE87" s="10">
        <v>98</v>
      </c>
      <c r="BF87" s="10">
        <v>73</v>
      </c>
      <c r="BG87" s="10">
        <v>99</v>
      </c>
    </row>
    <row r="88" spans="29:59">
      <c r="AC88" s="10">
        <v>82</v>
      </c>
      <c r="AD88" s="10">
        <v>91</v>
      </c>
      <c r="AH88" s="10">
        <v>82</v>
      </c>
      <c r="AI88" s="10">
        <v>97</v>
      </c>
      <c r="AJ88" s="10">
        <v>88</v>
      </c>
      <c r="AK88" s="10">
        <v>90</v>
      </c>
      <c r="AL88" s="10">
        <v>90</v>
      </c>
      <c r="AM88" s="10">
        <v>92</v>
      </c>
      <c r="AN88" s="10">
        <v>93</v>
      </c>
      <c r="AO88" s="10">
        <v>94</v>
      </c>
      <c r="AP88" s="10">
        <v>95</v>
      </c>
      <c r="AQ88" s="10">
        <v>98</v>
      </c>
      <c r="AR88" s="10">
        <v>94</v>
      </c>
      <c r="AS88" s="10">
        <v>95</v>
      </c>
      <c r="AT88" s="10">
        <v>89</v>
      </c>
      <c r="AU88" s="10">
        <v>98</v>
      </c>
      <c r="AV88" s="10">
        <v>94</v>
      </c>
      <c r="AW88" s="10">
        <v>96</v>
      </c>
      <c r="AX88" s="10">
        <v>64</v>
      </c>
      <c r="AY88" s="10">
        <v>89</v>
      </c>
      <c r="AZ88" s="10">
        <v>88</v>
      </c>
      <c r="BA88" s="10">
        <v>83</v>
      </c>
      <c r="BB88" s="10">
        <v>91</v>
      </c>
      <c r="BC88" s="10">
        <v>88</v>
      </c>
      <c r="BD88" s="10">
        <v>84</v>
      </c>
      <c r="BE88" s="10">
        <v>98</v>
      </c>
      <c r="BF88" s="10">
        <v>75</v>
      </c>
      <c r="BG88" s="10">
        <v>99</v>
      </c>
    </row>
    <row r="89" spans="29:59">
      <c r="AC89" s="10">
        <v>83</v>
      </c>
      <c r="AD89" s="10">
        <f t="shared" ref="AD89:AD90" si="4">AD88</f>
        <v>91</v>
      </c>
      <c r="AH89" s="10">
        <v>83</v>
      </c>
      <c r="AI89" s="10">
        <v>98</v>
      </c>
      <c r="AJ89" s="10">
        <v>89</v>
      </c>
      <c r="AK89" s="10">
        <v>90</v>
      </c>
      <c r="AL89" s="10">
        <v>92</v>
      </c>
      <c r="AM89" s="10">
        <v>94</v>
      </c>
      <c r="AN89" s="10">
        <v>95</v>
      </c>
      <c r="AO89" s="10">
        <v>95</v>
      </c>
      <c r="AP89" s="10">
        <v>96</v>
      </c>
      <c r="AQ89" s="10">
        <v>98</v>
      </c>
      <c r="AR89" s="10">
        <v>95</v>
      </c>
      <c r="AS89" s="10">
        <v>97</v>
      </c>
      <c r="AT89" s="10">
        <v>90</v>
      </c>
      <c r="AU89" s="10">
        <v>98</v>
      </c>
      <c r="AV89" s="10">
        <v>95</v>
      </c>
      <c r="AW89" s="10">
        <v>97</v>
      </c>
      <c r="AX89" s="10">
        <v>67</v>
      </c>
      <c r="AY89" s="10">
        <v>92</v>
      </c>
      <c r="AZ89" s="10">
        <v>89</v>
      </c>
      <c r="BA89" s="10">
        <v>84</v>
      </c>
      <c r="BB89" s="10">
        <v>92</v>
      </c>
      <c r="BC89" s="10">
        <v>89</v>
      </c>
      <c r="BD89" s="10">
        <v>86</v>
      </c>
      <c r="BE89" s="10">
        <v>98</v>
      </c>
      <c r="BF89" s="10">
        <v>76</v>
      </c>
      <c r="BG89" s="10">
        <v>99</v>
      </c>
    </row>
    <row r="90" spans="29:59">
      <c r="AC90" s="10">
        <v>84</v>
      </c>
      <c r="AD90" s="10">
        <f t="shared" si="4"/>
        <v>91</v>
      </c>
      <c r="AH90" s="10">
        <v>84</v>
      </c>
      <c r="AI90" s="10">
        <v>98</v>
      </c>
      <c r="AJ90" s="10">
        <v>90</v>
      </c>
      <c r="AK90" s="10">
        <v>91</v>
      </c>
      <c r="AL90" s="10">
        <v>92</v>
      </c>
      <c r="AM90" s="10">
        <v>95</v>
      </c>
      <c r="AN90" s="10">
        <v>95</v>
      </c>
      <c r="AO90" s="10">
        <v>96</v>
      </c>
      <c r="AP90" s="10">
        <v>96</v>
      </c>
      <c r="AQ90" s="10">
        <v>99</v>
      </c>
      <c r="AR90" s="10">
        <v>95</v>
      </c>
      <c r="AS90" s="10">
        <v>97</v>
      </c>
      <c r="AT90" s="10">
        <v>94</v>
      </c>
      <c r="AU90" s="10">
        <v>98</v>
      </c>
      <c r="AV90" s="10">
        <v>95</v>
      </c>
      <c r="AW90" s="10">
        <v>98</v>
      </c>
      <c r="AX90" s="10">
        <v>70</v>
      </c>
      <c r="AY90" s="10">
        <v>93</v>
      </c>
      <c r="AZ90" s="10">
        <v>90</v>
      </c>
      <c r="BA90" s="10">
        <v>85</v>
      </c>
      <c r="BB90" s="10">
        <v>92</v>
      </c>
      <c r="BC90" s="10">
        <v>90</v>
      </c>
      <c r="BD90" s="10">
        <v>87</v>
      </c>
      <c r="BE90" s="10">
        <v>99</v>
      </c>
      <c r="BF90" s="10">
        <v>77</v>
      </c>
      <c r="BG90" s="10">
        <v>99</v>
      </c>
    </row>
    <row r="91" spans="29:59">
      <c r="AC91" s="10">
        <v>85</v>
      </c>
      <c r="AD91" s="10">
        <v>92</v>
      </c>
      <c r="AH91" s="10">
        <v>85</v>
      </c>
      <c r="AI91" s="10">
        <v>99</v>
      </c>
      <c r="AJ91" s="10">
        <v>91</v>
      </c>
      <c r="AK91" s="10">
        <v>91</v>
      </c>
      <c r="AL91" s="10">
        <v>93</v>
      </c>
      <c r="AM91" s="10">
        <v>96</v>
      </c>
      <c r="AN91" s="10">
        <v>96</v>
      </c>
      <c r="AO91" s="10">
        <v>96</v>
      </c>
      <c r="AP91" s="10">
        <v>97</v>
      </c>
      <c r="AQ91" s="10">
        <v>99</v>
      </c>
      <c r="AR91" s="10">
        <v>95</v>
      </c>
      <c r="AS91" s="10">
        <v>98</v>
      </c>
      <c r="AT91" s="10">
        <v>95</v>
      </c>
      <c r="AU91" s="10">
        <v>98</v>
      </c>
      <c r="AV91" s="10">
        <v>96</v>
      </c>
      <c r="AW91" s="10">
        <v>98</v>
      </c>
      <c r="AX91" s="10">
        <v>73</v>
      </c>
      <c r="AY91" s="10">
        <v>95</v>
      </c>
      <c r="AZ91" s="10">
        <v>91</v>
      </c>
      <c r="BA91" s="10">
        <v>87</v>
      </c>
      <c r="BB91" s="10">
        <v>93</v>
      </c>
      <c r="BC91" s="10">
        <v>90</v>
      </c>
      <c r="BD91" s="10">
        <v>87</v>
      </c>
      <c r="BE91" s="10">
        <v>99</v>
      </c>
      <c r="BF91" s="10">
        <v>78</v>
      </c>
      <c r="BG91" s="10">
        <v>99</v>
      </c>
    </row>
    <row r="92" spans="29:59">
      <c r="AC92" s="10">
        <v>86</v>
      </c>
      <c r="AD92" s="10">
        <f>AD91</f>
        <v>92</v>
      </c>
      <c r="AH92" s="10">
        <v>86</v>
      </c>
      <c r="AI92" s="10">
        <v>99</v>
      </c>
      <c r="AJ92" s="10">
        <v>91</v>
      </c>
      <c r="AK92" s="10">
        <v>92</v>
      </c>
      <c r="AL92" s="10">
        <v>94</v>
      </c>
      <c r="AM92" s="10">
        <v>97</v>
      </c>
      <c r="AN92" s="10">
        <v>97</v>
      </c>
      <c r="AO92" s="10">
        <v>97</v>
      </c>
      <c r="AP92" s="10">
        <v>97</v>
      </c>
      <c r="AQ92" s="10">
        <v>99</v>
      </c>
      <c r="AR92" s="10">
        <v>96</v>
      </c>
      <c r="AS92" s="10">
        <v>98</v>
      </c>
      <c r="AT92" s="10">
        <v>97</v>
      </c>
      <c r="AU92" s="10">
        <v>99</v>
      </c>
      <c r="AV92" s="10">
        <v>96</v>
      </c>
      <c r="AW92" s="10">
        <v>98</v>
      </c>
      <c r="AX92" s="10">
        <v>74</v>
      </c>
      <c r="AY92" s="10">
        <v>96</v>
      </c>
      <c r="AZ92" s="10">
        <v>92</v>
      </c>
      <c r="BA92" s="10">
        <v>88</v>
      </c>
      <c r="BB92" s="10">
        <v>93</v>
      </c>
      <c r="BC92" s="10">
        <v>91</v>
      </c>
      <c r="BD92" s="10">
        <v>89</v>
      </c>
      <c r="BE92" s="10">
        <v>99</v>
      </c>
      <c r="BF92" s="10">
        <v>79</v>
      </c>
      <c r="BG92" s="10">
        <v>99</v>
      </c>
    </row>
    <row r="93" spans="29:59">
      <c r="AC93" s="10">
        <v>87</v>
      </c>
      <c r="AD93" s="10">
        <v>93</v>
      </c>
      <c r="AH93" s="10">
        <v>87</v>
      </c>
      <c r="AI93" s="10">
        <v>99</v>
      </c>
      <c r="AJ93" s="10">
        <v>92</v>
      </c>
      <c r="AK93" s="10">
        <v>92</v>
      </c>
      <c r="AL93" s="10">
        <v>94</v>
      </c>
      <c r="AM93" s="10">
        <v>97</v>
      </c>
      <c r="AN93" s="10">
        <v>98</v>
      </c>
      <c r="AO93" s="10">
        <v>97</v>
      </c>
      <c r="AP93" s="10">
        <v>97</v>
      </c>
      <c r="AQ93" s="10">
        <v>99</v>
      </c>
      <c r="AR93" s="10">
        <v>96</v>
      </c>
      <c r="AS93" s="10">
        <v>98</v>
      </c>
      <c r="AT93" s="10">
        <v>97</v>
      </c>
      <c r="AU93" s="10">
        <v>99</v>
      </c>
      <c r="AV93" s="10">
        <v>97</v>
      </c>
      <c r="AW93" s="10">
        <v>98</v>
      </c>
      <c r="AX93" s="10">
        <v>75</v>
      </c>
      <c r="AY93" s="10">
        <v>96</v>
      </c>
      <c r="AZ93" s="10">
        <v>92</v>
      </c>
      <c r="BA93" s="10">
        <v>88</v>
      </c>
      <c r="BB93" s="10">
        <v>94</v>
      </c>
      <c r="BC93" s="10">
        <v>91</v>
      </c>
      <c r="BD93" s="10">
        <v>90</v>
      </c>
      <c r="BE93" s="10">
        <v>99</v>
      </c>
      <c r="BF93" s="10">
        <v>80</v>
      </c>
      <c r="BG93" s="10">
        <v>99</v>
      </c>
    </row>
    <row r="94" spans="29:59">
      <c r="AC94" s="10">
        <v>88</v>
      </c>
      <c r="AD94" s="10">
        <f>AD93</f>
        <v>93</v>
      </c>
      <c r="AH94" s="10">
        <v>88</v>
      </c>
      <c r="AI94" s="10">
        <v>99</v>
      </c>
      <c r="AJ94" s="10">
        <v>92</v>
      </c>
      <c r="AK94" s="10">
        <v>93</v>
      </c>
      <c r="AL94" s="10">
        <v>94</v>
      </c>
      <c r="AM94" s="10">
        <v>97</v>
      </c>
      <c r="AN94" s="10">
        <v>98</v>
      </c>
      <c r="AO94" s="10">
        <v>97</v>
      </c>
      <c r="AP94" s="10">
        <v>97</v>
      </c>
      <c r="AQ94" s="10">
        <v>99</v>
      </c>
      <c r="AR94" s="10">
        <v>96</v>
      </c>
      <c r="AS94" s="10">
        <v>98</v>
      </c>
      <c r="AT94" s="10">
        <v>98</v>
      </c>
      <c r="AU94" s="10">
        <v>99</v>
      </c>
      <c r="AV94" s="10">
        <v>97</v>
      </c>
      <c r="AW94" s="10">
        <v>98</v>
      </c>
      <c r="AX94" s="10">
        <v>77</v>
      </c>
      <c r="AY94" s="10">
        <v>96</v>
      </c>
      <c r="AZ94" s="10">
        <v>92</v>
      </c>
      <c r="BA94" s="10">
        <v>88</v>
      </c>
      <c r="BB94" s="10">
        <v>94</v>
      </c>
      <c r="BC94" s="10">
        <v>91</v>
      </c>
      <c r="BD94" s="10">
        <v>90</v>
      </c>
      <c r="BE94" s="10">
        <v>99</v>
      </c>
      <c r="BF94" s="10">
        <v>81</v>
      </c>
      <c r="BG94" s="10">
        <v>99</v>
      </c>
    </row>
    <row r="95" spans="29:59">
      <c r="AC95" s="10">
        <v>89</v>
      </c>
      <c r="AD95" s="10">
        <v>94</v>
      </c>
      <c r="AH95" s="10">
        <v>89</v>
      </c>
      <c r="AI95" s="10">
        <v>99</v>
      </c>
      <c r="AJ95" s="10">
        <v>93</v>
      </c>
      <c r="AK95" s="10">
        <v>93</v>
      </c>
      <c r="AL95" s="10">
        <v>94</v>
      </c>
      <c r="AM95" s="10">
        <v>97</v>
      </c>
      <c r="AN95" s="10">
        <v>98</v>
      </c>
      <c r="AO95" s="10">
        <v>98</v>
      </c>
      <c r="AP95" s="10">
        <v>98</v>
      </c>
      <c r="AQ95" s="10">
        <v>99</v>
      </c>
      <c r="AR95" s="10">
        <v>96</v>
      </c>
      <c r="AS95" s="10">
        <v>98</v>
      </c>
      <c r="AT95" s="10">
        <v>98</v>
      </c>
      <c r="AU95" s="10">
        <v>99</v>
      </c>
      <c r="AV95" s="10">
        <v>97</v>
      </c>
      <c r="AW95" s="10">
        <v>99</v>
      </c>
      <c r="AX95" s="10">
        <v>79</v>
      </c>
      <c r="AY95" s="10">
        <v>96</v>
      </c>
      <c r="AZ95" s="10">
        <v>93</v>
      </c>
      <c r="BA95" s="10">
        <v>88</v>
      </c>
      <c r="BB95" s="10">
        <v>95</v>
      </c>
      <c r="BC95" s="10">
        <v>91</v>
      </c>
      <c r="BD95" s="10">
        <v>90</v>
      </c>
      <c r="BE95" s="10">
        <v>99</v>
      </c>
      <c r="BF95" s="10">
        <v>82</v>
      </c>
      <c r="BG95" s="10">
        <v>99</v>
      </c>
    </row>
    <row r="96" spans="29:59">
      <c r="AC96" s="10">
        <v>90</v>
      </c>
      <c r="AD96" s="10">
        <f>AD95</f>
        <v>94</v>
      </c>
      <c r="AH96" s="10">
        <v>90</v>
      </c>
      <c r="AI96" s="10">
        <v>99</v>
      </c>
      <c r="AJ96" s="10">
        <v>93</v>
      </c>
      <c r="AK96" s="10">
        <v>93</v>
      </c>
      <c r="AL96" s="10">
        <v>95</v>
      </c>
      <c r="AM96" s="10">
        <v>98</v>
      </c>
      <c r="AN96" s="10">
        <v>98</v>
      </c>
      <c r="AO96" s="10">
        <v>98</v>
      </c>
      <c r="AP96" s="10">
        <v>98</v>
      </c>
      <c r="AQ96" s="10">
        <v>99</v>
      </c>
      <c r="AR96" s="10">
        <v>96</v>
      </c>
      <c r="AS96" s="10">
        <v>98</v>
      </c>
      <c r="AT96" s="10">
        <v>98</v>
      </c>
      <c r="AU96" s="10">
        <v>99</v>
      </c>
      <c r="AV96" s="10">
        <v>97</v>
      </c>
      <c r="AW96" s="10">
        <v>99</v>
      </c>
      <c r="AX96" s="10">
        <v>80</v>
      </c>
      <c r="AY96" s="10">
        <v>96</v>
      </c>
      <c r="AZ96" s="10">
        <v>94</v>
      </c>
      <c r="BA96" s="10">
        <v>89</v>
      </c>
      <c r="BB96" s="10">
        <v>95</v>
      </c>
      <c r="BC96" s="10">
        <v>92</v>
      </c>
      <c r="BD96" s="10">
        <v>90</v>
      </c>
      <c r="BE96" s="10">
        <v>99</v>
      </c>
      <c r="BF96" s="10">
        <v>82</v>
      </c>
      <c r="BG96" s="10">
        <v>99</v>
      </c>
    </row>
    <row r="97" spans="29:59">
      <c r="AC97" s="10">
        <v>91</v>
      </c>
      <c r="AD97" s="10">
        <v>95</v>
      </c>
      <c r="AH97" s="10">
        <v>91</v>
      </c>
      <c r="AI97" s="10">
        <v>99</v>
      </c>
      <c r="AJ97" s="10">
        <v>94</v>
      </c>
      <c r="AK97" s="10">
        <v>94</v>
      </c>
      <c r="AL97" s="10">
        <v>95</v>
      </c>
      <c r="AM97" s="10">
        <v>99</v>
      </c>
      <c r="AN97" s="10">
        <v>98</v>
      </c>
      <c r="AO97" s="10">
        <v>98</v>
      </c>
      <c r="AP97" s="10">
        <v>99</v>
      </c>
      <c r="AQ97" s="10">
        <v>99</v>
      </c>
      <c r="AR97" s="10">
        <v>96</v>
      </c>
      <c r="AS97" s="10">
        <v>98</v>
      </c>
      <c r="AT97" s="10">
        <v>98</v>
      </c>
      <c r="AU97" s="10">
        <v>99</v>
      </c>
      <c r="AV97" s="10">
        <v>97</v>
      </c>
      <c r="AW97" s="10">
        <v>99</v>
      </c>
      <c r="AX97" s="10">
        <v>81</v>
      </c>
      <c r="AY97" s="10">
        <v>96</v>
      </c>
      <c r="AZ97" s="10">
        <v>95</v>
      </c>
      <c r="BA97" s="10">
        <v>90</v>
      </c>
      <c r="BB97" s="10">
        <v>95</v>
      </c>
      <c r="BC97" s="10">
        <v>92</v>
      </c>
      <c r="BD97" s="10">
        <v>91</v>
      </c>
      <c r="BE97" s="10">
        <v>99</v>
      </c>
      <c r="BF97" s="10">
        <v>83</v>
      </c>
      <c r="BG97" s="10">
        <v>99</v>
      </c>
    </row>
    <row r="98" spans="29:59">
      <c r="AC98" s="10">
        <v>92</v>
      </c>
      <c r="AD98" s="10">
        <f>AD97</f>
        <v>95</v>
      </c>
      <c r="AH98" s="10">
        <v>92</v>
      </c>
      <c r="AI98" s="10">
        <v>99</v>
      </c>
      <c r="AJ98" s="10">
        <v>94</v>
      </c>
      <c r="AK98" s="10">
        <v>94</v>
      </c>
      <c r="AL98" s="10">
        <v>95</v>
      </c>
      <c r="AM98" s="10">
        <v>99</v>
      </c>
      <c r="AN98" s="10">
        <v>98</v>
      </c>
      <c r="AO98" s="10">
        <v>98</v>
      </c>
      <c r="AP98" s="10">
        <v>99</v>
      </c>
      <c r="AQ98" s="10">
        <v>99</v>
      </c>
      <c r="AR98" s="10">
        <v>96</v>
      </c>
      <c r="AS98" s="10">
        <v>99</v>
      </c>
      <c r="AT98" s="10">
        <v>98</v>
      </c>
      <c r="AU98" s="10">
        <v>99</v>
      </c>
      <c r="AV98" s="10">
        <v>98</v>
      </c>
      <c r="AW98" s="10">
        <v>99</v>
      </c>
      <c r="AX98" s="10">
        <v>83</v>
      </c>
      <c r="AY98" s="10">
        <v>96</v>
      </c>
      <c r="AZ98" s="10">
        <v>95</v>
      </c>
      <c r="BA98" s="10">
        <v>91</v>
      </c>
      <c r="BB98" s="10">
        <v>95</v>
      </c>
      <c r="BC98" s="10">
        <v>92</v>
      </c>
      <c r="BD98" s="10">
        <v>92</v>
      </c>
      <c r="BE98" s="10">
        <v>99</v>
      </c>
      <c r="BF98" s="10">
        <v>84</v>
      </c>
      <c r="BG98" s="10">
        <v>99</v>
      </c>
    </row>
    <row r="99" spans="29:59">
      <c r="AC99" s="10">
        <v>93</v>
      </c>
      <c r="AD99" s="10">
        <v>96</v>
      </c>
      <c r="AH99" s="10">
        <v>93</v>
      </c>
      <c r="AI99" s="10">
        <v>99</v>
      </c>
      <c r="AJ99" s="10">
        <v>94</v>
      </c>
      <c r="AK99" s="10">
        <v>94</v>
      </c>
      <c r="AL99" s="10">
        <v>96</v>
      </c>
      <c r="AM99" s="10">
        <v>99</v>
      </c>
      <c r="AN99" s="10">
        <v>98</v>
      </c>
      <c r="AO99" s="10">
        <v>98</v>
      </c>
      <c r="AP99" s="10">
        <v>99</v>
      </c>
      <c r="AQ99" s="10">
        <v>99</v>
      </c>
      <c r="AR99" s="10">
        <v>96</v>
      </c>
      <c r="AS99" s="10">
        <v>99</v>
      </c>
      <c r="AT99" s="10">
        <v>98</v>
      </c>
      <c r="AU99" s="10">
        <v>99</v>
      </c>
      <c r="AV99" s="10">
        <v>98</v>
      </c>
      <c r="AW99" s="10">
        <v>99</v>
      </c>
      <c r="AX99" s="10">
        <v>84</v>
      </c>
      <c r="AY99" s="10">
        <v>96</v>
      </c>
      <c r="AZ99" s="10">
        <v>95</v>
      </c>
      <c r="BA99" s="10">
        <v>91</v>
      </c>
      <c r="BB99" s="10">
        <v>95</v>
      </c>
      <c r="BC99" s="10">
        <v>92</v>
      </c>
      <c r="BD99" s="10">
        <v>92</v>
      </c>
      <c r="BE99" s="10">
        <v>99</v>
      </c>
      <c r="BF99" s="10">
        <v>85</v>
      </c>
      <c r="BG99" s="10">
        <v>99</v>
      </c>
    </row>
    <row r="100" spans="29:59">
      <c r="AC100" s="10">
        <v>94</v>
      </c>
      <c r="AD100" s="10">
        <f t="shared" ref="AD100:AD101" si="5">AD99</f>
        <v>96</v>
      </c>
      <c r="AH100" s="10">
        <v>94</v>
      </c>
      <c r="AI100" s="10">
        <v>99</v>
      </c>
      <c r="AJ100" s="10">
        <v>95</v>
      </c>
      <c r="AK100" s="10">
        <v>95</v>
      </c>
      <c r="AL100" s="10">
        <v>96</v>
      </c>
      <c r="AM100" s="10">
        <v>99</v>
      </c>
      <c r="AN100" s="10">
        <v>99</v>
      </c>
      <c r="AO100" s="10">
        <v>99</v>
      </c>
      <c r="AP100" s="10">
        <v>99</v>
      </c>
      <c r="AQ100" s="10">
        <v>99</v>
      </c>
      <c r="AR100" s="10">
        <v>96</v>
      </c>
      <c r="AS100" s="10">
        <v>99</v>
      </c>
      <c r="AT100" s="10">
        <v>98</v>
      </c>
      <c r="AU100" s="10">
        <v>99</v>
      </c>
      <c r="AV100" s="10">
        <v>99</v>
      </c>
      <c r="AW100" s="10">
        <v>99</v>
      </c>
      <c r="AX100" s="10">
        <v>86</v>
      </c>
      <c r="AY100" s="10">
        <v>96</v>
      </c>
      <c r="AZ100" s="10">
        <v>96</v>
      </c>
      <c r="BA100" s="10">
        <v>91</v>
      </c>
      <c r="BB100" s="10">
        <v>96</v>
      </c>
      <c r="BC100" s="10">
        <v>93</v>
      </c>
      <c r="BD100" s="10">
        <v>92</v>
      </c>
      <c r="BE100" s="10">
        <v>99</v>
      </c>
      <c r="BF100" s="10">
        <v>86</v>
      </c>
      <c r="BG100" s="10">
        <v>99</v>
      </c>
    </row>
    <row r="101" spans="29:59">
      <c r="AC101" s="10">
        <v>95</v>
      </c>
      <c r="AD101" s="10">
        <f t="shared" si="5"/>
        <v>96</v>
      </c>
      <c r="AH101" s="10">
        <v>95</v>
      </c>
      <c r="AI101" s="10">
        <v>99</v>
      </c>
      <c r="AJ101" s="10">
        <v>95</v>
      </c>
      <c r="AK101" s="10">
        <v>95</v>
      </c>
      <c r="AL101" s="10">
        <v>96</v>
      </c>
      <c r="AM101" s="10">
        <v>99</v>
      </c>
      <c r="AN101" s="10">
        <v>99</v>
      </c>
      <c r="AO101" s="10">
        <v>99</v>
      </c>
      <c r="AP101" s="10">
        <v>99</v>
      </c>
      <c r="AQ101" s="10">
        <v>99</v>
      </c>
      <c r="AR101" s="10">
        <v>96</v>
      </c>
      <c r="AS101" s="10">
        <v>99</v>
      </c>
      <c r="AT101" s="10">
        <v>99</v>
      </c>
      <c r="AU101" s="10">
        <v>99</v>
      </c>
      <c r="AV101" s="10">
        <v>99</v>
      </c>
      <c r="AW101" s="10">
        <v>99</v>
      </c>
      <c r="AX101" s="10">
        <v>87</v>
      </c>
      <c r="AY101" s="10">
        <v>96</v>
      </c>
      <c r="AZ101" s="10">
        <v>96</v>
      </c>
      <c r="BA101" s="10">
        <v>91</v>
      </c>
      <c r="BB101" s="10">
        <v>96</v>
      </c>
      <c r="BC101" s="10">
        <v>94</v>
      </c>
      <c r="BD101" s="10">
        <v>92</v>
      </c>
      <c r="BE101" s="10">
        <v>99</v>
      </c>
      <c r="BF101" s="10">
        <v>87</v>
      </c>
      <c r="BG101" s="10">
        <v>99</v>
      </c>
    </row>
    <row r="102" spans="29:59">
      <c r="AC102" s="10">
        <v>96</v>
      </c>
      <c r="AD102" s="10">
        <v>97</v>
      </c>
      <c r="AH102" s="10">
        <v>96</v>
      </c>
      <c r="AI102" s="10">
        <v>99</v>
      </c>
      <c r="AJ102" s="10">
        <v>95</v>
      </c>
      <c r="AK102" s="10">
        <v>95</v>
      </c>
      <c r="AL102" s="10">
        <v>97</v>
      </c>
      <c r="AM102" s="10">
        <v>99</v>
      </c>
      <c r="AN102" s="10">
        <v>99</v>
      </c>
      <c r="AO102" s="10">
        <v>99</v>
      </c>
      <c r="AP102" s="10">
        <v>99</v>
      </c>
      <c r="AQ102" s="10">
        <v>99</v>
      </c>
      <c r="AR102" s="10">
        <v>96</v>
      </c>
      <c r="AS102" s="10">
        <v>99</v>
      </c>
      <c r="AT102" s="10">
        <v>99</v>
      </c>
      <c r="AU102" s="10">
        <v>99</v>
      </c>
      <c r="AV102" s="10">
        <v>99</v>
      </c>
      <c r="AW102" s="10">
        <v>99</v>
      </c>
      <c r="AX102" s="10">
        <v>88</v>
      </c>
      <c r="AY102" s="10">
        <v>96</v>
      </c>
      <c r="AZ102" s="10">
        <v>97</v>
      </c>
      <c r="BA102" s="10">
        <v>92</v>
      </c>
      <c r="BB102" s="10">
        <v>96</v>
      </c>
      <c r="BC102" s="10">
        <v>94</v>
      </c>
      <c r="BD102" s="10">
        <v>93</v>
      </c>
      <c r="BE102" s="10">
        <v>99</v>
      </c>
      <c r="BF102" s="10">
        <v>88</v>
      </c>
      <c r="BG102" s="10">
        <v>99</v>
      </c>
    </row>
    <row r="103" spans="29:59">
      <c r="AC103" s="10">
        <v>97</v>
      </c>
      <c r="AD103" s="10">
        <f>AD102</f>
        <v>97</v>
      </c>
      <c r="AH103" s="10">
        <v>97</v>
      </c>
      <c r="AI103" s="10">
        <v>99</v>
      </c>
      <c r="AJ103" s="10">
        <v>96</v>
      </c>
      <c r="AK103" s="10">
        <v>96</v>
      </c>
      <c r="AL103" s="10">
        <v>97</v>
      </c>
      <c r="AM103" s="10">
        <v>99</v>
      </c>
      <c r="AN103" s="10">
        <v>99</v>
      </c>
      <c r="AO103" s="10">
        <v>99</v>
      </c>
      <c r="AP103" s="10">
        <v>99</v>
      </c>
      <c r="AQ103" s="10">
        <v>99</v>
      </c>
      <c r="AR103" s="10">
        <v>96</v>
      </c>
      <c r="AS103" s="10">
        <v>99</v>
      </c>
      <c r="AT103" s="10">
        <v>99</v>
      </c>
      <c r="AU103" s="10">
        <v>99</v>
      </c>
      <c r="AV103" s="10">
        <v>99</v>
      </c>
      <c r="AW103" s="10">
        <v>99</v>
      </c>
      <c r="AX103" s="10">
        <v>90</v>
      </c>
      <c r="AY103" s="10">
        <v>96</v>
      </c>
      <c r="AZ103" s="10">
        <v>97</v>
      </c>
      <c r="BA103" s="10">
        <v>93</v>
      </c>
      <c r="BB103" s="10">
        <v>97</v>
      </c>
      <c r="BC103" s="10">
        <v>94</v>
      </c>
      <c r="BD103" s="10">
        <v>94</v>
      </c>
      <c r="BE103" s="10">
        <v>99</v>
      </c>
      <c r="BF103" s="10">
        <v>89</v>
      </c>
      <c r="BG103" s="10">
        <v>99</v>
      </c>
    </row>
    <row r="104" spans="29:59">
      <c r="AC104" s="10">
        <v>98</v>
      </c>
      <c r="AD104" s="10">
        <v>98</v>
      </c>
      <c r="AH104" s="10">
        <v>98</v>
      </c>
      <c r="AI104" s="10">
        <v>99</v>
      </c>
      <c r="AJ104" s="10">
        <v>96</v>
      </c>
      <c r="AK104" s="10">
        <v>96</v>
      </c>
      <c r="AL104" s="10">
        <v>97</v>
      </c>
      <c r="AM104" s="10">
        <v>99</v>
      </c>
      <c r="AN104" s="10">
        <v>99</v>
      </c>
      <c r="AO104" s="10">
        <v>99</v>
      </c>
      <c r="AP104" s="10">
        <v>99</v>
      </c>
      <c r="AQ104" s="10">
        <v>99</v>
      </c>
      <c r="AR104" s="10">
        <v>96</v>
      </c>
      <c r="AS104" s="10">
        <v>99</v>
      </c>
      <c r="AT104" s="10">
        <v>99</v>
      </c>
      <c r="AU104" s="10">
        <v>99</v>
      </c>
      <c r="AV104" s="10">
        <v>99</v>
      </c>
      <c r="AW104" s="10">
        <v>99</v>
      </c>
      <c r="AX104" s="10">
        <v>91</v>
      </c>
      <c r="AY104" s="10">
        <v>96</v>
      </c>
      <c r="AZ104" s="10">
        <v>97</v>
      </c>
      <c r="BA104" s="10">
        <v>94</v>
      </c>
      <c r="BB104" s="10">
        <v>97</v>
      </c>
      <c r="BC104" s="10">
        <v>95</v>
      </c>
      <c r="BD104" s="10">
        <v>94</v>
      </c>
      <c r="BE104" s="10">
        <v>99</v>
      </c>
      <c r="BF104" s="10">
        <v>89</v>
      </c>
      <c r="BG104" s="10">
        <v>99</v>
      </c>
    </row>
    <row r="105" spans="29:59">
      <c r="AC105" s="10">
        <v>99</v>
      </c>
      <c r="AD105" s="10">
        <f>AD104</f>
        <v>98</v>
      </c>
      <c r="AH105" s="10">
        <v>99</v>
      </c>
      <c r="AI105" s="10">
        <v>99</v>
      </c>
      <c r="AJ105" s="10">
        <v>96</v>
      </c>
      <c r="AK105" s="10">
        <v>96</v>
      </c>
      <c r="AL105" s="10">
        <v>97</v>
      </c>
      <c r="AM105" s="10">
        <v>99</v>
      </c>
      <c r="AN105" s="10">
        <v>99</v>
      </c>
      <c r="AO105" s="10">
        <v>99</v>
      </c>
      <c r="AP105" s="10">
        <v>99</v>
      </c>
      <c r="AQ105" s="10">
        <v>99</v>
      </c>
      <c r="AR105" s="10">
        <v>96</v>
      </c>
      <c r="AS105" s="10">
        <v>99</v>
      </c>
      <c r="AT105" s="10">
        <v>99</v>
      </c>
      <c r="AU105" s="10">
        <v>99</v>
      </c>
      <c r="AV105" s="10">
        <v>99</v>
      </c>
      <c r="AW105" s="10">
        <v>99</v>
      </c>
      <c r="AX105" s="10">
        <v>91</v>
      </c>
      <c r="AY105" s="10">
        <v>97</v>
      </c>
      <c r="AZ105" s="10">
        <v>97</v>
      </c>
      <c r="BA105" s="10">
        <v>94</v>
      </c>
      <c r="BB105" s="10">
        <v>97</v>
      </c>
      <c r="BC105" s="10">
        <v>95</v>
      </c>
      <c r="BD105" s="10">
        <v>95</v>
      </c>
      <c r="BE105" s="10">
        <v>99</v>
      </c>
      <c r="BF105" s="10">
        <v>91</v>
      </c>
      <c r="BG105" s="10">
        <v>99</v>
      </c>
    </row>
    <row r="106" spans="29:59">
      <c r="AC106" s="10">
        <v>100</v>
      </c>
      <c r="AD106" s="10">
        <v>99</v>
      </c>
      <c r="AH106" s="10">
        <v>100</v>
      </c>
      <c r="AI106" s="10">
        <v>99</v>
      </c>
      <c r="AJ106" s="10">
        <v>96</v>
      </c>
      <c r="AK106" s="10">
        <v>97</v>
      </c>
      <c r="AL106" s="10">
        <v>98</v>
      </c>
      <c r="AM106" s="10">
        <v>99</v>
      </c>
      <c r="AN106" s="10">
        <v>99</v>
      </c>
      <c r="AO106" s="10">
        <v>99</v>
      </c>
      <c r="AP106" s="10">
        <v>99</v>
      </c>
      <c r="AQ106" s="10">
        <v>99</v>
      </c>
      <c r="AR106" s="10">
        <v>98</v>
      </c>
      <c r="AS106" s="10">
        <v>99</v>
      </c>
      <c r="AT106" s="10">
        <v>99</v>
      </c>
      <c r="AU106" s="10">
        <v>99</v>
      </c>
      <c r="AV106" s="10">
        <v>99</v>
      </c>
      <c r="AW106" s="10">
        <v>99</v>
      </c>
      <c r="AX106" s="10">
        <v>92</v>
      </c>
      <c r="AY106" s="10">
        <v>98</v>
      </c>
      <c r="AZ106" s="10">
        <v>98</v>
      </c>
      <c r="BA106" s="10">
        <v>94</v>
      </c>
      <c r="BB106" s="10">
        <v>97</v>
      </c>
      <c r="BC106" s="10">
        <v>95</v>
      </c>
      <c r="BD106" s="10">
        <v>95</v>
      </c>
      <c r="BE106" s="10">
        <v>99</v>
      </c>
      <c r="BF106" s="10">
        <v>92</v>
      </c>
      <c r="BG106" s="10">
        <v>99</v>
      </c>
    </row>
    <row r="107" spans="29:59">
      <c r="AC107" s="10">
        <v>101</v>
      </c>
      <c r="AD107" s="10">
        <f>AD106</f>
        <v>99</v>
      </c>
      <c r="AH107" s="10">
        <v>101</v>
      </c>
      <c r="AI107" s="10">
        <v>99</v>
      </c>
      <c r="AJ107" s="10">
        <v>97</v>
      </c>
      <c r="AK107" s="10">
        <v>97</v>
      </c>
      <c r="AL107" s="10">
        <v>98</v>
      </c>
      <c r="AO107" s="10">
        <v>99</v>
      </c>
      <c r="AP107" s="10">
        <v>99</v>
      </c>
      <c r="AQ107" s="10">
        <v>99</v>
      </c>
      <c r="AS107" s="10">
        <v>99</v>
      </c>
      <c r="AT107" s="10">
        <v>99</v>
      </c>
      <c r="AU107" s="10">
        <v>99</v>
      </c>
      <c r="AV107" s="10">
        <v>99</v>
      </c>
      <c r="AW107" s="10">
        <v>99</v>
      </c>
      <c r="AX107" s="10">
        <v>94</v>
      </c>
      <c r="AY107" s="10">
        <v>98</v>
      </c>
      <c r="AZ107" s="10">
        <v>98</v>
      </c>
      <c r="BA107" s="10">
        <v>94</v>
      </c>
      <c r="BB107" s="10">
        <v>98</v>
      </c>
      <c r="BC107" s="10">
        <v>95</v>
      </c>
      <c r="BD107" s="10">
        <v>96</v>
      </c>
      <c r="BE107" s="10">
        <v>99</v>
      </c>
      <c r="BF107" s="10">
        <v>92</v>
      </c>
      <c r="BG107" s="10">
        <v>99</v>
      </c>
    </row>
    <row r="108" spans="29:59">
      <c r="AC108" s="10">
        <v>102</v>
      </c>
      <c r="AD108" s="10">
        <v>100</v>
      </c>
      <c r="AH108" s="10">
        <v>102</v>
      </c>
      <c r="AI108" s="10">
        <v>99</v>
      </c>
      <c r="AJ108" s="10">
        <v>97</v>
      </c>
      <c r="AK108" s="10">
        <v>97</v>
      </c>
      <c r="AL108" s="10">
        <v>98</v>
      </c>
      <c r="AO108" s="10">
        <v>99</v>
      </c>
      <c r="AP108" s="10">
        <v>99</v>
      </c>
      <c r="AQ108" s="10">
        <v>99</v>
      </c>
      <c r="AS108" s="10">
        <v>99</v>
      </c>
      <c r="AT108" s="10">
        <v>99</v>
      </c>
      <c r="AU108" s="10">
        <v>99</v>
      </c>
      <c r="AV108" s="10">
        <v>99</v>
      </c>
      <c r="AW108" s="10">
        <v>99</v>
      </c>
      <c r="AX108" s="10">
        <v>94</v>
      </c>
      <c r="AY108" s="10">
        <v>98</v>
      </c>
      <c r="AZ108" s="10">
        <v>98</v>
      </c>
      <c r="BA108" s="10">
        <v>95</v>
      </c>
      <c r="BB108" s="10">
        <v>98</v>
      </c>
      <c r="BC108" s="10">
        <v>96</v>
      </c>
      <c r="BD108" s="10">
        <v>97</v>
      </c>
      <c r="BE108" s="10">
        <v>99</v>
      </c>
      <c r="BF108" s="10">
        <v>93</v>
      </c>
      <c r="BG108" s="10">
        <v>99</v>
      </c>
    </row>
    <row r="109" spans="29:59">
      <c r="AC109" s="10">
        <v>103</v>
      </c>
      <c r="AD109" s="10">
        <f t="shared" ref="AD109:AD121" si="6">AD108</f>
        <v>100</v>
      </c>
      <c r="AH109" s="10">
        <v>103</v>
      </c>
      <c r="AI109" s="10">
        <v>99</v>
      </c>
      <c r="AJ109" s="10">
        <v>97</v>
      </c>
      <c r="AK109" s="10">
        <v>98</v>
      </c>
      <c r="AL109" s="10">
        <v>98</v>
      </c>
      <c r="AO109" s="10">
        <v>99</v>
      </c>
      <c r="AP109" s="10">
        <v>99</v>
      </c>
      <c r="AQ109" s="10">
        <v>99</v>
      </c>
      <c r="AS109" s="10">
        <v>99</v>
      </c>
      <c r="AT109" s="10">
        <v>99</v>
      </c>
      <c r="AU109" s="10">
        <v>99</v>
      </c>
      <c r="AV109" s="10">
        <v>99</v>
      </c>
      <c r="AW109" s="10">
        <v>99</v>
      </c>
      <c r="AX109" s="10">
        <v>95</v>
      </c>
      <c r="AY109" s="10">
        <v>98</v>
      </c>
      <c r="AZ109" s="10">
        <v>98</v>
      </c>
      <c r="BA109" s="10">
        <v>96</v>
      </c>
      <c r="BB109" s="10">
        <v>98</v>
      </c>
      <c r="BC109" s="10">
        <v>97</v>
      </c>
      <c r="BD109" s="10">
        <v>97</v>
      </c>
      <c r="BE109" s="10">
        <v>99</v>
      </c>
      <c r="BF109" s="10">
        <v>94</v>
      </c>
      <c r="BG109" s="10">
        <v>99</v>
      </c>
    </row>
    <row r="110" spans="29:59">
      <c r="AC110" s="10">
        <v>104</v>
      </c>
      <c r="AD110" s="10">
        <f t="shared" si="6"/>
        <v>100</v>
      </c>
      <c r="AH110" s="10">
        <v>104</v>
      </c>
      <c r="AI110" s="10">
        <v>99</v>
      </c>
      <c r="AJ110" s="10">
        <v>98</v>
      </c>
      <c r="AK110" s="10">
        <v>98</v>
      </c>
      <c r="AL110" s="10">
        <v>99</v>
      </c>
      <c r="AO110" s="10">
        <v>99</v>
      </c>
      <c r="AP110" s="10">
        <v>99</v>
      </c>
      <c r="AQ110" s="10">
        <v>99</v>
      </c>
      <c r="AS110" s="10">
        <v>99</v>
      </c>
      <c r="AT110" s="10">
        <v>99</v>
      </c>
      <c r="AU110" s="10">
        <v>99</v>
      </c>
      <c r="AV110" s="10">
        <v>99</v>
      </c>
      <c r="AW110" s="10">
        <v>99</v>
      </c>
      <c r="AX110" s="10">
        <v>96</v>
      </c>
      <c r="AY110" s="10">
        <v>98</v>
      </c>
      <c r="AZ110" s="10">
        <v>98</v>
      </c>
      <c r="BA110" s="10">
        <v>96</v>
      </c>
      <c r="BB110" s="10">
        <v>98</v>
      </c>
      <c r="BC110" s="10">
        <v>97</v>
      </c>
      <c r="BD110" s="10">
        <v>97</v>
      </c>
      <c r="BE110" s="10">
        <v>99</v>
      </c>
      <c r="BF110" s="10">
        <v>94</v>
      </c>
      <c r="BG110" s="10">
        <v>99</v>
      </c>
    </row>
    <row r="111" spans="29:59">
      <c r="AC111" s="10">
        <v>105</v>
      </c>
      <c r="AD111" s="10">
        <f t="shared" si="6"/>
        <v>100</v>
      </c>
      <c r="AH111" s="10">
        <v>105</v>
      </c>
      <c r="AI111" s="10">
        <v>99</v>
      </c>
      <c r="AJ111" s="10">
        <v>98</v>
      </c>
      <c r="AK111" s="10">
        <v>98</v>
      </c>
      <c r="AL111" s="10">
        <v>99</v>
      </c>
      <c r="AO111" s="10">
        <v>99</v>
      </c>
      <c r="AP111" s="10">
        <v>99</v>
      </c>
      <c r="AQ111" s="10">
        <v>99</v>
      </c>
      <c r="AS111" s="10">
        <v>99</v>
      </c>
      <c r="AT111" s="10">
        <v>99</v>
      </c>
      <c r="AU111" s="10">
        <v>99</v>
      </c>
      <c r="AV111" s="10">
        <v>99</v>
      </c>
      <c r="AW111" s="10">
        <v>99</v>
      </c>
      <c r="AX111" s="10">
        <v>97</v>
      </c>
      <c r="AY111" s="10">
        <v>98</v>
      </c>
      <c r="AZ111" s="10">
        <v>99</v>
      </c>
      <c r="BA111" s="10">
        <v>96</v>
      </c>
      <c r="BB111" s="10">
        <v>99</v>
      </c>
      <c r="BC111" s="10">
        <v>97</v>
      </c>
      <c r="BD111" s="10">
        <v>98</v>
      </c>
      <c r="BE111" s="10">
        <v>99</v>
      </c>
      <c r="BF111" s="10">
        <v>95</v>
      </c>
      <c r="BG111" s="10">
        <v>99</v>
      </c>
    </row>
    <row r="112" spans="29:59">
      <c r="AC112" s="10">
        <v>106</v>
      </c>
      <c r="AD112" s="10">
        <f t="shared" si="6"/>
        <v>100</v>
      </c>
      <c r="AH112" s="10">
        <v>106</v>
      </c>
      <c r="AI112" s="10">
        <v>99</v>
      </c>
      <c r="AJ112" s="10">
        <v>98</v>
      </c>
      <c r="AK112" s="10">
        <v>99</v>
      </c>
      <c r="AL112" s="10">
        <v>99</v>
      </c>
      <c r="AO112" s="10">
        <v>99</v>
      </c>
      <c r="AP112" s="10">
        <v>99</v>
      </c>
      <c r="AQ112" s="10">
        <v>99</v>
      </c>
      <c r="AS112" s="10">
        <v>99</v>
      </c>
      <c r="AT112" s="10">
        <v>99</v>
      </c>
      <c r="AU112" s="10">
        <v>99</v>
      </c>
      <c r="AV112" s="10">
        <v>99</v>
      </c>
      <c r="AW112" s="10">
        <v>99</v>
      </c>
      <c r="AX112" s="10">
        <v>97</v>
      </c>
      <c r="AY112" s="10">
        <v>98</v>
      </c>
      <c r="AZ112" s="10">
        <v>99</v>
      </c>
      <c r="BA112" s="10">
        <v>96</v>
      </c>
      <c r="BB112" s="10">
        <v>99</v>
      </c>
      <c r="BC112" s="10">
        <v>98</v>
      </c>
      <c r="BD112" s="10">
        <v>98</v>
      </c>
      <c r="BE112" s="10">
        <v>99</v>
      </c>
      <c r="BF112" s="10">
        <v>96</v>
      </c>
      <c r="BG112" s="10">
        <v>99</v>
      </c>
    </row>
    <row r="113" spans="29:59">
      <c r="AC113" s="10">
        <v>107</v>
      </c>
      <c r="AD113" s="10">
        <f t="shared" si="6"/>
        <v>100</v>
      </c>
      <c r="AH113" s="10">
        <v>107</v>
      </c>
      <c r="AI113" s="10">
        <v>99</v>
      </c>
      <c r="AJ113" s="10">
        <v>99</v>
      </c>
      <c r="AK113" s="10">
        <v>99</v>
      </c>
      <c r="AL113" s="10">
        <v>99</v>
      </c>
      <c r="AO113" s="10">
        <v>99</v>
      </c>
      <c r="AP113" s="10">
        <v>99</v>
      </c>
      <c r="AQ113" s="10">
        <v>99</v>
      </c>
      <c r="AS113" s="10">
        <v>99</v>
      </c>
      <c r="AT113" s="10">
        <v>99</v>
      </c>
      <c r="AU113" s="10">
        <v>99</v>
      </c>
      <c r="AV113" s="10">
        <v>99</v>
      </c>
      <c r="AW113" s="10">
        <v>99</v>
      </c>
      <c r="AX113" s="10">
        <v>98</v>
      </c>
      <c r="AY113" s="10">
        <v>98</v>
      </c>
      <c r="AZ113" s="10">
        <v>99</v>
      </c>
      <c r="BA113" s="10">
        <v>97</v>
      </c>
      <c r="BB113" s="10">
        <v>99</v>
      </c>
      <c r="BC113" s="10">
        <v>98</v>
      </c>
      <c r="BD113" s="10">
        <v>99</v>
      </c>
      <c r="BE113" s="10">
        <v>99</v>
      </c>
      <c r="BF113" s="10">
        <v>97</v>
      </c>
      <c r="BG113" s="10">
        <v>99</v>
      </c>
    </row>
    <row r="114" spans="29:59">
      <c r="AC114" s="10">
        <v>108</v>
      </c>
      <c r="AD114" s="10">
        <f t="shared" si="6"/>
        <v>100</v>
      </c>
      <c r="AH114" s="10">
        <v>108</v>
      </c>
      <c r="AI114" s="10">
        <v>99</v>
      </c>
      <c r="AJ114" s="10">
        <v>99</v>
      </c>
      <c r="AK114" s="10">
        <v>99</v>
      </c>
      <c r="AL114" s="10">
        <v>99</v>
      </c>
      <c r="AO114" s="10">
        <v>99</v>
      </c>
      <c r="AP114" s="10">
        <v>99</v>
      </c>
      <c r="AQ114" s="10">
        <v>99</v>
      </c>
      <c r="AS114" s="10">
        <v>99</v>
      </c>
      <c r="AT114" s="10">
        <v>99</v>
      </c>
      <c r="AU114" s="10">
        <v>99</v>
      </c>
      <c r="AV114" s="10">
        <v>99</v>
      </c>
      <c r="AW114" s="10">
        <v>99</v>
      </c>
      <c r="AX114" s="10">
        <v>98</v>
      </c>
      <c r="AY114" s="10">
        <v>98</v>
      </c>
      <c r="AZ114" s="10">
        <v>99</v>
      </c>
      <c r="BA114" s="10">
        <v>97</v>
      </c>
      <c r="BB114" s="10">
        <v>99</v>
      </c>
      <c r="BC114" s="10">
        <v>98</v>
      </c>
      <c r="BD114" s="10">
        <v>99</v>
      </c>
      <c r="BE114" s="10">
        <v>99</v>
      </c>
      <c r="BF114" s="10">
        <v>98</v>
      </c>
      <c r="BG114" s="10">
        <v>99</v>
      </c>
    </row>
    <row r="115" spans="29:59">
      <c r="AC115" s="10">
        <v>109</v>
      </c>
      <c r="AD115" s="10">
        <f t="shared" si="6"/>
        <v>100</v>
      </c>
      <c r="AH115" s="10">
        <v>109</v>
      </c>
      <c r="AI115" s="10">
        <v>99</v>
      </c>
      <c r="AJ115" s="10">
        <v>99</v>
      </c>
      <c r="AK115" s="10">
        <v>99</v>
      </c>
      <c r="AL115" s="10">
        <v>99</v>
      </c>
      <c r="AO115" s="10">
        <v>99</v>
      </c>
      <c r="AP115" s="10">
        <v>99</v>
      </c>
      <c r="AQ115" s="10">
        <v>99</v>
      </c>
      <c r="AS115" s="10">
        <v>99</v>
      </c>
      <c r="AT115" s="10">
        <v>99</v>
      </c>
      <c r="AU115" s="10">
        <v>99</v>
      </c>
      <c r="AV115" s="10">
        <v>99</v>
      </c>
      <c r="AW115" s="10">
        <v>99</v>
      </c>
      <c r="AX115" s="10">
        <v>98</v>
      </c>
      <c r="AY115" s="10">
        <v>98</v>
      </c>
      <c r="AZ115" s="10">
        <v>99</v>
      </c>
      <c r="BA115" s="10">
        <v>98</v>
      </c>
      <c r="BB115" s="10">
        <v>99</v>
      </c>
      <c r="BC115" s="10">
        <v>99</v>
      </c>
      <c r="BD115" s="10">
        <v>99</v>
      </c>
      <c r="BE115" s="10">
        <v>99</v>
      </c>
      <c r="BF115" s="10">
        <v>98</v>
      </c>
      <c r="BG115" s="10">
        <v>99</v>
      </c>
    </row>
    <row r="116" spans="29:59">
      <c r="AC116" s="10">
        <v>110</v>
      </c>
      <c r="AD116" s="10">
        <f t="shared" si="6"/>
        <v>100</v>
      </c>
      <c r="AH116" s="10">
        <v>110</v>
      </c>
      <c r="AI116" s="10">
        <v>99</v>
      </c>
      <c r="AJ116" s="10">
        <v>99</v>
      </c>
      <c r="AK116" s="10">
        <v>99</v>
      </c>
      <c r="AL116" s="10">
        <v>99</v>
      </c>
      <c r="AO116" s="10">
        <v>99</v>
      </c>
      <c r="AP116" s="10">
        <v>99</v>
      </c>
      <c r="AQ116" s="10">
        <v>99</v>
      </c>
      <c r="AS116" s="10">
        <v>99</v>
      </c>
      <c r="AT116" s="10">
        <v>99</v>
      </c>
      <c r="AU116" s="10">
        <v>99</v>
      </c>
      <c r="AV116" s="10">
        <v>99</v>
      </c>
      <c r="AW116" s="10">
        <v>99</v>
      </c>
      <c r="AX116" s="10">
        <v>99</v>
      </c>
      <c r="AY116" s="10">
        <v>98</v>
      </c>
      <c r="AZ116" s="10">
        <v>99</v>
      </c>
      <c r="BA116" s="10">
        <v>98</v>
      </c>
      <c r="BB116" s="10">
        <v>99</v>
      </c>
      <c r="BC116" s="10">
        <v>99</v>
      </c>
      <c r="BD116" s="10">
        <v>99</v>
      </c>
      <c r="BE116" s="10">
        <v>99</v>
      </c>
      <c r="BF116" s="10">
        <v>99</v>
      </c>
      <c r="BG116" s="10">
        <v>99</v>
      </c>
    </row>
    <row r="117" spans="29:59">
      <c r="AC117" s="10">
        <v>111</v>
      </c>
      <c r="AD117" s="10">
        <f t="shared" si="6"/>
        <v>100</v>
      </c>
      <c r="AH117" s="10">
        <v>111</v>
      </c>
      <c r="AI117" s="10">
        <v>99</v>
      </c>
      <c r="AJ117" s="10">
        <v>99</v>
      </c>
      <c r="AK117" s="10">
        <v>99</v>
      </c>
      <c r="AL117" s="10">
        <v>99</v>
      </c>
      <c r="AO117" s="10">
        <v>99</v>
      </c>
      <c r="AP117" s="10">
        <v>99</v>
      </c>
      <c r="AQ117" s="10">
        <v>99</v>
      </c>
      <c r="AS117" s="10">
        <v>99</v>
      </c>
      <c r="AT117" s="10">
        <v>99</v>
      </c>
      <c r="AU117" s="10">
        <v>99</v>
      </c>
      <c r="AV117" s="10">
        <v>99</v>
      </c>
      <c r="AW117" s="10">
        <v>99</v>
      </c>
      <c r="AX117" s="10">
        <v>99</v>
      </c>
      <c r="AY117" s="10">
        <v>98</v>
      </c>
      <c r="AZ117" s="10">
        <v>99</v>
      </c>
      <c r="BA117" s="10">
        <v>98</v>
      </c>
      <c r="BB117" s="10">
        <v>99</v>
      </c>
      <c r="BC117" s="10">
        <v>99</v>
      </c>
      <c r="BD117" s="10">
        <v>99</v>
      </c>
      <c r="BE117" s="10">
        <v>99</v>
      </c>
      <c r="BF117" s="10">
        <v>99</v>
      </c>
      <c r="BG117" s="10">
        <v>99</v>
      </c>
    </row>
    <row r="118" spans="29:59">
      <c r="AC118" s="10">
        <v>112</v>
      </c>
      <c r="AD118" s="10">
        <f t="shared" si="6"/>
        <v>100</v>
      </c>
      <c r="AH118" s="10">
        <v>112</v>
      </c>
      <c r="AI118" s="10">
        <v>99</v>
      </c>
      <c r="AJ118" s="10">
        <v>99</v>
      </c>
      <c r="AK118" s="10">
        <v>99</v>
      </c>
      <c r="AL118" s="10">
        <v>99</v>
      </c>
      <c r="AO118" s="10">
        <v>99</v>
      </c>
      <c r="AP118" s="10">
        <v>99</v>
      </c>
      <c r="AQ118" s="10">
        <v>99</v>
      </c>
      <c r="AS118" s="10">
        <v>99</v>
      </c>
      <c r="AT118" s="10">
        <v>99</v>
      </c>
      <c r="AU118" s="10">
        <v>99</v>
      </c>
      <c r="AV118" s="10">
        <v>99</v>
      </c>
      <c r="AW118" s="10">
        <v>99</v>
      </c>
      <c r="AX118" s="10">
        <v>99</v>
      </c>
      <c r="AY118" s="10">
        <v>98</v>
      </c>
      <c r="AZ118" s="10">
        <v>99</v>
      </c>
      <c r="BA118" s="10">
        <v>98</v>
      </c>
      <c r="BB118" s="10">
        <v>99</v>
      </c>
      <c r="BC118" s="10">
        <v>99</v>
      </c>
      <c r="BD118" s="10">
        <v>99</v>
      </c>
      <c r="BE118" s="10">
        <v>99</v>
      </c>
      <c r="BF118" s="10">
        <v>99</v>
      </c>
      <c r="BG118" s="10">
        <v>99</v>
      </c>
    </row>
    <row r="119" spans="29:59">
      <c r="AC119" s="10">
        <v>113</v>
      </c>
      <c r="AD119" s="10">
        <f t="shared" si="6"/>
        <v>100</v>
      </c>
      <c r="AH119" s="10">
        <v>113</v>
      </c>
      <c r="AI119" s="10">
        <v>99</v>
      </c>
      <c r="AJ119" s="10">
        <v>99</v>
      </c>
      <c r="AK119" s="10">
        <v>99</v>
      </c>
      <c r="AL119" s="10">
        <v>99</v>
      </c>
      <c r="AO119" s="10">
        <v>99</v>
      </c>
      <c r="AP119" s="10">
        <v>99</v>
      </c>
      <c r="AQ119" s="10">
        <v>99</v>
      </c>
      <c r="AS119" s="10">
        <v>99</v>
      </c>
      <c r="AT119" s="10">
        <v>99</v>
      </c>
      <c r="AU119" s="10">
        <v>99</v>
      </c>
      <c r="AV119" s="10">
        <v>99</v>
      </c>
      <c r="AW119" s="10">
        <v>99</v>
      </c>
      <c r="AX119" s="10">
        <v>99</v>
      </c>
      <c r="AY119" s="10">
        <v>99</v>
      </c>
      <c r="AZ119" s="10">
        <v>99</v>
      </c>
      <c r="BA119" s="10">
        <v>99</v>
      </c>
      <c r="BB119" s="10">
        <v>99</v>
      </c>
      <c r="BC119" s="10">
        <v>99</v>
      </c>
      <c r="BD119" s="10">
        <v>99</v>
      </c>
      <c r="BE119" s="10">
        <v>99</v>
      </c>
      <c r="BF119" s="10">
        <v>99</v>
      </c>
      <c r="BG119" s="10">
        <v>99</v>
      </c>
    </row>
    <row r="120" spans="29:59">
      <c r="AC120" s="10">
        <v>114</v>
      </c>
      <c r="AD120" s="10">
        <f t="shared" si="6"/>
        <v>100</v>
      </c>
      <c r="AH120" s="10">
        <v>114</v>
      </c>
      <c r="AI120" s="10">
        <v>99</v>
      </c>
      <c r="AJ120" s="10">
        <v>99</v>
      </c>
      <c r="AK120" s="10">
        <v>99</v>
      </c>
      <c r="AL120" s="10">
        <v>99</v>
      </c>
      <c r="AO120" s="10">
        <v>99</v>
      </c>
      <c r="AP120" s="10">
        <v>99</v>
      </c>
      <c r="AQ120" s="10">
        <v>99</v>
      </c>
      <c r="AS120" s="10">
        <v>99</v>
      </c>
      <c r="AT120" s="10">
        <v>99</v>
      </c>
      <c r="AU120" s="10">
        <v>99</v>
      </c>
      <c r="AV120" s="10">
        <v>99</v>
      </c>
      <c r="AW120" s="10">
        <v>99</v>
      </c>
      <c r="AX120" s="10">
        <v>99</v>
      </c>
      <c r="AY120" s="10">
        <v>99</v>
      </c>
      <c r="AZ120" s="10">
        <v>99</v>
      </c>
      <c r="BA120" s="10">
        <v>99</v>
      </c>
      <c r="BB120" s="10">
        <v>99</v>
      </c>
      <c r="BC120" s="10">
        <v>99</v>
      </c>
      <c r="BD120" s="10">
        <v>99</v>
      </c>
      <c r="BE120" s="10">
        <v>99</v>
      </c>
      <c r="BF120" s="10">
        <v>99</v>
      </c>
      <c r="BG120" s="10">
        <v>99</v>
      </c>
    </row>
    <row r="121" spans="29:59">
      <c r="AC121" s="10">
        <v>115</v>
      </c>
      <c r="AD121" s="10">
        <f t="shared" si="6"/>
        <v>100</v>
      </c>
      <c r="AH121" s="10">
        <v>115</v>
      </c>
      <c r="AI121" s="10">
        <v>99</v>
      </c>
      <c r="AJ121" s="10">
        <v>99</v>
      </c>
      <c r="AK121" s="10">
        <v>99</v>
      </c>
      <c r="AL121" s="10">
        <v>99</v>
      </c>
      <c r="AO121" s="10">
        <v>99</v>
      </c>
      <c r="AP121" s="10">
        <v>99</v>
      </c>
      <c r="AQ121" s="10">
        <v>99</v>
      </c>
      <c r="AS121" s="10">
        <v>99</v>
      </c>
      <c r="AT121" s="10">
        <v>99</v>
      </c>
      <c r="AU121" s="10">
        <v>99</v>
      </c>
      <c r="AV121" s="10">
        <v>99</v>
      </c>
      <c r="AW121" s="10">
        <v>99</v>
      </c>
      <c r="AX121" s="10">
        <v>99</v>
      </c>
      <c r="AY121" s="10">
        <v>99</v>
      </c>
      <c r="AZ121" s="10">
        <v>99</v>
      </c>
      <c r="BA121" s="10">
        <v>99</v>
      </c>
      <c r="BB121" s="10">
        <v>99</v>
      </c>
      <c r="BC121" s="10">
        <v>99</v>
      </c>
      <c r="BD121" s="10">
        <v>99</v>
      </c>
      <c r="BE121" s="10">
        <v>99</v>
      </c>
      <c r="BF121" s="10">
        <v>99</v>
      </c>
      <c r="BG121" s="10">
        <v>99</v>
      </c>
    </row>
  </sheetData>
  <sheetProtection algorithmName="SHA-512" hashValue="CqtUgWCrbcW/pCErXDTyfZCJos8ND8WQrs+99dQLHn0fdWLFxI+FVV4erwQi50pA0ztI6pfWPV6FBhSg2aD/kQ==" saltValue="vlH67H0i2aBrAT6ZW2kNog==" spinCount="100000" sheet="1" objects="1" scenarios="1"/>
  <mergeCells count="45">
    <mergeCell ref="B2:EU2"/>
    <mergeCell ref="ER4:ES4"/>
    <mergeCell ref="ET4:EU4"/>
    <mergeCell ref="EF4:EG4"/>
    <mergeCell ref="EH4:EI4"/>
    <mergeCell ref="EJ4:EK4"/>
    <mergeCell ref="EL4:EM4"/>
    <mergeCell ref="EN4:EO4"/>
    <mergeCell ref="EP4:EQ4"/>
    <mergeCell ref="DP4:DQ4"/>
    <mergeCell ref="DR4:DS4"/>
    <mergeCell ref="DT4:DU4"/>
    <mergeCell ref="DX4:DY4"/>
    <mergeCell ref="DZ4:EA4"/>
    <mergeCell ref="EB4:EC4"/>
    <mergeCell ref="DB4:DC4"/>
    <mergeCell ref="DD4:DE4"/>
    <mergeCell ref="DH4:DI4"/>
    <mergeCell ref="DJ4:DK4"/>
    <mergeCell ref="DL4:DM4"/>
    <mergeCell ref="DN4:DO4"/>
    <mergeCell ref="CX4:CY4"/>
    <mergeCell ref="BZ4:CA4"/>
    <mergeCell ref="CB4:CC4"/>
    <mergeCell ref="CF4:CG4"/>
    <mergeCell ref="CH4:CI4"/>
    <mergeCell ref="CJ4:CK4"/>
    <mergeCell ref="CL4:CM4"/>
    <mergeCell ref="CN4:CO4"/>
    <mergeCell ref="CP4:CQ4"/>
    <mergeCell ref="CR4:CS4"/>
    <mergeCell ref="CT4:CU4"/>
    <mergeCell ref="CV4:CW4"/>
    <mergeCell ref="BX4:BY4"/>
    <mergeCell ref="B4:AA4"/>
    <mergeCell ref="AC4:AF4"/>
    <mergeCell ref="AH4:BG4"/>
    <mergeCell ref="BJ4:BK4"/>
    <mergeCell ref="BL4:BM4"/>
    <mergeCell ref="BN4:BO4"/>
    <mergeCell ref="BP4:BQ4"/>
    <mergeCell ref="BR4:BS4"/>
    <mergeCell ref="BT4:BU4"/>
    <mergeCell ref="BV4:BW4"/>
    <mergeCell ref="BI4:BI5"/>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A812675-AC05-4A3C-853A-2B75DDFE56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294</vt:i4>
      </vt:variant>
    </vt:vector>
  </HeadingPairs>
  <TitlesOfParts>
    <vt:vector size="302" baseType="lpstr">
      <vt:lpstr>Datos del Sujeto</vt:lpstr>
      <vt:lpstr>Portada</vt:lpstr>
      <vt:lpstr>Protocolo</vt:lpstr>
      <vt:lpstr>Perfil</vt:lpstr>
      <vt:lpstr>Cambios</vt:lpstr>
      <vt:lpstr>Ajustes</vt:lpstr>
      <vt:lpstr>Baremos Españoles</vt:lpstr>
      <vt:lpstr>Baremos EEUU</vt:lpstr>
      <vt:lpstr>AA_B</vt:lpstr>
      <vt:lpstr>AA_C</vt:lpstr>
      <vt:lpstr>AAA_B</vt:lpstr>
      <vt:lpstr>AAA_C</vt:lpstr>
      <vt:lpstr>AAAA_B</vt:lpstr>
      <vt:lpstr>AAAA_C</vt:lpstr>
      <vt:lpstr>AAAAA_B</vt:lpstr>
      <vt:lpstr>AAAAA_C</vt:lpstr>
      <vt:lpstr>AAAAAA_B</vt:lpstr>
      <vt:lpstr>AAAAAA_C</vt:lpstr>
      <vt:lpstr>AAAAAAAA_B</vt:lpstr>
      <vt:lpstr>AAAAAAAA_C</vt:lpstr>
      <vt:lpstr>AAEA_B</vt:lpstr>
      <vt:lpstr>AAEA_C</vt:lpstr>
      <vt:lpstr>BA_B</vt:lpstr>
      <vt:lpstr>BA_C</vt:lpstr>
      <vt:lpstr>BBA_B</vt:lpstr>
      <vt:lpstr>BBA_C</vt:lpstr>
      <vt:lpstr>BBBA_B</vt:lpstr>
      <vt:lpstr>BBBA_C</vt:lpstr>
      <vt:lpstr>BBBBA_B</vt:lpstr>
      <vt:lpstr>BBBBA_c</vt:lpstr>
      <vt:lpstr>BBBBBA_B</vt:lpstr>
      <vt:lpstr>BBBBBA_C</vt:lpstr>
      <vt:lpstr>BBBBBBA_B</vt:lpstr>
      <vt:lpstr>BBBBBBA_C</vt:lpstr>
      <vt:lpstr>BBCA_B</vt:lpstr>
      <vt:lpstr>BBCA_C</vt:lpstr>
      <vt:lpstr>CA_B</vt:lpstr>
      <vt:lpstr>CA_C</vt:lpstr>
      <vt:lpstr>CCA_B</vt:lpstr>
      <vt:lpstr>CCA_C</vt:lpstr>
      <vt:lpstr>CCCA_B</vt:lpstr>
      <vt:lpstr>CCCA_C</vt:lpstr>
      <vt:lpstr>CCCCA_B</vt:lpstr>
      <vt:lpstr>CCCCA_c</vt:lpstr>
      <vt:lpstr>CCCCCA_B</vt:lpstr>
      <vt:lpstr>CCCCCA_c</vt:lpstr>
      <vt:lpstr>CCCCCCA_B</vt:lpstr>
      <vt:lpstr>CCCCCCA_C</vt:lpstr>
      <vt:lpstr>CCDA_B</vt:lpstr>
      <vt:lpstr>CCDA_C</vt:lpstr>
      <vt:lpstr>DA_B</vt:lpstr>
      <vt:lpstr>DA_C</vt:lpstr>
      <vt:lpstr>DDA_B</vt:lpstr>
      <vt:lpstr>DDA_C</vt:lpstr>
      <vt:lpstr>DDDA_B</vt:lpstr>
      <vt:lpstr>DDDA_C</vt:lpstr>
      <vt:lpstr>DDDDA_B</vt:lpstr>
      <vt:lpstr>DDDDA_c</vt:lpstr>
      <vt:lpstr>DDDDDA_B</vt:lpstr>
      <vt:lpstr>DDDDDA_c</vt:lpstr>
      <vt:lpstr>DDDDDDA_B</vt:lpstr>
      <vt:lpstr>DDDDDDA_C</vt:lpstr>
      <vt:lpstr>DDEA_B</vt:lpstr>
      <vt:lpstr>DDEA_C</vt:lpstr>
      <vt:lpstr>EA_B</vt:lpstr>
      <vt:lpstr>EA_C</vt:lpstr>
      <vt:lpstr>EEA_B</vt:lpstr>
      <vt:lpstr>EEA_C</vt:lpstr>
      <vt:lpstr>EEEA_B</vt:lpstr>
      <vt:lpstr>EEEA_C</vt:lpstr>
      <vt:lpstr>EEEEA_B</vt:lpstr>
      <vt:lpstr>EEEEA_c</vt:lpstr>
      <vt:lpstr>EEEEEEA_B</vt:lpstr>
      <vt:lpstr>EEEEEEA_C</vt:lpstr>
      <vt:lpstr>FA_B</vt:lpstr>
      <vt:lpstr>FA_C</vt:lpstr>
      <vt:lpstr>FFA_B</vt:lpstr>
      <vt:lpstr>FFA_C</vt:lpstr>
      <vt:lpstr>FFFA_B</vt:lpstr>
      <vt:lpstr>FFFA_C</vt:lpstr>
      <vt:lpstr>FFFFA_B</vt:lpstr>
      <vt:lpstr>FFFFA_c</vt:lpstr>
      <vt:lpstr>FFFFFA_B</vt:lpstr>
      <vt:lpstr>FFFFFA_c</vt:lpstr>
      <vt:lpstr>FFFFFFA_B</vt:lpstr>
      <vt:lpstr>FFFFFFA_c</vt:lpstr>
      <vt:lpstr>GA_B</vt:lpstr>
      <vt:lpstr>GA_C</vt:lpstr>
      <vt:lpstr>GGA_B</vt:lpstr>
      <vt:lpstr>GGA_C</vt:lpstr>
      <vt:lpstr>GGGA_B</vt:lpstr>
      <vt:lpstr>GGGA_C</vt:lpstr>
      <vt:lpstr>GGGGA_B</vt:lpstr>
      <vt:lpstr>GGGGA_C</vt:lpstr>
      <vt:lpstr>GGGGGA_B</vt:lpstr>
      <vt:lpstr>GGGGGA_c</vt:lpstr>
      <vt:lpstr>GGGGGGA_B</vt:lpstr>
      <vt:lpstr>GGGGGGA_c</vt:lpstr>
      <vt:lpstr>GGGGGGGA_B</vt:lpstr>
      <vt:lpstr>GGGGGGGA_C</vt:lpstr>
      <vt:lpstr>HA_B</vt:lpstr>
      <vt:lpstr>HA_C</vt:lpstr>
      <vt:lpstr>HHA_B</vt:lpstr>
      <vt:lpstr>HHA_c</vt:lpstr>
      <vt:lpstr>HHHA_B</vt:lpstr>
      <vt:lpstr>HHHA_C</vt:lpstr>
      <vt:lpstr>HHHHA_B</vt:lpstr>
      <vt:lpstr>HHHHA_C</vt:lpstr>
      <vt:lpstr>HHHHHA_B</vt:lpstr>
      <vt:lpstr>HHHHHA_c</vt:lpstr>
      <vt:lpstr>HHHHHHA_B</vt:lpstr>
      <vt:lpstr>HHHHHHA_c</vt:lpstr>
      <vt:lpstr>IA_B</vt:lpstr>
      <vt:lpstr>IA_C</vt:lpstr>
      <vt:lpstr>IIA_B</vt:lpstr>
      <vt:lpstr>IIA_C</vt:lpstr>
      <vt:lpstr>IIIA_B</vt:lpstr>
      <vt:lpstr>IIIA_C</vt:lpstr>
      <vt:lpstr>IIIIA_B</vt:lpstr>
      <vt:lpstr>IIIIA_c</vt:lpstr>
      <vt:lpstr>IIIIIA_B</vt:lpstr>
      <vt:lpstr>IIIIIA_C</vt:lpstr>
      <vt:lpstr>JA_B</vt:lpstr>
      <vt:lpstr>JA_C</vt:lpstr>
      <vt:lpstr>JJA_B</vt:lpstr>
      <vt:lpstr>JJA_C</vt:lpstr>
      <vt:lpstr>JJJA_B</vt:lpstr>
      <vt:lpstr>JJJA_c</vt:lpstr>
      <vt:lpstr>JJJJA_B</vt:lpstr>
      <vt:lpstr>JJJJA_C</vt:lpstr>
      <vt:lpstr>JJJJJA_B</vt:lpstr>
      <vt:lpstr>JJJJJA_C</vt:lpstr>
      <vt:lpstr>JJJJJJA_B</vt:lpstr>
      <vt:lpstr>JJJJJJA_c</vt:lpstr>
      <vt:lpstr>KA_B</vt:lpstr>
      <vt:lpstr>KA_C</vt:lpstr>
      <vt:lpstr>KKA_B</vt:lpstr>
      <vt:lpstr>KKA_c</vt:lpstr>
      <vt:lpstr>KKKA_B</vt:lpstr>
      <vt:lpstr>KKKA_c</vt:lpstr>
      <vt:lpstr>KKKKA_B</vt:lpstr>
      <vt:lpstr>KKKKA_c</vt:lpstr>
      <vt:lpstr>KKKKKA_B</vt:lpstr>
      <vt:lpstr>KKKKKA_c</vt:lpstr>
      <vt:lpstr>KKKKKKA_B</vt:lpstr>
      <vt:lpstr>KKKKKKA_C</vt:lpstr>
      <vt:lpstr>LA_B</vt:lpstr>
      <vt:lpstr>LA_C</vt:lpstr>
      <vt:lpstr>LLA_B</vt:lpstr>
      <vt:lpstr>LLA_C</vt:lpstr>
      <vt:lpstr>LLLA_B</vt:lpstr>
      <vt:lpstr>LLLA_C</vt:lpstr>
      <vt:lpstr>LLLLA_B</vt:lpstr>
      <vt:lpstr>LLLLA_c</vt:lpstr>
      <vt:lpstr>LLLLLA_B</vt:lpstr>
      <vt:lpstr>LLLLLA_C</vt:lpstr>
      <vt:lpstr>LLLLLLA_B</vt:lpstr>
      <vt:lpstr>LLLLLLA_C</vt:lpstr>
      <vt:lpstr>MA_B</vt:lpstr>
      <vt:lpstr>MA_C</vt:lpstr>
      <vt:lpstr>MMA_B</vt:lpstr>
      <vt:lpstr>MMA_c</vt:lpstr>
      <vt:lpstr>MMMA_B</vt:lpstr>
      <vt:lpstr>MMMA_C</vt:lpstr>
      <vt:lpstr>MMMMA_B</vt:lpstr>
      <vt:lpstr>MMMMA_C</vt:lpstr>
      <vt:lpstr>MMMMMMA_B</vt:lpstr>
      <vt:lpstr>MMMMMMA_c</vt:lpstr>
      <vt:lpstr>NA_B</vt:lpstr>
      <vt:lpstr>NA_C</vt:lpstr>
      <vt:lpstr>NNA_B</vt:lpstr>
      <vt:lpstr>NNA_C</vt:lpstr>
      <vt:lpstr>NNNA_B</vt:lpstr>
      <vt:lpstr>NNNA_C</vt:lpstr>
      <vt:lpstr>NNNNA_B</vt:lpstr>
      <vt:lpstr>NNNNA_C</vt:lpstr>
      <vt:lpstr>NNNNNNA_B</vt:lpstr>
      <vt:lpstr>NNNNNNA_c</vt:lpstr>
      <vt:lpstr>OOA_B</vt:lpstr>
      <vt:lpstr>OOA_C</vt:lpstr>
      <vt:lpstr>OOOA_B</vt:lpstr>
      <vt:lpstr>OOOA_C</vt:lpstr>
      <vt:lpstr>OOOOA_B</vt:lpstr>
      <vt:lpstr>OOOOA_C</vt:lpstr>
      <vt:lpstr>OOOOOA_B</vt:lpstr>
      <vt:lpstr>OOOOOA_C</vt:lpstr>
      <vt:lpstr>PA_B</vt:lpstr>
      <vt:lpstr>PA_C</vt:lpstr>
      <vt:lpstr>PPA_B</vt:lpstr>
      <vt:lpstr>PPA_C</vt:lpstr>
      <vt:lpstr>PPPA_B</vt:lpstr>
      <vt:lpstr>PPPA_C</vt:lpstr>
      <vt:lpstr>PPPPA_B</vt:lpstr>
      <vt:lpstr>PPPPA_c</vt:lpstr>
      <vt:lpstr>PPPPPA_B</vt:lpstr>
      <vt:lpstr>PPPPPA_c</vt:lpstr>
      <vt:lpstr>QA_B</vt:lpstr>
      <vt:lpstr>QA_C</vt:lpstr>
      <vt:lpstr>QQA_B</vt:lpstr>
      <vt:lpstr>QQA_c</vt:lpstr>
      <vt:lpstr>QQQA_B</vt:lpstr>
      <vt:lpstr>QQQA_C</vt:lpstr>
      <vt:lpstr>QQQQA_B</vt:lpstr>
      <vt:lpstr>QQQQA_c</vt:lpstr>
      <vt:lpstr>QQQQQA_B</vt:lpstr>
      <vt:lpstr>QQQQQA_c</vt:lpstr>
      <vt:lpstr>QQQQQQA_B</vt:lpstr>
      <vt:lpstr>QQQQQQA_C</vt:lpstr>
      <vt:lpstr>RA_B</vt:lpstr>
      <vt:lpstr>RA_C</vt:lpstr>
      <vt:lpstr>RRA_B</vt:lpstr>
      <vt:lpstr>RRA_c</vt:lpstr>
      <vt:lpstr>RRRA_B</vt:lpstr>
      <vt:lpstr>RRRA_C</vt:lpstr>
      <vt:lpstr>RRRRA_B</vt:lpstr>
      <vt:lpstr>RRRRA_c</vt:lpstr>
      <vt:lpstr>RRRRRA_B</vt:lpstr>
      <vt:lpstr>RRRRRA_c</vt:lpstr>
      <vt:lpstr>SA_B</vt:lpstr>
      <vt:lpstr>SA_C</vt:lpstr>
      <vt:lpstr>SSA_B</vt:lpstr>
      <vt:lpstr>SSA_C</vt:lpstr>
      <vt:lpstr>SSSA_B</vt:lpstr>
      <vt:lpstr>SSSA_C</vt:lpstr>
      <vt:lpstr>SSSSA_B</vt:lpstr>
      <vt:lpstr>SSSSA_c</vt:lpstr>
      <vt:lpstr>SSSSSSA_B</vt:lpstr>
      <vt:lpstr>SSSSSSA_c</vt:lpstr>
      <vt:lpstr>TA_B</vt:lpstr>
      <vt:lpstr>TA_C</vt:lpstr>
      <vt:lpstr>TTA_B</vt:lpstr>
      <vt:lpstr>TTA_C</vt:lpstr>
      <vt:lpstr>TTTA_B</vt:lpstr>
      <vt:lpstr>TTTA_C</vt:lpstr>
      <vt:lpstr>TTTTA_B</vt:lpstr>
      <vt:lpstr>TTTTA_c</vt:lpstr>
      <vt:lpstr>TTTTTA_B</vt:lpstr>
      <vt:lpstr>TTTTTA_c</vt:lpstr>
      <vt:lpstr>TTTTTTA_B</vt:lpstr>
      <vt:lpstr>TTTTTTA_C</vt:lpstr>
      <vt:lpstr>UA_B</vt:lpstr>
      <vt:lpstr>UA_C</vt:lpstr>
      <vt:lpstr>UUA_B</vt:lpstr>
      <vt:lpstr>UUA_c</vt:lpstr>
      <vt:lpstr>UUUUA_B</vt:lpstr>
      <vt:lpstr>UUUUA_c</vt:lpstr>
      <vt:lpstr>UUUUUA_B</vt:lpstr>
      <vt:lpstr>UUUUUA_c</vt:lpstr>
      <vt:lpstr>VA_B</vt:lpstr>
      <vt:lpstr>VA_C</vt:lpstr>
      <vt:lpstr>VVA_B</vt:lpstr>
      <vt:lpstr>VVA_c</vt:lpstr>
      <vt:lpstr>VVVA_B</vt:lpstr>
      <vt:lpstr>VVVA_c</vt:lpstr>
      <vt:lpstr>VVVVA_B</vt:lpstr>
      <vt:lpstr>VVVVA_C</vt:lpstr>
      <vt:lpstr>WA_B</vt:lpstr>
      <vt:lpstr>WA_C</vt:lpstr>
      <vt:lpstr>WWA_b</vt:lpstr>
      <vt:lpstr>WWA_c</vt:lpstr>
      <vt:lpstr>WWWA_B</vt:lpstr>
      <vt:lpstr>WWWA_C</vt:lpstr>
      <vt:lpstr>WWWWA_B</vt:lpstr>
      <vt:lpstr>WWWWA_C</vt:lpstr>
      <vt:lpstr>WWWWWA_b</vt:lpstr>
      <vt:lpstr>WWWWWA_c</vt:lpstr>
      <vt:lpstr>WWWWWWA_B</vt:lpstr>
      <vt:lpstr>WWWWWWA_c</vt:lpstr>
      <vt:lpstr>XA_b</vt:lpstr>
      <vt:lpstr>XA_C</vt:lpstr>
      <vt:lpstr>XXA_B</vt:lpstr>
      <vt:lpstr>XXA_c</vt:lpstr>
      <vt:lpstr>XXXA_B</vt:lpstr>
      <vt:lpstr>XXXA_C</vt:lpstr>
      <vt:lpstr>XXXXA_B</vt:lpstr>
      <vt:lpstr>XXXXA_c</vt:lpstr>
      <vt:lpstr>XXXXXA_B</vt:lpstr>
      <vt:lpstr>XXXXXA_c</vt:lpstr>
      <vt:lpstr>XXXXXXA_B</vt:lpstr>
      <vt:lpstr>XXXXXXA_c</vt:lpstr>
      <vt:lpstr>YA_B</vt:lpstr>
      <vt:lpstr>YA_C</vt:lpstr>
      <vt:lpstr>YYA_B</vt:lpstr>
      <vt:lpstr>YYA_c</vt:lpstr>
      <vt:lpstr>YYYA_B</vt:lpstr>
      <vt:lpstr>YYYA_c</vt:lpstr>
      <vt:lpstr>YYYYA_B</vt:lpstr>
      <vt:lpstr>YYYYA_C</vt:lpstr>
      <vt:lpstr>YYYYYYA_B</vt:lpstr>
      <vt:lpstr>YYYYYYA_C</vt:lpstr>
      <vt:lpstr>ZA_B</vt:lpstr>
      <vt:lpstr>ZA_C</vt:lpstr>
      <vt:lpstr>ZZA_B</vt:lpstr>
      <vt:lpstr>ZZA_c</vt:lpstr>
      <vt:lpstr>ZZZA_B</vt:lpstr>
      <vt:lpstr>ZZZA_C</vt:lpstr>
      <vt:lpstr>ZZZZA_B</vt:lpstr>
      <vt:lpstr>ZZZZA_C</vt:lpstr>
      <vt:lpstr>ZZZZZA_b</vt:lpstr>
      <vt:lpstr>ZZZZZA_c</vt:lpstr>
      <vt:lpstr>ZZZZZZA_B</vt:lpstr>
      <vt:lpstr>ZZZZZZA_C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Edgar Espinoza</dc:creator>
  <cp:lastModifiedBy>Edgar Espinoza</cp:lastModifiedBy>
  <dcterms:created xsi:type="dcterms:W3CDTF">2025-05-16T23:56:37Z</dcterms:created>
  <dcterms:modified xsi:type="dcterms:W3CDTF">2026-08-27T03:00:17Z</dcterms:modified>
</cp:coreProperties>
</file>