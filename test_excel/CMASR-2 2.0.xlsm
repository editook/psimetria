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\Downloads\"/>
    </mc:Choice>
  </mc:AlternateContent>
  <xr:revisionPtr revIDLastSave="0" documentId="13_ncr:1_{14428D92-227B-42BD-8E94-A8D5611F287C}" xr6:coauthVersionLast="47" xr6:coauthVersionMax="47" xr10:uidLastSave="{00000000-0000-0000-0000-000000000000}"/>
  <bookViews>
    <workbookView xWindow="-120" yWindow="-120" windowWidth="29040" windowHeight="15720" activeTab="1" xr2:uid="{6616F70D-4D76-42CC-82F9-5E46A9011BF3}"/>
  </bookViews>
  <sheets>
    <sheet name="Hoja de respuestas" sheetId="1" r:id="rId1"/>
    <sheet name="Resultados " sheetId="2" r:id="rId2"/>
    <sheet name="Baremos" sheetId="3" r:id="rId3"/>
    <sheet name="Base de datos de Perfil" sheetId="5" r:id="rId4"/>
    <sheet name="Base da datos" sheetId="4" r:id="rId5"/>
  </sheets>
  <definedNames>
    <definedName name="AA_B">Baremos!$D$8:$D$70</definedName>
    <definedName name="AA_C">Baremos!$L$8:$L$70</definedName>
    <definedName name="AA_D">Baremos!$T$8:$T$70</definedName>
    <definedName name="AA_E">Baremos!$AB$8:$AB$70</definedName>
    <definedName name="AA_F">Baremos!$AJ$8:$AJ$70</definedName>
    <definedName name="AA_G">Baremos!$AR$8:$AR$70</definedName>
    <definedName name="BA_B">Baremos!$B$8:$B$70</definedName>
    <definedName name="BA_C">Baremos!$J$8:$J$70</definedName>
    <definedName name="BA_D">Baremos!$R$8:$R$70</definedName>
    <definedName name="ba_E">Baremos!$Z$8:$Z$70</definedName>
    <definedName name="BA_F">Baremos!$AH$8:$AH$70</definedName>
    <definedName name="BA_G">Baremos!$AP$8:$AP$70</definedName>
    <definedName name="CA_B">Baremos!$C$8:$C$70</definedName>
    <definedName name="CA_C">Baremos!$K$8:$K$70</definedName>
    <definedName name="CA_D">Baremos!$S$8:$S$70</definedName>
    <definedName name="CA_E">Baremos!$AA$8:$AA$70</definedName>
    <definedName name="CA_F">Baremos!$AI$8:$AI$70</definedName>
    <definedName name="CA_G">Baremos!$AQ$8:$AQ$70</definedName>
    <definedName name="EA_B">Baremos!$E$8:$E$70</definedName>
    <definedName name="EA_C">Baremos!$M$8:$M$70</definedName>
    <definedName name="EA_D">Baremos!$U$8:$U$70</definedName>
    <definedName name="EA_E">Baremos!$AC$8:$AC$70</definedName>
    <definedName name="EA_F">Baremos!$AK$8:$AK$70</definedName>
    <definedName name="EA_G">Baremos!$AS$8:$AS$70</definedName>
    <definedName name="MA_B">Baremos!$G$8:$G$70</definedName>
    <definedName name="MA_C">Baremos!$O$8:$O$70</definedName>
    <definedName name="MA_D">Baremos!$W$8:$W$70</definedName>
    <definedName name="MA_E">Baremos!$AE$8:$AE$70</definedName>
    <definedName name="MA_F">Baremos!$AM$8:$AM$70</definedName>
    <definedName name="MA_G">Baremos!$AU$8:$AU$70</definedName>
    <definedName name="OA_B">Baremos!$H$8:$H$70</definedName>
    <definedName name="OA_C">Baremos!$P$8:$P$70</definedName>
    <definedName name="OA_D">Baremos!$X$8:$X$70</definedName>
    <definedName name="OA_E">Baremos!$AF$8:$AF$70</definedName>
    <definedName name="OA_F">Baremos!$AN$8:$AN$70</definedName>
    <definedName name="OA_G">Baremos!$AV$8:$AV$70</definedName>
    <definedName name="pdf" localSheetId="1">'Resultados '!$A$1:$X$93</definedName>
    <definedName name="Print_Area" localSheetId="1">'Resultados '!$A$1:$X$95</definedName>
    <definedName name="RA_B">Baremos!$F$8:$F$70</definedName>
    <definedName name="RA_C">Baremos!$N$8:$N$70</definedName>
    <definedName name="RA_D">Baremos!$V$8:$V$70</definedName>
    <definedName name="RA_E">Baremos!$AD$8:$AD$70</definedName>
    <definedName name="RA_F">Baremos!$AL$8:$AL$70</definedName>
    <definedName name="RA_G">Baremos!$AT$8:$AT$70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50" i="1"/>
  <c r="O50" i="1"/>
  <c r="R50" i="1" s="1"/>
  <c r="P50" i="1"/>
  <c r="B93" i="2"/>
  <c r="B92" i="2"/>
  <c r="B91" i="2"/>
  <c r="B90" i="2"/>
  <c r="B89" i="2"/>
  <c r="B88" i="2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23" i="1"/>
  <c r="O24" i="1"/>
  <c r="R24" i="1" s="1"/>
  <c r="O25" i="1"/>
  <c r="R25" i="1" s="1"/>
  <c r="O26" i="1"/>
  <c r="R26" i="1" s="1"/>
  <c r="O27" i="1"/>
  <c r="R27" i="1" s="1"/>
  <c r="O28" i="1"/>
  <c r="R28" i="1" s="1"/>
  <c r="O29" i="1"/>
  <c r="R29" i="1" s="1"/>
  <c r="O30" i="1"/>
  <c r="R30" i="1" s="1"/>
  <c r="O31" i="1"/>
  <c r="R31" i="1" s="1"/>
  <c r="O32" i="1"/>
  <c r="R32" i="1" s="1"/>
  <c r="O33" i="1"/>
  <c r="R33" i="1" s="1"/>
  <c r="O34" i="1"/>
  <c r="R34" i="1" s="1"/>
  <c r="O35" i="1"/>
  <c r="R35" i="1" s="1"/>
  <c r="O36" i="1"/>
  <c r="R36" i="1" s="1"/>
  <c r="O37" i="1"/>
  <c r="R37" i="1" s="1"/>
  <c r="O38" i="1"/>
  <c r="R38" i="1" s="1"/>
  <c r="O39" i="1"/>
  <c r="R39" i="1" s="1"/>
  <c r="O40" i="1"/>
  <c r="R40" i="1" s="1"/>
  <c r="O41" i="1"/>
  <c r="R41" i="1" s="1"/>
  <c r="O42" i="1"/>
  <c r="R42" i="1" s="1"/>
  <c r="O43" i="1"/>
  <c r="R43" i="1" s="1"/>
  <c r="O44" i="1"/>
  <c r="R44" i="1" s="1"/>
  <c r="O45" i="1"/>
  <c r="R45" i="1" s="1"/>
  <c r="O46" i="1"/>
  <c r="R46" i="1" s="1"/>
  <c r="O47" i="1"/>
  <c r="R47" i="1" s="1"/>
  <c r="O48" i="1"/>
  <c r="R48" i="1" s="1"/>
  <c r="O49" i="1"/>
  <c r="R49" i="1" s="1"/>
  <c r="O51" i="1"/>
  <c r="R51" i="1" s="1"/>
  <c r="O52" i="1"/>
  <c r="R52" i="1" s="1"/>
  <c r="O53" i="1"/>
  <c r="R53" i="1" s="1"/>
  <c r="O54" i="1"/>
  <c r="R54" i="1" s="1"/>
  <c r="O55" i="1"/>
  <c r="R55" i="1" s="1"/>
  <c r="O56" i="1"/>
  <c r="R56" i="1" s="1"/>
  <c r="O57" i="1"/>
  <c r="R57" i="1" s="1"/>
  <c r="O58" i="1"/>
  <c r="R58" i="1" s="1"/>
  <c r="O59" i="1"/>
  <c r="R59" i="1" s="1"/>
  <c r="O60" i="1"/>
  <c r="R60" i="1" s="1"/>
  <c r="O61" i="1"/>
  <c r="R61" i="1" s="1"/>
  <c r="O62" i="1"/>
  <c r="R62" i="1" s="1"/>
  <c r="O63" i="1"/>
  <c r="R63" i="1" s="1"/>
  <c r="O64" i="1"/>
  <c r="R64" i="1" s="1"/>
  <c r="O65" i="1"/>
  <c r="R65" i="1" s="1"/>
  <c r="O66" i="1"/>
  <c r="R66" i="1" s="1"/>
  <c r="O67" i="1"/>
  <c r="R67" i="1" s="1"/>
  <c r="O68" i="1"/>
  <c r="R68" i="1" s="1"/>
  <c r="O69" i="1"/>
  <c r="R69" i="1" s="1"/>
  <c r="O70" i="1"/>
  <c r="R70" i="1" s="1"/>
  <c r="O71" i="1"/>
  <c r="R71" i="1" s="1"/>
  <c r="O23" i="1"/>
  <c r="R23" i="1" s="1"/>
  <c r="G24" i="1"/>
  <c r="G25" i="1"/>
  <c r="G26" i="1"/>
  <c r="G27" i="1"/>
  <c r="G28" i="1"/>
  <c r="G29" i="1"/>
  <c r="G30" i="1"/>
  <c r="B87" i="2" s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23" i="1"/>
  <c r="O5" i="1" s="1"/>
  <c r="B85" i="2"/>
  <c r="AB93" i="2"/>
  <c r="AA93" i="2"/>
  <c r="L7" i="2" a="1"/>
  <c r="L34" i="1" l="1"/>
  <c r="L36" i="1"/>
  <c r="L37" i="1"/>
  <c r="L32" i="1"/>
  <c r="I29" i="1"/>
  <c r="L35" i="1"/>
  <c r="L33" i="1"/>
  <c r="I34" i="1"/>
  <c r="L29" i="1"/>
  <c r="L7" i="2"/>
  <c r="L30" i="1"/>
  <c r="I32" i="1"/>
  <c r="I36" i="1"/>
  <c r="L31" i="1"/>
  <c r="I30" i="1"/>
  <c r="I37" i="1"/>
  <c r="I31" i="1"/>
  <c r="I35" i="1"/>
  <c r="AC93" i="2"/>
  <c r="M5" i="1"/>
  <c r="L5" i="1"/>
  <c r="K5" i="1"/>
  <c r="K40" i="1" l="1"/>
  <c r="M40" i="1"/>
  <c r="L40" i="1"/>
  <c r="AD93" i="2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N5" i="1" l="1"/>
  <c r="H22" i="2" l="1"/>
  <c r="AT93" i="2" s="1"/>
  <c r="AA22" i="2" l="1"/>
  <c r="B36" i="2" s="1"/>
  <c r="J40" i="1"/>
  <c r="H16" i="2" l="1"/>
  <c r="AK93" i="2" s="1"/>
  <c r="H18" i="2"/>
  <c r="AN93" i="2" s="1"/>
  <c r="H12" i="2"/>
  <c r="J12" i="2" a="1"/>
  <c r="L18" i="2" a="1"/>
  <c r="J16" i="2" a="1"/>
  <c r="J18" i="2" a="1"/>
  <c r="L12" i="2" a="1"/>
  <c r="L16" i="2" a="1"/>
  <c r="L12" i="2" l="1"/>
  <c r="AE93" i="2"/>
  <c r="L18" i="2"/>
  <c r="L16" i="2"/>
  <c r="I41" i="1"/>
  <c r="H20" i="2" s="1"/>
  <c r="J16" i="2"/>
  <c r="AL93" i="2" s="1"/>
  <c r="J18" i="2"/>
  <c r="AO93" i="2" s="1"/>
  <c r="J12" i="2"/>
  <c r="AF93" i="2" s="1"/>
  <c r="H14" i="2"/>
  <c r="AH93" i="2" s="1"/>
  <c r="L14" i="2" a="1"/>
  <c r="L20" i="2" a="1"/>
  <c r="J14" i="2" a="1"/>
  <c r="J20" i="2" a="1"/>
  <c r="L20" i="2" l="1"/>
  <c r="AA18" i="2"/>
  <c r="B76" i="2" s="1"/>
  <c r="Z15" i="2"/>
  <c r="AA16" i="2"/>
  <c r="Z14" i="2"/>
  <c r="AA12" i="2"/>
  <c r="B40" i="2" s="1"/>
  <c r="Z12" i="2"/>
  <c r="AQ93" i="2"/>
  <c r="AP93" i="2"/>
  <c r="AM93" i="2"/>
  <c r="AG93" i="2"/>
  <c r="L14" i="2"/>
  <c r="J20" i="2"/>
  <c r="AR93" i="2" s="1"/>
  <c r="J14" i="2"/>
  <c r="AI93" i="2" s="1"/>
  <c r="AA20" i="2" l="1"/>
  <c r="B46" i="2" s="1"/>
  <c r="Z16" i="2"/>
  <c r="AA14" i="2"/>
  <c r="B57" i="2" s="1"/>
  <c r="Z13" i="2"/>
  <c r="AS93" i="2"/>
  <c r="AJ93" i="2"/>
  <c r="B65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<sst xmlns="http://schemas.openxmlformats.org/spreadsheetml/2006/main" count="760" uniqueCount="152">
  <si>
    <t>Si</t>
  </si>
  <si>
    <t>DEF</t>
  </si>
  <si>
    <t>FIS</t>
  </si>
  <si>
    <t>INQ</t>
  </si>
  <si>
    <t>SOC</t>
  </si>
  <si>
    <t>Puntuacion INC.</t>
  </si>
  <si>
    <t>3 y 35</t>
  </si>
  <si>
    <t>2 y 8</t>
  </si>
  <si>
    <t>4 y 10</t>
  </si>
  <si>
    <t>6 y 49</t>
  </si>
  <si>
    <t>7 y 39</t>
  </si>
  <si>
    <t>19 y 33</t>
  </si>
  <si>
    <t>23 y 37</t>
  </si>
  <si>
    <t>24 y 29</t>
  </si>
  <si>
    <t>38 y 48</t>
  </si>
  <si>
    <t>Puntiacion natural total</t>
  </si>
  <si>
    <t>Pares reactivos INC.</t>
  </si>
  <si>
    <t>DEF.</t>
  </si>
  <si>
    <t>FIS.</t>
  </si>
  <si>
    <t>INQ.</t>
  </si>
  <si>
    <t>SOC.</t>
  </si>
  <si>
    <t>Total</t>
  </si>
  <si>
    <t>Puntuacio del indice INC.</t>
  </si>
  <si>
    <t>PD</t>
  </si>
  <si>
    <t>PC</t>
  </si>
  <si>
    <t>PT</t>
  </si>
  <si>
    <t>Ansiedad Total</t>
  </si>
  <si>
    <t xml:space="preserve">Femenino 6 a 8 años </t>
  </si>
  <si>
    <t xml:space="preserve">Inconsistencia </t>
  </si>
  <si>
    <t xml:space="preserve">Femenino 9 a 14 años </t>
  </si>
  <si>
    <t>Femenino 15 a 19 años</t>
  </si>
  <si>
    <t xml:space="preserve">Masculino 6 a 8 años </t>
  </si>
  <si>
    <t>Masculino 15 a 19 años</t>
  </si>
  <si>
    <t>A</t>
  </si>
  <si>
    <t>B</t>
  </si>
  <si>
    <t>C</t>
  </si>
  <si>
    <t>E</t>
  </si>
  <si>
    <t>O</t>
  </si>
  <si>
    <t>R</t>
  </si>
  <si>
    <t xml:space="preserve">Masculino 9 a 14 años </t>
  </si>
  <si>
    <t>Defensividad</t>
  </si>
  <si>
    <t>Ansiedad Fisiologica</t>
  </si>
  <si>
    <t>Inquietud</t>
  </si>
  <si>
    <t>Ansiedad Social</t>
  </si>
  <si>
    <t>M</t>
  </si>
  <si>
    <t>BAREMOS MEXICANOS</t>
  </si>
  <si>
    <t>A_B</t>
  </si>
  <si>
    <t>A_C</t>
  </si>
  <si>
    <t>A_D</t>
  </si>
  <si>
    <t>A_E</t>
  </si>
  <si>
    <t>A_F</t>
  </si>
  <si>
    <t>A_G</t>
  </si>
  <si>
    <t>Nombre:</t>
  </si>
  <si>
    <t>Edad:</t>
  </si>
  <si>
    <t>Sexo:</t>
  </si>
  <si>
    <t>Evaluador:</t>
  </si>
  <si>
    <t>Defensividad (DEF)</t>
  </si>
  <si>
    <t>Ansiedad Fisiológica (FIS)</t>
  </si>
  <si>
    <t>Inquietud (INQ)</t>
  </si>
  <si>
    <t>Ansiedad Social (SOC)</t>
  </si>
  <si>
    <t>Ansiedad Total (TOT)</t>
  </si>
  <si>
    <t>No</t>
  </si>
  <si>
    <r>
      <t xml:space="preserve">BASE DE DATOS CMASR-2 </t>
    </r>
    <r>
      <rPr>
        <b/>
        <i/>
        <u/>
        <sz val="14"/>
        <color theme="1"/>
        <rFont val="Arial"/>
        <family val="2"/>
      </rPr>
      <t>“No tocar la hoja se encuentra desbloqueado”</t>
    </r>
  </si>
  <si>
    <t>Edgar Espinoza Jimenez</t>
  </si>
  <si>
    <t>Femenino</t>
  </si>
  <si>
    <t>Nelsy Trujillo Hinojoza</t>
  </si>
  <si>
    <t xml:space="preserve">La Escala de Ansiedad Manifiesta en Niños Revisada, Segunda Edición (CMASR-2) es un instrumento de autoinforme diseñado para evaluar el nivel y la naturaleza de la ansiedad en niños y adolescentes de 6 a 19 años. Consta de 49 reactivos que el examinado responde con "Sí" o "No". </t>
  </si>
  <si>
    <t>Ítems Críticos</t>
  </si>
  <si>
    <t>Ítems significativos</t>
  </si>
  <si>
    <t>Baremos</t>
  </si>
  <si>
    <t>Nicolas</t>
  </si>
  <si>
    <t>Masculino</t>
  </si>
  <si>
    <t>Id:</t>
  </si>
  <si>
    <t>Defensividad </t>
  </si>
  <si>
    <t xml:space="preserve">Ansiedad Fisiológica </t>
  </si>
  <si>
    <t>Inquietud </t>
  </si>
  <si>
    <t>Ansiedad Social </t>
  </si>
  <si>
    <t xml:space="preserve">Ansiedad Total </t>
  </si>
  <si>
    <t>TOT</t>
  </si>
  <si>
    <t>Baremo:</t>
  </si>
  <si>
    <t>Noemi Samgwoo Callahuara</t>
  </si>
  <si>
    <t>Natalia Marquina Murillo</t>
  </si>
  <si>
    <t>Blanca Alarcon Huanda</t>
  </si>
  <si>
    <t>Maria Chino Franco</t>
  </si>
  <si>
    <t>SI</t>
  </si>
  <si>
    <t>NO</t>
  </si>
  <si>
    <t>Intrucciones</t>
  </si>
  <si>
    <t>INC</t>
  </si>
  <si>
    <t>X</t>
  </si>
  <si>
    <t>Las oraciones que aparecen en este formulario dicen cómo piensan y sienten algunas personas acerca mismas. Lee con cuidado cada oración y luego encierra en un círculo la palabra que corresponda a tu respuesta. Marca una "X" en la columna de Sí, si piensas que así eres y en la columna No si crees que no eres asi. Responde a cada oración, incluso si te resulta difícil elegir una respuesta que se aplique a ti. No marques Sí y No para la misma oración. 
No hay respuestas correctas ni incorrectas; sólo tú puedes decirnos cómo piensas y sientes con respecto a ti mismo. Recuerda, después de leer cada oración, pregúntate: "¿Es cierto en mi caso?". Si es así, encierra Sí en un círculo; si no lo es, encierra el No.</t>
  </si>
  <si>
    <t>Muchas veces siento asco o nauceas.</t>
  </si>
  <si>
    <t>Soy muy nervioso(a).</t>
  </si>
  <si>
    <t>Muchas veces me preocupa que algo malo me pase.</t>
  </si>
  <si>
    <t>Tengo miedo que otros niños se rian de mi durante la clase.</t>
  </si>
  <si>
    <t>Tengo demasiados dolores de cabeza.</t>
  </si>
  <si>
    <t>Me preocupa no agradarle a otros.</t>
  </si>
  <si>
    <t>Algunas veces me despierto asustado(a).</t>
  </si>
  <si>
    <t>La gente me pone nervioso(a).</t>
  </si>
  <si>
    <t>Siento que alguien va a decirme que hago mal las cosas.</t>
  </si>
  <si>
    <t>Tengo miedo que los demas se rian de mi.</t>
  </si>
  <si>
    <t>Me cuesta trabajo tomar decisiones.</t>
  </si>
  <si>
    <t>Me pongo nervioso(a) cuando las cosas no me salen como quiero.</t>
  </si>
  <si>
    <t>Parece que las cosas son mas faciles para los demas que para mi.</t>
  </si>
  <si>
    <t>Todas las personas que conozco me caen bien.</t>
  </si>
  <si>
    <t>Muchas veces siento que me falta el aire.</t>
  </si>
  <si>
    <t>Casi todo el tiempo estoy preocupado(a).</t>
  </si>
  <si>
    <t>Me siento mal si la gente se rie de mi.</t>
  </si>
  <si>
    <t>Muchas cosas me dan miedo.</t>
  </si>
  <si>
    <t>Siempre soy amable.</t>
  </si>
  <si>
    <t>Me enojo con facilidad.</t>
  </si>
  <si>
    <t>Me preocupa lo que mis papas me vayan a decir.</t>
  </si>
  <si>
    <t>Siento que a los demas no les gusta como hago las cosas.</t>
  </si>
  <si>
    <t>Me da miedo hablar en voz alta ante mis compañeros durante la clase.</t>
  </si>
  <si>
    <t>Siempre me porto bien.</t>
  </si>
  <si>
    <t/>
  </si>
  <si>
    <r>
      <rPr>
        <b/>
        <sz val="12"/>
        <rFont val="Arial Nova"/>
        <family val="2"/>
      </rPr>
      <t>Elaborado por :</t>
    </r>
    <r>
      <rPr>
        <sz val="12"/>
        <rFont val="Arial Nova"/>
        <family val="2"/>
      </rPr>
      <t xml:space="preserve"> Edgar Espinoza Jimenez </t>
    </r>
  </si>
  <si>
    <t>En las noches me cuesta trabajo quedarme dormido (a).</t>
  </si>
  <si>
    <t>Me preocupa que la gente piense mal de mi.</t>
  </si>
  <si>
    <t>Me siento solo aunque este acompañado (a).</t>
  </si>
  <si>
    <t>En la escuela se burlan de mi.</t>
  </si>
  <si>
    <t>Siempre soy bueno (a).</t>
  </si>
  <si>
    <t>Es muy facil herir mis sentimientos.</t>
  </si>
  <si>
    <t>Me sudan las manos.</t>
  </si>
  <si>
    <t>Me preocupa cometer errores delante la gente.</t>
  </si>
  <si>
    <t>Siempre soy agradable con todos.</t>
  </si>
  <si>
    <t xml:space="preserve">Me canso mucho. </t>
  </si>
  <si>
    <t>Me preocupa lo que va a pasar.</t>
  </si>
  <si>
    <t>Los demas son mas felices que yo.</t>
  </si>
  <si>
    <t xml:space="preserve">Temo hablar en voz alta delante de un grupo. </t>
  </si>
  <si>
    <t>Siempre digo la verdad.</t>
  </si>
  <si>
    <t xml:space="preserve">Tengo pesadillas. </t>
  </si>
  <si>
    <t>A veces me enojo.</t>
  </si>
  <si>
    <t>Me preocupa que durante la clase me hagan participar.</t>
  </si>
  <si>
    <t xml:space="preserve">Me siento preocupado cuando me voy a dormir durante la noche. </t>
  </si>
  <si>
    <t>Me cuesta trabajo concentrarme en mis tareas escolares.</t>
  </si>
  <si>
    <t>A veces digo cosas que no deberia decir.</t>
  </si>
  <si>
    <t>Me preocupa que alguien me de una golpiza.</t>
  </si>
  <si>
    <t xml:space="preserve">Me muevo mucho en mi asiento. </t>
  </si>
  <si>
    <t xml:space="preserve">Muchas personas estan en mi contra. </t>
  </si>
  <si>
    <t>He dicho alguna mentira.</t>
  </si>
  <si>
    <t>Me preocupa decir alguna tonteria.</t>
  </si>
  <si>
    <t>Informe escala de ansiedad manifiesta en niños revisada (CMASR-2)</t>
  </si>
  <si>
    <r>
      <t>Validez de las Respuestas,</t>
    </r>
    <r>
      <rPr>
        <sz val="11"/>
        <color theme="1"/>
        <rFont val="Daytona"/>
        <family val="2"/>
      </rPr>
      <t xml:space="preserve"> El CMASR-2 evalúa la validez de las respuestas del examinado. Esto se logra a través de dos índices:</t>
    </r>
  </si>
  <si>
    <r>
      <t>Índice de Respuestas Inconsistentes (INC),</t>
    </r>
    <r>
      <rPr>
        <sz val="11"/>
        <color theme="1"/>
        <rFont val="Daytona"/>
        <family val="2"/>
      </rPr>
      <t xml:space="preserve"> Evalúa si respondió de manera consistente la prueba. Puntuaciones altas en este indican que las respuestas pueden haber sido dadas al azar o sin suficiente atención.</t>
    </r>
  </si>
  <si>
    <r>
      <t xml:space="preserve">Defensividad (DEF), </t>
    </r>
    <r>
      <rPr>
        <sz val="11"/>
        <color theme="1"/>
        <rFont val="Daytona"/>
        <family val="2"/>
      </rPr>
      <t>Indica si intentó presentar una imagen excesivamente positiva de sí mismo.</t>
    </r>
  </si>
  <si>
    <r>
      <t xml:space="preserve">Ansiedad General (TOT), </t>
    </r>
    <r>
      <rPr>
        <sz val="11"/>
        <color theme="1"/>
        <rFont val="Daytona"/>
        <family val="2"/>
      </rPr>
      <t>La puntuación de Ansiedad total es considerada la más robusta del CMASR-2. Proporciona una visión general del nivel de ansiedad que experimenta el examinado.</t>
    </r>
  </si>
  <si>
    <r>
      <t>Escalas relacionadas con la ansiedad,</t>
    </r>
    <r>
      <rPr>
        <sz val="11"/>
        <color theme="1"/>
        <rFont val="Daytona"/>
        <family val="2"/>
      </rPr>
      <t xml:space="preserve"> proporciona resultados en tres escalas principales que ofrecen una comprensión más detallada de la naturaleza de la ansiedad del evaluado:</t>
    </r>
  </si>
  <si>
    <r>
      <t xml:space="preserve">Ansiedad Fisiológica (FIS), </t>
    </r>
    <r>
      <rPr>
        <sz val="11"/>
        <color theme="1"/>
        <rFont val="Daytona"/>
        <family val="2"/>
      </rPr>
      <t xml:space="preserve">Evalúa las manifestaciones físicas de la ansiedad. Se enfoca en aspectos somáticos como náuseas, dificultades de sueño, dolores de cabeza y fatiga. </t>
    </r>
  </si>
  <si>
    <r>
      <t xml:space="preserve">Inquietud (INQ), </t>
    </r>
    <r>
      <rPr>
        <sz val="11"/>
        <color theme="1"/>
        <rFont val="Daytona"/>
        <family val="2"/>
      </rPr>
      <t xml:space="preserve">Evalúa sentimientos de nerviosismo, preocupaciones sobre posibles daños, y una hipersensibilidad general a las presiones del entorno. </t>
    </r>
  </si>
  <si>
    <r>
      <t xml:space="preserve">Ansiedad Social (SOC), </t>
    </r>
    <r>
      <rPr>
        <sz val="11"/>
        <color theme="1"/>
        <rFont val="Daytona"/>
        <family val="2"/>
      </rPr>
      <t>Evalúa la ansiedad en situaciones sociales y de desempeño. Mide preocupaciones relacionadas con las interacciones sociales, el miedo a ser juzgado negativamente por otros, y la ansiedad asociada con el rendimiento en situaciones públicas o académicas.</t>
    </r>
  </si>
  <si>
    <r>
      <rPr>
        <b/>
        <sz val="9"/>
        <color theme="1"/>
        <rFont val="Daytona"/>
        <family val="2"/>
      </rPr>
      <t>Nota:</t>
    </r>
    <r>
      <rPr>
        <sz val="11"/>
        <color theme="1"/>
        <rFont val="Daytona"/>
        <family val="2"/>
      </rPr>
      <t xml:space="preserve"> </t>
    </r>
    <r>
      <rPr>
        <i/>
        <sz val="8"/>
        <color theme="1"/>
        <rFont val="Daytona"/>
        <family val="2"/>
      </rPr>
      <t>Puntuación típica T (Media=50; Dt = 10)</t>
    </r>
  </si>
  <si>
    <t>Iker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</si>
</sst>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\ &quot;años&quot;"/>
  </numFmts>
  <fonts count="4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b/>
      <sz val="11"/>
      <name val="Arial"/>
      <family val="2"/>
    </font>
    <font>
      <b/>
      <sz val="8"/>
      <color theme="1"/>
      <name val="Arial"/>
      <family val="2"/>
    </font>
    <font>
      <sz val="11"/>
      <name val="Calibri"/>
      <family val="2"/>
      <scheme val="minor"/>
    </font>
    <font>
      <b/>
      <sz val="14"/>
      <color theme="1"/>
      <name val="Arial"/>
      <family val="2"/>
    </font>
    <font>
      <b/>
      <i/>
      <u/>
      <sz val="14"/>
      <color theme="1"/>
      <name val="Arial"/>
      <family val="2"/>
    </font>
    <font>
      <b/>
      <sz val="11"/>
      <color theme="0"/>
      <name val="Calibri"/>
      <family val="2"/>
      <scheme val="minor"/>
    </font>
    <font>
      <sz val="12"/>
      <color theme="1"/>
      <name val="Aptos Narrow"/>
      <family val="2"/>
    </font>
    <font>
      <sz val="12"/>
      <name val="Aptos Narrow"/>
      <family val="2"/>
    </font>
    <font>
      <sz val="12"/>
      <color theme="0"/>
      <name val="Aptos Narrow"/>
      <family val="2"/>
    </font>
    <font>
      <sz val="12"/>
      <color rgb="FFFF0000"/>
      <name val="Aptos Narrow"/>
      <family val="2"/>
    </font>
    <font>
      <b/>
      <sz val="12"/>
      <color theme="0"/>
      <name val="Aptos Narrow"/>
      <family val="2"/>
    </font>
    <font>
      <b/>
      <sz val="12"/>
      <name val="Aptos Narrow"/>
      <family val="2"/>
    </font>
    <font>
      <sz val="12"/>
      <color theme="1"/>
      <name val="Arial Nova"/>
      <family val="2"/>
    </font>
    <font>
      <sz val="12"/>
      <name val="Arial Nova"/>
      <family val="2"/>
    </font>
    <font>
      <b/>
      <sz val="12"/>
      <color theme="0"/>
      <name val="Arial Nova"/>
      <family val="2"/>
    </font>
    <font>
      <b/>
      <sz val="12"/>
      <name val="Arial Nova"/>
      <family val="2"/>
    </font>
    <font>
      <sz val="11"/>
      <color theme="1"/>
      <name val="Arial Nova"/>
      <family val="2"/>
    </font>
    <font>
      <b/>
      <sz val="20"/>
      <color theme="1"/>
      <name val="Arial Nova"/>
      <family val="2"/>
    </font>
    <font>
      <sz val="11"/>
      <color theme="1"/>
      <name val="Daytona"/>
      <family val="2"/>
    </font>
    <font>
      <sz val="11"/>
      <name val="Daytona"/>
      <family val="2"/>
    </font>
    <font>
      <sz val="11"/>
      <color theme="0"/>
      <name val="Daytona"/>
      <family val="2"/>
    </font>
    <font>
      <sz val="11"/>
      <color rgb="FFFF0000"/>
      <name val="Daytona"/>
      <family val="2"/>
    </font>
    <font>
      <b/>
      <sz val="11"/>
      <color theme="1"/>
      <name val="Daytona"/>
      <family val="2"/>
    </font>
    <font>
      <b/>
      <sz val="11"/>
      <color rgb="FFFF0000"/>
      <name val="Daytona"/>
      <family val="2"/>
    </font>
    <font>
      <sz val="9"/>
      <color theme="1"/>
      <name val="Daytona"/>
      <family val="2"/>
    </font>
    <font>
      <b/>
      <sz val="11"/>
      <color theme="0"/>
      <name val="Daytona"/>
      <family val="2"/>
    </font>
    <font>
      <b/>
      <sz val="8"/>
      <color rgb="FFC00000"/>
      <name val="Daytona"/>
      <family val="2"/>
    </font>
    <font>
      <sz val="10"/>
      <color theme="1"/>
      <name val="Daytona"/>
      <family val="2"/>
    </font>
    <font>
      <b/>
      <sz val="11"/>
      <name val="Daytona"/>
      <family val="2"/>
    </font>
    <font>
      <i/>
      <sz val="8"/>
      <color theme="1"/>
      <name val="Daytona"/>
      <family val="2"/>
    </font>
    <font>
      <b/>
      <sz val="9"/>
      <color theme="1"/>
      <name val="Dayton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458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AF3FA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theme="0"/>
      </right>
      <top/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6" fillId="2" borderId="0" xfId="0" applyFont="1" applyFill="1" applyProtection="1">
      <protection locked="0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center" textRotation="90" wrapText="1"/>
    </xf>
    <xf numFmtId="0" fontId="6" fillId="2" borderId="0" xfId="0" applyFont="1" applyFill="1" applyAlignment="1">
      <alignment horizontal="left"/>
    </xf>
    <xf numFmtId="0" fontId="7" fillId="2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11" fillId="2" borderId="0" xfId="0" applyFont="1" applyFill="1"/>
    <xf numFmtId="0" fontId="0" fillId="2" borderId="0" xfId="0" applyFill="1"/>
    <xf numFmtId="0" fontId="5" fillId="2" borderId="0" xfId="0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4" fillId="3" borderId="0" xfId="0" applyFont="1" applyFill="1"/>
    <xf numFmtId="0" fontId="14" fillId="3" borderId="0" xfId="0" applyFont="1" applyFill="1" applyAlignment="1">
      <alignment horizontal="center"/>
    </xf>
    <xf numFmtId="0" fontId="3" fillId="3" borderId="0" xfId="0" applyFont="1" applyFill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6" fillId="2" borderId="0" xfId="0" applyFont="1" applyFill="1" applyAlignment="1" applyProtection="1">
      <alignment horizontal="center"/>
      <protection locked="0"/>
    </xf>
    <xf numFmtId="0" fontId="11" fillId="2" borderId="0" xfId="0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5" fillId="2" borderId="0" xfId="0" applyFont="1" applyFill="1" applyProtection="1">
      <protection locked="0"/>
    </xf>
    <xf numFmtId="0" fontId="15" fillId="2" borderId="0" xfId="0" applyFont="1" applyFill="1" applyProtection="1">
      <protection hidden="1"/>
    </xf>
    <xf numFmtId="0" fontId="16" fillId="2" borderId="0" xfId="0" applyFont="1" applyFill="1" applyProtection="1">
      <protection locked="0"/>
    </xf>
    <xf numFmtId="0" fontId="17" fillId="2" borderId="0" xfId="0" applyFont="1" applyFill="1" applyProtection="1">
      <protection locked="0"/>
    </xf>
    <xf numFmtId="0" fontId="16" fillId="2" borderId="0" xfId="0" applyFont="1" applyFill="1" applyProtection="1">
      <protection hidden="1"/>
    </xf>
    <xf numFmtId="0" fontId="19" fillId="2" borderId="0" xfId="0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horizontal="center"/>
      <protection locked="0"/>
    </xf>
    <xf numFmtId="0" fontId="19" fillId="2" borderId="0" xfId="0" applyFont="1" applyFill="1" applyAlignment="1" applyProtection="1">
      <alignment horizontal="center" vertical="center"/>
      <protection hidden="1"/>
    </xf>
    <xf numFmtId="0" fontId="17" fillId="2" borderId="0" xfId="0" applyFont="1" applyFill="1" applyProtection="1">
      <protection hidden="1"/>
    </xf>
    <xf numFmtId="0" fontId="20" fillId="2" borderId="0" xfId="0" applyFont="1" applyFill="1" applyProtection="1">
      <protection hidden="1"/>
    </xf>
    <xf numFmtId="0" fontId="16" fillId="2" borderId="0" xfId="0" applyFont="1" applyFill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20" fillId="2" borderId="0" xfId="0" applyFont="1" applyFill="1" applyAlignment="1" applyProtection="1">
      <alignment horizontal="center" vertical="center"/>
      <protection hidden="1"/>
    </xf>
    <xf numFmtId="0" fontId="16" fillId="2" borderId="0" xfId="0" applyFont="1" applyFill="1" applyAlignment="1" applyProtection="1">
      <alignment horizontal="center" vertical="center"/>
      <protection hidden="1"/>
    </xf>
    <xf numFmtId="0" fontId="19" fillId="2" borderId="0" xfId="0" applyFont="1" applyFill="1" applyAlignment="1" applyProtection="1">
      <alignment horizontal="center"/>
      <protection hidden="1"/>
    </xf>
    <xf numFmtId="0" fontId="19" fillId="2" borderId="0" xfId="0" applyFont="1" applyFill="1" applyProtection="1">
      <protection hidden="1"/>
    </xf>
    <xf numFmtId="0" fontId="15" fillId="0" borderId="0" xfId="0" applyFont="1" applyProtection="1">
      <protection locked="0"/>
    </xf>
    <xf numFmtId="0" fontId="18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20" fillId="2" borderId="0" xfId="0" applyFont="1" applyFill="1" applyProtection="1">
      <protection locked="0"/>
    </xf>
    <xf numFmtId="0" fontId="15" fillId="2" borderId="1" xfId="0" applyFont="1" applyFill="1" applyBorder="1" applyAlignment="1" applyProtection="1">
      <alignment horizontal="center"/>
      <protection locked="0"/>
    </xf>
    <xf numFmtId="0" fontId="20" fillId="2" borderId="0" xfId="0" applyFont="1" applyFill="1" applyAlignment="1" applyProtection="1">
      <alignment horizontal="center"/>
      <protection locked="0"/>
    </xf>
    <xf numFmtId="0" fontId="19" fillId="2" borderId="0" xfId="0" applyFont="1" applyFill="1" applyProtection="1">
      <protection locked="0"/>
    </xf>
    <xf numFmtId="0" fontId="20" fillId="2" borderId="0" xfId="0" applyFont="1" applyFill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left"/>
      <protection locked="0"/>
    </xf>
    <xf numFmtId="0" fontId="21" fillId="2" borderId="0" xfId="0" applyFont="1" applyFill="1" applyAlignment="1" applyProtection="1">
      <alignment horizontal="left" vertical="center"/>
      <protection hidden="1"/>
    </xf>
    <xf numFmtId="0" fontId="26" fillId="2" borderId="0" xfId="0" applyFont="1" applyFill="1" applyAlignment="1" applyProtection="1">
      <alignment horizontal="center" vertical="center"/>
      <protection hidden="1"/>
    </xf>
    <xf numFmtId="0" fontId="23" fillId="3" borderId="0" xfId="0" applyFont="1" applyFill="1" applyAlignment="1" applyProtection="1">
      <alignment horizontal="center"/>
      <protection hidden="1"/>
    </xf>
    <xf numFmtId="0" fontId="22" fillId="2" borderId="0" xfId="0" applyFont="1" applyFill="1" applyAlignment="1" applyProtection="1">
      <alignment vertical="center"/>
      <protection hidden="1"/>
    </xf>
    <xf numFmtId="0" fontId="23" fillId="3" borderId="0" xfId="0" applyFont="1" applyFill="1" applyAlignment="1" applyProtection="1">
      <alignment horizontal="center" vertical="center"/>
      <protection hidden="1"/>
    </xf>
    <xf numFmtId="0" fontId="27" fillId="2" borderId="0" xfId="0" applyFont="1" applyFill="1" applyProtection="1">
      <protection locked="0"/>
    </xf>
    <xf numFmtId="0" fontId="27" fillId="2" borderId="0" xfId="0" applyFont="1" applyFill="1" applyProtection="1">
      <protection hidden="1"/>
    </xf>
    <xf numFmtId="0" fontId="27" fillId="2" borderId="0" xfId="0" applyFont="1" applyFill="1" applyAlignment="1" applyProtection="1">
      <alignment horizontal="center" vertical="center"/>
      <protection hidden="1"/>
    </xf>
    <xf numFmtId="0" fontId="27" fillId="2" borderId="0" xfId="0" applyFont="1" applyFill="1" applyAlignment="1" applyProtection="1">
      <alignment horizontal="center" vertical="center"/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0" xfId="0" applyFont="1" applyFill="1" applyProtection="1">
      <protection locked="0"/>
    </xf>
    <xf numFmtId="0" fontId="27" fillId="4" borderId="2" xfId="0" applyFont="1" applyFill="1" applyBorder="1" applyProtection="1">
      <protection hidden="1"/>
    </xf>
    <xf numFmtId="0" fontId="27" fillId="4" borderId="0" xfId="0" applyFont="1" applyFill="1" applyAlignment="1" applyProtection="1">
      <alignment vertical="center"/>
      <protection hidden="1"/>
    </xf>
    <xf numFmtId="0" fontId="27" fillId="4" borderId="0" xfId="0" applyFont="1" applyFill="1" applyProtection="1">
      <protection hidden="1"/>
    </xf>
    <xf numFmtId="0" fontId="30" fillId="4" borderId="0" xfId="0" applyFont="1" applyFill="1" applyProtection="1">
      <protection hidden="1"/>
    </xf>
    <xf numFmtId="0" fontId="27" fillId="2" borderId="0" xfId="0" applyFont="1" applyFill="1" applyAlignment="1" applyProtection="1">
      <alignment horizontal="left"/>
      <protection locked="0"/>
    </xf>
    <xf numFmtId="0" fontId="31" fillId="4" borderId="2" xfId="0" applyFont="1" applyFill="1" applyBorder="1" applyProtection="1">
      <protection hidden="1"/>
    </xf>
    <xf numFmtId="0" fontId="27" fillId="4" borderId="0" xfId="0" applyFont="1" applyFill="1" applyAlignment="1" applyProtection="1">
      <alignment horizontal="center" vertical="center"/>
      <protection hidden="1"/>
    </xf>
    <xf numFmtId="0" fontId="31" fillId="4" borderId="0" xfId="0" applyFont="1" applyFill="1" applyProtection="1">
      <protection hidden="1"/>
    </xf>
    <xf numFmtId="0" fontId="32" fillId="4" borderId="0" xfId="0" applyFont="1" applyFill="1" applyProtection="1">
      <protection hidden="1"/>
    </xf>
    <xf numFmtId="0" fontId="31" fillId="2" borderId="0" xfId="0" applyFont="1" applyFill="1" applyAlignment="1" applyProtection="1">
      <alignment vertical="center"/>
      <protection hidden="1"/>
    </xf>
    <xf numFmtId="0" fontId="27" fillId="2" borderId="0" xfId="0" applyFont="1" applyFill="1" applyAlignment="1" applyProtection="1">
      <alignment horizontal="center" vertical="top"/>
      <protection hidden="1"/>
    </xf>
    <xf numFmtId="0" fontId="30" fillId="2" borderId="0" xfId="0" applyFont="1" applyFill="1" applyProtection="1">
      <protection hidden="1"/>
    </xf>
    <xf numFmtId="0" fontId="34" fillId="2" borderId="0" xfId="0" applyFont="1" applyFill="1" applyAlignment="1" applyProtection="1">
      <alignment horizontal="center" vertical="center"/>
      <protection hidden="1"/>
    </xf>
    <xf numFmtId="0" fontId="28" fillId="2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35" fillId="2" borderId="0" xfId="0" applyFont="1" applyFill="1" applyAlignment="1" applyProtection="1">
      <alignment horizontal="center" vertical="center"/>
      <protection hidden="1"/>
    </xf>
    <xf numFmtId="0" fontId="36" fillId="5" borderId="0" xfId="0" applyFont="1" applyFill="1" applyAlignment="1" applyProtection="1">
      <alignment horizontal="center" vertical="center"/>
      <protection hidden="1"/>
    </xf>
    <xf numFmtId="0" fontId="27" fillId="2" borderId="0" xfId="0" applyFont="1" applyFill="1" applyAlignment="1" applyProtection="1">
      <alignment horizontal="center" vertical="center" wrapText="1"/>
      <protection hidden="1"/>
    </xf>
    <xf numFmtId="0" fontId="29" fillId="2" borderId="0" xfId="0" applyFont="1" applyFill="1" applyAlignment="1" applyProtection="1">
      <alignment horizontal="center" vertical="top"/>
      <protection locked="0"/>
    </xf>
    <xf numFmtId="0" fontId="27" fillId="2" borderId="0" xfId="0" applyFont="1" applyFill="1" applyAlignment="1" applyProtection="1">
      <alignment vertical="top" wrapText="1"/>
      <protection hidden="1"/>
    </xf>
    <xf numFmtId="0" fontId="27" fillId="2" borderId="0" xfId="0" applyFont="1" applyFill="1" applyAlignment="1" applyProtection="1">
      <alignment horizontal="center" vertical="top" wrapText="1"/>
      <protection locked="0"/>
    </xf>
    <xf numFmtId="0" fontId="27" fillId="2" borderId="0" xfId="0" applyFont="1" applyFill="1" applyAlignment="1" applyProtection="1">
      <alignment horizontal="justify" vertical="top" wrapText="1"/>
      <protection hidden="1"/>
    </xf>
    <xf numFmtId="0" fontId="31" fillId="2" borderId="0" xfId="0" applyFont="1" applyFill="1" applyAlignment="1" applyProtection="1">
      <alignment horizontal="left" vertical="top"/>
      <protection hidden="1"/>
    </xf>
    <xf numFmtId="0" fontId="37" fillId="2" borderId="0" xfId="0" applyFont="1" applyFill="1" applyAlignment="1" applyProtection="1">
      <alignment vertical="center"/>
      <protection hidden="1"/>
    </xf>
    <xf numFmtId="0" fontId="34" fillId="2" borderId="0" xfId="0" applyFont="1" applyFill="1" applyAlignment="1" applyProtection="1">
      <alignment vertical="center"/>
      <protection hidden="1"/>
    </xf>
    <xf numFmtId="0" fontId="27" fillId="2" borderId="0" xfId="0" applyFont="1" applyFill="1" applyAlignment="1" applyProtection="1">
      <alignment horizontal="left" vertical="center"/>
      <protection hidden="1"/>
    </xf>
    <xf numFmtId="0" fontId="34" fillId="3" borderId="0" xfId="0" applyFont="1" applyFill="1" applyProtection="1">
      <protection locked="0"/>
    </xf>
    <xf numFmtId="0" fontId="34" fillId="3" borderId="0" xfId="0" applyFont="1" applyFill="1" applyAlignment="1" applyProtection="1">
      <alignment horizontal="center"/>
      <protection locked="0"/>
    </xf>
    <xf numFmtId="0" fontId="27" fillId="2" borderId="0" xfId="0" applyFont="1" applyFill="1" applyAlignment="1" applyProtection="1">
      <alignment horizontal="left" vertical="top"/>
      <protection hidden="1"/>
    </xf>
    <xf numFmtId="0" fontId="36" fillId="2" borderId="0" xfId="0" applyFont="1" applyFill="1" applyAlignment="1" applyProtection="1">
      <alignment vertical="center"/>
      <protection hidden="1"/>
    </xf>
    <xf numFmtId="0" fontId="17" fillId="2" borderId="0" xfId="0" applyFont="1" applyFill="1" applyAlignment="1" applyProtection="1">
      <alignment horizontal="left" vertical="center"/>
      <protection locked="0"/>
    </xf>
    <xf numFmtId="0" fontId="17" fillId="2" borderId="0" xfId="0" applyFont="1" applyFill="1" applyAlignment="1" applyProtection="1">
      <alignment horizontal="center"/>
      <protection hidden="1"/>
    </xf>
    <xf numFmtId="0" fontId="8" fillId="6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 textRotation="90" wrapText="1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/>
    <xf numFmtId="1" fontId="4" fillId="6" borderId="0" xfId="0" applyNumberFormat="1" applyFont="1" applyFill="1" applyAlignment="1">
      <alignment horizontal="center" vertical="center"/>
    </xf>
    <xf numFmtId="0" fontId="17" fillId="2" borderId="0" xfId="0" applyFont="1" applyFill="1" applyAlignment="1" applyProtection="1">
      <alignment horizontal="center"/>
      <protection locked="0"/>
    </xf>
    <xf numFmtId="0" fontId="25" fillId="0" borderId="0" xfId="0" applyFont="1" applyAlignment="1" applyProtection="1">
      <alignment horizontal="justify" vertical="top" wrapText="1" readingOrder="1"/>
      <protection hidden="1"/>
    </xf>
    <xf numFmtId="0" fontId="27" fillId="2" borderId="0" xfId="0" applyFont="1" applyFill="1" applyAlignment="1" applyProtection="1">
      <alignment horizontal="justify" vertical="top" wrapText="1"/>
      <protection hidden="1"/>
    </xf>
    <xf numFmtId="0" fontId="31" fillId="2" borderId="0" xfId="0" applyFont="1" applyFill="1" applyAlignment="1" applyProtection="1">
      <alignment horizontal="justify" vertical="top" wrapText="1"/>
      <protection hidden="1"/>
    </xf>
    <xf numFmtId="0" fontId="34" fillId="3" borderId="0" xfId="0" applyFont="1" applyFill="1" applyAlignment="1" applyProtection="1">
      <alignment horizontal="center"/>
      <protection locked="0"/>
    </xf>
    <xf numFmtId="0" fontId="37" fillId="2" borderId="0" xfId="0" applyFont="1" applyFill="1" applyAlignment="1" applyProtection="1">
      <alignment horizontal="center" vertical="center"/>
      <protection hidden="1"/>
    </xf>
    <xf numFmtId="0" fontId="33" fillId="2" borderId="0" xfId="0" applyFont="1" applyFill="1" applyAlignment="1" applyProtection="1">
      <alignment horizontal="left" vertical="center"/>
      <protection locked="0"/>
    </xf>
    <xf numFmtId="164" fontId="33" fillId="2" borderId="0" xfId="0" applyNumberFormat="1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vertical="center"/>
      <protection hidden="1"/>
    </xf>
    <xf numFmtId="0" fontId="32" fillId="4" borderId="0" xfId="0" applyFont="1" applyFill="1" applyAlignment="1" applyProtection="1">
      <alignment horizontal="right"/>
      <protection hidden="1"/>
    </xf>
    <xf numFmtId="0" fontId="27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Alignment="1" applyProtection="1">
      <alignment horizontal="center" vertical="center"/>
      <protection hidden="1"/>
    </xf>
    <xf numFmtId="0" fontId="31" fillId="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 wrapText="1"/>
    </xf>
    <xf numFmtId="0" fontId="14" fillId="3" borderId="0" xfId="0" applyFont="1" applyFill="1" applyAlignment="1">
      <alignment horizontal="center"/>
    </xf>
    <xf numFmtId="0" fontId="12" fillId="0" borderId="0" xfId="0" applyFont="1" applyAlignment="1">
      <alignment horizontal="left" vertical="center"/>
    </xf>
  </cellXfs>
  <cellStyles count="1">
    <cellStyle name="Normal" xfId="0" builtinId="0"/>
  </cellStyles>
  <dxfs count="3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4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4AE4B95-2CE0-437D-907D-601E932E7A6D}"/>
  </tableStyles>
  <colors>
    <mruColors>
      <color rgb="FF4FAB8A"/>
      <color rgb="FFEAF3FA"/>
      <color rgb="FF00458A"/>
      <color rgb="FFFAF4E6"/>
      <color rgb="FFEED7A4"/>
      <color rgb="FFC0D7EA"/>
      <color rgb="FFA3C7D9"/>
      <color rgb="FFFF6582"/>
      <color rgb="FFB40049"/>
      <color rgb="FFFF1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251206073820987E-2"/>
          <c:y val="0.11549482076308146"/>
          <c:w val="0.9157807262496569"/>
          <c:h val="0.78434803607084402"/>
        </c:manualLayout>
      </c:layout>
      <c:scatterChart>
        <c:scatterStyle val="lineMarker"/>
        <c:varyColors val="0"/>
        <c:ser>
          <c:idx val="0"/>
          <c:order val="0"/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</c:marker>
          <c:xVal>
            <c:numRef>
              <c:f>'Resultados '!$Z$12:$Z$16</c:f>
              <c:numCache>
                <c:formatCode>General</c:formatCode>
                <c:ptCount val="5"/>
                <c:pt idx="0">
                  <c:v>63</c:v>
                </c:pt>
                <c:pt idx="1">
                  <c:v>30</c:v>
                </c:pt>
                <c:pt idx="2">
                  <c:v>49</c:v>
                </c:pt>
                <c:pt idx="3">
                  <c:v>45</c:v>
                </c:pt>
                <c:pt idx="4">
                  <c:v>39</c:v>
                </c:pt>
              </c:numCache>
            </c:numRef>
          </c:xVal>
          <c:yVal>
            <c:numRef>
              <c:f>'Resultados '!$Y$12:$Y$18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8C-44EC-B933-E3C7C8B9C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403952"/>
        <c:axId val="1583803824"/>
      </c:scatterChart>
      <c:valAx>
        <c:axId val="2009403952"/>
        <c:scaling>
          <c:orientation val="minMax"/>
          <c:max val="80"/>
        </c:scaling>
        <c:delete val="1"/>
        <c:axPos val="t"/>
        <c:numFmt formatCode="General" sourceLinked="1"/>
        <c:majorTickMark val="out"/>
        <c:minorTickMark val="none"/>
        <c:tickLblPos val="nextTo"/>
        <c:crossAx val="1583803824"/>
        <c:crosses val="autoZero"/>
        <c:crossBetween val="midCat"/>
        <c:majorUnit val="5"/>
      </c:valAx>
      <c:valAx>
        <c:axId val="1583803824"/>
        <c:scaling>
          <c:orientation val="maxMin"/>
          <c:max val="4"/>
          <c:min val="1"/>
        </c:scaling>
        <c:delete val="1"/>
        <c:axPos val="l"/>
        <c:numFmt formatCode="General" sourceLinked="1"/>
        <c:majorTickMark val="out"/>
        <c:minorTickMark val="none"/>
        <c:tickLblPos val="nextTo"/>
        <c:crossAx val="200940395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251206073820987E-2"/>
          <c:y val="0.41328502549786172"/>
          <c:w val="0.9157807262496569"/>
          <c:h val="0.3634821681802256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53975">
                <a:solidFill>
                  <a:schemeClr val="tx1"/>
                </a:solidFill>
              </a:ln>
              <a:effectLst/>
            </c:spPr>
          </c:marker>
          <c:xVal>
            <c:numRef>
              <c:f>'Resultados '!$L$20</c:f>
              <c:numCache>
                <c:formatCode>General</c:formatCode>
                <c:ptCount val="1"/>
                <c:pt idx="0">
                  <c:v>39</c:v>
                </c:pt>
              </c:numCache>
            </c:numRef>
          </c:xVal>
          <c:yVal>
            <c:numRef>
              <c:f>'Resultados '!$Y$20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76-4AC9-8C39-9196E7D51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403952"/>
        <c:axId val="1583803824"/>
      </c:scatterChart>
      <c:valAx>
        <c:axId val="2009403952"/>
        <c:scaling>
          <c:orientation val="minMax"/>
          <c:max val="80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1583803824"/>
        <c:crosses val="autoZero"/>
        <c:crossBetween val="midCat"/>
        <c:majorUnit val="5"/>
      </c:valAx>
      <c:valAx>
        <c:axId val="1583803824"/>
        <c:scaling>
          <c:orientation val="maxMin"/>
          <c:min val="1"/>
        </c:scaling>
        <c:delete val="1"/>
        <c:axPos val="l"/>
        <c:numFmt formatCode="General" sourceLinked="1"/>
        <c:majorTickMark val="out"/>
        <c:minorTickMark val="none"/>
        <c:tickLblPos val="nextTo"/>
        <c:crossAx val="2009403952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$A$2" fmlaRange="$Y$3:$Y$8" sel="6" val="0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38100</xdr:rowOff>
        </xdr:from>
        <xdr:to>
          <xdr:col>8</xdr:col>
          <xdr:colOff>723900</xdr:colOff>
          <xdr:row>27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37</xdr:row>
          <xdr:rowOff>28575</xdr:rowOff>
        </xdr:from>
        <xdr:to>
          <xdr:col>9</xdr:col>
          <xdr:colOff>0</xdr:colOff>
          <xdr:row>39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112058</xdr:colOff>
      <xdr:row>2</xdr:row>
      <xdr:rowOff>33617</xdr:rowOff>
    </xdr:from>
    <xdr:to>
      <xdr:col>2</xdr:col>
      <xdr:colOff>498309</xdr:colOff>
      <xdr:row>7</xdr:row>
      <xdr:rowOff>71717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8859091-9894-C007-E638-29A797E9BEF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15"/>
        <a:stretch/>
      </xdr:blipFill>
      <xdr:spPr bwMode="auto">
        <a:xfrm>
          <a:off x="347382" y="437029"/>
          <a:ext cx="870345" cy="1046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627529</xdr:colOff>
      <xdr:row>2</xdr:row>
      <xdr:rowOff>11206</xdr:rowOff>
    </xdr:from>
    <xdr:to>
      <xdr:col>2</xdr:col>
      <xdr:colOff>1394011</xdr:colOff>
      <xdr:row>6</xdr:row>
      <xdr:rowOff>187411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1472304-9775-F613-4E6E-9FBF6A90466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artisticGlowEdges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65189"/>
        <a:stretch/>
      </xdr:blipFill>
      <xdr:spPr bwMode="auto">
        <a:xfrm>
          <a:off x="1232647" y="414618"/>
          <a:ext cx="4157382" cy="983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90235</xdr:colOff>
      <xdr:row>8</xdr:row>
      <xdr:rowOff>114299</xdr:rowOff>
    </xdr:from>
    <xdr:to>
      <xdr:col>23</xdr:col>
      <xdr:colOff>5012</xdr:colOff>
      <xdr:row>9</xdr:row>
      <xdr:rowOff>65314</xdr:rowOff>
    </xdr:to>
    <xdr:grpSp>
      <xdr:nvGrpSpPr>
        <xdr:cNvPr id="2076" name="Grupo 2075">
          <a:extLst>
            <a:ext uri="{FF2B5EF4-FFF2-40B4-BE49-F238E27FC236}">
              <a16:creationId xmlns:a16="http://schemas.microsoft.com/office/drawing/2014/main" id="{9946641B-0703-4BD9-B2C9-9C9F9E77D0F1}"/>
            </a:ext>
          </a:extLst>
        </xdr:cNvPr>
        <xdr:cNvGrpSpPr/>
      </xdr:nvGrpSpPr>
      <xdr:grpSpPr>
        <a:xfrm>
          <a:off x="3403278" y="1232451"/>
          <a:ext cx="2896517" cy="124950"/>
          <a:chOff x="4186677" y="1951925"/>
          <a:chExt cx="3780619" cy="1287575"/>
        </a:xfrm>
      </xdr:grpSpPr>
      <xdr:grpSp>
        <xdr:nvGrpSpPr>
          <xdr:cNvPr id="2077" name="Grupo 2076">
            <a:extLst>
              <a:ext uri="{FF2B5EF4-FFF2-40B4-BE49-F238E27FC236}">
                <a16:creationId xmlns:a16="http://schemas.microsoft.com/office/drawing/2014/main" id="{31B7CFFE-0CC2-095F-26E6-47D74DB52A1A}"/>
              </a:ext>
            </a:extLst>
          </xdr:cNvPr>
          <xdr:cNvGrpSpPr/>
        </xdr:nvGrpSpPr>
        <xdr:grpSpPr>
          <a:xfrm>
            <a:off x="4186677" y="1951925"/>
            <a:ext cx="2925948" cy="1287575"/>
            <a:chOff x="4186677" y="1951925"/>
            <a:chExt cx="2925948" cy="1287575"/>
          </a:xfrm>
        </xdr:grpSpPr>
        <xdr:sp macro="" textlink="">
          <xdr:nvSpPr>
            <xdr:cNvPr id="2079" name="Rectángulo 2078">
              <a:extLst>
                <a:ext uri="{FF2B5EF4-FFF2-40B4-BE49-F238E27FC236}">
                  <a16:creationId xmlns:a16="http://schemas.microsoft.com/office/drawing/2014/main" id="{122D1127-E5A1-BBC3-04C9-879B7F5EA10A}"/>
                </a:ext>
              </a:extLst>
            </xdr:cNvPr>
            <xdr:cNvSpPr/>
          </xdr:nvSpPr>
          <xdr:spPr>
            <a:xfrm>
              <a:off x="4186677" y="1956144"/>
              <a:ext cx="1660722" cy="1282200"/>
            </a:xfrm>
            <a:prstGeom prst="rect">
              <a:avLst/>
            </a:prstGeom>
            <a:solidFill>
              <a:srgbClr val="C0D7EA"/>
            </a:solidFill>
            <a:ln>
              <a:solidFill>
                <a:srgbClr val="C0D7EA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2080" name="Rectángulo 2079">
              <a:extLst>
                <a:ext uri="{FF2B5EF4-FFF2-40B4-BE49-F238E27FC236}">
                  <a16:creationId xmlns:a16="http://schemas.microsoft.com/office/drawing/2014/main" id="{3CB579F8-232B-376E-DA80-8BB6AFF89D9C}"/>
                </a:ext>
              </a:extLst>
            </xdr:cNvPr>
            <xdr:cNvSpPr/>
          </xdr:nvSpPr>
          <xdr:spPr>
            <a:xfrm>
              <a:off x="5859508" y="1951925"/>
              <a:ext cx="811196" cy="1287575"/>
            </a:xfrm>
            <a:prstGeom prst="rect">
              <a:avLst/>
            </a:prstGeom>
            <a:solidFill>
              <a:srgbClr val="4FAB8A"/>
            </a:solidFill>
            <a:ln>
              <a:solidFill>
                <a:srgbClr val="4FAB8A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2081" name="Rectángulo 2080">
              <a:extLst>
                <a:ext uri="{FF2B5EF4-FFF2-40B4-BE49-F238E27FC236}">
                  <a16:creationId xmlns:a16="http://schemas.microsoft.com/office/drawing/2014/main" id="{F9BBC06C-4A1D-5235-8442-C9C552DB164D}"/>
                </a:ext>
              </a:extLst>
            </xdr:cNvPr>
            <xdr:cNvSpPr/>
          </xdr:nvSpPr>
          <xdr:spPr>
            <a:xfrm>
              <a:off x="6682812" y="1951956"/>
              <a:ext cx="429813" cy="1285145"/>
            </a:xfrm>
            <a:prstGeom prst="rect">
              <a:avLst/>
            </a:prstGeom>
            <a:solidFill>
              <a:srgbClr val="EED7A4"/>
            </a:solidFill>
            <a:ln>
              <a:solidFill>
                <a:srgbClr val="EED7A4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</xdr:grpSp>
      <xdr:sp macro="" textlink="">
        <xdr:nvSpPr>
          <xdr:cNvPr id="2078" name="Rectángulo 2077">
            <a:extLst>
              <a:ext uri="{FF2B5EF4-FFF2-40B4-BE49-F238E27FC236}">
                <a16:creationId xmlns:a16="http://schemas.microsoft.com/office/drawing/2014/main" id="{9C750AA3-7806-3C7B-DE7B-1C31AB45ACC4}"/>
              </a:ext>
            </a:extLst>
          </xdr:cNvPr>
          <xdr:cNvSpPr/>
        </xdr:nvSpPr>
        <xdr:spPr>
          <a:xfrm>
            <a:off x="7124735" y="1951925"/>
            <a:ext cx="842561" cy="1282773"/>
          </a:xfrm>
          <a:prstGeom prst="rect">
            <a:avLst/>
          </a:prstGeom>
          <a:solidFill>
            <a:srgbClr val="FAF4E6"/>
          </a:solidFill>
          <a:ln>
            <a:solidFill>
              <a:srgbClr val="FAF4E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</xdr:grpSp>
    <xdr:clientData/>
  </xdr:twoCellAnchor>
  <xdr:twoCellAnchor>
    <xdr:from>
      <xdr:col>10</xdr:col>
      <xdr:colOff>87132</xdr:colOff>
      <xdr:row>22</xdr:row>
      <xdr:rowOff>44708</xdr:rowOff>
    </xdr:from>
    <xdr:to>
      <xdr:col>12</xdr:col>
      <xdr:colOff>57366</xdr:colOff>
      <xdr:row>22</xdr:row>
      <xdr:rowOff>187583</xdr:rowOff>
    </xdr:to>
    <xdr:sp macro="" textlink="">
      <xdr:nvSpPr>
        <xdr:cNvPr id="2057" name="Rectángulo: esquinas redondeadas 2056">
          <a:extLst>
            <a:ext uri="{FF2B5EF4-FFF2-40B4-BE49-F238E27FC236}">
              <a16:creationId xmlns:a16="http://schemas.microsoft.com/office/drawing/2014/main" id="{BE9CFDD2-C12F-4032-97B3-5CC683A69635}"/>
            </a:ext>
          </a:extLst>
        </xdr:cNvPr>
        <xdr:cNvSpPr/>
      </xdr:nvSpPr>
      <xdr:spPr>
        <a:xfrm>
          <a:off x="3002610" y="3125838"/>
          <a:ext cx="367799" cy="142875"/>
        </a:xfrm>
        <a:prstGeom prst="roundRect">
          <a:avLst>
            <a:gd name="adj" fmla="val 50000"/>
          </a:avLst>
        </a:prstGeom>
        <a:solidFill>
          <a:srgbClr val="4FAB8A"/>
        </a:solidFill>
        <a:ln>
          <a:solidFill>
            <a:srgbClr val="4FAB8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87133</xdr:colOff>
      <xdr:row>22</xdr:row>
      <xdr:rowOff>44708</xdr:rowOff>
    </xdr:from>
    <xdr:to>
      <xdr:col>10</xdr:col>
      <xdr:colOff>57366</xdr:colOff>
      <xdr:row>22</xdr:row>
      <xdr:rowOff>187583</xdr:rowOff>
    </xdr:to>
    <xdr:sp macro="" textlink="">
      <xdr:nvSpPr>
        <xdr:cNvPr id="2058" name="Rectángulo: esquinas redondeadas 2057">
          <a:extLst>
            <a:ext uri="{FF2B5EF4-FFF2-40B4-BE49-F238E27FC236}">
              <a16:creationId xmlns:a16="http://schemas.microsoft.com/office/drawing/2014/main" id="{BFCF98E1-9620-4D8F-8C04-200C95227214}"/>
            </a:ext>
          </a:extLst>
        </xdr:cNvPr>
        <xdr:cNvSpPr/>
      </xdr:nvSpPr>
      <xdr:spPr>
        <a:xfrm>
          <a:off x="2605046" y="3125838"/>
          <a:ext cx="367798" cy="142875"/>
        </a:xfrm>
        <a:prstGeom prst="roundRect">
          <a:avLst>
            <a:gd name="adj" fmla="val 50000"/>
          </a:avLst>
        </a:prstGeom>
        <a:solidFill>
          <a:srgbClr val="4FAB8A"/>
        </a:solidFill>
        <a:ln>
          <a:solidFill>
            <a:srgbClr val="4FAB8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6</xdr:col>
      <xdr:colOff>93085</xdr:colOff>
      <xdr:row>22</xdr:row>
      <xdr:rowOff>44708</xdr:rowOff>
    </xdr:from>
    <xdr:to>
      <xdr:col>8</xdr:col>
      <xdr:colOff>51413</xdr:colOff>
      <xdr:row>22</xdr:row>
      <xdr:rowOff>187583</xdr:rowOff>
    </xdr:to>
    <xdr:sp macro="" textlink="">
      <xdr:nvSpPr>
        <xdr:cNvPr id="2059" name="Rectángulo: esquinas redondeadas 2058">
          <a:extLst>
            <a:ext uri="{FF2B5EF4-FFF2-40B4-BE49-F238E27FC236}">
              <a16:creationId xmlns:a16="http://schemas.microsoft.com/office/drawing/2014/main" id="{1DEA6E3A-C876-49F5-B777-4283563100C0}"/>
            </a:ext>
          </a:extLst>
        </xdr:cNvPr>
        <xdr:cNvSpPr/>
      </xdr:nvSpPr>
      <xdr:spPr>
        <a:xfrm>
          <a:off x="2221715" y="3125838"/>
          <a:ext cx="347611" cy="142875"/>
        </a:xfrm>
        <a:prstGeom prst="roundRect">
          <a:avLst>
            <a:gd name="adj" fmla="val 50000"/>
          </a:avLst>
        </a:prstGeom>
        <a:solidFill>
          <a:srgbClr val="4FAB8A"/>
        </a:solidFill>
        <a:ln>
          <a:solidFill>
            <a:srgbClr val="4FAB8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81013</xdr:colOff>
      <xdr:row>9</xdr:row>
      <xdr:rowOff>53578</xdr:rowOff>
    </xdr:from>
    <xdr:to>
      <xdr:col>12</xdr:col>
      <xdr:colOff>51247</xdr:colOff>
      <xdr:row>9</xdr:row>
      <xdr:rowOff>196453</xdr:rowOff>
    </xdr:to>
    <xdr:sp macro="" textlink="">
      <xdr:nvSpPr>
        <xdr:cNvPr id="2052" name="Rectángulo: esquinas redondeadas 2051">
          <a:extLst>
            <a:ext uri="{FF2B5EF4-FFF2-40B4-BE49-F238E27FC236}">
              <a16:creationId xmlns:a16="http://schemas.microsoft.com/office/drawing/2014/main" id="{56354F74-E2A6-6F3D-A913-1BB0FAFA1CF3}"/>
            </a:ext>
          </a:extLst>
        </xdr:cNvPr>
        <xdr:cNvSpPr/>
      </xdr:nvSpPr>
      <xdr:spPr>
        <a:xfrm>
          <a:off x="2996491" y="1345665"/>
          <a:ext cx="367799" cy="142875"/>
        </a:xfrm>
        <a:prstGeom prst="roundRect">
          <a:avLst>
            <a:gd name="adj" fmla="val 50000"/>
          </a:avLst>
        </a:prstGeom>
        <a:solidFill>
          <a:srgbClr val="4FAB8A"/>
        </a:solidFill>
        <a:ln>
          <a:solidFill>
            <a:srgbClr val="4FAB8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81014</xdr:colOff>
      <xdr:row>9</xdr:row>
      <xdr:rowOff>53578</xdr:rowOff>
    </xdr:from>
    <xdr:to>
      <xdr:col>10</xdr:col>
      <xdr:colOff>51247</xdr:colOff>
      <xdr:row>9</xdr:row>
      <xdr:rowOff>196453</xdr:rowOff>
    </xdr:to>
    <xdr:sp macro="" textlink="">
      <xdr:nvSpPr>
        <xdr:cNvPr id="2050" name="Rectángulo: esquinas redondeadas 2049">
          <a:extLst>
            <a:ext uri="{FF2B5EF4-FFF2-40B4-BE49-F238E27FC236}">
              <a16:creationId xmlns:a16="http://schemas.microsoft.com/office/drawing/2014/main" id="{77E75856-7EC9-BBC4-AF57-66B675BC2A29}"/>
            </a:ext>
          </a:extLst>
        </xdr:cNvPr>
        <xdr:cNvSpPr/>
      </xdr:nvSpPr>
      <xdr:spPr>
        <a:xfrm>
          <a:off x="2598927" y="1345665"/>
          <a:ext cx="367798" cy="142875"/>
        </a:xfrm>
        <a:prstGeom prst="roundRect">
          <a:avLst>
            <a:gd name="adj" fmla="val 50000"/>
          </a:avLst>
        </a:prstGeom>
        <a:solidFill>
          <a:srgbClr val="4FAB8A"/>
        </a:solidFill>
        <a:ln>
          <a:solidFill>
            <a:srgbClr val="4FAB8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absolute">
    <xdr:from>
      <xdr:col>12</xdr:col>
      <xdr:colOff>95250</xdr:colOff>
      <xdr:row>9</xdr:row>
      <xdr:rowOff>172813</xdr:rowOff>
    </xdr:from>
    <xdr:to>
      <xdr:col>22</xdr:col>
      <xdr:colOff>165651</xdr:colOff>
      <xdr:row>21</xdr:row>
      <xdr:rowOff>32525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3408293" y="1464900"/>
          <a:ext cx="2878206" cy="1466538"/>
          <a:chOff x="4200494" y="1951925"/>
          <a:chExt cx="3761287" cy="1288389"/>
        </a:xfrm>
      </xdr:grpSpPr>
      <xdr:grpSp>
        <xdr:nvGrpSpPr>
          <xdr:cNvPr id="20" name="Grupo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GrpSpPr/>
        </xdr:nvGrpSpPr>
        <xdr:grpSpPr>
          <a:xfrm>
            <a:off x="4200494" y="1951925"/>
            <a:ext cx="2907116" cy="1288389"/>
            <a:chOff x="4200494" y="1951925"/>
            <a:chExt cx="2907116" cy="1288389"/>
          </a:xfrm>
        </xdr:grpSpPr>
        <xdr:sp macro="" textlink="">
          <xdr:nvSpPr>
            <xdr:cNvPr id="13" name="Rectángulo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/>
          </xdr:nvSpPr>
          <xdr:spPr>
            <a:xfrm>
              <a:off x="4200494" y="1953106"/>
              <a:ext cx="1641891" cy="1285246"/>
            </a:xfrm>
            <a:prstGeom prst="rect">
              <a:avLst/>
            </a:prstGeom>
            <a:solidFill>
              <a:srgbClr val="C0D7EA"/>
            </a:solidFill>
            <a:ln>
              <a:solidFill>
                <a:srgbClr val="C0D7EA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5860546" y="1951925"/>
              <a:ext cx="823306" cy="1288389"/>
            </a:xfrm>
            <a:prstGeom prst="rect">
              <a:avLst/>
            </a:prstGeom>
            <a:solidFill>
              <a:srgbClr val="4FAB8A"/>
            </a:solidFill>
            <a:ln>
              <a:solidFill>
                <a:srgbClr val="4FAB8A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6695957" y="1951952"/>
              <a:ext cx="411653" cy="1288362"/>
            </a:xfrm>
            <a:prstGeom prst="rect">
              <a:avLst/>
            </a:prstGeom>
            <a:solidFill>
              <a:srgbClr val="EED7A4"/>
            </a:solidFill>
            <a:ln>
              <a:solidFill>
                <a:srgbClr val="EED7A4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</xdr:grpSp>
      <xdr:sp macro="" textlink="">
        <xdr:nvSpPr>
          <xdr:cNvPr id="16" name="Rectángulo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7131823" y="1951925"/>
            <a:ext cx="829958" cy="1288388"/>
          </a:xfrm>
          <a:prstGeom prst="rect">
            <a:avLst/>
          </a:prstGeom>
          <a:solidFill>
            <a:srgbClr val="FAF4E6"/>
          </a:solidFill>
          <a:ln>
            <a:solidFill>
              <a:srgbClr val="FAF4E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</xdr:grpSp>
    <xdr:clientData/>
  </xdr:twoCellAnchor>
  <xdr:twoCellAnchor>
    <xdr:from>
      <xdr:col>12</xdr:col>
      <xdr:colOff>91483</xdr:colOff>
      <xdr:row>10</xdr:row>
      <xdr:rowOff>32845</xdr:rowOff>
    </xdr:from>
    <xdr:to>
      <xdr:col>21</xdr:col>
      <xdr:colOff>244928</xdr:colOff>
      <xdr:row>18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35575</xdr:colOff>
      <xdr:row>9</xdr:row>
      <xdr:rowOff>206096</xdr:rowOff>
    </xdr:from>
    <xdr:to>
      <xdr:col>18</xdr:col>
      <xdr:colOff>39776</xdr:colOff>
      <xdr:row>21</xdr:row>
      <xdr:rowOff>19859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5021232" y="1517825"/>
          <a:ext cx="4201" cy="1435734"/>
        </a:xfrm>
        <a:prstGeom prst="line">
          <a:avLst/>
        </a:prstGeom>
        <a:ln w="12700">
          <a:solidFill>
            <a:schemeClr val="accent6">
              <a:lumMod val="50000"/>
            </a:schemeClr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123919</xdr:colOff>
      <xdr:row>0</xdr:row>
      <xdr:rowOff>216160</xdr:rowOff>
    </xdr:from>
    <xdr:to>
      <xdr:col>4</xdr:col>
      <xdr:colOff>183538</xdr:colOff>
      <xdr:row>7</xdr:row>
      <xdr:rowOff>52047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0229" y="216160"/>
          <a:ext cx="703378" cy="880353"/>
        </a:xfrm>
        <a:prstGeom prst="rect">
          <a:avLst/>
        </a:prstGeom>
      </xdr:spPr>
    </xdr:pic>
    <xdr:clientData/>
  </xdr:twoCellAnchor>
  <xdr:twoCellAnchor>
    <xdr:from>
      <xdr:col>0</xdr:col>
      <xdr:colOff>220905</xdr:colOff>
      <xdr:row>0</xdr:row>
      <xdr:rowOff>176769</xdr:rowOff>
    </xdr:from>
    <xdr:to>
      <xdr:col>1</xdr:col>
      <xdr:colOff>351105</xdr:colOff>
      <xdr:row>8</xdr:row>
      <xdr:rowOff>13303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220905" y="176769"/>
          <a:ext cx="368325" cy="9509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ctr"/>
          <a:r>
            <a:rPr lang="es-AR" sz="1600" b="1">
              <a:solidFill>
                <a:srgbClr val="FF000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Nova" panose="020B0504020202020204" pitchFamily="34" charset="0"/>
              <a:cs typeface="Arial" panose="020B0604020202020204" pitchFamily="34" charset="0"/>
            </a:rPr>
            <a:t>PERFIL</a:t>
          </a:r>
        </a:p>
      </xdr:txBody>
    </xdr:sp>
    <xdr:clientData/>
  </xdr:twoCellAnchor>
  <xdr:twoCellAnchor>
    <xdr:from>
      <xdr:col>12</xdr:col>
      <xdr:colOff>87086</xdr:colOff>
      <xdr:row>18</xdr:row>
      <xdr:rowOff>74839</xdr:rowOff>
    </xdr:from>
    <xdr:to>
      <xdr:col>21</xdr:col>
      <xdr:colOff>256039</xdr:colOff>
      <xdr:row>20</xdr:row>
      <xdr:rowOff>35550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22</xdr:row>
          <xdr:rowOff>257175</xdr:rowOff>
        </xdr:from>
        <xdr:to>
          <xdr:col>23</xdr:col>
          <xdr:colOff>123825</xdr:colOff>
          <xdr:row>23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Perfil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</xdr:row>
          <xdr:rowOff>0</xdr:rowOff>
        </xdr:from>
        <xdr:to>
          <xdr:col>21</xdr:col>
          <xdr:colOff>257175</xdr:colOff>
          <xdr:row>7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299442</xdr:colOff>
      <xdr:row>9</xdr:row>
      <xdr:rowOff>10127</xdr:rowOff>
    </xdr:from>
    <xdr:to>
      <xdr:col>17</xdr:col>
      <xdr:colOff>23170</xdr:colOff>
      <xdr:row>9</xdr:row>
      <xdr:rowOff>206828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338042" y="1321856"/>
          <a:ext cx="355099" cy="19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800" b="1">
              <a:latin typeface="Arial Nova" panose="020B0504020202020204" pitchFamily="34" charset="0"/>
            </a:rPr>
            <a:t>39</a:t>
          </a:r>
        </a:p>
      </xdr:txBody>
    </xdr:sp>
    <xdr:clientData/>
  </xdr:twoCellAnchor>
  <xdr:twoCellAnchor>
    <xdr:from>
      <xdr:col>18</xdr:col>
      <xdr:colOff>186692</xdr:colOff>
      <xdr:row>9</xdr:row>
      <xdr:rowOff>9924</xdr:rowOff>
    </xdr:from>
    <xdr:to>
      <xdr:col>19</xdr:col>
      <xdr:colOff>228487</xdr:colOff>
      <xdr:row>10</xdr:row>
      <xdr:rowOff>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158277" y="1306253"/>
          <a:ext cx="357747" cy="199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800" b="1">
              <a:latin typeface="Arial Nova" panose="020B0504020202020204" pitchFamily="34" charset="0"/>
            </a:rPr>
            <a:t>60</a:t>
          </a:r>
        </a:p>
      </xdr:txBody>
    </xdr:sp>
    <xdr:clientData/>
  </xdr:twoCellAnchor>
  <xdr:twoCellAnchor>
    <xdr:from>
      <xdr:col>19</xdr:col>
      <xdr:colOff>222073</xdr:colOff>
      <xdr:row>9</xdr:row>
      <xdr:rowOff>16140</xdr:rowOff>
    </xdr:from>
    <xdr:to>
      <xdr:col>21</xdr:col>
      <xdr:colOff>58941</xdr:colOff>
      <xdr:row>11</xdr:row>
      <xdr:rowOff>4550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509610" y="1312469"/>
          <a:ext cx="366551" cy="2718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800" b="1">
              <a:latin typeface="Arial Nova" panose="020B0504020202020204" pitchFamily="34" charset="0"/>
            </a:rPr>
            <a:t>70</a:t>
          </a:r>
        </a:p>
      </xdr:txBody>
    </xdr:sp>
    <xdr:clientData/>
  </xdr:twoCellAnchor>
  <xdr:twoCellAnchor>
    <xdr:from>
      <xdr:col>21</xdr:col>
      <xdr:colOff>60515</xdr:colOff>
      <xdr:row>9</xdr:row>
      <xdr:rowOff>12967</xdr:rowOff>
    </xdr:from>
    <xdr:to>
      <xdr:col>22</xdr:col>
      <xdr:colOff>142940</xdr:colOff>
      <xdr:row>11</xdr:row>
      <xdr:rowOff>61235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877735" y="1309296"/>
          <a:ext cx="347266" cy="331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800" b="1">
              <a:latin typeface="Arial Nova" panose="020B0504020202020204" pitchFamily="34" charset="0"/>
            </a:rPr>
            <a:t>80</a:t>
          </a:r>
        </a:p>
      </xdr:txBody>
    </xdr:sp>
    <xdr:clientData/>
  </xdr:twoCellAnchor>
  <xdr:twoCellAnchor>
    <xdr:from>
      <xdr:col>17</xdr:col>
      <xdr:colOff>199648</xdr:colOff>
      <xdr:row>9</xdr:row>
      <xdr:rowOff>9924</xdr:rowOff>
    </xdr:from>
    <xdr:to>
      <xdr:col>18</xdr:col>
      <xdr:colOff>229536</xdr:colOff>
      <xdr:row>10</xdr:row>
      <xdr:rowOff>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869619" y="1321653"/>
          <a:ext cx="345574" cy="20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800" b="1">
              <a:latin typeface="Arial Nova" panose="020B0504020202020204" pitchFamily="34" charset="0"/>
            </a:rPr>
            <a:t>50</a:t>
          </a:r>
        </a:p>
      </xdr:txBody>
    </xdr:sp>
    <xdr:clientData/>
  </xdr:twoCellAnchor>
  <xdr:twoCellAnchor>
    <xdr:from>
      <xdr:col>13</xdr:col>
      <xdr:colOff>289730</xdr:colOff>
      <xdr:row>8</xdr:row>
      <xdr:rowOff>104599</xdr:rowOff>
    </xdr:from>
    <xdr:to>
      <xdr:col>16</xdr:col>
      <xdr:colOff>48348</xdr:colOff>
      <xdr:row>9</xdr:row>
      <xdr:rowOff>60249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3681559" y="1229014"/>
          <a:ext cx="706472" cy="1275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600">
              <a:latin typeface="Daytona" panose="020B0604030500040204" pitchFamily="34" charset="0"/>
            </a:rPr>
            <a:t>Bajo</a:t>
          </a:r>
        </a:p>
      </xdr:txBody>
    </xdr:sp>
    <xdr:clientData/>
  </xdr:twoCellAnchor>
  <xdr:twoCellAnchor>
    <xdr:from>
      <xdr:col>16</xdr:col>
      <xdr:colOff>308576</xdr:colOff>
      <xdr:row>8</xdr:row>
      <xdr:rowOff>115899</xdr:rowOff>
    </xdr:from>
    <xdr:to>
      <xdr:col>19</xdr:col>
      <xdr:colOff>75913</xdr:colOff>
      <xdr:row>9</xdr:row>
      <xdr:rowOff>71549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4690076" y="1249374"/>
          <a:ext cx="710312" cy="127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500">
              <a:latin typeface="Daytona" panose="020B0604030500040204" pitchFamily="34" charset="0"/>
            </a:rPr>
            <a:t>Media</a:t>
          </a:r>
        </a:p>
      </xdr:txBody>
    </xdr:sp>
    <xdr:clientData/>
  </xdr:twoCellAnchor>
  <xdr:twoCellAnchor>
    <xdr:from>
      <xdr:col>18</xdr:col>
      <xdr:colOff>124307</xdr:colOff>
      <xdr:row>8</xdr:row>
      <xdr:rowOff>113616</xdr:rowOff>
    </xdr:from>
    <xdr:to>
      <xdr:col>20</xdr:col>
      <xdr:colOff>214869</xdr:colOff>
      <xdr:row>9</xdr:row>
      <xdr:rowOff>64242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5134457" y="1247091"/>
          <a:ext cx="671587" cy="122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500">
              <a:latin typeface="Daytona" panose="020B0604030500040204" pitchFamily="34" charset="0"/>
            </a:rPr>
            <a:t>Moderado</a:t>
          </a:r>
        </a:p>
      </xdr:txBody>
    </xdr:sp>
    <xdr:clientData/>
  </xdr:twoCellAnchor>
  <xdr:twoCellAnchor>
    <xdr:from>
      <xdr:col>20</xdr:col>
      <xdr:colOff>78211</xdr:colOff>
      <xdr:row>8</xdr:row>
      <xdr:rowOff>98793</xdr:rowOff>
    </xdr:from>
    <xdr:to>
      <xdr:col>22</xdr:col>
      <xdr:colOff>17732</xdr:colOff>
      <xdr:row>9</xdr:row>
      <xdr:rowOff>65431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5669386" y="1232268"/>
          <a:ext cx="472921" cy="138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500">
              <a:latin typeface="Daytona" panose="020B0604030500040204" pitchFamily="34" charset="0"/>
            </a:rPr>
            <a:t>Grave</a:t>
          </a:r>
          <a:endParaRPr lang="es-AR" sz="400">
            <a:latin typeface="Daytona" panose="020B0604030500040204" pitchFamily="34" charset="0"/>
          </a:endParaRPr>
        </a:p>
      </xdr:txBody>
    </xdr:sp>
    <xdr:clientData/>
  </xdr:twoCellAnchor>
  <xdr:twoCellAnchor>
    <xdr:from>
      <xdr:col>11</xdr:col>
      <xdr:colOff>254843</xdr:colOff>
      <xdr:row>9</xdr:row>
      <xdr:rowOff>21555</xdr:rowOff>
    </xdr:from>
    <xdr:to>
      <xdr:col>13</xdr:col>
      <xdr:colOff>27557</xdr:colOff>
      <xdr:row>11</xdr:row>
      <xdr:rowOff>25235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3302843" y="1313642"/>
          <a:ext cx="161997" cy="285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800" b="1">
              <a:latin typeface="Arial Nova" panose="020B0504020202020204" pitchFamily="34" charset="0"/>
            </a:rPr>
            <a:t>1</a:t>
          </a:r>
        </a:p>
      </xdr:txBody>
    </xdr:sp>
    <xdr:clientData/>
  </xdr:twoCellAnchor>
  <xdr:twoCellAnchor>
    <xdr:from>
      <xdr:col>12</xdr:col>
      <xdr:colOff>24161</xdr:colOff>
      <xdr:row>18</xdr:row>
      <xdr:rowOff>9526</xdr:rowOff>
    </xdr:from>
    <xdr:to>
      <xdr:col>22</xdr:col>
      <xdr:colOff>158672</xdr:colOff>
      <xdr:row>18</xdr:row>
      <xdr:rowOff>9526</xdr:rowOff>
    </xdr:to>
    <xdr:cxnSp macro="">
      <xdr:nvCxnSpPr>
        <xdr:cNvPr id="52" name="Conector recto 51">
          <a:extLst>
            <a:ext uri="{FF2B5EF4-FFF2-40B4-BE49-F238E27FC236}">
              <a16:creationId xmlns:a16="http://schemas.microsoft.com/office/drawing/2014/main" id="{50545B06-1686-E788-A54A-EA6C82EF15E1}"/>
            </a:ext>
          </a:extLst>
        </xdr:cNvPr>
        <xdr:cNvCxnSpPr/>
      </xdr:nvCxnSpPr>
      <xdr:spPr>
        <a:xfrm>
          <a:off x="3338861" y="2581276"/>
          <a:ext cx="2944386" cy="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147809</xdr:colOff>
      <xdr:row>9</xdr:row>
      <xdr:rowOff>32804</xdr:rowOff>
    </xdr:from>
    <xdr:to>
      <xdr:col>5</xdr:col>
      <xdr:colOff>220266</xdr:colOff>
      <xdr:row>9</xdr:row>
      <xdr:rowOff>185204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44801A4D-803C-69F6-0CD9-92801DBCF032}"/>
            </a:ext>
          </a:extLst>
        </xdr:cNvPr>
        <xdr:cNvSpPr txBox="1"/>
      </xdr:nvSpPr>
      <xdr:spPr>
        <a:xfrm>
          <a:off x="1427731" y="1288913"/>
          <a:ext cx="322488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800" b="1">
              <a:solidFill>
                <a:schemeClr val="bg1"/>
              </a:solidFill>
              <a:latin typeface="Arial Nova" panose="020B0504020202020204" pitchFamily="34" charset="0"/>
            </a:rPr>
            <a:t>PD</a:t>
          </a:r>
        </a:p>
      </xdr:txBody>
    </xdr:sp>
    <xdr:clientData/>
  </xdr:twoCellAnchor>
  <xdr:twoCellAnchor>
    <xdr:from>
      <xdr:col>1</xdr:col>
      <xdr:colOff>27214</xdr:colOff>
      <xdr:row>9</xdr:row>
      <xdr:rowOff>24135</xdr:rowOff>
    </xdr:from>
    <xdr:to>
      <xdr:col>6</xdr:col>
      <xdr:colOff>17860</xdr:colOff>
      <xdr:row>10</xdr:row>
      <xdr:rowOff>0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74727B7A-5C61-8CE1-30EF-1E6EAB95A41F}"/>
            </a:ext>
          </a:extLst>
        </xdr:cNvPr>
        <xdr:cNvGrpSpPr/>
      </xdr:nvGrpSpPr>
      <xdr:grpSpPr>
        <a:xfrm>
          <a:off x="267410" y="1316222"/>
          <a:ext cx="1879080" cy="182930"/>
          <a:chOff x="267410" y="1291375"/>
          <a:chExt cx="1505286" cy="174646"/>
        </a:xfrm>
      </xdr:grpSpPr>
      <xdr:sp macro="" textlink="">
        <xdr:nvSpPr>
          <xdr:cNvPr id="31" name="Rectángulo: esquinas redondeadas 30">
            <a:extLst>
              <a:ext uri="{FF2B5EF4-FFF2-40B4-BE49-F238E27FC236}">
                <a16:creationId xmlns:a16="http://schemas.microsoft.com/office/drawing/2014/main" id="{4212E9F6-3FA4-AEC6-62AB-257FEA7AAB34}"/>
              </a:ext>
            </a:extLst>
          </xdr:cNvPr>
          <xdr:cNvSpPr/>
        </xdr:nvSpPr>
        <xdr:spPr>
          <a:xfrm>
            <a:off x="267410" y="1313383"/>
            <a:ext cx="1505286" cy="133890"/>
          </a:xfrm>
          <a:prstGeom prst="roundRect">
            <a:avLst>
              <a:gd name="adj" fmla="val 50000"/>
            </a:avLst>
          </a:prstGeom>
          <a:solidFill>
            <a:srgbClr val="4FAB8A"/>
          </a:solidFill>
          <a:ln>
            <a:solidFill>
              <a:srgbClr val="4FAB8A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BO" sz="1100" b="1">
              <a:solidFill>
                <a:schemeClr val="bg1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9E8314F-D6E9-F17D-1888-5DB56E45573E}"/>
              </a:ext>
            </a:extLst>
          </xdr:cNvPr>
          <xdr:cNvSpPr txBox="1"/>
        </xdr:nvSpPr>
        <xdr:spPr>
          <a:xfrm>
            <a:off x="457910" y="1291375"/>
            <a:ext cx="1140397" cy="1746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BO" sz="1100" b="1">
                <a:solidFill>
                  <a:schemeClr val="bg1"/>
                </a:solidFill>
                <a:latin typeface="Daytona" panose="020B0604030500040204" pitchFamily="34" charset="0"/>
              </a:rPr>
              <a:t>Escalas</a:t>
            </a:r>
          </a:p>
        </xdr:txBody>
      </xdr:sp>
    </xdr:grpSp>
    <xdr:clientData/>
  </xdr:twoCellAnchor>
  <xdr:twoCellAnchor>
    <xdr:from>
      <xdr:col>6</xdr:col>
      <xdr:colOff>95249</xdr:colOff>
      <xdr:row>9</xdr:row>
      <xdr:rowOff>53578</xdr:rowOff>
    </xdr:from>
    <xdr:to>
      <xdr:col>8</xdr:col>
      <xdr:colOff>53577</xdr:colOff>
      <xdr:row>9</xdr:row>
      <xdr:rowOff>196453</xdr:rowOff>
    </xdr:to>
    <xdr:sp macro="" textlink="">
      <xdr:nvSpPr>
        <xdr:cNvPr id="2048" name="Rectángulo: esquinas redondeadas 2047">
          <a:extLst>
            <a:ext uri="{FF2B5EF4-FFF2-40B4-BE49-F238E27FC236}">
              <a16:creationId xmlns:a16="http://schemas.microsoft.com/office/drawing/2014/main" id="{EF3B2338-3086-BA90-ED3A-D484A66BEADF}"/>
            </a:ext>
          </a:extLst>
        </xdr:cNvPr>
        <xdr:cNvSpPr/>
      </xdr:nvSpPr>
      <xdr:spPr>
        <a:xfrm>
          <a:off x="2024062" y="1309687"/>
          <a:ext cx="369093" cy="142875"/>
        </a:xfrm>
        <a:prstGeom prst="roundRect">
          <a:avLst>
            <a:gd name="adj" fmla="val 50000"/>
          </a:avLst>
        </a:prstGeom>
        <a:solidFill>
          <a:srgbClr val="4FAB8A"/>
        </a:solidFill>
        <a:ln>
          <a:solidFill>
            <a:srgbClr val="4FAB8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105352</xdr:colOff>
      <xdr:row>9</xdr:row>
      <xdr:rowOff>47625</xdr:rowOff>
    </xdr:from>
    <xdr:to>
      <xdr:col>10</xdr:col>
      <xdr:colOff>52282</xdr:colOff>
      <xdr:row>9</xdr:row>
      <xdr:rowOff>197107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E285F1E5-8326-72CE-5811-D13D7C5BCB9B}"/>
            </a:ext>
          </a:extLst>
        </xdr:cNvPr>
        <xdr:cNvSpPr txBox="1"/>
      </xdr:nvSpPr>
      <xdr:spPr>
        <a:xfrm>
          <a:off x="2623265" y="1339712"/>
          <a:ext cx="344495" cy="149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800" b="1">
              <a:solidFill>
                <a:schemeClr val="bg1"/>
              </a:solidFill>
              <a:latin typeface="Daytona" panose="020B0604030500040204" pitchFamily="34" charset="0"/>
            </a:rPr>
            <a:t>Pc</a:t>
          </a:r>
        </a:p>
      </xdr:txBody>
    </xdr:sp>
    <xdr:clientData/>
  </xdr:twoCellAnchor>
  <xdr:twoCellAnchor>
    <xdr:from>
      <xdr:col>10</xdr:col>
      <xdr:colOff>129682</xdr:colOff>
      <xdr:row>9</xdr:row>
      <xdr:rowOff>48002</xdr:rowOff>
    </xdr:from>
    <xdr:to>
      <xdr:col>11</xdr:col>
      <xdr:colOff>259607</xdr:colOff>
      <xdr:row>9</xdr:row>
      <xdr:rowOff>188827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77EE2B1C-0E55-4CBA-907F-8F0F2F501535}"/>
            </a:ext>
          </a:extLst>
        </xdr:cNvPr>
        <xdr:cNvSpPr txBox="1"/>
      </xdr:nvSpPr>
      <xdr:spPr>
        <a:xfrm>
          <a:off x="3045160" y="1340089"/>
          <a:ext cx="262447" cy="140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800" b="1">
              <a:solidFill>
                <a:schemeClr val="bg1"/>
              </a:solidFill>
              <a:latin typeface="Daytona" panose="020B0604030500040204" pitchFamily="34" charset="0"/>
            </a:rPr>
            <a:t>T</a:t>
          </a:r>
        </a:p>
      </xdr:txBody>
    </xdr:sp>
    <xdr:clientData/>
  </xdr:twoCellAnchor>
  <xdr:twoCellAnchor>
    <xdr:from>
      <xdr:col>6</xdr:col>
      <xdr:colOff>103024</xdr:colOff>
      <xdr:row>9</xdr:row>
      <xdr:rowOff>43672</xdr:rowOff>
    </xdr:from>
    <xdr:to>
      <xdr:col>8</xdr:col>
      <xdr:colOff>55906</xdr:colOff>
      <xdr:row>9</xdr:row>
      <xdr:rowOff>194778</xdr:rowOff>
    </xdr:to>
    <xdr:sp macro="" textlink="">
      <xdr:nvSpPr>
        <xdr:cNvPr id="2053" name="CuadroTexto 2052">
          <a:extLst>
            <a:ext uri="{FF2B5EF4-FFF2-40B4-BE49-F238E27FC236}">
              <a16:creationId xmlns:a16="http://schemas.microsoft.com/office/drawing/2014/main" id="{6478A947-A23E-0D55-E213-FF3A8685AE0A}"/>
            </a:ext>
          </a:extLst>
        </xdr:cNvPr>
        <xdr:cNvSpPr txBox="1"/>
      </xdr:nvSpPr>
      <xdr:spPr>
        <a:xfrm>
          <a:off x="2231654" y="1335759"/>
          <a:ext cx="342165" cy="151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800" b="1">
              <a:solidFill>
                <a:schemeClr val="bg1"/>
              </a:solidFill>
              <a:latin typeface="Daytona" panose="020B0604030500040204" pitchFamily="34" charset="0"/>
            </a:rPr>
            <a:t>PD</a:t>
          </a:r>
        </a:p>
      </xdr:txBody>
    </xdr:sp>
    <xdr:clientData/>
  </xdr:twoCellAnchor>
  <xdr:twoCellAnchor>
    <xdr:from>
      <xdr:col>8</xdr:col>
      <xdr:colOff>101889</xdr:colOff>
      <xdr:row>22</xdr:row>
      <xdr:rowOff>36163</xdr:rowOff>
    </xdr:from>
    <xdr:to>
      <xdr:col>10</xdr:col>
      <xdr:colOff>48819</xdr:colOff>
      <xdr:row>22</xdr:row>
      <xdr:rowOff>188563</xdr:rowOff>
    </xdr:to>
    <xdr:sp macro="" textlink="">
      <xdr:nvSpPr>
        <xdr:cNvPr id="2054" name="CuadroTexto 2053">
          <a:extLst>
            <a:ext uri="{FF2B5EF4-FFF2-40B4-BE49-F238E27FC236}">
              <a16:creationId xmlns:a16="http://schemas.microsoft.com/office/drawing/2014/main" id="{EF170EBE-5C66-4329-9E46-D7AB0FD4B4BA}"/>
            </a:ext>
          </a:extLst>
        </xdr:cNvPr>
        <xdr:cNvSpPr txBox="1"/>
      </xdr:nvSpPr>
      <xdr:spPr>
        <a:xfrm>
          <a:off x="2619802" y="3117293"/>
          <a:ext cx="34449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800" b="1">
              <a:solidFill>
                <a:schemeClr val="bg1"/>
              </a:solidFill>
              <a:latin typeface="Daytona" panose="020B0604030500040204" pitchFamily="34" charset="0"/>
            </a:rPr>
            <a:t>Pc</a:t>
          </a:r>
        </a:p>
      </xdr:txBody>
    </xdr:sp>
    <xdr:clientData/>
  </xdr:twoCellAnchor>
  <xdr:twoCellAnchor>
    <xdr:from>
      <xdr:col>11</xdr:col>
      <xdr:colOff>1980</xdr:colOff>
      <xdr:row>22</xdr:row>
      <xdr:rowOff>36158</xdr:rowOff>
    </xdr:from>
    <xdr:to>
      <xdr:col>11</xdr:col>
      <xdr:colOff>264427</xdr:colOff>
      <xdr:row>22</xdr:row>
      <xdr:rowOff>188558</xdr:rowOff>
    </xdr:to>
    <xdr:sp macro="" textlink="">
      <xdr:nvSpPr>
        <xdr:cNvPr id="2055" name="CuadroTexto 2054">
          <a:extLst>
            <a:ext uri="{FF2B5EF4-FFF2-40B4-BE49-F238E27FC236}">
              <a16:creationId xmlns:a16="http://schemas.microsoft.com/office/drawing/2014/main" id="{113D40F7-41AB-4E7F-9744-6B35577EAB83}"/>
            </a:ext>
          </a:extLst>
        </xdr:cNvPr>
        <xdr:cNvSpPr txBox="1"/>
      </xdr:nvSpPr>
      <xdr:spPr>
        <a:xfrm>
          <a:off x="3049980" y="3117288"/>
          <a:ext cx="262447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800" b="1">
              <a:solidFill>
                <a:schemeClr val="bg1"/>
              </a:solidFill>
              <a:latin typeface="Daytona" panose="020B0604030500040204" pitchFamily="34" charset="0"/>
            </a:rPr>
            <a:t>T</a:t>
          </a:r>
        </a:p>
      </xdr:txBody>
    </xdr:sp>
    <xdr:clientData/>
  </xdr:twoCellAnchor>
  <xdr:twoCellAnchor>
    <xdr:from>
      <xdr:col>6</xdr:col>
      <xdr:colOff>99561</xdr:colOff>
      <xdr:row>22</xdr:row>
      <xdr:rowOff>33832</xdr:rowOff>
    </xdr:from>
    <xdr:to>
      <xdr:col>8</xdr:col>
      <xdr:colOff>52443</xdr:colOff>
      <xdr:row>22</xdr:row>
      <xdr:rowOff>186232</xdr:rowOff>
    </xdr:to>
    <xdr:sp macro="" textlink="">
      <xdr:nvSpPr>
        <xdr:cNvPr id="2056" name="CuadroTexto 2055">
          <a:extLst>
            <a:ext uri="{FF2B5EF4-FFF2-40B4-BE49-F238E27FC236}">
              <a16:creationId xmlns:a16="http://schemas.microsoft.com/office/drawing/2014/main" id="{3B416D83-EAB2-4B1E-B3E8-570B85C4F827}"/>
            </a:ext>
          </a:extLst>
        </xdr:cNvPr>
        <xdr:cNvSpPr txBox="1"/>
      </xdr:nvSpPr>
      <xdr:spPr>
        <a:xfrm>
          <a:off x="2228191" y="3114962"/>
          <a:ext cx="34216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800" b="1">
              <a:solidFill>
                <a:schemeClr val="bg1"/>
              </a:solidFill>
              <a:latin typeface="Daytona" panose="020B0604030500040204" pitchFamily="34" charset="0"/>
            </a:rPr>
            <a:t>PD</a:t>
          </a:r>
        </a:p>
      </xdr:txBody>
    </xdr:sp>
    <xdr:clientData/>
  </xdr:twoCellAnchor>
  <xdr:twoCellAnchor>
    <xdr:from>
      <xdr:col>6</xdr:col>
      <xdr:colOff>80021</xdr:colOff>
      <xdr:row>13</xdr:row>
      <xdr:rowOff>2089</xdr:rowOff>
    </xdr:from>
    <xdr:to>
      <xdr:col>8</xdr:col>
      <xdr:colOff>45386</xdr:colOff>
      <xdr:row>13</xdr:row>
      <xdr:rowOff>170942</xdr:rowOff>
    </xdr:to>
    <xdr:sp macro="" textlink="">
      <xdr:nvSpPr>
        <xdr:cNvPr id="2060" name="Rectángulo: esquinas redondeadas 2059">
          <a:extLst>
            <a:ext uri="{FF2B5EF4-FFF2-40B4-BE49-F238E27FC236}">
              <a16:creationId xmlns:a16="http://schemas.microsoft.com/office/drawing/2014/main" id="{CEFFC160-D481-DEAA-8042-2705691DBD31}"/>
            </a:ext>
          </a:extLst>
        </xdr:cNvPr>
        <xdr:cNvSpPr/>
      </xdr:nvSpPr>
      <xdr:spPr>
        <a:xfrm>
          <a:off x="2195228" y="1861106"/>
          <a:ext cx="359503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6</xdr:col>
      <xdr:colOff>80021</xdr:colOff>
      <xdr:row>10</xdr:row>
      <xdr:rowOff>77931</xdr:rowOff>
    </xdr:from>
    <xdr:to>
      <xdr:col>8</xdr:col>
      <xdr:colOff>45386</xdr:colOff>
      <xdr:row>11</xdr:row>
      <xdr:rowOff>168852</xdr:rowOff>
    </xdr:to>
    <xdr:sp macro="" textlink="">
      <xdr:nvSpPr>
        <xdr:cNvPr id="2061" name="Rectángulo: esquinas redondeadas 2060">
          <a:extLst>
            <a:ext uri="{FF2B5EF4-FFF2-40B4-BE49-F238E27FC236}">
              <a16:creationId xmlns:a16="http://schemas.microsoft.com/office/drawing/2014/main" id="{85BDA34F-B2F4-40C6-135F-7094E8901CD3}"/>
            </a:ext>
          </a:extLst>
        </xdr:cNvPr>
        <xdr:cNvSpPr/>
      </xdr:nvSpPr>
      <xdr:spPr>
        <a:xfrm>
          <a:off x="2195228" y="1588793"/>
          <a:ext cx="359503" cy="169749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6</xdr:col>
      <xdr:colOff>80021</xdr:colOff>
      <xdr:row>16</xdr:row>
      <xdr:rowOff>85245</xdr:rowOff>
    </xdr:from>
    <xdr:to>
      <xdr:col>8</xdr:col>
      <xdr:colOff>45386</xdr:colOff>
      <xdr:row>17</xdr:row>
      <xdr:rowOff>168702</xdr:rowOff>
    </xdr:to>
    <xdr:sp macro="" textlink="">
      <xdr:nvSpPr>
        <xdr:cNvPr id="2062" name="Rectángulo: esquinas redondeadas 2061">
          <a:extLst>
            <a:ext uri="{FF2B5EF4-FFF2-40B4-BE49-F238E27FC236}">
              <a16:creationId xmlns:a16="http://schemas.microsoft.com/office/drawing/2014/main" id="{1F7AC411-1143-71FE-260B-F661D4BF06E2}"/>
            </a:ext>
          </a:extLst>
        </xdr:cNvPr>
        <xdr:cNvSpPr/>
      </xdr:nvSpPr>
      <xdr:spPr>
        <a:xfrm>
          <a:off x="2195228" y="2397521"/>
          <a:ext cx="359503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6</xdr:col>
      <xdr:colOff>80021</xdr:colOff>
      <xdr:row>15</xdr:row>
      <xdr:rowOff>4328</xdr:rowOff>
    </xdr:from>
    <xdr:to>
      <xdr:col>8</xdr:col>
      <xdr:colOff>45386</xdr:colOff>
      <xdr:row>15</xdr:row>
      <xdr:rowOff>173181</xdr:rowOff>
    </xdr:to>
    <xdr:sp macro="" textlink="">
      <xdr:nvSpPr>
        <xdr:cNvPr id="2063" name="Rectángulo: esquinas redondeadas 2062">
          <a:extLst>
            <a:ext uri="{FF2B5EF4-FFF2-40B4-BE49-F238E27FC236}">
              <a16:creationId xmlns:a16="http://schemas.microsoft.com/office/drawing/2014/main" id="{566A31BD-AFCD-C1A1-0A02-93CDD6A3E70F}"/>
            </a:ext>
          </a:extLst>
        </xdr:cNvPr>
        <xdr:cNvSpPr/>
      </xdr:nvSpPr>
      <xdr:spPr>
        <a:xfrm>
          <a:off x="2195228" y="2132673"/>
          <a:ext cx="359503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6</xdr:col>
      <xdr:colOff>80021</xdr:colOff>
      <xdr:row>19</xdr:row>
      <xdr:rowOff>8657</xdr:rowOff>
    </xdr:from>
    <xdr:to>
      <xdr:col>8</xdr:col>
      <xdr:colOff>45386</xdr:colOff>
      <xdr:row>19</xdr:row>
      <xdr:rowOff>177510</xdr:rowOff>
    </xdr:to>
    <xdr:sp macro="" textlink="">
      <xdr:nvSpPr>
        <xdr:cNvPr id="2064" name="Rectángulo: esquinas redondeadas 2063">
          <a:extLst>
            <a:ext uri="{FF2B5EF4-FFF2-40B4-BE49-F238E27FC236}">
              <a16:creationId xmlns:a16="http://schemas.microsoft.com/office/drawing/2014/main" id="{E730D3EB-11CD-B838-16B0-B884FE077EE7}"/>
            </a:ext>
          </a:extLst>
        </xdr:cNvPr>
        <xdr:cNvSpPr/>
      </xdr:nvSpPr>
      <xdr:spPr>
        <a:xfrm>
          <a:off x="2195228" y="2675657"/>
          <a:ext cx="359503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6</xdr:col>
      <xdr:colOff>80021</xdr:colOff>
      <xdr:row>21</xdr:row>
      <xdr:rowOff>10748</xdr:rowOff>
    </xdr:from>
    <xdr:to>
      <xdr:col>8</xdr:col>
      <xdr:colOff>45386</xdr:colOff>
      <xdr:row>21</xdr:row>
      <xdr:rowOff>181691</xdr:rowOff>
    </xdr:to>
    <xdr:sp macro="" textlink="">
      <xdr:nvSpPr>
        <xdr:cNvPr id="2065" name="Rectángulo: esquinas redondeadas 2064">
          <a:extLst>
            <a:ext uri="{FF2B5EF4-FFF2-40B4-BE49-F238E27FC236}">
              <a16:creationId xmlns:a16="http://schemas.microsoft.com/office/drawing/2014/main" id="{F9EB5E81-4777-C731-6CF2-2F64985016DE}"/>
            </a:ext>
          </a:extLst>
        </xdr:cNvPr>
        <xdr:cNvSpPr/>
      </xdr:nvSpPr>
      <xdr:spPr>
        <a:xfrm>
          <a:off x="2195228" y="2947076"/>
          <a:ext cx="359503" cy="17094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82261</xdr:colOff>
      <xdr:row>13</xdr:row>
      <xdr:rowOff>2089</xdr:rowOff>
    </xdr:from>
    <xdr:to>
      <xdr:col>10</xdr:col>
      <xdr:colOff>38966</xdr:colOff>
      <xdr:row>13</xdr:row>
      <xdr:rowOff>170942</xdr:rowOff>
    </xdr:to>
    <xdr:sp macro="" textlink="">
      <xdr:nvSpPr>
        <xdr:cNvPr id="2066" name="Rectángulo: esquinas redondeadas 2065">
          <a:extLst>
            <a:ext uri="{FF2B5EF4-FFF2-40B4-BE49-F238E27FC236}">
              <a16:creationId xmlns:a16="http://schemas.microsoft.com/office/drawing/2014/main" id="{3B48E10C-07B3-1942-467D-7480D8F5A255}"/>
            </a:ext>
          </a:extLst>
        </xdr:cNvPr>
        <xdr:cNvSpPr/>
      </xdr:nvSpPr>
      <xdr:spPr>
        <a:xfrm>
          <a:off x="2591606" y="1861106"/>
          <a:ext cx="357412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82261</xdr:colOff>
      <xdr:row>10</xdr:row>
      <xdr:rowOff>77931</xdr:rowOff>
    </xdr:from>
    <xdr:to>
      <xdr:col>10</xdr:col>
      <xdr:colOff>38966</xdr:colOff>
      <xdr:row>11</xdr:row>
      <xdr:rowOff>168852</xdr:rowOff>
    </xdr:to>
    <xdr:sp macro="" textlink="">
      <xdr:nvSpPr>
        <xdr:cNvPr id="2067" name="Rectángulo: esquinas redondeadas 2066">
          <a:extLst>
            <a:ext uri="{FF2B5EF4-FFF2-40B4-BE49-F238E27FC236}">
              <a16:creationId xmlns:a16="http://schemas.microsoft.com/office/drawing/2014/main" id="{F08F02F5-C749-FBAA-8D4D-B2A5A3090D16}"/>
            </a:ext>
          </a:extLst>
        </xdr:cNvPr>
        <xdr:cNvSpPr/>
      </xdr:nvSpPr>
      <xdr:spPr>
        <a:xfrm>
          <a:off x="2554431" y="1597601"/>
          <a:ext cx="359353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82261</xdr:colOff>
      <xdr:row>16</xdr:row>
      <xdr:rowOff>85245</xdr:rowOff>
    </xdr:from>
    <xdr:to>
      <xdr:col>10</xdr:col>
      <xdr:colOff>38966</xdr:colOff>
      <xdr:row>17</xdr:row>
      <xdr:rowOff>168702</xdr:rowOff>
    </xdr:to>
    <xdr:sp macro="" textlink="">
      <xdr:nvSpPr>
        <xdr:cNvPr id="2068" name="Rectángulo: esquinas redondeadas 2067">
          <a:extLst>
            <a:ext uri="{FF2B5EF4-FFF2-40B4-BE49-F238E27FC236}">
              <a16:creationId xmlns:a16="http://schemas.microsoft.com/office/drawing/2014/main" id="{CBD6811F-6E85-38CC-D5A0-93BC7767DFDD}"/>
            </a:ext>
          </a:extLst>
        </xdr:cNvPr>
        <xdr:cNvSpPr/>
      </xdr:nvSpPr>
      <xdr:spPr>
        <a:xfrm>
          <a:off x="2591606" y="2397521"/>
          <a:ext cx="357412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82261</xdr:colOff>
      <xdr:row>15</xdr:row>
      <xdr:rowOff>4328</xdr:rowOff>
    </xdr:from>
    <xdr:to>
      <xdr:col>10</xdr:col>
      <xdr:colOff>38966</xdr:colOff>
      <xdr:row>15</xdr:row>
      <xdr:rowOff>173181</xdr:rowOff>
    </xdr:to>
    <xdr:sp macro="" textlink="">
      <xdr:nvSpPr>
        <xdr:cNvPr id="2069" name="Rectángulo: esquinas redondeadas 2068">
          <a:extLst>
            <a:ext uri="{FF2B5EF4-FFF2-40B4-BE49-F238E27FC236}">
              <a16:creationId xmlns:a16="http://schemas.microsoft.com/office/drawing/2014/main" id="{C9CF4509-17F7-6FF2-EDC0-75B721ACE853}"/>
            </a:ext>
          </a:extLst>
        </xdr:cNvPr>
        <xdr:cNvSpPr/>
      </xdr:nvSpPr>
      <xdr:spPr>
        <a:xfrm>
          <a:off x="2591606" y="2132673"/>
          <a:ext cx="357412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82261</xdr:colOff>
      <xdr:row>19</xdr:row>
      <xdr:rowOff>8657</xdr:rowOff>
    </xdr:from>
    <xdr:to>
      <xdr:col>10</xdr:col>
      <xdr:colOff>38966</xdr:colOff>
      <xdr:row>19</xdr:row>
      <xdr:rowOff>177510</xdr:rowOff>
    </xdr:to>
    <xdr:sp macro="" textlink="">
      <xdr:nvSpPr>
        <xdr:cNvPr id="2070" name="Rectángulo: esquinas redondeadas 2069">
          <a:extLst>
            <a:ext uri="{FF2B5EF4-FFF2-40B4-BE49-F238E27FC236}">
              <a16:creationId xmlns:a16="http://schemas.microsoft.com/office/drawing/2014/main" id="{7043A909-1ADB-D144-EE5C-5C14A5678D47}"/>
            </a:ext>
          </a:extLst>
        </xdr:cNvPr>
        <xdr:cNvSpPr/>
      </xdr:nvSpPr>
      <xdr:spPr>
        <a:xfrm>
          <a:off x="2554431" y="2679987"/>
          <a:ext cx="359353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84500</xdr:colOff>
      <xdr:row>13</xdr:row>
      <xdr:rowOff>2089</xdr:rowOff>
    </xdr:from>
    <xdr:to>
      <xdr:col>12</xdr:col>
      <xdr:colOff>41205</xdr:colOff>
      <xdr:row>13</xdr:row>
      <xdr:rowOff>170942</xdr:rowOff>
    </xdr:to>
    <xdr:sp macro="" textlink="">
      <xdr:nvSpPr>
        <xdr:cNvPr id="2071" name="Rectángulo: esquinas redondeadas 2070">
          <a:extLst>
            <a:ext uri="{FF2B5EF4-FFF2-40B4-BE49-F238E27FC236}">
              <a16:creationId xmlns:a16="http://schemas.microsoft.com/office/drawing/2014/main" id="{9D801ADF-76C2-2420-BD38-BBF0EB248B11}"/>
            </a:ext>
          </a:extLst>
        </xdr:cNvPr>
        <xdr:cNvSpPr/>
      </xdr:nvSpPr>
      <xdr:spPr>
        <a:xfrm>
          <a:off x="2994552" y="1861106"/>
          <a:ext cx="357412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84500</xdr:colOff>
      <xdr:row>10</xdr:row>
      <xdr:rowOff>77931</xdr:rowOff>
    </xdr:from>
    <xdr:to>
      <xdr:col>12</xdr:col>
      <xdr:colOff>41205</xdr:colOff>
      <xdr:row>11</xdr:row>
      <xdr:rowOff>168852</xdr:rowOff>
    </xdr:to>
    <xdr:sp macro="" textlink="">
      <xdr:nvSpPr>
        <xdr:cNvPr id="2072" name="Rectángulo: esquinas redondeadas 2071">
          <a:extLst>
            <a:ext uri="{FF2B5EF4-FFF2-40B4-BE49-F238E27FC236}">
              <a16:creationId xmlns:a16="http://schemas.microsoft.com/office/drawing/2014/main" id="{F4A9B28D-3338-8C2F-4DD9-A95F72839744}"/>
            </a:ext>
          </a:extLst>
        </xdr:cNvPr>
        <xdr:cNvSpPr/>
      </xdr:nvSpPr>
      <xdr:spPr>
        <a:xfrm>
          <a:off x="2994552" y="1588793"/>
          <a:ext cx="357412" cy="169749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84500</xdr:colOff>
      <xdr:row>16</xdr:row>
      <xdr:rowOff>85245</xdr:rowOff>
    </xdr:from>
    <xdr:to>
      <xdr:col>12</xdr:col>
      <xdr:colOff>41205</xdr:colOff>
      <xdr:row>17</xdr:row>
      <xdr:rowOff>168702</xdr:rowOff>
    </xdr:to>
    <xdr:sp macro="" textlink="">
      <xdr:nvSpPr>
        <xdr:cNvPr id="2073" name="Rectángulo: esquinas redondeadas 2072">
          <a:extLst>
            <a:ext uri="{FF2B5EF4-FFF2-40B4-BE49-F238E27FC236}">
              <a16:creationId xmlns:a16="http://schemas.microsoft.com/office/drawing/2014/main" id="{756A8469-50AE-9CA0-C605-BB36B365D17C}"/>
            </a:ext>
          </a:extLst>
        </xdr:cNvPr>
        <xdr:cNvSpPr/>
      </xdr:nvSpPr>
      <xdr:spPr>
        <a:xfrm>
          <a:off x="2994552" y="2397521"/>
          <a:ext cx="357412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84500</xdr:colOff>
      <xdr:row>15</xdr:row>
      <xdr:rowOff>4328</xdr:rowOff>
    </xdr:from>
    <xdr:to>
      <xdr:col>12</xdr:col>
      <xdr:colOff>41205</xdr:colOff>
      <xdr:row>15</xdr:row>
      <xdr:rowOff>173181</xdr:rowOff>
    </xdr:to>
    <xdr:sp macro="" textlink="">
      <xdr:nvSpPr>
        <xdr:cNvPr id="2074" name="Rectángulo: esquinas redondeadas 2073">
          <a:extLst>
            <a:ext uri="{FF2B5EF4-FFF2-40B4-BE49-F238E27FC236}">
              <a16:creationId xmlns:a16="http://schemas.microsoft.com/office/drawing/2014/main" id="{41D958EC-525D-2D97-4A1D-9AA8DF0CA78C}"/>
            </a:ext>
          </a:extLst>
        </xdr:cNvPr>
        <xdr:cNvSpPr/>
      </xdr:nvSpPr>
      <xdr:spPr>
        <a:xfrm>
          <a:off x="2994552" y="2132673"/>
          <a:ext cx="357412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84500</xdr:colOff>
      <xdr:row>19</xdr:row>
      <xdr:rowOff>8657</xdr:rowOff>
    </xdr:from>
    <xdr:to>
      <xdr:col>12</xdr:col>
      <xdr:colOff>41205</xdr:colOff>
      <xdr:row>19</xdr:row>
      <xdr:rowOff>177510</xdr:rowOff>
    </xdr:to>
    <xdr:sp macro="" textlink="">
      <xdr:nvSpPr>
        <xdr:cNvPr id="2075" name="Rectángulo: esquinas redondeadas 2074">
          <a:extLst>
            <a:ext uri="{FF2B5EF4-FFF2-40B4-BE49-F238E27FC236}">
              <a16:creationId xmlns:a16="http://schemas.microsoft.com/office/drawing/2014/main" id="{B6925E23-2B05-7BE2-5CFF-EAD50788A9AE}"/>
            </a:ext>
          </a:extLst>
        </xdr:cNvPr>
        <xdr:cNvSpPr/>
      </xdr:nvSpPr>
      <xdr:spPr>
        <a:xfrm>
          <a:off x="2994552" y="2675657"/>
          <a:ext cx="357412" cy="168853"/>
        </a:xfrm>
        <a:prstGeom prst="roundRect">
          <a:avLst>
            <a:gd name="adj" fmla="val 44872"/>
          </a:avLst>
        </a:prstGeom>
        <a:noFill/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B1:BL90"/>
  <sheetViews>
    <sheetView topLeftCell="A34" workbookViewId="0">
      <selection activeCell="C59" sqref="C59"/>
    </sheetView>
  </sheetViews>
  <sheetFormatPr baseColWidth="10" defaultColWidth="11.42578125" defaultRowHeight="15.75" x14ac:dyDescent="0.25"/>
  <cols>
    <col min="1" max="1" width="3.5703125" style="30" customWidth="1"/>
    <col min="2" max="2" width="5.5703125" style="30" customWidth="1"/>
    <col min="3" max="3" width="73.5703125" style="30" customWidth="1"/>
    <col min="4" max="5" width="5.140625" style="30" customWidth="1"/>
    <col min="6" max="6" width="5" style="32" customWidth="1"/>
    <col min="7" max="7" width="8.28515625" style="33" customWidth="1"/>
    <col min="8" max="8" width="7.5703125" style="32" customWidth="1"/>
    <col min="9" max="9" width="8.85546875" style="32" customWidth="1"/>
    <col min="10" max="10" width="3.5703125" style="32" customWidth="1"/>
    <col min="11" max="11" width="20.85546875" style="32" customWidth="1"/>
    <col min="12" max="12" width="14.7109375" style="32" customWidth="1"/>
    <col min="13" max="13" width="10.85546875" style="32" customWidth="1"/>
    <col min="14" max="14" width="5" style="47" customWidth="1"/>
    <col min="15" max="49" width="3.5703125" style="47" customWidth="1"/>
    <col min="50" max="63" width="3.5703125" style="30" customWidth="1"/>
    <col min="64" max="64" width="11.42578125" style="30" customWidth="1"/>
    <col min="65" max="16384" width="11.42578125" style="30"/>
  </cols>
  <sheetData>
    <row r="1" spans="2:64" x14ac:dyDescent="0.25">
      <c r="B1" s="46"/>
      <c r="C1" s="46"/>
      <c r="D1" s="46"/>
      <c r="E1" s="46"/>
    </row>
    <row r="2" spans="2:64" x14ac:dyDescent="0.25">
      <c r="B2" s="46"/>
      <c r="C2" s="46"/>
      <c r="D2" s="46"/>
      <c r="E2" s="46"/>
    </row>
    <row r="3" spans="2:64" x14ac:dyDescent="0.25">
      <c r="B3" s="31"/>
      <c r="C3" s="31"/>
      <c r="D3" s="31"/>
      <c r="E3" s="31"/>
      <c r="F3" s="34"/>
    </row>
    <row r="4" spans="2:64" x14ac:dyDescent="0.25">
      <c r="B4" s="31"/>
      <c r="C4" s="31"/>
      <c r="D4" s="31"/>
      <c r="E4" s="31"/>
      <c r="F4" s="34"/>
      <c r="K4" s="32" t="s">
        <v>52</v>
      </c>
      <c r="L4" s="32" t="s">
        <v>53</v>
      </c>
      <c r="M4" s="32" t="s">
        <v>54</v>
      </c>
      <c r="N4" s="32" t="s">
        <v>69</v>
      </c>
      <c r="O4" s="32">
        <v>1</v>
      </c>
      <c r="P4" s="32">
        <v>2</v>
      </c>
      <c r="Q4" s="32">
        <v>3</v>
      </c>
      <c r="R4" s="32">
        <v>4</v>
      </c>
      <c r="S4" s="32">
        <v>5</v>
      </c>
      <c r="T4" s="32">
        <v>6</v>
      </c>
      <c r="U4" s="32">
        <v>7</v>
      </c>
      <c r="V4" s="32">
        <v>8</v>
      </c>
      <c r="W4" s="32">
        <v>9</v>
      </c>
      <c r="X4" s="32">
        <v>10</v>
      </c>
      <c r="Y4" s="32">
        <v>11</v>
      </c>
      <c r="Z4" s="32">
        <v>12</v>
      </c>
      <c r="AA4" s="32">
        <v>13</v>
      </c>
      <c r="AB4" s="32">
        <v>14</v>
      </c>
      <c r="AC4" s="32">
        <v>15</v>
      </c>
      <c r="AD4" s="32">
        <v>16</v>
      </c>
      <c r="AE4" s="32">
        <v>17</v>
      </c>
      <c r="AF4" s="32">
        <v>18</v>
      </c>
      <c r="AG4" s="32">
        <v>19</v>
      </c>
      <c r="AH4" s="32">
        <v>20</v>
      </c>
      <c r="AI4" s="32">
        <v>21</v>
      </c>
      <c r="AJ4" s="32">
        <v>22</v>
      </c>
      <c r="AK4" s="32">
        <v>23</v>
      </c>
      <c r="AL4" s="32">
        <v>24</v>
      </c>
      <c r="AM4" s="32">
        <v>25</v>
      </c>
      <c r="AN4" s="32">
        <v>26</v>
      </c>
      <c r="AO4" s="32">
        <v>27</v>
      </c>
      <c r="AP4" s="32">
        <v>28</v>
      </c>
      <c r="AQ4" s="32">
        <v>29</v>
      </c>
      <c r="AR4" s="32">
        <v>30</v>
      </c>
      <c r="AS4" s="32">
        <v>31</v>
      </c>
      <c r="AT4" s="32">
        <v>32</v>
      </c>
      <c r="AU4" s="32">
        <v>33</v>
      </c>
      <c r="AV4" s="32">
        <v>34</v>
      </c>
      <c r="AW4" s="32">
        <v>35</v>
      </c>
      <c r="AX4" s="32">
        <v>36</v>
      </c>
      <c r="AY4" s="32">
        <v>37</v>
      </c>
      <c r="AZ4" s="32">
        <v>38</v>
      </c>
      <c r="BA4" s="32">
        <v>39</v>
      </c>
      <c r="BB4" s="32">
        <v>40</v>
      </c>
      <c r="BC4" s="32">
        <v>41</v>
      </c>
      <c r="BD4" s="32">
        <v>42</v>
      </c>
      <c r="BE4" s="32">
        <v>43</v>
      </c>
      <c r="BF4" s="32">
        <v>44</v>
      </c>
      <c r="BG4" s="32">
        <v>45</v>
      </c>
      <c r="BH4" s="32">
        <v>46</v>
      </c>
      <c r="BI4" s="32">
        <v>47</v>
      </c>
      <c r="BJ4" s="32">
        <v>48</v>
      </c>
      <c r="BK4" s="32">
        <v>49</v>
      </c>
      <c r="BL4" s="32"/>
    </row>
    <row r="5" spans="2:64" x14ac:dyDescent="0.25">
      <c r="B5" s="31"/>
      <c r="C5" s="31"/>
      <c r="D5" s="31"/>
      <c r="E5" s="31"/>
      <c r="F5" s="34"/>
      <c r="K5" s="30" t="str">
        <f>+'Resultados '!G3</f>
        <v>Iker</v>
      </c>
      <c r="L5" s="32">
        <f>+'Resultados '!R3</f>
        <v>13</v>
      </c>
      <c r="M5" s="32" t="str">
        <f>+'Resultados '!G5</f>
        <v>Femenino</v>
      </c>
      <c r="N5" s="47" t="str">
        <f ca="1">+'Resultados '!L7</f>
        <v>Masculino 15 a 19 años</v>
      </c>
      <c r="O5" s="47" t="str">
        <f t="shared" ref="O5:AT5" si="0">+VLOOKUP(O4,$F$23:$G$71,2,0)</f>
        <v>No</v>
      </c>
      <c r="P5" s="47" t="str">
        <f t="shared" si="0"/>
        <v>Si</v>
      </c>
      <c r="Q5" s="47" t="str">
        <f t="shared" si="0"/>
        <v>Si</v>
      </c>
      <c r="R5" s="47" t="str">
        <f t="shared" si="0"/>
        <v>No</v>
      </c>
      <c r="S5" s="47" t="str">
        <f t="shared" si="0"/>
        <v>No</v>
      </c>
      <c r="T5" s="47" t="str">
        <f t="shared" si="0"/>
        <v>No</v>
      </c>
      <c r="U5" s="47" t="str">
        <f t="shared" si="0"/>
        <v>No</v>
      </c>
      <c r="V5" s="47" t="str">
        <f t="shared" si="0"/>
        <v>No</v>
      </c>
      <c r="W5" s="47" t="str">
        <f t="shared" si="0"/>
        <v>Si</v>
      </c>
      <c r="X5" s="47" t="str">
        <f t="shared" si="0"/>
        <v>No</v>
      </c>
      <c r="Y5" s="47" t="str">
        <f t="shared" si="0"/>
        <v>Si</v>
      </c>
      <c r="Z5" s="47" t="str">
        <f t="shared" si="0"/>
        <v>Si</v>
      </c>
      <c r="AA5" s="47" t="str">
        <f t="shared" si="0"/>
        <v>Si</v>
      </c>
      <c r="AB5" s="47" t="str">
        <f t="shared" si="0"/>
        <v>Si</v>
      </c>
      <c r="AC5" s="47" t="str">
        <f t="shared" si="0"/>
        <v>No</v>
      </c>
      <c r="AD5" s="47" t="str">
        <f t="shared" si="0"/>
        <v>No</v>
      </c>
      <c r="AE5" s="47" t="str">
        <f t="shared" si="0"/>
        <v>No</v>
      </c>
      <c r="AF5" s="47" t="str">
        <f t="shared" si="0"/>
        <v>No</v>
      </c>
      <c r="AG5" s="47" t="str">
        <f t="shared" si="0"/>
        <v>Si</v>
      </c>
      <c r="AH5" s="47" t="str">
        <f t="shared" si="0"/>
        <v>No</v>
      </c>
      <c r="AI5" s="47" t="str">
        <f t="shared" si="0"/>
        <v>Si</v>
      </c>
      <c r="AJ5" s="47" t="str">
        <f t="shared" si="0"/>
        <v>Si</v>
      </c>
      <c r="AK5" s="47" t="str">
        <f t="shared" si="0"/>
        <v>Si</v>
      </c>
      <c r="AL5" s="47" t="str">
        <f t="shared" si="0"/>
        <v>Si</v>
      </c>
      <c r="AM5" s="47" t="str">
        <f t="shared" si="0"/>
        <v>No</v>
      </c>
      <c r="AN5" s="47" t="str">
        <f t="shared" si="0"/>
        <v>Si</v>
      </c>
      <c r="AO5" s="47" t="str">
        <f t="shared" si="0"/>
        <v>No</v>
      </c>
      <c r="AP5" s="47" t="str">
        <f t="shared" si="0"/>
        <v>No</v>
      </c>
      <c r="AQ5" s="47" t="str">
        <f t="shared" si="0"/>
        <v>Si</v>
      </c>
      <c r="AR5" s="47" t="str">
        <f t="shared" si="0"/>
        <v>No</v>
      </c>
      <c r="AS5" s="47" t="str">
        <f t="shared" si="0"/>
        <v>Si</v>
      </c>
      <c r="AT5" s="47" t="str">
        <f t="shared" si="0"/>
        <v>Si</v>
      </c>
      <c r="AU5" s="47" t="str">
        <f t="shared" ref="AU5:BK5" si="1">+VLOOKUP(AU4,$F$23:$G$71,2,0)</f>
        <v>Si</v>
      </c>
      <c r="AV5" s="47" t="str">
        <f t="shared" si="1"/>
        <v>No</v>
      </c>
      <c r="AW5" s="47" t="str">
        <f t="shared" si="1"/>
        <v>Si</v>
      </c>
      <c r="AX5" s="47" t="str">
        <f t="shared" si="1"/>
        <v>Si</v>
      </c>
      <c r="AY5" s="47" t="str">
        <f t="shared" si="1"/>
        <v>Si</v>
      </c>
      <c r="AZ5" s="47" t="str">
        <f t="shared" si="1"/>
        <v>Si</v>
      </c>
      <c r="BA5" s="47" t="str">
        <f t="shared" si="1"/>
        <v>Si</v>
      </c>
      <c r="BB5" s="47" t="str">
        <f t="shared" si="1"/>
        <v>Si</v>
      </c>
      <c r="BC5" s="47" t="str">
        <f t="shared" si="1"/>
        <v>No</v>
      </c>
      <c r="BD5" s="47" t="str">
        <f t="shared" si="1"/>
        <v>No</v>
      </c>
      <c r="BE5" s="47" t="str">
        <f t="shared" si="1"/>
        <v>No</v>
      </c>
      <c r="BF5" s="47" t="str">
        <f t="shared" si="1"/>
        <v>No</v>
      </c>
      <c r="BG5" s="47" t="str">
        <f t="shared" si="1"/>
        <v>No</v>
      </c>
      <c r="BH5" s="47" t="str">
        <f t="shared" si="1"/>
        <v>No</v>
      </c>
      <c r="BI5" s="47" t="str">
        <f t="shared" si="1"/>
        <v>No</v>
      </c>
      <c r="BJ5" s="47" t="str">
        <f t="shared" si="1"/>
        <v>No</v>
      </c>
      <c r="BK5" s="47" t="str">
        <f t="shared" si="1"/>
        <v>Si</v>
      </c>
    </row>
    <row r="6" spans="2:64" x14ac:dyDescent="0.25">
      <c r="B6" s="31"/>
      <c r="C6" s="31"/>
      <c r="D6" s="31"/>
      <c r="E6" s="31"/>
      <c r="F6" s="34"/>
      <c r="K6" s="30"/>
    </row>
    <row r="7" spans="2:64" x14ac:dyDescent="0.25">
      <c r="B7" s="31"/>
      <c r="C7" s="31"/>
      <c r="D7" s="31"/>
      <c r="E7" s="31"/>
      <c r="F7" s="34"/>
    </row>
    <row r="8" spans="2:64" ht="25.5" x14ac:dyDescent="0.25">
      <c r="B8" s="31"/>
      <c r="C8" s="56" t="s">
        <v>86</v>
      </c>
      <c r="D8" s="31"/>
      <c r="E8" s="31"/>
      <c r="F8" s="34"/>
    </row>
    <row r="9" spans="2:64" x14ac:dyDescent="0.25">
      <c r="B9" s="105" t="s">
        <v>89</v>
      </c>
      <c r="C9" s="105"/>
      <c r="D9" s="105"/>
      <c r="E9" s="105"/>
      <c r="F9" s="105"/>
    </row>
    <row r="10" spans="2:64" x14ac:dyDescent="0.25">
      <c r="B10" s="105"/>
      <c r="C10" s="105"/>
      <c r="D10" s="105"/>
      <c r="E10" s="105"/>
      <c r="F10" s="105"/>
    </row>
    <row r="11" spans="2:64" x14ac:dyDescent="0.25">
      <c r="B11" s="105"/>
      <c r="C11" s="105"/>
      <c r="D11" s="105"/>
      <c r="E11" s="105"/>
      <c r="F11" s="105"/>
      <c r="J11" s="48"/>
      <c r="K11" s="48"/>
    </row>
    <row r="12" spans="2:64" x14ac:dyDescent="0.25">
      <c r="B12" s="105"/>
      <c r="C12" s="105"/>
      <c r="D12" s="105"/>
      <c r="E12" s="105"/>
      <c r="F12" s="105"/>
    </row>
    <row r="13" spans="2:64" x14ac:dyDescent="0.25">
      <c r="B13" s="105"/>
      <c r="C13" s="105"/>
      <c r="D13" s="105"/>
      <c r="E13" s="105"/>
      <c r="F13" s="105"/>
    </row>
    <row r="14" spans="2:64" x14ac:dyDescent="0.25">
      <c r="B14" s="105"/>
      <c r="C14" s="105"/>
      <c r="D14" s="105"/>
      <c r="E14" s="105"/>
      <c r="F14" s="105"/>
    </row>
    <row r="15" spans="2:64" x14ac:dyDescent="0.25">
      <c r="B15" s="105"/>
      <c r="C15" s="105"/>
      <c r="D15" s="105"/>
      <c r="E15" s="105"/>
      <c r="F15" s="105"/>
    </row>
    <row r="16" spans="2:64" x14ac:dyDescent="0.25">
      <c r="B16" s="105"/>
      <c r="C16" s="105"/>
      <c r="D16" s="105"/>
      <c r="E16" s="105"/>
      <c r="F16" s="105"/>
    </row>
    <row r="17" spans="2:18" x14ac:dyDescent="0.25">
      <c r="B17" s="105"/>
      <c r="C17" s="105"/>
      <c r="D17" s="105"/>
      <c r="E17" s="105"/>
      <c r="F17" s="105"/>
    </row>
    <row r="18" spans="2:18" x14ac:dyDescent="0.25">
      <c r="B18" s="105"/>
      <c r="C18" s="105"/>
      <c r="D18" s="105"/>
      <c r="E18" s="105"/>
      <c r="F18" s="105"/>
    </row>
    <row r="19" spans="2:18" x14ac:dyDescent="0.25">
      <c r="B19" s="105"/>
      <c r="C19" s="105"/>
      <c r="D19" s="105"/>
      <c r="E19" s="105"/>
      <c r="F19" s="105"/>
    </row>
    <row r="20" spans="2:18" x14ac:dyDescent="0.25">
      <c r="B20" s="105"/>
      <c r="C20" s="105"/>
      <c r="D20" s="105"/>
      <c r="E20" s="105"/>
      <c r="F20" s="105"/>
    </row>
    <row r="22" spans="2:18" x14ac:dyDescent="0.25">
      <c r="B22" s="37"/>
      <c r="C22" s="35"/>
      <c r="D22" s="59" t="s">
        <v>84</v>
      </c>
      <c r="E22" s="59" t="s">
        <v>85</v>
      </c>
      <c r="F22" s="37"/>
      <c r="G22" s="97"/>
      <c r="H22" s="39"/>
      <c r="I22" s="34"/>
      <c r="O22" s="47" t="s">
        <v>84</v>
      </c>
      <c r="P22" s="47" t="s">
        <v>85</v>
      </c>
    </row>
    <row r="23" spans="2:18" x14ac:dyDescent="0.25">
      <c r="B23" s="57">
        <v>1</v>
      </c>
      <c r="C23" s="55" t="s">
        <v>90</v>
      </c>
      <c r="D23" s="50"/>
      <c r="E23" s="50" t="s">
        <v>88</v>
      </c>
      <c r="F23" s="57">
        <v>1</v>
      </c>
      <c r="G23" s="98" t="str">
        <f>+IF(D23="X","Si",IF(E23="X","No",""))</f>
        <v>No</v>
      </c>
      <c r="H23" s="39"/>
      <c r="I23" s="34"/>
      <c r="N23" s="36">
        <v>1</v>
      </c>
      <c r="O23" s="47" t="str">
        <f>+IF(D23="x",1,"")</f>
        <v/>
      </c>
      <c r="P23" s="47">
        <f>+IF(E23="x",1,"")</f>
        <v>1</v>
      </c>
      <c r="R23" s="54" t="str">
        <f>+IF(O23=1,C23,"")</f>
        <v/>
      </c>
    </row>
    <row r="24" spans="2:18" x14ac:dyDescent="0.25">
      <c r="B24" s="57">
        <v>2</v>
      </c>
      <c r="C24" s="55" t="s">
        <v>91</v>
      </c>
      <c r="D24" s="50" t="s">
        <v>88</v>
      </c>
      <c r="E24" s="50"/>
      <c r="F24" s="57">
        <v>2</v>
      </c>
      <c r="G24" s="98" t="str">
        <f t="shared" ref="G24:G71" si="2">+IF(D24="X","Si",IF(E24="X","No",""))</f>
        <v>Si</v>
      </c>
      <c r="H24" s="39"/>
      <c r="I24" s="40"/>
      <c r="N24" s="36">
        <v>2</v>
      </c>
      <c r="O24" s="47">
        <f t="shared" ref="O24:O71" si="3">+IF(D24="x",1,"")</f>
        <v>1</v>
      </c>
      <c r="P24" s="47" t="str">
        <f t="shared" ref="P24:P71" si="4">+IF(E24="x",1,"")</f>
        <v/>
      </c>
      <c r="R24" s="54" t="str">
        <f t="shared" ref="R24:R71" si="5">+IF(O24=1,C24,"")</f>
        <v>Soy muy nervioso(a).</v>
      </c>
    </row>
    <row r="25" spans="2:18" x14ac:dyDescent="0.25">
      <c r="B25" s="57">
        <v>3</v>
      </c>
      <c r="C25" s="55" t="s">
        <v>92</v>
      </c>
      <c r="D25" s="50" t="s">
        <v>88</v>
      </c>
      <c r="E25" s="50"/>
      <c r="F25" s="57">
        <v>3</v>
      </c>
      <c r="G25" s="98" t="str">
        <f t="shared" si="2"/>
        <v>Si</v>
      </c>
      <c r="H25" s="39"/>
      <c r="I25" s="40"/>
      <c r="N25" s="36">
        <v>3</v>
      </c>
      <c r="O25" s="47">
        <f t="shared" si="3"/>
        <v>1</v>
      </c>
      <c r="P25" s="47" t="str">
        <f t="shared" si="4"/>
        <v/>
      </c>
      <c r="R25" s="54" t="str">
        <f t="shared" si="5"/>
        <v>Muchas veces me preocupa que algo malo me pase.</v>
      </c>
    </row>
    <row r="26" spans="2:18" x14ac:dyDescent="0.25">
      <c r="B26" s="57">
        <v>4</v>
      </c>
      <c r="C26" s="55" t="s">
        <v>93</v>
      </c>
      <c r="D26" s="50"/>
      <c r="E26" s="50" t="s">
        <v>88</v>
      </c>
      <c r="F26" s="57">
        <v>4</v>
      </c>
      <c r="G26" s="98" t="str">
        <f t="shared" si="2"/>
        <v>No</v>
      </c>
      <c r="H26" s="49"/>
      <c r="I26" s="51"/>
      <c r="N26" s="36">
        <v>4</v>
      </c>
      <c r="O26" s="47" t="str">
        <f t="shared" si="3"/>
        <v/>
      </c>
      <c r="P26" s="47">
        <f t="shared" si="4"/>
        <v>1</v>
      </c>
      <c r="R26" s="54" t="str">
        <f t="shared" si="5"/>
        <v/>
      </c>
    </row>
    <row r="27" spans="2:18" x14ac:dyDescent="0.25">
      <c r="B27" s="57">
        <v>5</v>
      </c>
      <c r="C27" s="55" t="s">
        <v>94</v>
      </c>
      <c r="D27" s="50"/>
      <c r="E27" s="50" t="s">
        <v>88</v>
      </c>
      <c r="F27" s="57">
        <v>5</v>
      </c>
      <c r="G27" s="98" t="str">
        <f t="shared" si="2"/>
        <v>No</v>
      </c>
      <c r="H27" s="49" t="s">
        <v>22</v>
      </c>
      <c r="I27" s="51">
        <f>L29+L30+L31+L32+L33+L34+L35+L36+L37</f>
        <v>3</v>
      </c>
      <c r="J27" s="34"/>
      <c r="K27" s="34"/>
      <c r="L27" s="34"/>
      <c r="M27" s="34"/>
      <c r="N27" s="36">
        <v>5</v>
      </c>
      <c r="O27" s="47" t="str">
        <f t="shared" si="3"/>
        <v/>
      </c>
      <c r="P27" s="47">
        <f t="shared" si="4"/>
        <v>1</v>
      </c>
      <c r="R27" s="54" t="str">
        <f t="shared" si="5"/>
        <v/>
      </c>
    </row>
    <row r="28" spans="2:18" x14ac:dyDescent="0.25">
      <c r="B28" s="57">
        <v>6</v>
      </c>
      <c r="C28" s="55" t="s">
        <v>95</v>
      </c>
      <c r="D28" s="50"/>
      <c r="E28" s="50" t="s">
        <v>88</v>
      </c>
      <c r="F28" s="57">
        <v>6</v>
      </c>
      <c r="G28" s="98" t="str">
        <f t="shared" si="2"/>
        <v>No</v>
      </c>
      <c r="J28" s="34"/>
      <c r="K28" s="39" t="s">
        <v>16</v>
      </c>
      <c r="L28" s="39" t="s">
        <v>5</v>
      </c>
      <c r="M28" s="34"/>
      <c r="N28" s="36">
        <v>6</v>
      </c>
      <c r="O28" s="47" t="str">
        <f t="shared" si="3"/>
        <v/>
      </c>
      <c r="P28" s="47">
        <f t="shared" si="4"/>
        <v>1</v>
      </c>
      <c r="R28" s="54" t="str">
        <f t="shared" si="5"/>
        <v/>
      </c>
    </row>
    <row r="29" spans="2:18" x14ac:dyDescent="0.25">
      <c r="B29" s="57">
        <v>7</v>
      </c>
      <c r="C29" s="55" t="s">
        <v>96</v>
      </c>
      <c r="D29" s="50"/>
      <c r="E29" s="50" t="s">
        <v>88</v>
      </c>
      <c r="F29" s="57">
        <v>7</v>
      </c>
      <c r="G29" s="98" t="str">
        <f t="shared" si="2"/>
        <v>No</v>
      </c>
      <c r="H29" s="41" t="s">
        <v>1</v>
      </c>
      <c r="I29" s="41">
        <f>SUM(O36,O41,O46)</f>
        <v>3</v>
      </c>
      <c r="J29" s="34"/>
      <c r="K29" s="53" t="s">
        <v>7</v>
      </c>
      <c r="L29" s="53">
        <f>+IF(G24&lt;&gt;G30,1,0)</f>
        <v>1</v>
      </c>
      <c r="M29" s="34"/>
      <c r="N29" s="36">
        <v>7</v>
      </c>
      <c r="O29" s="47" t="str">
        <f t="shared" si="3"/>
        <v/>
      </c>
      <c r="P29" s="47">
        <f t="shared" si="4"/>
        <v>1</v>
      </c>
      <c r="R29" s="54" t="str">
        <f t="shared" si="5"/>
        <v/>
      </c>
    </row>
    <row r="30" spans="2:18" x14ac:dyDescent="0.25">
      <c r="B30" s="57">
        <v>8</v>
      </c>
      <c r="C30" s="55" t="s">
        <v>97</v>
      </c>
      <c r="D30" s="50"/>
      <c r="E30" s="50" t="s">
        <v>88</v>
      </c>
      <c r="F30" s="57">
        <v>8</v>
      </c>
      <c r="G30" s="98" t="str">
        <f t="shared" si="2"/>
        <v>No</v>
      </c>
      <c r="H30" s="42" t="s">
        <v>2</v>
      </c>
      <c r="I30" s="42">
        <f>SUM(O23,O27,O29,O30,O33,O35,O37,O38,O40)</f>
        <v>2</v>
      </c>
      <c r="J30" s="34"/>
      <c r="K30" s="53" t="s">
        <v>6</v>
      </c>
      <c r="L30" s="53">
        <f>+IF(G25&lt;&gt;G57,1,0)</f>
        <v>0</v>
      </c>
      <c r="M30" s="34"/>
      <c r="N30" s="36">
        <v>8</v>
      </c>
      <c r="O30" s="47" t="str">
        <f t="shared" si="3"/>
        <v/>
      </c>
      <c r="P30" s="47">
        <f t="shared" si="4"/>
        <v>1</v>
      </c>
      <c r="R30" s="54" t="str">
        <f t="shared" si="5"/>
        <v/>
      </c>
    </row>
    <row r="31" spans="2:18" x14ac:dyDescent="0.25">
      <c r="B31" s="57">
        <v>9</v>
      </c>
      <c r="C31" s="55" t="s">
        <v>98</v>
      </c>
      <c r="D31" s="50" t="s">
        <v>88</v>
      </c>
      <c r="E31" s="50"/>
      <c r="F31" s="57">
        <v>9</v>
      </c>
      <c r="G31" s="98" t="str">
        <f t="shared" si="2"/>
        <v>Si</v>
      </c>
      <c r="H31" s="41" t="s">
        <v>3</v>
      </c>
      <c r="I31" s="41">
        <f>SUM(O24,O34,O42,O43)</f>
        <v>3</v>
      </c>
      <c r="J31" s="34"/>
      <c r="K31" s="53" t="s">
        <v>8</v>
      </c>
      <c r="L31" s="53">
        <f>+IF(G26&lt;&gt;G32,1,0)</f>
        <v>0</v>
      </c>
      <c r="M31" s="34"/>
      <c r="N31" s="36">
        <v>9</v>
      </c>
      <c r="O31" s="47">
        <f t="shared" si="3"/>
        <v>1</v>
      </c>
      <c r="P31" s="47" t="str">
        <f t="shared" si="4"/>
        <v/>
      </c>
      <c r="R31" s="54" t="str">
        <f t="shared" si="5"/>
        <v>Siento que alguien va a decirme que hago mal las cosas.</v>
      </c>
    </row>
    <row r="32" spans="2:18" x14ac:dyDescent="0.25">
      <c r="B32" s="57">
        <v>10</v>
      </c>
      <c r="C32" s="55" t="s">
        <v>99</v>
      </c>
      <c r="D32" s="50"/>
      <c r="E32" s="50" t="s">
        <v>88</v>
      </c>
      <c r="F32" s="57">
        <v>10</v>
      </c>
      <c r="G32" s="98" t="str">
        <f t="shared" si="2"/>
        <v>No</v>
      </c>
      <c r="H32" s="42" t="s">
        <v>4</v>
      </c>
      <c r="I32" s="42">
        <f>SUM(O25,O26,O28,O31,O32,O39,O44,O45)</f>
        <v>4</v>
      </c>
      <c r="J32" s="34"/>
      <c r="K32" s="53" t="s">
        <v>9</v>
      </c>
      <c r="L32" s="53">
        <f>+IF(G28&lt;&gt;G71,1,0)</f>
        <v>1</v>
      </c>
      <c r="M32" s="34"/>
      <c r="N32" s="36">
        <v>10</v>
      </c>
      <c r="O32" s="47" t="str">
        <f t="shared" si="3"/>
        <v/>
      </c>
      <c r="P32" s="47">
        <f t="shared" si="4"/>
        <v>1</v>
      </c>
      <c r="R32" s="54" t="str">
        <f t="shared" si="5"/>
        <v/>
      </c>
    </row>
    <row r="33" spans="2:18" x14ac:dyDescent="0.25">
      <c r="B33" s="57">
        <v>11</v>
      </c>
      <c r="C33" s="55" t="s">
        <v>100</v>
      </c>
      <c r="D33" s="50" t="s">
        <v>88</v>
      </c>
      <c r="E33" s="50"/>
      <c r="F33" s="57">
        <v>11</v>
      </c>
      <c r="G33" s="98" t="str">
        <f t="shared" si="2"/>
        <v>Si</v>
      </c>
      <c r="H33" s="43"/>
      <c r="I33" s="43"/>
      <c r="J33" s="34"/>
      <c r="K33" s="53" t="s">
        <v>10</v>
      </c>
      <c r="L33" s="53">
        <f>+IF(G29&lt;&gt;G61,1,0)</f>
        <v>1</v>
      </c>
      <c r="M33" s="34"/>
      <c r="N33" s="36">
        <v>11</v>
      </c>
      <c r="O33" s="47">
        <f t="shared" si="3"/>
        <v>1</v>
      </c>
      <c r="P33" s="47" t="str">
        <f t="shared" si="4"/>
        <v/>
      </c>
      <c r="R33" s="54" t="str">
        <f t="shared" si="5"/>
        <v>Me cuesta trabajo tomar decisiones.</v>
      </c>
    </row>
    <row r="34" spans="2:18" x14ac:dyDescent="0.25">
      <c r="B34" s="57">
        <v>12</v>
      </c>
      <c r="C34" s="55" t="s">
        <v>101</v>
      </c>
      <c r="D34" s="50" t="s">
        <v>88</v>
      </c>
      <c r="E34" s="50"/>
      <c r="F34" s="57">
        <v>12</v>
      </c>
      <c r="G34" s="98" t="str">
        <f t="shared" si="2"/>
        <v>Si</v>
      </c>
      <c r="H34" s="41" t="s">
        <v>1</v>
      </c>
      <c r="I34" s="41">
        <f>SUM(O51,O55,O60,P62,P66,P70)</f>
        <v>5</v>
      </c>
      <c r="J34" s="34"/>
      <c r="K34" s="53" t="s">
        <v>11</v>
      </c>
      <c r="L34" s="53">
        <f>+IF(G41&lt;&gt;G55,1,0)</f>
        <v>0</v>
      </c>
      <c r="M34" s="34"/>
      <c r="N34" s="36">
        <v>12</v>
      </c>
      <c r="O34" s="47">
        <f t="shared" si="3"/>
        <v>1</v>
      </c>
      <c r="P34" s="47" t="str">
        <f t="shared" si="4"/>
        <v/>
      </c>
      <c r="R34" s="54" t="str">
        <f t="shared" si="5"/>
        <v>Me pongo nervioso(a) cuando las cosas no me salen como quiero.</v>
      </c>
    </row>
    <row r="35" spans="2:18" x14ac:dyDescent="0.25">
      <c r="B35" s="57">
        <v>13</v>
      </c>
      <c r="C35" s="55" t="s">
        <v>102</v>
      </c>
      <c r="D35" s="50" t="s">
        <v>88</v>
      </c>
      <c r="E35" s="50"/>
      <c r="F35" s="57">
        <v>13</v>
      </c>
      <c r="G35" s="98" t="str">
        <f t="shared" si="2"/>
        <v>Si</v>
      </c>
      <c r="H35" s="42" t="s">
        <v>2</v>
      </c>
      <c r="I35" s="42">
        <f>SUM(O47,O49,O50,O53,O56,O58,O61,O64,O65,O69)</f>
        <v>3</v>
      </c>
      <c r="J35" s="34"/>
      <c r="K35" s="53" t="s">
        <v>12</v>
      </c>
      <c r="L35" s="53">
        <f>+IF(G45&lt;&gt;G59,1,0)</f>
        <v>0</v>
      </c>
      <c r="M35" s="34"/>
      <c r="N35" s="36">
        <v>13</v>
      </c>
      <c r="O35" s="47">
        <f t="shared" si="3"/>
        <v>1</v>
      </c>
      <c r="P35" s="47" t="str">
        <f t="shared" si="4"/>
        <v/>
      </c>
      <c r="R35" s="54" t="str">
        <f t="shared" si="5"/>
        <v>Parece que las cosas son mas faciles para los demas que para mi.</v>
      </c>
    </row>
    <row r="36" spans="2:18" x14ac:dyDescent="0.25">
      <c r="B36" s="57">
        <v>14</v>
      </c>
      <c r="C36" s="55" t="s">
        <v>103</v>
      </c>
      <c r="D36" s="50" t="s">
        <v>88</v>
      </c>
      <c r="E36" s="50"/>
      <c r="F36" s="57">
        <v>14</v>
      </c>
      <c r="G36" s="98" t="str">
        <f t="shared" si="2"/>
        <v>Si</v>
      </c>
      <c r="H36" s="41" t="s">
        <v>3</v>
      </c>
      <c r="I36" s="41">
        <f>SUM(O52,O57,O62,O66,O68,O70)</f>
        <v>2</v>
      </c>
      <c r="J36" s="34"/>
      <c r="K36" s="53" t="s">
        <v>13</v>
      </c>
      <c r="L36" s="53">
        <f>+IF(G46&lt;&gt;G51,1,0)</f>
        <v>0</v>
      </c>
      <c r="M36" s="34"/>
      <c r="N36" s="36">
        <v>14</v>
      </c>
      <c r="O36" s="47">
        <f t="shared" si="3"/>
        <v>1</v>
      </c>
      <c r="P36" s="47" t="str">
        <f t="shared" si="4"/>
        <v/>
      </c>
      <c r="R36" s="54" t="str">
        <f t="shared" si="5"/>
        <v>Todas las personas que conozco me caen bien.</v>
      </c>
    </row>
    <row r="37" spans="2:18" x14ac:dyDescent="0.25">
      <c r="B37" s="57">
        <v>15</v>
      </c>
      <c r="C37" s="55" t="s">
        <v>104</v>
      </c>
      <c r="D37" s="50"/>
      <c r="E37" s="50" t="s">
        <v>88</v>
      </c>
      <c r="F37" s="57">
        <v>15</v>
      </c>
      <c r="G37" s="98" t="str">
        <f t="shared" si="2"/>
        <v>No</v>
      </c>
      <c r="H37" s="42" t="s">
        <v>4</v>
      </c>
      <c r="I37" s="42">
        <f>SUM(O48,O54,O59,O63,O67,O71)</f>
        <v>4</v>
      </c>
      <c r="J37" s="34"/>
      <c r="K37" s="53" t="s">
        <v>14</v>
      </c>
      <c r="L37" s="53">
        <f>+IF(G60=G70,1,0)</f>
        <v>0</v>
      </c>
      <c r="M37" s="34"/>
      <c r="N37" s="36">
        <v>15</v>
      </c>
      <c r="O37" s="47" t="str">
        <f t="shared" si="3"/>
        <v/>
      </c>
      <c r="P37" s="47">
        <f t="shared" si="4"/>
        <v>1</v>
      </c>
      <c r="R37" s="54" t="str">
        <f t="shared" si="5"/>
        <v/>
      </c>
    </row>
    <row r="38" spans="2:18" x14ac:dyDescent="0.25">
      <c r="B38" s="57">
        <v>16</v>
      </c>
      <c r="C38" s="55" t="s">
        <v>105</v>
      </c>
      <c r="D38" s="50"/>
      <c r="E38" s="50" t="s">
        <v>88</v>
      </c>
      <c r="F38" s="57">
        <v>16</v>
      </c>
      <c r="G38" s="98" t="str">
        <f t="shared" si="2"/>
        <v>No</v>
      </c>
      <c r="H38" s="33"/>
      <c r="I38" s="33"/>
      <c r="J38" s="38"/>
      <c r="K38" s="34"/>
      <c r="L38" s="34"/>
      <c r="M38" s="34"/>
      <c r="N38" s="36">
        <v>16</v>
      </c>
      <c r="O38" s="47" t="str">
        <f t="shared" si="3"/>
        <v/>
      </c>
      <c r="P38" s="47">
        <f t="shared" si="4"/>
        <v>1</v>
      </c>
      <c r="R38" s="54" t="str">
        <f t="shared" si="5"/>
        <v/>
      </c>
    </row>
    <row r="39" spans="2:18" x14ac:dyDescent="0.25">
      <c r="B39" s="57">
        <v>17</v>
      </c>
      <c r="C39" s="55" t="s">
        <v>106</v>
      </c>
      <c r="D39" s="50"/>
      <c r="E39" s="50" t="s">
        <v>88</v>
      </c>
      <c r="F39" s="57">
        <v>17</v>
      </c>
      <c r="G39" s="98" t="str">
        <f t="shared" si="2"/>
        <v>No</v>
      </c>
      <c r="H39" s="104"/>
      <c r="I39" s="104"/>
      <c r="J39" s="44" t="s">
        <v>17</v>
      </c>
      <c r="K39" s="53" t="s">
        <v>18</v>
      </c>
      <c r="L39" s="53" t="s">
        <v>19</v>
      </c>
      <c r="M39" s="53" t="s">
        <v>20</v>
      </c>
      <c r="N39" s="36">
        <v>17</v>
      </c>
      <c r="O39" s="47" t="str">
        <f t="shared" si="3"/>
        <v/>
      </c>
      <c r="P39" s="47">
        <f t="shared" si="4"/>
        <v>1</v>
      </c>
      <c r="R39" s="54" t="str">
        <f t="shared" si="5"/>
        <v/>
      </c>
    </row>
    <row r="40" spans="2:18" x14ac:dyDescent="0.25">
      <c r="B40" s="57">
        <v>18</v>
      </c>
      <c r="C40" s="55" t="s">
        <v>107</v>
      </c>
      <c r="D40" s="50"/>
      <c r="E40" s="50" t="s">
        <v>88</v>
      </c>
      <c r="F40" s="57">
        <v>18</v>
      </c>
      <c r="G40" s="98" t="str">
        <f t="shared" si="2"/>
        <v>No</v>
      </c>
      <c r="H40" s="52" t="s">
        <v>15</v>
      </c>
      <c r="I40" s="33"/>
      <c r="J40" s="44">
        <f>I29+I34</f>
        <v>8</v>
      </c>
      <c r="K40" s="53">
        <f>I30+I35</f>
        <v>5</v>
      </c>
      <c r="L40" s="53">
        <f>I31+I36</f>
        <v>5</v>
      </c>
      <c r="M40" s="53">
        <f>I32+I37</f>
        <v>8</v>
      </c>
      <c r="N40" s="36">
        <v>18</v>
      </c>
      <c r="O40" s="47" t="str">
        <f t="shared" si="3"/>
        <v/>
      </c>
      <c r="P40" s="47">
        <f t="shared" si="4"/>
        <v>1</v>
      </c>
      <c r="R40" s="54" t="str">
        <f t="shared" si="5"/>
        <v/>
      </c>
    </row>
    <row r="41" spans="2:18" x14ac:dyDescent="0.25">
      <c r="B41" s="57">
        <v>19</v>
      </c>
      <c r="C41" s="55" t="s">
        <v>108</v>
      </c>
      <c r="D41" s="50" t="s">
        <v>88</v>
      </c>
      <c r="E41" s="50"/>
      <c r="F41" s="57">
        <v>19</v>
      </c>
      <c r="G41" s="98" t="str">
        <f t="shared" si="2"/>
        <v>Si</v>
      </c>
      <c r="H41" s="45" t="s">
        <v>21</v>
      </c>
      <c r="I41" s="44">
        <f>K40+L40+M40</f>
        <v>18</v>
      </c>
      <c r="J41" s="38"/>
      <c r="K41" s="34"/>
      <c r="L41" s="34"/>
      <c r="M41" s="34"/>
      <c r="N41" s="36">
        <v>19</v>
      </c>
      <c r="O41" s="47">
        <f t="shared" si="3"/>
        <v>1</v>
      </c>
      <c r="P41" s="47" t="str">
        <f t="shared" si="4"/>
        <v/>
      </c>
      <c r="R41" s="54" t="str">
        <f t="shared" si="5"/>
        <v>Siempre soy amable.</v>
      </c>
    </row>
    <row r="42" spans="2:18" x14ac:dyDescent="0.25">
      <c r="B42" s="57">
        <v>20</v>
      </c>
      <c r="C42" s="55" t="s">
        <v>109</v>
      </c>
      <c r="D42" s="50"/>
      <c r="E42" s="50" t="s">
        <v>88</v>
      </c>
      <c r="F42" s="57">
        <v>20</v>
      </c>
      <c r="G42" s="98" t="str">
        <f t="shared" si="2"/>
        <v>No</v>
      </c>
      <c r="H42" s="38"/>
      <c r="I42" s="38"/>
      <c r="J42" s="38"/>
      <c r="K42" s="34"/>
      <c r="L42" s="34"/>
      <c r="M42" s="34"/>
      <c r="N42" s="36">
        <v>20</v>
      </c>
      <c r="O42" s="47" t="str">
        <f t="shared" si="3"/>
        <v/>
      </c>
      <c r="P42" s="47">
        <f t="shared" si="4"/>
        <v>1</v>
      </c>
      <c r="R42" s="54" t="str">
        <f t="shared" si="5"/>
        <v/>
      </c>
    </row>
    <row r="43" spans="2:18" x14ac:dyDescent="0.25">
      <c r="B43" s="57">
        <v>21</v>
      </c>
      <c r="C43" s="55" t="s">
        <v>110</v>
      </c>
      <c r="D43" s="50" t="s">
        <v>88</v>
      </c>
      <c r="E43" s="50"/>
      <c r="F43" s="57">
        <v>21</v>
      </c>
      <c r="G43" s="98" t="str">
        <f t="shared" si="2"/>
        <v>Si</v>
      </c>
      <c r="H43" s="38"/>
      <c r="I43" s="38"/>
      <c r="J43" s="38"/>
      <c r="K43" s="34"/>
      <c r="L43" s="34"/>
      <c r="N43" s="36">
        <v>21</v>
      </c>
      <c r="O43" s="47">
        <f t="shared" si="3"/>
        <v>1</v>
      </c>
      <c r="P43" s="47" t="str">
        <f t="shared" si="4"/>
        <v/>
      </c>
      <c r="R43" s="54" t="str">
        <f t="shared" si="5"/>
        <v>Me preocupa lo que mis papas me vayan a decir.</v>
      </c>
    </row>
    <row r="44" spans="2:18" x14ac:dyDescent="0.25">
      <c r="B44" s="57">
        <v>22</v>
      </c>
      <c r="C44" s="55" t="s">
        <v>111</v>
      </c>
      <c r="D44" s="50" t="s">
        <v>88</v>
      </c>
      <c r="E44" s="50"/>
      <c r="F44" s="57">
        <v>22</v>
      </c>
      <c r="G44" s="98" t="str">
        <f t="shared" si="2"/>
        <v>Si</v>
      </c>
      <c r="H44" s="34"/>
      <c r="I44" s="34"/>
      <c r="J44" s="34"/>
      <c r="K44" s="34"/>
      <c r="L44" s="34"/>
      <c r="N44" s="36">
        <v>22</v>
      </c>
      <c r="O44" s="47">
        <f t="shared" si="3"/>
        <v>1</v>
      </c>
      <c r="P44" s="47" t="str">
        <f t="shared" si="4"/>
        <v/>
      </c>
      <c r="R44" s="54" t="str">
        <f t="shared" si="5"/>
        <v>Siento que a los demas no les gusta como hago las cosas.</v>
      </c>
    </row>
    <row r="45" spans="2:18" x14ac:dyDescent="0.25">
      <c r="B45" s="57">
        <v>23</v>
      </c>
      <c r="C45" s="55" t="s">
        <v>112</v>
      </c>
      <c r="D45" s="50" t="s">
        <v>88</v>
      </c>
      <c r="E45" s="50"/>
      <c r="F45" s="57">
        <v>23</v>
      </c>
      <c r="G45" s="98" t="str">
        <f t="shared" si="2"/>
        <v>Si</v>
      </c>
      <c r="H45" s="34"/>
      <c r="I45" s="34"/>
      <c r="J45" s="34"/>
      <c r="K45" s="34"/>
      <c r="L45" s="34"/>
      <c r="N45" s="36">
        <v>23</v>
      </c>
      <c r="O45" s="47">
        <f t="shared" si="3"/>
        <v>1</v>
      </c>
      <c r="P45" s="47" t="str">
        <f t="shared" si="4"/>
        <v/>
      </c>
      <c r="R45" s="54" t="str">
        <f t="shared" si="5"/>
        <v>Me da miedo hablar en voz alta ante mis compañeros durante la clase.</v>
      </c>
    </row>
    <row r="46" spans="2:18" x14ac:dyDescent="0.25">
      <c r="B46" s="57">
        <v>24</v>
      </c>
      <c r="C46" s="55" t="s">
        <v>113</v>
      </c>
      <c r="D46" s="50" t="s">
        <v>88</v>
      </c>
      <c r="E46" s="50"/>
      <c r="F46" s="57">
        <v>24</v>
      </c>
      <c r="G46" s="98" t="str">
        <f t="shared" si="2"/>
        <v>Si</v>
      </c>
      <c r="H46" s="34"/>
      <c r="I46" s="34"/>
      <c r="J46" s="34"/>
      <c r="K46" s="34"/>
      <c r="L46" s="34"/>
      <c r="N46" s="36">
        <v>24</v>
      </c>
      <c r="O46" s="47">
        <f t="shared" si="3"/>
        <v>1</v>
      </c>
      <c r="P46" s="47" t="str">
        <f t="shared" si="4"/>
        <v/>
      </c>
      <c r="R46" s="54" t="str">
        <f t="shared" si="5"/>
        <v>Siempre me porto bien.</v>
      </c>
    </row>
    <row r="47" spans="2:18" x14ac:dyDescent="0.25">
      <c r="B47" s="57">
        <v>25</v>
      </c>
      <c r="C47" s="55" t="s">
        <v>116</v>
      </c>
      <c r="D47" s="50"/>
      <c r="E47" s="50" t="s">
        <v>88</v>
      </c>
      <c r="F47" s="57">
        <v>25</v>
      </c>
      <c r="G47" s="98" t="str">
        <f t="shared" si="2"/>
        <v>No</v>
      </c>
      <c r="H47" s="34"/>
      <c r="I47" s="34"/>
      <c r="J47" s="34"/>
      <c r="K47" s="34"/>
      <c r="L47" s="34"/>
      <c r="N47" s="36">
        <v>25</v>
      </c>
      <c r="O47" s="47" t="str">
        <f t="shared" si="3"/>
        <v/>
      </c>
      <c r="P47" s="47">
        <f t="shared" si="4"/>
        <v>1</v>
      </c>
      <c r="R47" s="54" t="str">
        <f t="shared" si="5"/>
        <v/>
      </c>
    </row>
    <row r="48" spans="2:18" x14ac:dyDescent="0.25">
      <c r="B48" s="57">
        <v>26</v>
      </c>
      <c r="C48" s="55" t="s">
        <v>117</v>
      </c>
      <c r="D48" s="50" t="s">
        <v>88</v>
      </c>
      <c r="E48" s="50"/>
      <c r="F48" s="57">
        <v>26</v>
      </c>
      <c r="G48" s="98" t="str">
        <f t="shared" si="2"/>
        <v>Si</v>
      </c>
      <c r="H48" s="34"/>
      <c r="I48" s="34"/>
      <c r="J48" s="34"/>
      <c r="K48" s="34"/>
      <c r="L48" s="34"/>
      <c r="N48" s="36">
        <v>26</v>
      </c>
      <c r="O48" s="47">
        <f t="shared" si="3"/>
        <v>1</v>
      </c>
      <c r="P48" s="47" t="str">
        <f t="shared" si="4"/>
        <v/>
      </c>
      <c r="R48" s="54" t="str">
        <f t="shared" si="5"/>
        <v>Me preocupa que la gente piense mal de mi.</v>
      </c>
    </row>
    <row r="49" spans="2:18" x14ac:dyDescent="0.25">
      <c r="B49" s="57">
        <v>27</v>
      </c>
      <c r="C49" s="55" t="s">
        <v>118</v>
      </c>
      <c r="D49" s="50"/>
      <c r="E49" s="50" t="s">
        <v>88</v>
      </c>
      <c r="F49" s="57">
        <v>27</v>
      </c>
      <c r="G49" s="98" t="str">
        <f t="shared" si="2"/>
        <v>No</v>
      </c>
      <c r="H49" s="40"/>
      <c r="I49" s="40"/>
      <c r="J49" s="34"/>
      <c r="K49" s="34"/>
      <c r="L49" s="34"/>
      <c r="N49" s="36">
        <v>27</v>
      </c>
      <c r="O49" s="47" t="str">
        <f t="shared" si="3"/>
        <v/>
      </c>
      <c r="P49" s="47">
        <f t="shared" si="4"/>
        <v>1</v>
      </c>
      <c r="R49" s="54" t="str">
        <f t="shared" si="5"/>
        <v/>
      </c>
    </row>
    <row r="50" spans="2:18" x14ac:dyDescent="0.25">
      <c r="B50" s="57">
        <v>28</v>
      </c>
      <c r="C50" s="55" t="s">
        <v>119</v>
      </c>
      <c r="D50" s="50"/>
      <c r="E50" s="50" t="s">
        <v>88</v>
      </c>
      <c r="F50" s="57">
        <v>28</v>
      </c>
      <c r="G50" s="98" t="str">
        <f t="shared" si="2"/>
        <v>No</v>
      </c>
      <c r="H50" s="34"/>
      <c r="I50" s="34"/>
      <c r="J50" s="34"/>
      <c r="K50" s="34"/>
      <c r="L50" s="34"/>
      <c r="N50" s="36" t="s">
        <v>88</v>
      </c>
      <c r="O50" s="47" t="str">
        <f t="shared" ref="O50" si="6">+IF(D50="x",1,"")</f>
        <v/>
      </c>
      <c r="P50" s="47">
        <f t="shared" ref="P50" si="7">+IF(E50="x",1,"")</f>
        <v>1</v>
      </c>
      <c r="R50" s="54" t="str">
        <f t="shared" si="5"/>
        <v/>
      </c>
    </row>
    <row r="51" spans="2:18" x14ac:dyDescent="0.25">
      <c r="B51" s="57">
        <v>29</v>
      </c>
      <c r="C51" s="55" t="s">
        <v>120</v>
      </c>
      <c r="D51" s="50" t="s">
        <v>88</v>
      </c>
      <c r="E51" s="50"/>
      <c r="F51" s="57">
        <v>29</v>
      </c>
      <c r="G51" s="98" t="str">
        <f t="shared" si="2"/>
        <v>Si</v>
      </c>
      <c r="H51" s="34"/>
      <c r="I51" s="34"/>
      <c r="J51" s="34"/>
      <c r="K51" s="34"/>
      <c r="L51" s="34"/>
      <c r="N51" s="36">
        <v>29</v>
      </c>
      <c r="O51" s="47">
        <f t="shared" si="3"/>
        <v>1</v>
      </c>
      <c r="P51" s="47" t="str">
        <f t="shared" si="4"/>
        <v/>
      </c>
      <c r="R51" s="54" t="str">
        <f t="shared" si="5"/>
        <v>Siempre soy bueno (a).</v>
      </c>
    </row>
    <row r="52" spans="2:18" x14ac:dyDescent="0.25">
      <c r="B52" s="57">
        <v>30</v>
      </c>
      <c r="C52" s="55" t="s">
        <v>121</v>
      </c>
      <c r="D52" s="50"/>
      <c r="E52" s="50" t="s">
        <v>88</v>
      </c>
      <c r="F52" s="57">
        <v>30</v>
      </c>
      <c r="G52" s="98" t="str">
        <f t="shared" si="2"/>
        <v>No</v>
      </c>
      <c r="H52" s="34"/>
      <c r="I52" s="34"/>
      <c r="J52" s="34"/>
      <c r="K52" s="34"/>
      <c r="L52" s="34"/>
      <c r="N52" s="36">
        <v>30</v>
      </c>
      <c r="O52" s="47" t="str">
        <f t="shared" si="3"/>
        <v/>
      </c>
      <c r="P52" s="47">
        <f t="shared" si="4"/>
        <v>1</v>
      </c>
      <c r="R52" s="54" t="str">
        <f t="shared" si="5"/>
        <v/>
      </c>
    </row>
    <row r="53" spans="2:18" x14ac:dyDescent="0.25">
      <c r="B53" s="57">
        <v>31</v>
      </c>
      <c r="C53" s="55" t="s">
        <v>122</v>
      </c>
      <c r="D53" s="50" t="s">
        <v>88</v>
      </c>
      <c r="E53" s="50"/>
      <c r="F53" s="57">
        <v>31</v>
      </c>
      <c r="G53" s="98" t="str">
        <f t="shared" si="2"/>
        <v>Si</v>
      </c>
      <c r="H53" s="34"/>
      <c r="I53" s="34"/>
      <c r="J53" s="34"/>
      <c r="K53" s="34"/>
      <c r="L53" s="34"/>
      <c r="N53" s="36">
        <v>31</v>
      </c>
      <c r="O53" s="47">
        <f t="shared" si="3"/>
        <v>1</v>
      </c>
      <c r="P53" s="47" t="str">
        <f t="shared" si="4"/>
        <v/>
      </c>
      <c r="R53" s="54" t="str">
        <f t="shared" si="5"/>
        <v>Me sudan las manos.</v>
      </c>
    </row>
    <row r="54" spans="2:18" x14ac:dyDescent="0.25">
      <c r="B54" s="57">
        <v>32</v>
      </c>
      <c r="C54" s="55" t="s">
        <v>123</v>
      </c>
      <c r="D54" s="50" t="s">
        <v>88</v>
      </c>
      <c r="E54" s="50"/>
      <c r="F54" s="57">
        <v>32</v>
      </c>
      <c r="G54" s="98" t="str">
        <f t="shared" si="2"/>
        <v>Si</v>
      </c>
      <c r="H54" s="34"/>
      <c r="I54" s="34"/>
      <c r="J54" s="34"/>
      <c r="K54" s="34"/>
      <c r="L54" s="34"/>
      <c r="N54" s="36">
        <v>32</v>
      </c>
      <c r="O54" s="47">
        <f t="shared" si="3"/>
        <v>1</v>
      </c>
      <c r="P54" s="47" t="str">
        <f t="shared" si="4"/>
        <v/>
      </c>
      <c r="R54" s="54" t="str">
        <f t="shared" si="5"/>
        <v>Me preocupa cometer errores delante la gente.</v>
      </c>
    </row>
    <row r="55" spans="2:18" x14ac:dyDescent="0.25">
      <c r="B55" s="57">
        <v>33</v>
      </c>
      <c r="C55" s="55" t="s">
        <v>124</v>
      </c>
      <c r="D55" s="50" t="s">
        <v>88</v>
      </c>
      <c r="E55" s="50"/>
      <c r="F55" s="57">
        <v>33</v>
      </c>
      <c r="G55" s="98" t="str">
        <f t="shared" si="2"/>
        <v>Si</v>
      </c>
      <c r="H55" s="34"/>
      <c r="I55" s="34"/>
      <c r="J55" s="34"/>
      <c r="K55" s="34"/>
      <c r="L55" s="34"/>
      <c r="N55" s="36">
        <v>33</v>
      </c>
      <c r="O55" s="47">
        <f t="shared" si="3"/>
        <v>1</v>
      </c>
      <c r="P55" s="47" t="str">
        <f t="shared" si="4"/>
        <v/>
      </c>
      <c r="R55" s="54" t="str">
        <f t="shared" si="5"/>
        <v>Siempre soy agradable con todos.</v>
      </c>
    </row>
    <row r="56" spans="2:18" x14ac:dyDescent="0.25">
      <c r="B56" s="57">
        <v>34</v>
      </c>
      <c r="C56" s="55" t="s">
        <v>125</v>
      </c>
      <c r="D56" s="50"/>
      <c r="E56" s="50" t="s">
        <v>88</v>
      </c>
      <c r="F56" s="57">
        <v>34</v>
      </c>
      <c r="G56" s="98" t="str">
        <f t="shared" si="2"/>
        <v>No</v>
      </c>
      <c r="H56" s="34"/>
      <c r="I56" s="34"/>
      <c r="J56" s="34"/>
      <c r="K56" s="34"/>
      <c r="L56" s="34"/>
      <c r="N56" s="36">
        <v>34</v>
      </c>
      <c r="O56" s="47" t="str">
        <f t="shared" si="3"/>
        <v/>
      </c>
      <c r="P56" s="47">
        <f t="shared" si="4"/>
        <v>1</v>
      </c>
      <c r="R56" s="54" t="str">
        <f t="shared" si="5"/>
        <v/>
      </c>
    </row>
    <row r="57" spans="2:18" x14ac:dyDescent="0.25">
      <c r="B57" s="57">
        <v>35</v>
      </c>
      <c r="C57" s="55" t="s">
        <v>126</v>
      </c>
      <c r="D57" s="50" t="s">
        <v>88</v>
      </c>
      <c r="E57" s="50"/>
      <c r="F57" s="57">
        <v>35</v>
      </c>
      <c r="G57" s="98" t="str">
        <f t="shared" si="2"/>
        <v>Si</v>
      </c>
      <c r="H57" s="34"/>
      <c r="I57" s="34"/>
      <c r="J57" s="34"/>
      <c r="K57" s="34"/>
      <c r="L57" s="34"/>
      <c r="N57" s="36">
        <v>35</v>
      </c>
      <c r="O57" s="47">
        <f t="shared" si="3"/>
        <v>1</v>
      </c>
      <c r="P57" s="47" t="str">
        <f t="shared" si="4"/>
        <v/>
      </c>
      <c r="R57" s="54" t="str">
        <f t="shared" si="5"/>
        <v>Me preocupa lo que va a pasar.</v>
      </c>
    </row>
    <row r="58" spans="2:18" x14ac:dyDescent="0.25">
      <c r="B58" s="57">
        <v>36</v>
      </c>
      <c r="C58" s="55" t="s">
        <v>127</v>
      </c>
      <c r="D58" s="50" t="s">
        <v>88</v>
      </c>
      <c r="E58" s="50"/>
      <c r="F58" s="57">
        <v>36</v>
      </c>
      <c r="G58" s="98" t="str">
        <f t="shared" si="2"/>
        <v>Si</v>
      </c>
      <c r="H58" s="34"/>
      <c r="I58" s="34"/>
      <c r="N58" s="36">
        <v>36</v>
      </c>
      <c r="O58" s="47">
        <f t="shared" si="3"/>
        <v>1</v>
      </c>
      <c r="P58" s="47" t="str">
        <f t="shared" si="4"/>
        <v/>
      </c>
      <c r="R58" s="54" t="str">
        <f t="shared" si="5"/>
        <v>Los demas son mas felices que yo.</v>
      </c>
    </row>
    <row r="59" spans="2:18" x14ac:dyDescent="0.25">
      <c r="B59" s="57">
        <v>37</v>
      </c>
      <c r="C59" s="55" t="s">
        <v>128</v>
      </c>
      <c r="D59" s="50" t="s">
        <v>88</v>
      </c>
      <c r="E59" s="50"/>
      <c r="F59" s="57">
        <v>37</v>
      </c>
      <c r="G59" s="98" t="str">
        <f t="shared" si="2"/>
        <v>Si</v>
      </c>
      <c r="H59" s="34"/>
      <c r="I59" s="34"/>
      <c r="N59" s="36">
        <v>37</v>
      </c>
      <c r="O59" s="47">
        <f t="shared" si="3"/>
        <v>1</v>
      </c>
      <c r="P59" s="47" t="str">
        <f t="shared" si="4"/>
        <v/>
      </c>
      <c r="R59" s="54" t="str">
        <f t="shared" si="5"/>
        <v xml:space="preserve">Temo hablar en voz alta delante de un grupo. </v>
      </c>
    </row>
    <row r="60" spans="2:18" x14ac:dyDescent="0.25">
      <c r="B60" s="57">
        <v>38</v>
      </c>
      <c r="C60" s="55" t="s">
        <v>129</v>
      </c>
      <c r="D60" s="50" t="s">
        <v>88</v>
      </c>
      <c r="E60" s="50"/>
      <c r="F60" s="57">
        <v>38</v>
      </c>
      <c r="G60" s="98" t="str">
        <f t="shared" si="2"/>
        <v>Si</v>
      </c>
      <c r="H60" s="34"/>
      <c r="I60" s="34"/>
      <c r="N60" s="36">
        <v>38</v>
      </c>
      <c r="O60" s="47">
        <f t="shared" si="3"/>
        <v>1</v>
      </c>
      <c r="P60" s="47" t="str">
        <f t="shared" si="4"/>
        <v/>
      </c>
      <c r="R60" s="54" t="str">
        <f t="shared" si="5"/>
        <v>Siempre digo la verdad.</v>
      </c>
    </row>
    <row r="61" spans="2:18" x14ac:dyDescent="0.25">
      <c r="B61" s="57">
        <v>39</v>
      </c>
      <c r="C61" s="55" t="s">
        <v>130</v>
      </c>
      <c r="D61" s="50" t="s">
        <v>88</v>
      </c>
      <c r="E61" s="50"/>
      <c r="F61" s="57">
        <v>39</v>
      </c>
      <c r="G61" s="98" t="str">
        <f t="shared" si="2"/>
        <v>Si</v>
      </c>
      <c r="H61" s="34"/>
      <c r="I61" s="34"/>
      <c r="N61" s="36">
        <v>39</v>
      </c>
      <c r="O61" s="47">
        <f t="shared" si="3"/>
        <v>1</v>
      </c>
      <c r="P61" s="47" t="str">
        <f t="shared" si="4"/>
        <v/>
      </c>
      <c r="R61" s="54" t="str">
        <f t="shared" si="5"/>
        <v xml:space="preserve">Tengo pesadillas. </v>
      </c>
    </row>
    <row r="62" spans="2:18" x14ac:dyDescent="0.25">
      <c r="B62" s="57">
        <v>40</v>
      </c>
      <c r="C62" s="55" t="s">
        <v>131</v>
      </c>
      <c r="D62" s="50" t="s">
        <v>88</v>
      </c>
      <c r="E62" s="50"/>
      <c r="F62" s="57">
        <v>40</v>
      </c>
      <c r="G62" s="98" t="str">
        <f t="shared" si="2"/>
        <v>Si</v>
      </c>
      <c r="H62" s="34"/>
      <c r="I62" s="34"/>
      <c r="N62" s="36">
        <v>40</v>
      </c>
      <c r="O62" s="47">
        <f t="shared" si="3"/>
        <v>1</v>
      </c>
      <c r="P62" s="47" t="str">
        <f t="shared" si="4"/>
        <v/>
      </c>
      <c r="R62" s="54" t="str">
        <f t="shared" si="5"/>
        <v>A veces me enojo.</v>
      </c>
    </row>
    <row r="63" spans="2:18" x14ac:dyDescent="0.25">
      <c r="B63" s="57">
        <v>41</v>
      </c>
      <c r="C63" s="55" t="s">
        <v>132</v>
      </c>
      <c r="D63" s="50"/>
      <c r="E63" s="50" t="s">
        <v>88</v>
      </c>
      <c r="F63" s="57">
        <v>41</v>
      </c>
      <c r="G63" s="98" t="str">
        <f t="shared" si="2"/>
        <v>No</v>
      </c>
      <c r="H63" s="34"/>
      <c r="I63" s="34"/>
      <c r="N63" s="36">
        <v>41</v>
      </c>
      <c r="O63" s="47" t="str">
        <f t="shared" si="3"/>
        <v/>
      </c>
      <c r="P63" s="47">
        <f t="shared" si="4"/>
        <v>1</v>
      </c>
      <c r="R63" s="54" t="str">
        <f t="shared" si="5"/>
        <v/>
      </c>
    </row>
    <row r="64" spans="2:18" x14ac:dyDescent="0.25">
      <c r="B64" s="57">
        <v>42</v>
      </c>
      <c r="C64" s="55" t="s">
        <v>133</v>
      </c>
      <c r="D64" s="50"/>
      <c r="E64" s="50" t="s">
        <v>88</v>
      </c>
      <c r="F64" s="57">
        <v>42</v>
      </c>
      <c r="G64" s="98" t="str">
        <f t="shared" si="2"/>
        <v>No</v>
      </c>
      <c r="H64" s="34"/>
      <c r="I64" s="34"/>
      <c r="N64" s="36">
        <v>42</v>
      </c>
      <c r="O64" s="47" t="str">
        <f t="shared" si="3"/>
        <v/>
      </c>
      <c r="P64" s="47">
        <f t="shared" si="4"/>
        <v>1</v>
      </c>
      <c r="R64" s="54" t="str">
        <f t="shared" si="5"/>
        <v/>
      </c>
    </row>
    <row r="65" spans="2:18" x14ac:dyDescent="0.25">
      <c r="B65" s="57">
        <v>43</v>
      </c>
      <c r="C65" s="55" t="s">
        <v>134</v>
      </c>
      <c r="D65" s="50"/>
      <c r="E65" s="50" t="s">
        <v>88</v>
      </c>
      <c r="F65" s="57">
        <v>43</v>
      </c>
      <c r="G65" s="98" t="str">
        <f t="shared" si="2"/>
        <v>No</v>
      </c>
      <c r="H65" s="34"/>
      <c r="I65" s="34"/>
      <c r="N65" s="36">
        <v>43</v>
      </c>
      <c r="O65" s="47" t="str">
        <f t="shared" si="3"/>
        <v/>
      </c>
      <c r="P65" s="47">
        <f t="shared" si="4"/>
        <v>1</v>
      </c>
      <c r="R65" s="54" t="str">
        <f t="shared" si="5"/>
        <v/>
      </c>
    </row>
    <row r="66" spans="2:18" x14ac:dyDescent="0.25">
      <c r="B66" s="57">
        <v>44</v>
      </c>
      <c r="C66" s="55" t="s">
        <v>135</v>
      </c>
      <c r="D66" s="50"/>
      <c r="E66" s="50" t="s">
        <v>88</v>
      </c>
      <c r="F66" s="57">
        <v>44</v>
      </c>
      <c r="G66" s="98" t="str">
        <f t="shared" si="2"/>
        <v>No</v>
      </c>
      <c r="H66" s="34"/>
      <c r="I66" s="34"/>
      <c r="N66" s="36">
        <v>44</v>
      </c>
      <c r="O66" s="47" t="str">
        <f t="shared" si="3"/>
        <v/>
      </c>
      <c r="P66" s="47">
        <f t="shared" si="4"/>
        <v>1</v>
      </c>
      <c r="R66" s="54" t="str">
        <f t="shared" si="5"/>
        <v/>
      </c>
    </row>
    <row r="67" spans="2:18" x14ac:dyDescent="0.25">
      <c r="B67" s="57">
        <v>45</v>
      </c>
      <c r="C67" s="55" t="s">
        <v>136</v>
      </c>
      <c r="D67" s="50"/>
      <c r="E67" s="50" t="s">
        <v>88</v>
      </c>
      <c r="F67" s="57">
        <v>45</v>
      </c>
      <c r="G67" s="98" t="str">
        <f t="shared" si="2"/>
        <v>No</v>
      </c>
      <c r="H67" s="34"/>
      <c r="I67" s="34"/>
      <c r="N67" s="36">
        <v>45</v>
      </c>
      <c r="O67" s="47" t="str">
        <f t="shared" si="3"/>
        <v/>
      </c>
      <c r="P67" s="47">
        <f t="shared" si="4"/>
        <v>1</v>
      </c>
      <c r="R67" s="54" t="str">
        <f t="shared" si="5"/>
        <v/>
      </c>
    </row>
    <row r="68" spans="2:18" x14ac:dyDescent="0.25">
      <c r="B68" s="57">
        <v>46</v>
      </c>
      <c r="C68" s="55" t="s">
        <v>137</v>
      </c>
      <c r="D68" s="50"/>
      <c r="E68" s="50" t="s">
        <v>88</v>
      </c>
      <c r="F68" s="57">
        <v>46</v>
      </c>
      <c r="G68" s="98" t="str">
        <f t="shared" si="2"/>
        <v>No</v>
      </c>
      <c r="H68" s="34"/>
      <c r="I68" s="34"/>
      <c r="N68" s="36">
        <v>46</v>
      </c>
      <c r="O68" s="47" t="str">
        <f t="shared" si="3"/>
        <v/>
      </c>
      <c r="P68" s="47">
        <f t="shared" si="4"/>
        <v>1</v>
      </c>
      <c r="R68" s="54" t="str">
        <f t="shared" si="5"/>
        <v/>
      </c>
    </row>
    <row r="69" spans="2:18" x14ac:dyDescent="0.25">
      <c r="B69" s="57">
        <v>47</v>
      </c>
      <c r="C69" s="55" t="s">
        <v>138</v>
      </c>
      <c r="D69" s="50"/>
      <c r="E69" s="50" t="s">
        <v>88</v>
      </c>
      <c r="F69" s="57">
        <v>47</v>
      </c>
      <c r="G69" s="98" t="str">
        <f t="shared" si="2"/>
        <v>No</v>
      </c>
      <c r="H69" s="34"/>
      <c r="I69" s="34"/>
      <c r="N69" s="36">
        <v>47</v>
      </c>
      <c r="O69" s="47" t="str">
        <f t="shared" si="3"/>
        <v/>
      </c>
      <c r="P69" s="47">
        <f t="shared" si="4"/>
        <v>1</v>
      </c>
      <c r="R69" s="54" t="str">
        <f t="shared" si="5"/>
        <v/>
      </c>
    </row>
    <row r="70" spans="2:18" x14ac:dyDescent="0.25">
      <c r="B70" s="57">
        <v>48</v>
      </c>
      <c r="C70" s="55" t="s">
        <v>139</v>
      </c>
      <c r="D70" s="50"/>
      <c r="E70" s="50" t="s">
        <v>88</v>
      </c>
      <c r="F70" s="57">
        <v>48</v>
      </c>
      <c r="G70" s="98" t="str">
        <f t="shared" si="2"/>
        <v>No</v>
      </c>
      <c r="H70" s="34"/>
      <c r="I70" s="34"/>
      <c r="N70" s="36">
        <v>48</v>
      </c>
      <c r="O70" s="47" t="str">
        <f t="shared" si="3"/>
        <v/>
      </c>
      <c r="P70" s="47">
        <f t="shared" si="4"/>
        <v>1</v>
      </c>
      <c r="R70" s="54" t="str">
        <f t="shared" si="5"/>
        <v/>
      </c>
    </row>
    <row r="71" spans="2:18" x14ac:dyDescent="0.25">
      <c r="B71" s="57">
        <v>49</v>
      </c>
      <c r="C71" s="55" t="s">
        <v>140</v>
      </c>
      <c r="D71" s="50" t="s">
        <v>88</v>
      </c>
      <c r="E71" s="50"/>
      <c r="F71" s="57">
        <v>49</v>
      </c>
      <c r="G71" s="98" t="str">
        <f t="shared" si="2"/>
        <v>Si</v>
      </c>
      <c r="H71" s="34"/>
      <c r="I71" s="34"/>
      <c r="N71" s="36">
        <v>49</v>
      </c>
      <c r="O71" s="47">
        <f t="shared" si="3"/>
        <v>1</v>
      </c>
      <c r="P71" s="47" t="str">
        <f t="shared" si="4"/>
        <v/>
      </c>
      <c r="R71" s="54" t="str">
        <f t="shared" si="5"/>
        <v>Me preocupa decir alguna tonteria.</v>
      </c>
    </row>
    <row r="72" spans="2:18" s="32" customFormat="1" ht="19.5" customHeight="1" x14ac:dyDescent="0.25">
      <c r="B72" s="58" t="s">
        <v>115</v>
      </c>
      <c r="C72" s="58"/>
      <c r="D72" s="34"/>
      <c r="E72" s="34"/>
      <c r="F72" s="34"/>
      <c r="G72" s="38"/>
      <c r="H72" s="34"/>
      <c r="I72" s="34"/>
      <c r="O72" s="47"/>
    </row>
    <row r="73" spans="2:18" s="32" customFormat="1" x14ac:dyDescent="0.25">
      <c r="G73" s="33"/>
    </row>
    <row r="74" spans="2:18" s="32" customFormat="1" x14ac:dyDescent="0.25">
      <c r="G74" s="33"/>
    </row>
    <row r="75" spans="2:18" s="32" customFormat="1" x14ac:dyDescent="0.25">
      <c r="G75" s="33"/>
    </row>
    <row r="76" spans="2:18" s="32" customFormat="1" x14ac:dyDescent="0.25">
      <c r="G76" s="33"/>
    </row>
    <row r="77" spans="2:18" s="32" customFormat="1" x14ac:dyDescent="0.25">
      <c r="G77" s="33"/>
    </row>
    <row r="78" spans="2:18" s="32" customFormat="1" x14ac:dyDescent="0.25">
      <c r="G78" s="33"/>
    </row>
    <row r="79" spans="2:18" s="32" customFormat="1" x14ac:dyDescent="0.25">
      <c r="G79" s="33"/>
    </row>
    <row r="80" spans="2:18" s="32" customFormat="1" x14ac:dyDescent="0.25">
      <c r="G80" s="33"/>
    </row>
    <row r="81" spans="7:7" s="32" customFormat="1" x14ac:dyDescent="0.25">
      <c r="G81" s="33"/>
    </row>
    <row r="82" spans="7:7" s="32" customFormat="1" x14ac:dyDescent="0.25">
      <c r="G82" s="33"/>
    </row>
    <row r="83" spans="7:7" s="32" customFormat="1" x14ac:dyDescent="0.25">
      <c r="G83" s="33"/>
    </row>
    <row r="84" spans="7:7" s="32" customFormat="1" x14ac:dyDescent="0.25">
      <c r="G84" s="33"/>
    </row>
    <row r="85" spans="7:7" s="32" customFormat="1" x14ac:dyDescent="0.25">
      <c r="G85" s="33"/>
    </row>
    <row r="86" spans="7:7" s="32" customFormat="1" x14ac:dyDescent="0.25">
      <c r="G86" s="33"/>
    </row>
    <row r="87" spans="7:7" s="32" customFormat="1" x14ac:dyDescent="0.25">
      <c r="G87" s="33"/>
    </row>
    <row r="88" spans="7:7" s="32" customFormat="1" x14ac:dyDescent="0.25">
      <c r="G88" s="33"/>
    </row>
    <row r="89" spans="7:7" s="32" customFormat="1" x14ac:dyDescent="0.25">
      <c r="G89" s="33"/>
    </row>
    <row r="90" spans="7:7" s="32" customFormat="1" x14ac:dyDescent="0.25">
      <c r="G90" s="33"/>
    </row>
  </sheetData>
  <mergeCells count="2">
    <mergeCell ref="H39:I39"/>
    <mergeCell ref="B9:F20"/>
  </mergeCells>
  <conditionalFormatting sqref="I26">
    <cfRule type="containsText" dxfId="2" priority="3" operator="containsText" text="SI">
      <formula>NOT(ISERROR(SEARCH("SI",I26)))</formula>
    </cfRule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D23:E71">
    <cfRule type="containsBlanks" dxfId="1" priority="1">
      <formula>LEN(TRIM(D23))=0</formula>
    </cfRule>
  </conditionalFormatting>
  <pageMargins left="0.7" right="0.7" top="0.75" bottom="0.75" header="0.3" footer="0.3"/>
  <pageSetup orientation="portrait" r:id="rId1"/>
  <ignoredErrors>
    <ignoredError sqref="I3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rrar_respuestas">
                <anchor moveWithCells="1" sizeWithCells="1">
                  <from>
                    <xdr:col>7</xdr:col>
                    <xdr:colOff>9525</xdr:colOff>
                    <xdr:row>25</xdr:row>
                    <xdr:rowOff>38100</xdr:rowOff>
                  </from>
                  <to>
                    <xdr:col>8</xdr:col>
                    <xdr:colOff>723900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uardarResultados">
                <anchor moveWithCells="1" sizeWithCells="1">
                  <from>
                    <xdr:col>7</xdr:col>
                    <xdr:colOff>47625</xdr:colOff>
                    <xdr:row>37</xdr:row>
                    <xdr:rowOff>28575</xdr:rowOff>
                  </from>
                  <to>
                    <xdr:col>9</xdr:col>
                    <xdr:colOff>0</xdr:colOff>
                    <xdr:row>39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DC0EA-892C-46DE-BBB0-7B8B8FCC1CA6}">
  <sheetPr codeName="Hoja2">
    <tabColor rgb="FFC00000"/>
    <pageSetUpPr fitToPage="1"/>
  </sheetPr>
  <dimension ref="A1:AT96"/>
  <sheetViews>
    <sheetView tabSelected="1" topLeftCell="A76" zoomScale="115" zoomScaleNormal="115" workbookViewId="0">
      <selection activeCell="B89" sqref="B89"/>
    </sheetView>
  </sheetViews>
  <sheetFormatPr baseColWidth="10" defaultColWidth="0" defaultRowHeight="17.25" zeroHeight="1" outlineLevelRow="1" x14ac:dyDescent="0.35"/>
  <cols>
    <col min="1" max="1" width="3.5703125" style="60" customWidth="1"/>
    <col min="2" max="2" width="7.5703125" style="60" customWidth="1"/>
    <col min="3" max="4" width="4.85546875" style="63" customWidth="1"/>
    <col min="5" max="5" width="4.5703125" style="63" customWidth="1"/>
    <col min="6" max="6" width="6.42578125" style="63" customWidth="1"/>
    <col min="7" max="7" width="1.85546875" style="63" customWidth="1"/>
    <col min="8" max="8" width="4" style="63" customWidth="1"/>
    <col min="9" max="9" width="2" style="63" customWidth="1"/>
    <col min="10" max="10" width="4" style="63" customWidth="1"/>
    <col min="11" max="11" width="2" style="60" customWidth="1"/>
    <col min="12" max="12" width="4" style="60" customWidth="1"/>
    <col min="13" max="13" width="1.85546875" style="60" customWidth="1"/>
    <col min="14" max="19" width="4.7109375" style="60" customWidth="1"/>
    <col min="20" max="22" width="4" style="60" customWidth="1"/>
    <col min="23" max="23" width="2.5703125" style="64" customWidth="1"/>
    <col min="24" max="24" width="4" style="64" customWidth="1"/>
    <col min="25" max="25" width="19.42578125" style="65" hidden="1" customWidth="1"/>
    <col min="26" max="26" width="4" style="64" hidden="1" customWidth="1"/>
    <col min="27" max="27" width="10.85546875" style="64" hidden="1" customWidth="1"/>
    <col min="28" max="29" width="10.85546875" style="60" hidden="1" customWidth="1"/>
    <col min="30" max="30" width="12.42578125" style="60" hidden="1" customWidth="1"/>
    <col min="31" max="16384" width="10.85546875" style="60" hidden="1"/>
  </cols>
  <sheetData>
    <row r="1" spans="1:27" x14ac:dyDescent="0.35">
      <c r="B1" s="61"/>
      <c r="C1" s="62"/>
      <c r="D1" s="62"/>
      <c r="E1" s="62"/>
      <c r="F1" s="62"/>
      <c r="G1" s="62"/>
      <c r="H1" s="62"/>
    </row>
    <row r="2" spans="1:27" ht="6.75" customHeight="1" x14ac:dyDescent="0.35">
      <c r="A2" s="66">
        <v>6</v>
      </c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9"/>
      <c r="V2" s="70"/>
      <c r="W2" s="70"/>
      <c r="X2" s="60"/>
      <c r="Y2" s="71"/>
    </row>
    <row r="3" spans="1:27" ht="15" customHeight="1" x14ac:dyDescent="0.35">
      <c r="B3" s="72"/>
      <c r="C3" s="73"/>
      <c r="D3" s="74"/>
      <c r="E3" s="74"/>
      <c r="F3" s="75" t="s">
        <v>72</v>
      </c>
      <c r="G3" s="110" t="s">
        <v>151</v>
      </c>
      <c r="H3" s="110"/>
      <c r="I3" s="110"/>
      <c r="J3" s="110"/>
      <c r="K3" s="110"/>
      <c r="L3" s="110"/>
      <c r="M3" s="110"/>
      <c r="N3" s="110"/>
      <c r="O3" s="110"/>
      <c r="P3" s="113" t="s">
        <v>53</v>
      </c>
      <c r="Q3" s="113"/>
      <c r="R3" s="111">
        <v>13</v>
      </c>
      <c r="S3" s="111"/>
      <c r="T3" s="111"/>
      <c r="U3" s="111"/>
      <c r="V3" s="111"/>
      <c r="W3" s="70"/>
      <c r="X3" s="60"/>
      <c r="Y3" s="65" t="s">
        <v>27</v>
      </c>
      <c r="Z3" s="64" t="s">
        <v>46</v>
      </c>
    </row>
    <row r="4" spans="1:27" ht="6.75" customHeight="1" x14ac:dyDescent="0.35">
      <c r="B4" s="72"/>
      <c r="C4" s="73"/>
      <c r="D4" s="74"/>
      <c r="E4" s="74"/>
      <c r="F4" s="69"/>
      <c r="G4" s="74"/>
      <c r="H4" s="69"/>
      <c r="I4" s="69"/>
      <c r="J4" s="69"/>
      <c r="K4" s="74"/>
      <c r="L4" s="74"/>
      <c r="M4" s="69"/>
      <c r="N4" s="68"/>
      <c r="O4" s="68"/>
      <c r="P4" s="68"/>
      <c r="Q4" s="68"/>
      <c r="R4" s="68"/>
      <c r="S4" s="68"/>
      <c r="T4" s="68"/>
      <c r="U4" s="69"/>
      <c r="V4" s="70"/>
      <c r="W4" s="70"/>
      <c r="X4" s="60"/>
      <c r="Y4" s="65" t="s">
        <v>29</v>
      </c>
      <c r="Z4" s="64" t="s">
        <v>47</v>
      </c>
    </row>
    <row r="5" spans="1:27" ht="15" customHeight="1" x14ac:dyDescent="0.35">
      <c r="B5" s="72"/>
      <c r="C5" s="73"/>
      <c r="D5" s="74"/>
      <c r="E5" s="74"/>
      <c r="F5" s="75" t="s">
        <v>54</v>
      </c>
      <c r="G5" s="110" t="s">
        <v>64</v>
      </c>
      <c r="H5" s="110"/>
      <c r="I5" s="110"/>
      <c r="J5" s="110"/>
      <c r="K5" s="110"/>
      <c r="L5" s="110"/>
      <c r="M5" s="110"/>
      <c r="N5" s="113" t="s">
        <v>55</v>
      </c>
      <c r="O5" s="113"/>
      <c r="P5" s="113"/>
      <c r="Q5" s="110" t="s">
        <v>63</v>
      </c>
      <c r="R5" s="110"/>
      <c r="S5" s="110"/>
      <c r="T5" s="110"/>
      <c r="U5" s="110"/>
      <c r="V5" s="110"/>
      <c r="W5" s="70"/>
      <c r="X5" s="60"/>
      <c r="Y5" s="65" t="s">
        <v>30</v>
      </c>
      <c r="Z5" s="64" t="s">
        <v>48</v>
      </c>
    </row>
    <row r="6" spans="1:27" ht="6.75" customHeight="1" x14ac:dyDescent="0.35">
      <c r="B6" s="72"/>
      <c r="C6" s="73"/>
      <c r="D6" s="74"/>
      <c r="E6" s="74"/>
      <c r="F6" s="74"/>
      <c r="G6" s="69"/>
      <c r="H6" s="69"/>
      <c r="I6" s="69"/>
      <c r="J6" s="69"/>
      <c r="K6" s="74"/>
      <c r="L6" s="74"/>
      <c r="M6" s="69"/>
      <c r="N6" s="68"/>
      <c r="O6" s="68"/>
      <c r="P6" s="68"/>
      <c r="Q6" s="68"/>
      <c r="R6" s="68"/>
      <c r="S6" s="68"/>
      <c r="T6" s="68"/>
      <c r="U6" s="69"/>
      <c r="V6" s="70"/>
      <c r="W6" s="70"/>
      <c r="X6" s="60"/>
      <c r="Y6" s="65" t="s">
        <v>31</v>
      </c>
      <c r="Z6" s="64" t="s">
        <v>49</v>
      </c>
    </row>
    <row r="7" spans="1:27" ht="15" customHeight="1" x14ac:dyDescent="0.35">
      <c r="B7" s="72"/>
      <c r="C7" s="73"/>
      <c r="D7" s="74"/>
      <c r="E7" s="74"/>
      <c r="F7" s="75" t="s">
        <v>79</v>
      </c>
      <c r="G7" s="69"/>
      <c r="H7" s="75"/>
      <c r="I7" s="75"/>
      <c r="J7" s="75"/>
      <c r="K7" s="75"/>
      <c r="L7" s="114" t="str" cm="1">
        <f t="array" aca="1" ref="L7" ca="1">INDIRECT(ADDRESS(A2+2,25))</f>
        <v>Masculino 15 a 19 años</v>
      </c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70"/>
      <c r="X7" s="60"/>
      <c r="Y7" s="65" t="s">
        <v>39</v>
      </c>
      <c r="Z7" s="64" t="s">
        <v>50</v>
      </c>
    </row>
    <row r="8" spans="1:27" ht="6.75" customHeight="1" x14ac:dyDescent="0.35">
      <c r="B8" s="67"/>
      <c r="C8" s="73"/>
      <c r="D8" s="74"/>
      <c r="E8" s="74"/>
      <c r="F8" s="74"/>
      <c r="G8" s="69"/>
      <c r="H8" s="69"/>
      <c r="I8" s="69"/>
      <c r="J8" s="69"/>
      <c r="K8" s="74"/>
      <c r="L8" s="74"/>
      <c r="M8" s="69"/>
      <c r="N8" s="68"/>
      <c r="O8" s="68"/>
      <c r="P8" s="68"/>
      <c r="Q8" s="68"/>
      <c r="R8" s="68"/>
      <c r="S8" s="68"/>
      <c r="T8" s="68"/>
      <c r="U8" s="69"/>
      <c r="V8" s="70"/>
      <c r="W8" s="70"/>
      <c r="X8" s="60"/>
      <c r="Y8" s="65" t="s">
        <v>32</v>
      </c>
      <c r="Z8" s="64" t="s">
        <v>51</v>
      </c>
    </row>
    <row r="9" spans="1:27" ht="14.1" customHeight="1" x14ac:dyDescent="0.35">
      <c r="B9" s="76"/>
      <c r="C9" s="76"/>
      <c r="D9" s="76"/>
      <c r="E9" s="76"/>
      <c r="F9" s="76"/>
      <c r="G9" s="76"/>
      <c r="H9" s="76"/>
      <c r="I9" s="76"/>
      <c r="J9" s="76"/>
      <c r="K9" s="76"/>
      <c r="L9" s="76"/>
      <c r="M9" s="77"/>
      <c r="N9" s="61"/>
      <c r="O9" s="61"/>
      <c r="P9" s="61"/>
      <c r="Q9" s="61"/>
      <c r="R9" s="61"/>
      <c r="S9" s="61"/>
      <c r="T9" s="61"/>
      <c r="U9" s="61"/>
      <c r="V9" s="78"/>
      <c r="W9" s="78"/>
      <c r="X9" s="60"/>
      <c r="Y9" s="60"/>
      <c r="Z9" s="60"/>
      <c r="AA9" s="60"/>
    </row>
    <row r="10" spans="1:27" ht="17.100000000000001" customHeight="1" x14ac:dyDescent="0.35">
      <c r="B10" s="115"/>
      <c r="C10" s="115"/>
      <c r="D10" s="115"/>
      <c r="E10" s="115"/>
      <c r="F10" s="115"/>
      <c r="G10" s="115"/>
      <c r="H10" s="79"/>
      <c r="I10" s="79"/>
      <c r="J10" s="79"/>
      <c r="K10" s="79"/>
      <c r="L10" s="79"/>
      <c r="M10" s="77"/>
      <c r="N10" s="61"/>
      <c r="O10" s="61"/>
      <c r="P10" s="61"/>
      <c r="Q10" s="61"/>
      <c r="R10" s="61"/>
      <c r="S10" s="61"/>
      <c r="T10" s="61"/>
      <c r="U10" s="61"/>
      <c r="V10" s="61"/>
      <c r="W10" s="80"/>
    </row>
    <row r="11" spans="1:27" ht="6" customHeight="1" x14ac:dyDescent="0.35"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7"/>
      <c r="N11" s="61"/>
      <c r="O11" s="61"/>
      <c r="P11" s="61"/>
      <c r="Q11" s="61"/>
      <c r="R11" s="61"/>
      <c r="S11" s="61"/>
      <c r="T11" s="61"/>
      <c r="U11" s="61"/>
      <c r="V11" s="61"/>
      <c r="W11" s="80"/>
    </row>
    <row r="12" spans="1:27" ht="14.25" customHeight="1" x14ac:dyDescent="0.35">
      <c r="B12" s="112" t="s">
        <v>73</v>
      </c>
      <c r="C12" s="112"/>
      <c r="D12" s="112"/>
      <c r="E12" s="112"/>
      <c r="F12" s="82" t="s">
        <v>1</v>
      </c>
      <c r="H12" s="83">
        <f>+'Hoja de respuestas'!J40</f>
        <v>8</v>
      </c>
      <c r="J12" s="83" cm="1">
        <f t="array" aca="1" ref="J12" ca="1">+INDEX(INDIRECT("B"&amp;VLOOKUP(L7,Y3:Z8,2,FALSE)),MATCH(H12&amp;L7,INDIRECT("A"&amp;VLOOKUP(L7,Y3:Z8,2,FALSE))&amp;L7,0))</f>
        <v>90</v>
      </c>
      <c r="L12" s="83" cm="1">
        <f t="array" aca="1" ref="L12" ca="1">+INDEX(INDIRECT("C"&amp;VLOOKUP(L7,Y3:Z8,2,FALSE)),MATCH(H12&amp;L7,INDIRECT("A"&amp;VLOOKUP(L7,Y3:Z8,2,FALSE))&amp;L7,0))</f>
        <v>63</v>
      </c>
      <c r="M12" s="77"/>
      <c r="N12" s="61"/>
      <c r="O12" s="61"/>
      <c r="P12" s="61"/>
      <c r="Q12" s="61"/>
      <c r="R12" s="61"/>
      <c r="S12" s="61"/>
      <c r="T12" s="61"/>
      <c r="U12" s="61"/>
      <c r="V12" s="61"/>
      <c r="W12" s="80"/>
      <c r="Y12" s="65">
        <v>1</v>
      </c>
      <c r="Z12" s="64">
        <f ca="1">+L12</f>
        <v>63</v>
      </c>
      <c r="AA12" s="64" t="str">
        <f ca="1">+IF(L12&lt;=39,"una mayor sinceridad y voluntad de admitir imperfecciones personales.",IF(L12&lt;=60,"una disposición a admitir imperfecciones similar a la mayoría.",IF(L12&lt;=70,"cierta renuencia a reconocer imperfecciones, aunque no tan extrema.",IF(L12&gt;=71,"una tendencia marcada a negar imperfecciones comunes y a presentarse de manera excesivamente positiva, lo que podría cuestionar la validez de las respuestas del examinado."))))</f>
        <v>cierta renuencia a reconocer imperfecciones, aunque no tan extrema.</v>
      </c>
    </row>
    <row r="13" spans="1:27" ht="6.75" customHeight="1" x14ac:dyDescent="0.35">
      <c r="B13" s="96"/>
      <c r="C13" s="96"/>
      <c r="D13" s="96"/>
      <c r="E13" s="96"/>
      <c r="F13" s="82"/>
      <c r="H13" s="62"/>
      <c r="J13" s="62"/>
      <c r="L13" s="62"/>
      <c r="M13" s="77"/>
      <c r="N13" s="61"/>
      <c r="O13" s="61"/>
      <c r="P13" s="61"/>
      <c r="Q13" s="61"/>
      <c r="R13" s="61"/>
      <c r="S13" s="61"/>
      <c r="T13" s="61"/>
      <c r="U13" s="61"/>
      <c r="V13" s="61"/>
      <c r="W13" s="80"/>
      <c r="Y13" s="65">
        <v>2</v>
      </c>
      <c r="Z13" s="64">
        <f ca="1">+L14</f>
        <v>30</v>
      </c>
    </row>
    <row r="14" spans="1:27" ht="14.25" customHeight="1" x14ac:dyDescent="0.35">
      <c r="B14" s="112" t="s">
        <v>74</v>
      </c>
      <c r="C14" s="112"/>
      <c r="D14" s="112"/>
      <c r="E14" s="112"/>
      <c r="F14" s="82" t="s">
        <v>2</v>
      </c>
      <c r="H14" s="83">
        <f>+'Hoja de respuestas'!K40</f>
        <v>5</v>
      </c>
      <c r="J14" s="83" cm="1">
        <f t="array" aca="1" ref="J14" ca="1">+INDEX(INDIRECT("B"&amp;VLOOKUP(L7,Y3:Z8,2,FALSE)),MATCH(H14&amp;L7,INDIRECT("R"&amp;VLOOKUP(L7,Y3:Z8,2,FALSE))&amp;L7,0))</f>
        <v>2</v>
      </c>
      <c r="L14" s="83" cm="1">
        <f t="array" aca="1" ref="L14" ca="1">+INDEX(INDIRECT("C"&amp;VLOOKUP(L7,Y3:Z8,2,FALSE)),MATCH(H14&amp;L7,INDIRECT("R"&amp;VLOOKUP(L7,Y3:Z8,2,FALSE))&amp;L7,0))</f>
        <v>30</v>
      </c>
      <c r="M14" s="77"/>
      <c r="N14" s="61"/>
      <c r="O14" s="61"/>
      <c r="P14" s="61"/>
      <c r="Q14" s="61"/>
      <c r="R14" s="61"/>
      <c r="S14" s="61"/>
      <c r="T14" s="61"/>
      <c r="U14" s="61"/>
      <c r="V14" s="61"/>
      <c r="W14" s="80"/>
      <c r="Y14" s="65">
        <v>3</v>
      </c>
      <c r="Z14" s="64">
        <f ca="1">+L16</f>
        <v>49</v>
      </c>
      <c r="AA14" s="64" t="str">
        <f ca="1">+IF(L14&lt;=39,"indica que experimenta"&amp;" síntomas físicos de ansiedad menos problemáticos que la mayoría de su edad. Reporta muy pocas manifestaciones físicas de ansiedad, "&amp;"o estas son de muy baja intensidad. Es probable que experimente menos síntomas como dolores de cabeza, "&amp;"problemas de sueño o fatiga relacionados con la ansiedad que el promedio de sus pares.",IF(L14&lt;=60,"indica que experimenta"&amp;" síntomas físicos de ansiedad no más problemáticos que la mayoría de su edad. Puede reportar ocasionalmente algunas"&amp;" manifestaciones físicas de ansiedad como leves dolores de cabeza, cierta dificultad para dormir o fatiga ocasional, pero"&amp;" estos síntomas no son más frecuentes o intensos que los experimentados por sus pares.",IF(L14&lt;=70,"indica un"&amp;" nivel moderadamente problemático de síntomas físicos de ansiedad. Experimenta manifestaciones fisiológicas de"&amp;" ansiedad de manera más frecuente o intensa que el promedio de sus pares. Puede reportar síntomas como problemas"&amp;" de sueño más regulares, dolores de cabeza frecuentes, sensaciones de náuseas o fatiga notoria.",IF(L14&gt;=71,"indica un nivel extremadamente problemático de síntomas físicos de ansiedad. Muestra"&amp;" manifestaciones fisiológicas de ansiedad considerablemente más intensas y frecuentes que sus pares. Probablemente,"&amp;" experimenta una constelación de síntomas físicos como dificultades significativas para dormir, dolores de cabeza"&amp;" intensos, náuseas frecuentes, sudoración excesiva, y fatiga pronunciada."))))</f>
        <v>indica que experimenta síntomas físicos de ansiedad menos problemáticos que la mayoría de su edad. Reporta muy pocas manifestaciones físicas de ansiedad, o estas son de muy baja intensidad. Es probable que experimente menos síntomas como dolores de cabeza, problemas de sueño o fatiga relacionados con la ansiedad que el promedio de sus pares.</v>
      </c>
    </row>
    <row r="15" spans="1:27" ht="6.75" customHeight="1" x14ac:dyDescent="0.35">
      <c r="B15" s="96"/>
      <c r="C15" s="96"/>
      <c r="D15" s="96"/>
      <c r="E15" s="96"/>
      <c r="F15" s="82"/>
      <c r="H15" s="62"/>
      <c r="J15" s="62"/>
      <c r="L15" s="62"/>
      <c r="M15" s="77"/>
      <c r="N15" s="61"/>
      <c r="O15" s="61"/>
      <c r="P15" s="61"/>
      <c r="Q15" s="61"/>
      <c r="R15" s="61"/>
      <c r="S15" s="61"/>
      <c r="T15" s="61"/>
      <c r="U15" s="61"/>
      <c r="V15" s="61"/>
      <c r="W15" s="80"/>
      <c r="Y15" s="65">
        <v>4</v>
      </c>
      <c r="Z15" s="64">
        <f ca="1">+L18</f>
        <v>45</v>
      </c>
    </row>
    <row r="16" spans="1:27" ht="14.25" customHeight="1" x14ac:dyDescent="0.35">
      <c r="B16" s="112" t="s">
        <v>75</v>
      </c>
      <c r="C16" s="112"/>
      <c r="D16" s="112"/>
      <c r="E16" s="112"/>
      <c r="F16" s="82" t="s">
        <v>3</v>
      </c>
      <c r="H16" s="83">
        <f>+'Hoja de respuestas'!L40</f>
        <v>5</v>
      </c>
      <c r="J16" s="83" cm="1">
        <f t="array" aca="1" ref="J16" ca="1">+INDEX(INDIRECT("B"&amp;VLOOKUP(L7,Y3:Z8,2,FALSE)),MATCH(H16&amp;L7,INDIRECT("M"&amp;VLOOKUP(L7,Y3:Z8,2,FALSE))&amp;L7,0))</f>
        <v>46</v>
      </c>
      <c r="L16" s="83" cm="1">
        <f t="array" aca="1" ref="L16" ca="1">+INDEX(INDIRECT("C"&amp;VLOOKUP(L7,Y3:Z8,2,FALSE)),MATCH(H16&amp;L7,INDIRECT("M"&amp;VLOOKUP(L7,Y3:Z8,2,FALSE))&amp;L7,0))</f>
        <v>49</v>
      </c>
      <c r="M16" s="77"/>
      <c r="N16" s="61"/>
      <c r="O16" s="61"/>
      <c r="P16" s="61"/>
      <c r="Q16" s="61"/>
      <c r="R16" s="61"/>
      <c r="S16" s="61"/>
      <c r="T16" s="61"/>
      <c r="U16" s="61"/>
      <c r="V16" s="61"/>
      <c r="W16" s="80"/>
      <c r="Z16" s="64">
        <f ca="1">+L20</f>
        <v>39</v>
      </c>
      <c r="AA16" s="64" t="str">
        <f ca="1">+IF(L16&lt;=39,"indica que experimenta un nivel "&amp;"de inquietud menos problemático que la mayoría de su edad. Reporta muy pocas preocupaciones o momentos de nerviosismo,"&amp;" o estos son de muy baja intensidad. Es probable que se muestre más tranquilo y relajado que el promedio de sus pares,"&amp;" incluso en situaciones que típicamente generarían cierto grado de inquietud en otros.",IF(L16&lt;=60,"indica que experimenta"&amp;" un nivel de preocupaciones y nerviosismo no más problemático que la mayoría de su edad. Puede reportar algunas "&amp;"preocupaciones ocasionales o momentos de nerviosismo, pero estos son típicos para su grupo de edad y no interfieren"&amp;" su funcionamiento.",IF(L16&lt;=70,"indica un nivel moderadamente problemático de inquietud."&amp;" Experimenta preocupaciones y nerviosismo de manera más frecuente o intensa que el promedio de sus pares."&amp;" Puede reportar pensamientos ansiosos recurrentes, dificultades para relajarse, o una tendencia a preocuparse excesivamente"&amp;" por situaciones cotidianas.",IF(L16&gt;=71,"refleja un nivel extremadamente problemático de inquietud. Muestra un grado de"&amp;" preocupación y nerviosismo considerablemente mayor que sus pares. Probablemente, experimenta preocupaciones"&amp;" intensas y persistentes, una sensación constante de nerviosismo, y una marcada dificultad para controlar sus pensamientos"&amp;" ansiosos."))))</f>
        <v>indica que experimenta un nivel de preocupaciones y nerviosismo no más problemático que la mayoría de su edad. Puede reportar algunas preocupaciones ocasionales o momentos de nerviosismo, pero estos son típicos para su grupo de edad y no interfieren su funcionamiento.</v>
      </c>
    </row>
    <row r="17" spans="2:27" ht="6.75" customHeight="1" x14ac:dyDescent="0.35">
      <c r="B17" s="96"/>
      <c r="C17" s="96"/>
      <c r="D17" s="96"/>
      <c r="E17" s="96"/>
      <c r="F17" s="82"/>
      <c r="H17" s="62"/>
      <c r="J17" s="62"/>
      <c r="L17" s="62"/>
      <c r="M17" s="77"/>
      <c r="N17" s="61"/>
      <c r="O17" s="61"/>
      <c r="P17" s="61"/>
      <c r="Q17" s="61"/>
      <c r="R17" s="61"/>
      <c r="S17" s="61"/>
      <c r="T17" s="61"/>
      <c r="U17" s="61"/>
      <c r="V17" s="61"/>
      <c r="W17" s="80"/>
    </row>
    <row r="18" spans="2:27" ht="14.25" customHeight="1" x14ac:dyDescent="0.35">
      <c r="B18" s="112" t="s">
        <v>76</v>
      </c>
      <c r="C18" s="112"/>
      <c r="D18" s="112"/>
      <c r="E18" s="112"/>
      <c r="F18" s="82" t="s">
        <v>4</v>
      </c>
      <c r="H18" s="83">
        <f>+'Hoja de respuestas'!M40</f>
        <v>8</v>
      </c>
      <c r="J18" s="83" cm="1">
        <f t="array" aca="1" ref="J18" ca="1">+INDEX(INDIRECT("B"&amp;VLOOKUP(L7,Y3:Z8,2,FALSE)),MATCH(H18&amp;L7,INDIRECT("O"&amp;VLOOKUP(L7,Y3:Z8,2,FALSE))&amp;L7,0))</f>
        <v>31</v>
      </c>
      <c r="L18" s="83" cm="1">
        <f t="array" aca="1" ref="L18" ca="1">+INDEX(INDIRECT("C"&amp;VLOOKUP(L7,Y3:Z8,2,FALSE)),MATCH(H18&amp;L7,INDIRECT("O"&amp;VLOOKUP(L7,Y3:Z8,2,FALSE))&amp;L7,0))</f>
        <v>45</v>
      </c>
      <c r="M18" s="77"/>
      <c r="N18" s="61"/>
      <c r="O18" s="61"/>
      <c r="P18" s="61"/>
      <c r="Q18" s="61"/>
      <c r="R18" s="61"/>
      <c r="S18" s="61"/>
      <c r="T18" s="61"/>
      <c r="U18" s="61"/>
      <c r="V18" s="61"/>
      <c r="W18" s="80"/>
      <c r="AA18" s="64" t="str">
        <f ca="1">+IF(L18&lt;=39,"indica que experimenta un nivel de ansiedad "&amp;"social menos problemático que la mayoría de su edad. Reporta muy poca incomodidad en situaciones sociales o de "&amp;"desempeño. Es probable que se sienta más cómodo que el promedio de sus pares en interacciones sociales, al hablar en "&amp;"público o al ser evaluado por otros.",IF(L18&lt;=60,"indica que experimenta un nivel de preocupación en situaciones"&amp;" sociales no más problemático que la mayoría de su edad. Puede sentir cierta incomodidad ocasional en situaciones"&amp;" sociales o de desempeño, pero esto es típico para su grupo de edad y no interfiere con sus interacciones "&amp;"sociales o su rendimiento académico.",IF(L18&lt;=70,"indica un nivel moderadamente problemático de ansiedad social. "&amp;"Experimenta preocupaciones en situaciones sociales y de desempeño de manera más frecuente o intensa que el promedio de sus pares. "&amp;"Puede reportar temor a ser juzgado negativamente por otros, incomodidad al"&amp;" hablar en público, o preocupación excesiva por su desempeño en situaciones sociales o académicas.",IF(L18&gt;=71,"indica un nivel extremadamente problemático de ansiedad social. "&amp;"Muestra un grado de preocupación en situaciones sociales considerablemente mayor que sus pares. "&amp;"Probablemente, experimenta un temor intenso a la evaluación negativa, una marcada incomodidad en situaciones sociales,"&amp;" y una fuerte ansiedad relacionada con el desempeño en público o en la escuela."))))</f>
        <v>indica que experimenta un nivel de preocupación en situaciones sociales no más problemático que la mayoría de su edad. Puede sentir cierta incomodidad ocasional en situaciones sociales o de desempeño, pero esto es típico para su grupo de edad y no interfiere con sus interacciones sociales o su rendimiento académico.</v>
      </c>
    </row>
    <row r="19" spans="2:27" ht="6.75" customHeight="1" x14ac:dyDescent="0.35">
      <c r="B19" s="81"/>
      <c r="C19" s="81"/>
      <c r="D19" s="81"/>
      <c r="E19" s="81"/>
      <c r="F19" s="82"/>
      <c r="H19" s="62"/>
      <c r="J19" s="62"/>
      <c r="L19" s="62"/>
      <c r="M19" s="77"/>
      <c r="N19" s="61"/>
      <c r="O19" s="61"/>
      <c r="P19" s="61"/>
      <c r="Q19" s="61"/>
      <c r="R19" s="61"/>
      <c r="S19" s="61"/>
      <c r="T19" s="61"/>
      <c r="U19" s="61"/>
      <c r="V19" s="61"/>
      <c r="W19" s="80"/>
    </row>
    <row r="20" spans="2:27" ht="14.25" customHeight="1" x14ac:dyDescent="0.35">
      <c r="B20" s="116" t="s">
        <v>77</v>
      </c>
      <c r="C20" s="116"/>
      <c r="D20" s="116"/>
      <c r="E20" s="116"/>
      <c r="F20" s="82" t="s">
        <v>78</v>
      </c>
      <c r="H20" s="83">
        <f>+'Hoja de respuestas'!I41</f>
        <v>18</v>
      </c>
      <c r="J20" s="83" cm="1">
        <f t="array" aca="1" ref="J20" ca="1">+INDEX(INDIRECT("B"&amp;VLOOKUP(L7,Y3:Z8,2,FALSE)),MATCH(H20&amp;L7,INDIRECT("E"&amp;VLOOKUP(L7,Y3:Z8,2,FALSE))&amp;L7,0))</f>
        <v>14</v>
      </c>
      <c r="L20" s="83" cm="1">
        <f t="array" aca="1" ref="L20" ca="1">+INDEX(INDIRECT("C"&amp;VLOOKUP(L7,Y3:Z8,2,0)),MATCH(H20&amp;L7,INDIRECT("E"&amp;VLOOKUP(L7,Y3:Z8,2,FALSE))&amp;L7,0))</f>
        <v>39</v>
      </c>
      <c r="M20" s="77"/>
      <c r="N20" s="61"/>
      <c r="O20" s="61"/>
      <c r="P20" s="61"/>
      <c r="Q20" s="61"/>
      <c r="R20" s="61"/>
      <c r="S20" s="61"/>
      <c r="T20" s="61"/>
      <c r="U20" s="61"/>
      <c r="V20" s="61"/>
      <c r="W20" s="80"/>
      <c r="Y20" s="65">
        <v>1</v>
      </c>
      <c r="AA20" s="64" t="str">
        <f ca="1">+IF(L20&lt;=39,"indica un nivel de ansiedad"&amp;" menos problemático, reporta niveles de ansiedad notablemente más bajos que el"&amp;" promedio de su grupo de edad. Experimenta menos preocupación o nerviosismo que sus"&amp;" pares, incluso en situaciones que típicamente generarían cierto grado de ansiedad"&amp;" en la mayoría de las personas.",IF(L20&lt;=60,"indica un nivel de ansiedad que no es más"&amp;" problemático. Experimenta un grado de preocupación y nerviosismo típico para su grupo"&amp;" de edad.",IF(L20&lt;=70,"indica un"&amp;" nivel de ansiedad moderadamente problemático. Muestra un grado de ansiedad"&amp;" notablemente mayor que el promedio de sus pares. Sus experiencias de ansiedad son más"&amp;" frecuentes o intensas, y pueden manifestarse a través de preocupaciones"&amp;" recurrentes, inquietud o síntomas físicos asociados con la ansiedad.",IF(L20&gt;=71,"indica "&amp;"un nivel de ansiedad extremadamente problemático. Exhibe un grado de ansiedad"&amp;" considerablemente mayor que sus pares. Experimenta preocupaciones"&amp;" intensas y persistentes, y es probable que muestre signos evidentes de nerviosismo"&amp;" o inquietud en diversas situaciones. "))))</f>
        <v>indica un nivel de ansiedad menos problemático, reporta niveles de ansiedad notablemente más bajos que el promedio de su grupo de edad. Experimenta menos preocupación o nerviosismo que sus pares, incluso en situaciones que típicamente generarían cierto grado de ansiedad en la mayoría de las personas.</v>
      </c>
    </row>
    <row r="21" spans="2:27" ht="6.75" customHeight="1" x14ac:dyDescent="0.35">
      <c r="B21" s="81"/>
      <c r="C21" s="81"/>
      <c r="D21" s="81"/>
      <c r="E21" s="81"/>
      <c r="F21" s="82"/>
      <c r="H21" s="62"/>
      <c r="J21" s="62"/>
      <c r="L21" s="62"/>
      <c r="M21" s="77"/>
      <c r="N21" s="61"/>
      <c r="O21" s="61"/>
      <c r="P21" s="61"/>
      <c r="Q21" s="61"/>
      <c r="R21" s="61"/>
      <c r="S21" s="61"/>
      <c r="T21" s="61"/>
      <c r="U21" s="61"/>
      <c r="V21" s="61"/>
      <c r="W21" s="80"/>
    </row>
    <row r="22" spans="2:27" ht="14.25" customHeight="1" x14ac:dyDescent="0.35">
      <c r="B22" s="112" t="s">
        <v>28</v>
      </c>
      <c r="C22" s="112"/>
      <c r="D22" s="112"/>
      <c r="E22" s="112"/>
      <c r="F22" s="82" t="s">
        <v>87</v>
      </c>
      <c r="H22" s="83">
        <f>+'Hoja de respuestas'!I27</f>
        <v>3</v>
      </c>
      <c r="J22" s="62"/>
      <c r="K22" s="84"/>
      <c r="L22" s="84"/>
      <c r="M22" s="77"/>
      <c r="N22" s="95" t="s">
        <v>150</v>
      </c>
      <c r="O22" s="61"/>
      <c r="P22" s="61"/>
      <c r="Q22" s="61"/>
      <c r="R22" s="61"/>
      <c r="S22" s="61"/>
      <c r="T22" s="61"/>
      <c r="U22" s="61"/>
      <c r="V22" s="61"/>
      <c r="W22" s="80"/>
      <c r="AA22" s="64" t="str">
        <f>IF(+H22&lt;=5,"una probabilidad baja de inconsistencia"&amp;" en las respuestas. Se considera que ha respondido con atención y consideración"&amp;" al contenido de los ítems.",IF(H22&lt;=6,"un 81% de probabilidad de que ha respondido a los reactivos sin considerar suficientemente su significado.",IF(H22&lt;=7,"una probabilidad de un 89% de que las respuestas hayan sido dadas de manera descuidada o al azar.",IF(H22&gt;=8,"un 92% de probabilidad de que las respuestas hayan sido dadas aleatoriamente."))))</f>
        <v>una probabilidad baja de inconsistencia en las respuestas. Se considera que ha respondido con atención y consideración al contenido de los ítems.</v>
      </c>
    </row>
    <row r="23" spans="2:27" ht="21.75" customHeight="1" x14ac:dyDescent="0.35"/>
    <row r="24" spans="2:27" ht="18.75" customHeight="1" x14ac:dyDescent="0.35">
      <c r="B24" s="109" t="s">
        <v>141</v>
      </c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85"/>
    </row>
    <row r="25" spans="2:27" ht="6.75" customHeight="1" x14ac:dyDescent="0.35"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7"/>
    </row>
    <row r="26" spans="2:27" ht="18.75" customHeight="1" x14ac:dyDescent="0.35">
      <c r="B26" s="106" t="s">
        <v>66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87"/>
    </row>
    <row r="27" spans="2:27" ht="18.75" customHeight="1" x14ac:dyDescent="0.35"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87"/>
    </row>
    <row r="28" spans="2:27" ht="18.75" customHeight="1" x14ac:dyDescent="0.35"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87"/>
    </row>
    <row r="29" spans="2:27" ht="18.75" customHeight="1" x14ac:dyDescent="0.35"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87"/>
    </row>
    <row r="30" spans="2:27" ht="18.75" customHeight="1" x14ac:dyDescent="0.35">
      <c r="B30" s="107" t="s">
        <v>142</v>
      </c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87"/>
    </row>
    <row r="31" spans="2:27" ht="18.75" customHeight="1" x14ac:dyDescent="0.35"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87"/>
    </row>
    <row r="32" spans="2:27" ht="18.75" customHeight="1" x14ac:dyDescent="0.35">
      <c r="B32" s="61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7"/>
    </row>
    <row r="33" spans="2:24" ht="18.75" customHeight="1" x14ac:dyDescent="0.35">
      <c r="B33" s="107" t="s">
        <v>143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87"/>
    </row>
    <row r="34" spans="2:24" ht="18.75" customHeight="1" x14ac:dyDescent="0.35">
      <c r="B34" s="107"/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87"/>
    </row>
    <row r="35" spans="2:24" ht="18.75" customHeight="1" x14ac:dyDescent="0.35">
      <c r="B35" s="107"/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87"/>
    </row>
    <row r="36" spans="2:24" ht="18.75" customHeight="1" x14ac:dyDescent="0.35">
      <c r="B36" s="106" t="str">
        <f>+CONCATENATE("La puntuación"," ",H22,", ","de"," ",G3," ","indica"," ",AA22)</f>
        <v>La puntuación 3, de Iker indica una probabilidad baja de inconsistencia en las respuestas. Se considera que ha respondido con atención y consideración al contenido de los ítems.</v>
      </c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87"/>
    </row>
    <row r="37" spans="2:24" ht="18.75" customHeight="1" x14ac:dyDescent="0.35"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87"/>
    </row>
    <row r="38" spans="2:24" ht="18.75" customHeight="1" x14ac:dyDescent="0.35"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87"/>
    </row>
    <row r="39" spans="2:24" ht="39" customHeight="1" x14ac:dyDescent="0.35">
      <c r="B39" s="107" t="s">
        <v>144</v>
      </c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87"/>
    </row>
    <row r="40" spans="2:24" ht="18.75" customHeight="1" x14ac:dyDescent="0.35">
      <c r="B40" s="106" t="str">
        <f ca="1">+CONCATENATE(G3," ","obtuvo una puntuación T de"," ",L12,", ","indica"," ",AA12)</f>
        <v>Iker obtuvo una puntuación T de 63, indica cierta renuencia a reconocer imperfecciones, aunque no tan extrema.</v>
      </c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87"/>
    </row>
    <row r="41" spans="2:24" ht="18.75" customHeight="1" x14ac:dyDescent="0.35"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87"/>
    </row>
    <row r="42" spans="2:24" ht="18.75" customHeight="1" outlineLevel="1" x14ac:dyDescent="0.35">
      <c r="B42" s="106"/>
      <c r="C42" s="106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87"/>
    </row>
    <row r="43" spans="2:24" ht="18.75" customHeight="1" x14ac:dyDescent="0.35">
      <c r="B43" s="107" t="s">
        <v>145</v>
      </c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87"/>
    </row>
    <row r="44" spans="2:24" ht="18.75" customHeight="1" x14ac:dyDescent="0.35"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87"/>
    </row>
    <row r="45" spans="2:24" ht="18.75" customHeight="1" x14ac:dyDescent="0.35"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87"/>
    </row>
    <row r="46" spans="2:24" ht="18.75" customHeight="1" x14ac:dyDescent="0.35">
      <c r="B46" s="106" t="str">
        <f ca="1">+CONCATENATE("La puntuación T de"," ",L20,", ","que obtuvo"," ",G3," ",AA20)</f>
        <v>La puntuación T de 39, que obtuvo Iker indica un nivel de ansiedad menos problemático, reporta niveles de ansiedad notablemente más bajos que el promedio de su grupo de edad. Experimenta menos preocupación o nerviosismo que sus pares, incluso en situaciones que típicamente generarían cierto grado de ansiedad en la mayoría de las personas.</v>
      </c>
      <c r="C46" s="106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87"/>
    </row>
    <row r="47" spans="2:24" ht="18.75" customHeight="1" x14ac:dyDescent="0.35"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87"/>
    </row>
    <row r="48" spans="2:24" ht="18.75" customHeight="1" x14ac:dyDescent="0.35"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87"/>
    </row>
    <row r="49" spans="2:24" ht="18.75" customHeight="1" outlineLevel="1" x14ac:dyDescent="0.35"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87"/>
    </row>
    <row r="50" spans="2:24" ht="18.75" customHeight="1" outlineLevel="1" x14ac:dyDescent="0.35"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87"/>
    </row>
    <row r="51" spans="2:24" ht="18.75" customHeight="1" outlineLevel="1" x14ac:dyDescent="0.35"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87"/>
    </row>
    <row r="52" spans="2:24" ht="18.75" customHeight="1" x14ac:dyDescent="0.35">
      <c r="B52" s="107" t="s">
        <v>146</v>
      </c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87"/>
    </row>
    <row r="53" spans="2:24" ht="18.75" customHeight="1" x14ac:dyDescent="0.35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87"/>
    </row>
    <row r="54" spans="2:24" ht="18.75" customHeight="1" x14ac:dyDescent="0.35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87"/>
    </row>
    <row r="55" spans="2:24" ht="21" customHeight="1" x14ac:dyDescent="0.35">
      <c r="B55" s="107" t="s">
        <v>147</v>
      </c>
      <c r="C55" s="107"/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87"/>
    </row>
    <row r="56" spans="2:24" ht="32.25" customHeight="1" x14ac:dyDescent="0.35">
      <c r="B56" s="107"/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87"/>
    </row>
    <row r="57" spans="2:24" ht="18.75" customHeight="1" x14ac:dyDescent="0.35">
      <c r="B57" s="106" t="str">
        <f ca="1">+CONCATENATE(G3," ","obtuvo una puntuación T de"," ",L14,", ",AA14)</f>
        <v>Iker obtuvo una puntuación T de 30, indica que experimenta síntomas físicos de ansiedad menos problemáticos que la mayoría de su edad. Reporta muy pocas manifestaciones físicas de ansiedad, o estas son de muy baja intensidad. Es probable que experimente menos síntomas como dolores de cabeza, problemas de sueño o fatiga relacionados con la ansiedad que el promedio de sus pares.</v>
      </c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87"/>
    </row>
    <row r="58" spans="2:24" ht="18.75" customHeight="1" x14ac:dyDescent="0.35">
      <c r="B58" s="106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87"/>
    </row>
    <row r="59" spans="2:24" ht="18.75" customHeight="1" x14ac:dyDescent="0.35">
      <c r="B59" s="106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87"/>
    </row>
    <row r="60" spans="2:24" ht="18.75" customHeight="1" x14ac:dyDescent="0.35">
      <c r="B60" s="106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87"/>
    </row>
    <row r="61" spans="2:24" ht="18.75" customHeight="1" x14ac:dyDescent="0.35">
      <c r="B61" s="106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87"/>
    </row>
    <row r="62" spans="2:24" ht="18.75" customHeight="1" outlineLevel="1" x14ac:dyDescent="0.35">
      <c r="B62" s="106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87"/>
    </row>
    <row r="63" spans="2:24" ht="18.75" customHeight="1" x14ac:dyDescent="0.35">
      <c r="B63" s="107" t="s">
        <v>148</v>
      </c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87"/>
    </row>
    <row r="64" spans="2:24" ht="18.75" customHeight="1" x14ac:dyDescent="0.35">
      <c r="B64" s="107"/>
      <c r="C64" s="107"/>
      <c r="D64" s="107"/>
      <c r="E64" s="107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87"/>
    </row>
    <row r="65" spans="2:24" ht="18.75" customHeight="1" x14ac:dyDescent="0.35">
      <c r="B65" s="106" t="str">
        <f ca="1">+CONCATENATE(G3," ","obtuvo una puntuación T de"," ",L16,", ",AA16)</f>
        <v>Iker obtuvo una puntuación T de 49, indica que experimenta un nivel de preocupaciones y nerviosismo no más problemático que la mayoría de su edad. Puede reportar algunas preocupaciones ocasionales o momentos de nerviosismo, pero estos son típicos para su grupo de edad y no interfieren su funcionamiento.</v>
      </c>
      <c r="C65" s="106"/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87"/>
    </row>
    <row r="66" spans="2:24" ht="18.75" customHeight="1" x14ac:dyDescent="0.35">
      <c r="B66" s="106"/>
      <c r="C66" s="106"/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87"/>
    </row>
    <row r="67" spans="2:24" ht="18.75" customHeight="1" x14ac:dyDescent="0.35">
      <c r="B67" s="106"/>
      <c r="C67" s="106"/>
      <c r="D67" s="106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87"/>
    </row>
    <row r="68" spans="2:24" ht="18.75" customHeight="1" x14ac:dyDescent="0.35">
      <c r="B68" s="106"/>
      <c r="C68" s="106"/>
      <c r="D68" s="106"/>
      <c r="E68" s="106"/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87"/>
    </row>
    <row r="69" spans="2:24" ht="18.75" customHeight="1" outlineLevel="1" x14ac:dyDescent="0.35"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87"/>
    </row>
    <row r="70" spans="2:24" ht="18.75" customHeight="1" outlineLevel="1" x14ac:dyDescent="0.35">
      <c r="B70" s="106"/>
      <c r="C70" s="106"/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  <c r="X70" s="87"/>
    </row>
    <row r="71" spans="2:24" ht="18.75" customHeight="1" x14ac:dyDescent="0.35">
      <c r="B71" s="107" t="s">
        <v>149</v>
      </c>
      <c r="C71" s="107"/>
      <c r="D71" s="107"/>
      <c r="E71" s="107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87"/>
    </row>
    <row r="72" spans="2:24" ht="18.75" customHeight="1" x14ac:dyDescent="0.35">
      <c r="B72" s="107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87"/>
    </row>
    <row r="73" spans="2:24" ht="18.75" customHeight="1" x14ac:dyDescent="0.35">
      <c r="B73" s="107"/>
      <c r="C73" s="107"/>
      <c r="D73" s="107"/>
      <c r="E73" s="107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87"/>
    </row>
    <row r="74" spans="2:24" ht="18.75" customHeight="1" x14ac:dyDescent="0.35">
      <c r="B74" s="107"/>
      <c r="C74" s="107"/>
      <c r="D74" s="107"/>
      <c r="E74" s="107"/>
      <c r="F74" s="107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87"/>
    </row>
    <row r="75" spans="2:24" ht="18.75" customHeight="1" x14ac:dyDescent="0.35">
      <c r="B75" s="107"/>
      <c r="C75" s="107"/>
      <c r="D75" s="107"/>
      <c r="E75" s="107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87"/>
    </row>
    <row r="76" spans="2:24" ht="18.75" customHeight="1" x14ac:dyDescent="0.35">
      <c r="B76" s="106" t="str">
        <f ca="1">+CONCATENATE(G3," ","obtuvo una puntuación T de"," ",L18,", ",AA18)</f>
        <v>Iker obtuvo una puntuación T de 45, indica que experimenta un nivel de preocupación en situaciones sociales no más problemático que la mayoría de su edad. Puede sentir cierta incomodidad ocasional en situaciones sociales o de desempeño, pero esto es típico para su grupo de edad y no interfiere con sus interacciones sociales o su rendimiento académico.</v>
      </c>
      <c r="C76" s="106"/>
      <c r="D76" s="106"/>
      <c r="E76" s="106"/>
      <c r="F76" s="106"/>
      <c r="G76" s="106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87"/>
    </row>
    <row r="77" spans="2:24" ht="18.75" customHeight="1" x14ac:dyDescent="0.35">
      <c r="B77" s="106"/>
      <c r="C77" s="106"/>
      <c r="D77" s="106"/>
      <c r="E77" s="106"/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87"/>
    </row>
    <row r="78" spans="2:24" ht="18.75" customHeight="1" x14ac:dyDescent="0.35">
      <c r="B78" s="106"/>
      <c r="C78" s="106"/>
      <c r="D78" s="106"/>
      <c r="E78" s="106"/>
      <c r="F78" s="106"/>
      <c r="G78" s="106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87"/>
    </row>
    <row r="79" spans="2:24" ht="18.75" customHeight="1" x14ac:dyDescent="0.35">
      <c r="B79" s="106"/>
      <c r="C79" s="106"/>
      <c r="D79" s="106"/>
      <c r="E79" s="106"/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87"/>
    </row>
    <row r="80" spans="2:24" ht="18.75" customHeight="1" x14ac:dyDescent="0.35">
      <c r="B80" s="106"/>
      <c r="C80" s="106"/>
      <c r="D80" s="106"/>
      <c r="E80" s="106"/>
      <c r="F80" s="106"/>
      <c r="G80" s="106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87"/>
    </row>
    <row r="81" spans="2:46" ht="18.75" customHeight="1" outlineLevel="1" x14ac:dyDescent="0.35">
      <c r="B81" s="106"/>
      <c r="C81" s="106"/>
      <c r="D81" s="106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87"/>
    </row>
    <row r="82" spans="2:46" ht="18.75" customHeight="1" outlineLevel="1" x14ac:dyDescent="0.35">
      <c r="B82" s="106"/>
      <c r="C82" s="106"/>
      <c r="D82" s="106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87"/>
    </row>
    <row r="83" spans="2:46" ht="18.75" customHeight="1" outlineLevel="1" x14ac:dyDescent="0.35">
      <c r="B83" s="106"/>
      <c r="C83" s="106"/>
      <c r="D83" s="106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87"/>
    </row>
    <row r="84" spans="2:46" ht="18.75" customHeight="1" x14ac:dyDescent="0.35">
      <c r="B84" s="89" t="s">
        <v>67</v>
      </c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7"/>
    </row>
    <row r="85" spans="2:46" ht="18.75" customHeight="1" x14ac:dyDescent="0.35">
      <c r="B85" s="106" t="str">
        <f>+CONCATENATE(G3," ","respondió afirmativamente a ítems considerados críticos:")</f>
        <v>Iker respondió afirmativamente a ítems considerados críticos:</v>
      </c>
      <c r="C85" s="106"/>
      <c r="D85" s="106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87"/>
    </row>
    <row r="86" spans="2:46" ht="18.75" customHeight="1" x14ac:dyDescent="0.35">
      <c r="B86" s="90" t="s">
        <v>68</v>
      </c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</row>
    <row r="87" spans="2:46" ht="18.75" customHeight="1" x14ac:dyDescent="0.35">
      <c r="B87" s="92" t="str">
        <f>+IF('Hoja de respuestas'!G30="SI",'Hoja de respuestas'!C30,"")</f>
        <v/>
      </c>
      <c r="C87" s="62"/>
      <c r="D87" s="62"/>
      <c r="E87" s="62"/>
      <c r="F87" s="62"/>
      <c r="G87" s="62"/>
      <c r="H87" s="62"/>
      <c r="I87" s="62"/>
      <c r="J87" s="62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80"/>
    </row>
    <row r="88" spans="2:46" ht="18.75" customHeight="1" x14ac:dyDescent="0.35">
      <c r="B88" s="92" t="str">
        <f>+IF('Hoja de respuestas'!C34="SI",'Hoja de respuestas'!C34,"")</f>
        <v/>
      </c>
      <c r="C88" s="62"/>
      <c r="D88" s="62"/>
      <c r="E88" s="62"/>
      <c r="F88" s="62"/>
      <c r="G88" s="62"/>
      <c r="H88" s="62"/>
      <c r="I88" s="62"/>
      <c r="J88" s="62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80"/>
    </row>
    <row r="89" spans="2:46" ht="18.75" customHeight="1" x14ac:dyDescent="0.35">
      <c r="B89" s="92" t="str">
        <f>+IF('Hoja de respuestas'!C52="SI",'Hoja de respuestas'!C52,"")</f>
        <v/>
      </c>
      <c r="C89" s="62"/>
      <c r="D89" s="62"/>
      <c r="E89" s="62"/>
      <c r="F89" s="62"/>
      <c r="G89" s="62"/>
      <c r="H89" s="62"/>
      <c r="I89" s="62"/>
      <c r="J89" s="62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80"/>
      <c r="AA89" s="60"/>
    </row>
    <row r="90" spans="2:46" ht="18.75" customHeight="1" x14ac:dyDescent="0.35">
      <c r="B90" s="92" t="str">
        <f>+IF('Hoja de respuestas'!C63="SI",'Hoja de respuestas'!C63,"")</f>
        <v/>
      </c>
      <c r="C90" s="62"/>
      <c r="D90" s="62"/>
      <c r="E90" s="62"/>
      <c r="F90" s="62"/>
      <c r="G90" s="62"/>
      <c r="H90" s="62"/>
      <c r="I90" s="62"/>
      <c r="J90" s="62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80"/>
      <c r="AA90" s="60"/>
    </row>
    <row r="91" spans="2:46" ht="18.75" customHeight="1" x14ac:dyDescent="0.35">
      <c r="B91" s="92" t="str">
        <f>+IF('Hoja de respuestas'!C48="SI",'Hoja de respuestas'!C48,"")</f>
        <v/>
      </c>
      <c r="C91" s="62"/>
      <c r="D91" s="62"/>
      <c r="E91" s="62"/>
      <c r="F91" s="62"/>
      <c r="G91" s="62"/>
      <c r="H91" s="62"/>
      <c r="I91" s="62"/>
      <c r="J91" s="62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80"/>
      <c r="AA91" s="93"/>
      <c r="AB91" s="93"/>
      <c r="AC91" s="93"/>
      <c r="AD91" s="93"/>
      <c r="AE91" s="108" t="s">
        <v>56</v>
      </c>
      <c r="AF91" s="108"/>
      <c r="AG91" s="108"/>
      <c r="AH91" s="108" t="s">
        <v>57</v>
      </c>
      <c r="AI91" s="108"/>
      <c r="AJ91" s="108"/>
      <c r="AK91" s="108" t="s">
        <v>58</v>
      </c>
      <c r="AL91" s="108"/>
      <c r="AM91" s="108"/>
      <c r="AN91" s="108" t="s">
        <v>59</v>
      </c>
      <c r="AO91" s="108"/>
      <c r="AP91" s="108"/>
      <c r="AQ91" s="108" t="s">
        <v>60</v>
      </c>
      <c r="AR91" s="108"/>
      <c r="AS91" s="108"/>
      <c r="AT91" s="93" t="s">
        <v>28</v>
      </c>
    </row>
    <row r="92" spans="2:46" ht="18.75" customHeight="1" x14ac:dyDescent="0.35">
      <c r="B92" s="92" t="str">
        <f>+IF('Hoja de respuestas'!C50="SI",'Hoja de respuestas'!C50,"")</f>
        <v/>
      </c>
      <c r="C92" s="62"/>
      <c r="D92" s="62"/>
      <c r="E92" s="62"/>
      <c r="F92" s="62"/>
      <c r="G92" s="62"/>
      <c r="H92" s="62"/>
      <c r="I92" s="62"/>
      <c r="J92" s="62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80"/>
      <c r="AA92" s="93" t="s">
        <v>52</v>
      </c>
      <c r="AB92" s="93" t="s">
        <v>53</v>
      </c>
      <c r="AC92" s="93" t="s">
        <v>54</v>
      </c>
      <c r="AD92" s="93" t="s">
        <v>69</v>
      </c>
      <c r="AE92" s="94" t="s">
        <v>23</v>
      </c>
      <c r="AF92" s="94" t="s">
        <v>24</v>
      </c>
      <c r="AG92" s="94" t="s">
        <v>25</v>
      </c>
      <c r="AH92" s="94" t="s">
        <v>23</v>
      </c>
      <c r="AI92" s="94" t="s">
        <v>24</v>
      </c>
      <c r="AJ92" s="94" t="s">
        <v>25</v>
      </c>
      <c r="AK92" s="94" t="s">
        <v>23</v>
      </c>
      <c r="AL92" s="94" t="s">
        <v>24</v>
      </c>
      <c r="AM92" s="94" t="s">
        <v>25</v>
      </c>
      <c r="AN92" s="94" t="s">
        <v>23</v>
      </c>
      <c r="AO92" s="94" t="s">
        <v>24</v>
      </c>
      <c r="AP92" s="94" t="s">
        <v>25</v>
      </c>
      <c r="AQ92" s="94" t="s">
        <v>23</v>
      </c>
      <c r="AR92" s="94" t="s">
        <v>24</v>
      </c>
      <c r="AS92" s="94" t="s">
        <v>25</v>
      </c>
      <c r="AT92" s="94" t="s">
        <v>23</v>
      </c>
    </row>
    <row r="93" spans="2:46" ht="18.75" customHeight="1" x14ac:dyDescent="0.35">
      <c r="B93" s="92" t="str">
        <f>+IF('Hoja de respuestas'!C59="SI",'Hoja de respuestas'!C59,"")</f>
        <v/>
      </c>
      <c r="C93" s="62"/>
      <c r="D93" s="62"/>
      <c r="E93" s="62"/>
      <c r="F93" s="62"/>
      <c r="G93" s="62"/>
      <c r="H93" s="62"/>
      <c r="I93" s="62"/>
      <c r="J93" s="62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80"/>
      <c r="AA93" s="64" t="str">
        <f>+G3</f>
        <v>Iker</v>
      </c>
      <c r="AB93" s="60">
        <f>+R3</f>
        <v>13</v>
      </c>
      <c r="AC93" s="60" t="str">
        <f>+G5</f>
        <v>Femenino</v>
      </c>
      <c r="AD93" s="60" t="str">
        <f ca="1">+L7</f>
        <v>Masculino 15 a 19 años</v>
      </c>
      <c r="AE93" s="60">
        <f>+H12</f>
        <v>8</v>
      </c>
      <c r="AF93" s="60">
        <f ca="1">+J12</f>
        <v>90</v>
      </c>
      <c r="AG93" s="60">
        <f ca="1">+L12</f>
        <v>63</v>
      </c>
      <c r="AH93" s="60">
        <f>+H14</f>
        <v>5</v>
      </c>
      <c r="AI93" s="60">
        <f ca="1">+J14</f>
        <v>2</v>
      </c>
      <c r="AJ93" s="60">
        <f ca="1">+L14</f>
        <v>30</v>
      </c>
      <c r="AK93" s="60">
        <f>+H16</f>
        <v>5</v>
      </c>
      <c r="AL93" s="60">
        <f ca="1">+J16</f>
        <v>46</v>
      </c>
      <c r="AM93" s="60">
        <f ca="1">+L16</f>
        <v>49</v>
      </c>
      <c r="AN93" s="60">
        <f>+H18</f>
        <v>8</v>
      </c>
      <c r="AO93" s="60">
        <f ca="1">+J18</f>
        <v>31</v>
      </c>
      <c r="AP93" s="60">
        <f ca="1">+L18</f>
        <v>45</v>
      </c>
      <c r="AQ93" s="60">
        <f>+H20</f>
        <v>18</v>
      </c>
      <c r="AR93" s="60">
        <f ca="1">+J20</f>
        <v>14</v>
      </c>
      <c r="AS93" s="60">
        <f ca="1">+L20</f>
        <v>39</v>
      </c>
      <c r="AT93" s="60">
        <f>+H22</f>
        <v>3</v>
      </c>
    </row>
    <row r="94" spans="2:46" ht="18.75" customHeight="1" x14ac:dyDescent="0.35">
      <c r="B94" s="92"/>
      <c r="C94" s="62"/>
      <c r="D94" s="62"/>
      <c r="E94" s="62"/>
      <c r="F94" s="62"/>
      <c r="G94" s="62"/>
      <c r="H94" s="62"/>
      <c r="I94" s="62"/>
      <c r="J94" s="62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80"/>
    </row>
    <row r="95" spans="2:46" x14ac:dyDescent="0.35">
      <c r="B95" s="92"/>
      <c r="C95" s="62"/>
      <c r="D95" s="62"/>
      <c r="E95" s="62"/>
      <c r="F95" s="62"/>
      <c r="G95" s="62"/>
      <c r="H95" s="62"/>
      <c r="I95" s="62"/>
      <c r="J95" s="62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80"/>
    </row>
    <row r="96" spans="2:46" x14ac:dyDescent="0.35">
      <c r="B96" s="61"/>
      <c r="C96" s="62"/>
      <c r="D96" s="62"/>
      <c r="E96" s="62"/>
      <c r="F96" s="62"/>
      <c r="G96" s="62"/>
      <c r="H96" s="62"/>
      <c r="I96" s="62"/>
      <c r="J96" s="62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80"/>
    </row>
  </sheetData>
  <sheetProtection formatRows="0"/>
  <mergeCells count="36">
    <mergeCell ref="G3:O3"/>
    <mergeCell ref="G5:M5"/>
    <mergeCell ref="R3:V3"/>
    <mergeCell ref="Q5:V5"/>
    <mergeCell ref="B52:W54"/>
    <mergeCell ref="B12:E12"/>
    <mergeCell ref="N5:P5"/>
    <mergeCell ref="P3:Q3"/>
    <mergeCell ref="B14:E14"/>
    <mergeCell ref="B22:E22"/>
    <mergeCell ref="L7:V7"/>
    <mergeCell ref="B10:G10"/>
    <mergeCell ref="B16:E16"/>
    <mergeCell ref="B18:E18"/>
    <mergeCell ref="B20:E20"/>
    <mergeCell ref="B55:W56"/>
    <mergeCell ref="B24:W24"/>
    <mergeCell ref="B26:W29"/>
    <mergeCell ref="B30:W31"/>
    <mergeCell ref="B46:W51"/>
    <mergeCell ref="B36:W38"/>
    <mergeCell ref="B40:W42"/>
    <mergeCell ref="B33:W35"/>
    <mergeCell ref="B39:W39"/>
    <mergeCell ref="B43:W45"/>
    <mergeCell ref="AQ91:AS91"/>
    <mergeCell ref="B85:W85"/>
    <mergeCell ref="AE91:AG91"/>
    <mergeCell ref="AH91:AJ91"/>
    <mergeCell ref="AK91:AM91"/>
    <mergeCell ref="AN91:AP91"/>
    <mergeCell ref="B65:W70"/>
    <mergeCell ref="B76:W83"/>
    <mergeCell ref="B57:W62"/>
    <mergeCell ref="B63:W64"/>
    <mergeCell ref="B71:W75"/>
  </mergeCells>
  <conditionalFormatting sqref="K22">
    <cfRule type="containsText" dxfId="0" priority="1" operator="containsText" text="Invalido">
      <formula>NOT(ISERROR(SEARCH("Invalido",K22)))</formula>
    </cfRule>
  </conditionalFormatting>
  <printOptions horizontalCentered="1"/>
  <pageMargins left="0.23622047244094491" right="0.23622047244094491" top="0.78740157480314965" bottom="0.55118110236220474" header="0.31496062992125984" footer="0.31496062992125984"/>
  <pageSetup fitToHeight="0" pageOrder="overThenDown" orientation="portrait" horizontalDpi="4294967292" verticalDpi="0" r:id="rId1"/>
  <headerFooter>
    <oddFooter>Página &amp;P</oddFooter>
  </headerFooter>
  <rowBreaks count="1" manualBreakCount="1">
    <brk id="54" max="2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uardarPerfil">
                <anchor moveWithCells="1" sizeWithCells="1">
                  <from>
                    <xdr:col>20</xdr:col>
                    <xdr:colOff>142875</xdr:colOff>
                    <xdr:row>22</xdr:row>
                    <xdr:rowOff>257175</xdr:rowOff>
                  </from>
                  <to>
                    <xdr:col>23</xdr:col>
                    <xdr:colOff>123825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Line="0" autoPict="0">
                <anchor moveWithCells="1">
                  <from>
                    <xdr:col>7</xdr:col>
                    <xdr:colOff>104775</xdr:colOff>
                    <xdr:row>6</xdr:row>
                    <xdr:rowOff>0</xdr:rowOff>
                  </from>
                  <to>
                    <xdr:col>21</xdr:col>
                    <xdr:colOff>257175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7C9CB-5BFB-4DAB-96AA-C76360044556}">
  <sheetPr codeName="Hoja3">
    <tabColor theme="2" tint="-0.249977111117893"/>
  </sheetPr>
  <dimension ref="B3:BF70"/>
  <sheetViews>
    <sheetView workbookViewId="0">
      <selection activeCell="BD8" sqref="BD8:BF70"/>
    </sheetView>
  </sheetViews>
  <sheetFormatPr baseColWidth="10" defaultColWidth="4" defaultRowHeight="14.25" x14ac:dyDescent="0.2"/>
  <cols>
    <col min="1" max="9" width="4" style="1"/>
    <col min="10" max="16" width="4" style="102"/>
    <col min="17" max="17" width="4" style="1"/>
    <col min="18" max="24" width="4" style="102"/>
    <col min="25" max="25" width="4" style="1"/>
    <col min="26" max="32" width="4" style="102"/>
    <col min="33" max="33" width="4" style="1"/>
    <col min="34" max="40" width="4" style="102"/>
    <col min="41" max="41" width="4" style="1"/>
    <col min="42" max="48" width="4" style="102"/>
    <col min="49" max="16384" width="4" style="1"/>
  </cols>
  <sheetData>
    <row r="3" spans="2:58" ht="15" x14ac:dyDescent="0.2">
      <c r="B3" s="117" t="s">
        <v>45</v>
      </c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</row>
    <row r="4" spans="2:58" x14ac:dyDescent="0.2">
      <c r="B4" s="117" t="s">
        <v>27</v>
      </c>
      <c r="C4" s="117"/>
      <c r="D4" s="117"/>
      <c r="E4" s="117"/>
      <c r="F4" s="117"/>
      <c r="G4" s="117"/>
      <c r="H4" s="117"/>
      <c r="I4" s="2"/>
      <c r="J4" s="118" t="s">
        <v>29</v>
      </c>
      <c r="K4" s="118"/>
      <c r="L4" s="118"/>
      <c r="M4" s="118"/>
      <c r="N4" s="118"/>
      <c r="O4" s="118"/>
      <c r="P4" s="118"/>
      <c r="Q4" s="5"/>
      <c r="R4" s="118" t="s">
        <v>30</v>
      </c>
      <c r="S4" s="118"/>
      <c r="T4" s="118"/>
      <c r="U4" s="118"/>
      <c r="V4" s="118"/>
      <c r="W4" s="118"/>
      <c r="X4" s="118"/>
      <c r="Y4" s="5"/>
      <c r="Z4" s="118" t="s">
        <v>31</v>
      </c>
      <c r="AA4" s="118"/>
      <c r="AB4" s="118"/>
      <c r="AC4" s="118"/>
      <c r="AD4" s="118"/>
      <c r="AE4" s="118"/>
      <c r="AF4" s="118"/>
      <c r="AG4" s="5"/>
      <c r="AH4" s="118" t="s">
        <v>39</v>
      </c>
      <c r="AI4" s="118"/>
      <c r="AJ4" s="118"/>
      <c r="AK4" s="118"/>
      <c r="AL4" s="118"/>
      <c r="AM4" s="118"/>
      <c r="AN4" s="118"/>
      <c r="AO4" s="5"/>
      <c r="AP4" s="118" t="s">
        <v>32</v>
      </c>
      <c r="AQ4" s="118"/>
      <c r="AR4" s="118"/>
      <c r="AS4" s="118"/>
      <c r="AT4" s="118"/>
      <c r="AU4" s="118"/>
      <c r="AV4" s="118"/>
    </row>
    <row r="5" spans="2:58" x14ac:dyDescent="0.2">
      <c r="B5" s="117"/>
      <c r="C5" s="117"/>
      <c r="D5" s="117"/>
      <c r="E5" s="117"/>
      <c r="F5" s="117"/>
      <c r="G5" s="117"/>
      <c r="H5" s="117"/>
      <c r="I5" s="2"/>
      <c r="J5" s="118"/>
      <c r="K5" s="118"/>
      <c r="L5" s="118"/>
      <c r="M5" s="118"/>
      <c r="N5" s="118"/>
      <c r="O5" s="118"/>
      <c r="P5" s="118"/>
      <c r="Q5" s="5"/>
      <c r="R5" s="118"/>
      <c r="S5" s="118"/>
      <c r="T5" s="118"/>
      <c r="U5" s="118"/>
      <c r="V5" s="118"/>
      <c r="W5" s="118"/>
      <c r="X5" s="118"/>
      <c r="Y5" s="5"/>
      <c r="Z5" s="118"/>
      <c r="AA5" s="118"/>
      <c r="AB5" s="118"/>
      <c r="AC5" s="118"/>
      <c r="AD5" s="118"/>
      <c r="AE5" s="118"/>
      <c r="AF5" s="118"/>
      <c r="AG5" s="5"/>
      <c r="AH5" s="118"/>
      <c r="AI5" s="118"/>
      <c r="AJ5" s="118"/>
      <c r="AK5" s="118"/>
      <c r="AL5" s="118"/>
      <c r="AM5" s="118"/>
      <c r="AN5" s="118"/>
      <c r="AO5" s="5"/>
      <c r="AP5" s="118"/>
      <c r="AQ5" s="118"/>
      <c r="AR5" s="118"/>
      <c r="AS5" s="118"/>
      <c r="AT5" s="118"/>
      <c r="AU5" s="118"/>
      <c r="AV5" s="118"/>
    </row>
    <row r="6" spans="2:58" hidden="1" x14ac:dyDescent="0.2">
      <c r="B6" s="6" t="s">
        <v>34</v>
      </c>
      <c r="C6" s="6" t="s">
        <v>35</v>
      </c>
      <c r="D6" s="6" t="s">
        <v>33</v>
      </c>
      <c r="E6" s="6" t="s">
        <v>36</v>
      </c>
      <c r="F6" s="6" t="s">
        <v>38</v>
      </c>
      <c r="G6" s="6" t="s">
        <v>44</v>
      </c>
      <c r="H6" s="6" t="s">
        <v>37</v>
      </c>
      <c r="I6" s="2"/>
      <c r="J6" s="99" t="s">
        <v>34</v>
      </c>
      <c r="K6" s="99" t="s">
        <v>35</v>
      </c>
      <c r="L6" s="99" t="s">
        <v>33</v>
      </c>
      <c r="M6" s="99" t="s">
        <v>36</v>
      </c>
      <c r="N6" s="99" t="s">
        <v>38</v>
      </c>
      <c r="O6" s="99" t="s">
        <v>44</v>
      </c>
      <c r="P6" s="99" t="s">
        <v>37</v>
      </c>
      <c r="Q6" s="5"/>
      <c r="R6" s="99" t="s">
        <v>34</v>
      </c>
      <c r="S6" s="99" t="s">
        <v>35</v>
      </c>
      <c r="T6" s="99" t="s">
        <v>33</v>
      </c>
      <c r="U6" s="99" t="s">
        <v>36</v>
      </c>
      <c r="V6" s="99" t="s">
        <v>38</v>
      </c>
      <c r="W6" s="99" t="s">
        <v>44</v>
      </c>
      <c r="X6" s="99" t="s">
        <v>37</v>
      </c>
      <c r="Y6" s="5"/>
      <c r="Z6" s="99" t="s">
        <v>34</v>
      </c>
      <c r="AA6" s="99" t="s">
        <v>35</v>
      </c>
      <c r="AB6" s="99" t="s">
        <v>33</v>
      </c>
      <c r="AC6" s="99" t="s">
        <v>36</v>
      </c>
      <c r="AD6" s="99" t="s">
        <v>38</v>
      </c>
      <c r="AE6" s="99" t="s">
        <v>44</v>
      </c>
      <c r="AF6" s="99" t="s">
        <v>37</v>
      </c>
      <c r="AG6" s="5"/>
      <c r="AH6" s="99" t="s">
        <v>34</v>
      </c>
      <c r="AI6" s="99" t="s">
        <v>35</v>
      </c>
      <c r="AJ6" s="99" t="s">
        <v>33</v>
      </c>
      <c r="AK6" s="99" t="s">
        <v>36</v>
      </c>
      <c r="AL6" s="99" t="s">
        <v>38</v>
      </c>
      <c r="AM6" s="99" t="s">
        <v>44</v>
      </c>
      <c r="AN6" s="99" t="s">
        <v>37</v>
      </c>
      <c r="AO6" s="5"/>
      <c r="AP6" s="99" t="s">
        <v>34</v>
      </c>
      <c r="AQ6" s="99" t="s">
        <v>35</v>
      </c>
      <c r="AR6" s="99" t="s">
        <v>33</v>
      </c>
      <c r="AS6" s="99" t="s">
        <v>36</v>
      </c>
      <c r="AT6" s="99" t="s">
        <v>38</v>
      </c>
      <c r="AU6" s="99" t="s">
        <v>44</v>
      </c>
      <c r="AV6" s="99" t="s">
        <v>37</v>
      </c>
    </row>
    <row r="7" spans="2:58" ht="83.1" customHeight="1" x14ac:dyDescent="0.2">
      <c r="B7" s="10" t="s">
        <v>24</v>
      </c>
      <c r="C7" s="10" t="s">
        <v>25</v>
      </c>
      <c r="D7" s="10" t="s">
        <v>40</v>
      </c>
      <c r="E7" s="10" t="s">
        <v>26</v>
      </c>
      <c r="F7" s="10" t="s">
        <v>41</v>
      </c>
      <c r="G7" s="10" t="s">
        <v>42</v>
      </c>
      <c r="H7" s="10" t="s">
        <v>43</v>
      </c>
      <c r="I7" s="3"/>
      <c r="J7" s="100" t="s">
        <v>24</v>
      </c>
      <c r="K7" s="100" t="s">
        <v>25</v>
      </c>
      <c r="L7" s="100" t="s">
        <v>40</v>
      </c>
      <c r="M7" s="100" t="s">
        <v>26</v>
      </c>
      <c r="N7" s="100" t="s">
        <v>41</v>
      </c>
      <c r="O7" s="100" t="s">
        <v>42</v>
      </c>
      <c r="P7" s="100" t="s">
        <v>43</v>
      </c>
      <c r="Q7" s="4"/>
      <c r="R7" s="100" t="s">
        <v>24</v>
      </c>
      <c r="S7" s="100" t="s">
        <v>25</v>
      </c>
      <c r="T7" s="100" t="s">
        <v>40</v>
      </c>
      <c r="U7" s="100" t="s">
        <v>26</v>
      </c>
      <c r="V7" s="100" t="s">
        <v>41</v>
      </c>
      <c r="W7" s="100" t="s">
        <v>42</v>
      </c>
      <c r="X7" s="100" t="s">
        <v>43</v>
      </c>
      <c r="Y7" s="4"/>
      <c r="Z7" s="100" t="s">
        <v>24</v>
      </c>
      <c r="AA7" s="100" t="s">
        <v>25</v>
      </c>
      <c r="AB7" s="100" t="s">
        <v>40</v>
      </c>
      <c r="AC7" s="100" t="s">
        <v>26</v>
      </c>
      <c r="AD7" s="100" t="s">
        <v>41</v>
      </c>
      <c r="AE7" s="100" t="s">
        <v>42</v>
      </c>
      <c r="AF7" s="100" t="s">
        <v>43</v>
      </c>
      <c r="AG7" s="4"/>
      <c r="AH7" s="100" t="s">
        <v>24</v>
      </c>
      <c r="AI7" s="100" t="s">
        <v>25</v>
      </c>
      <c r="AJ7" s="100" t="s">
        <v>40</v>
      </c>
      <c r="AK7" s="100" t="s">
        <v>26</v>
      </c>
      <c r="AL7" s="100" t="s">
        <v>41</v>
      </c>
      <c r="AM7" s="100" t="s">
        <v>42</v>
      </c>
      <c r="AN7" s="100" t="s">
        <v>43</v>
      </c>
      <c r="AO7" s="4"/>
      <c r="AP7" s="100" t="s">
        <v>24</v>
      </c>
      <c r="AQ7" s="100" t="s">
        <v>25</v>
      </c>
      <c r="AR7" s="100" t="s">
        <v>40</v>
      </c>
      <c r="AS7" s="100" t="s">
        <v>26</v>
      </c>
      <c r="AT7" s="100" t="s">
        <v>41</v>
      </c>
      <c r="AU7" s="100" t="s">
        <v>42</v>
      </c>
      <c r="AV7" s="100" t="s">
        <v>43</v>
      </c>
    </row>
    <row r="8" spans="2:58" x14ac:dyDescent="0.2">
      <c r="B8" s="2">
        <v>99</v>
      </c>
      <c r="C8" s="2">
        <v>80</v>
      </c>
      <c r="D8" s="2">
        <v>24</v>
      </c>
      <c r="E8" s="2">
        <v>44</v>
      </c>
      <c r="F8" s="2">
        <v>24</v>
      </c>
      <c r="G8" s="2">
        <v>15</v>
      </c>
      <c r="H8" s="2">
        <v>21</v>
      </c>
      <c r="I8" s="2"/>
      <c r="J8" s="101">
        <v>99</v>
      </c>
      <c r="K8" s="101">
        <v>80</v>
      </c>
      <c r="L8" s="101">
        <v>24</v>
      </c>
      <c r="M8" s="101">
        <v>44</v>
      </c>
      <c r="N8" s="101">
        <v>24</v>
      </c>
      <c r="O8" s="101">
        <v>15</v>
      </c>
      <c r="P8" s="101">
        <v>21</v>
      </c>
      <c r="Q8" s="2"/>
      <c r="R8" s="101">
        <v>99</v>
      </c>
      <c r="S8" s="101">
        <v>80</v>
      </c>
      <c r="T8" s="101">
        <v>16</v>
      </c>
      <c r="U8" s="101">
        <v>46</v>
      </c>
      <c r="V8" s="101">
        <v>28</v>
      </c>
      <c r="W8" s="101">
        <v>14</v>
      </c>
      <c r="X8" s="101">
        <v>24</v>
      </c>
      <c r="Y8" s="2"/>
      <c r="Z8" s="101">
        <v>99</v>
      </c>
      <c r="AA8" s="101">
        <v>80</v>
      </c>
      <c r="AB8" s="101">
        <v>17</v>
      </c>
      <c r="AC8" s="101">
        <v>46</v>
      </c>
      <c r="AD8" s="101">
        <v>28</v>
      </c>
      <c r="AE8" s="101">
        <v>14</v>
      </c>
      <c r="AF8" s="101">
        <v>25</v>
      </c>
      <c r="AG8" s="2"/>
      <c r="AH8" s="101">
        <v>99</v>
      </c>
      <c r="AI8" s="101">
        <v>80</v>
      </c>
      <c r="AJ8" s="101">
        <v>21</v>
      </c>
      <c r="AK8" s="101">
        <v>46</v>
      </c>
      <c r="AL8" s="101">
        <v>25</v>
      </c>
      <c r="AM8" s="101">
        <v>16</v>
      </c>
      <c r="AN8" s="101">
        <v>20</v>
      </c>
      <c r="AO8" s="2"/>
      <c r="AP8" s="101">
        <v>99</v>
      </c>
      <c r="AQ8" s="101">
        <v>80</v>
      </c>
      <c r="AR8" s="101">
        <v>16</v>
      </c>
      <c r="AS8" s="101">
        <v>48</v>
      </c>
      <c r="AT8" s="101">
        <v>29</v>
      </c>
      <c r="AU8" s="101">
        <v>17</v>
      </c>
      <c r="AV8" s="101">
        <v>23</v>
      </c>
      <c r="BD8" s="2">
        <v>99</v>
      </c>
      <c r="BE8" s="2">
        <v>80</v>
      </c>
      <c r="BF8" s="2">
        <v>21</v>
      </c>
    </row>
    <row r="9" spans="2:58" x14ac:dyDescent="0.2">
      <c r="B9" s="2">
        <v>99</v>
      </c>
      <c r="C9" s="2">
        <v>79</v>
      </c>
      <c r="D9" s="2">
        <v>23</v>
      </c>
      <c r="E9" s="2">
        <v>43</v>
      </c>
      <c r="F9" s="2">
        <v>23</v>
      </c>
      <c r="G9" s="2">
        <v>14</v>
      </c>
      <c r="H9" s="2">
        <v>20</v>
      </c>
      <c r="I9" s="2"/>
      <c r="J9" s="101">
        <v>99</v>
      </c>
      <c r="K9" s="101">
        <v>79</v>
      </c>
      <c r="L9" s="101">
        <v>23</v>
      </c>
      <c r="M9" s="101">
        <v>43</v>
      </c>
      <c r="N9" s="101">
        <v>23</v>
      </c>
      <c r="O9" s="101">
        <v>14</v>
      </c>
      <c r="P9" s="101">
        <v>20</v>
      </c>
      <c r="Q9" s="2"/>
      <c r="R9" s="101">
        <v>99</v>
      </c>
      <c r="S9" s="101">
        <v>79</v>
      </c>
      <c r="T9" s="101">
        <v>15</v>
      </c>
      <c r="U9" s="101">
        <v>45</v>
      </c>
      <c r="V9" s="101">
        <v>27</v>
      </c>
      <c r="W9" s="101">
        <v>13</v>
      </c>
      <c r="X9" s="101">
        <v>23</v>
      </c>
      <c r="Y9" s="2"/>
      <c r="Z9" s="101">
        <v>99</v>
      </c>
      <c r="AA9" s="101">
        <v>79</v>
      </c>
      <c r="AB9" s="101">
        <v>16</v>
      </c>
      <c r="AC9" s="101">
        <v>45</v>
      </c>
      <c r="AD9" s="101">
        <v>27</v>
      </c>
      <c r="AE9" s="101">
        <v>13</v>
      </c>
      <c r="AF9" s="101">
        <v>24</v>
      </c>
      <c r="AG9" s="2"/>
      <c r="AH9" s="101">
        <v>99</v>
      </c>
      <c r="AI9" s="101">
        <v>79</v>
      </c>
      <c r="AJ9" s="101">
        <v>20</v>
      </c>
      <c r="AK9" s="101">
        <v>45</v>
      </c>
      <c r="AL9" s="101">
        <v>24</v>
      </c>
      <c r="AM9" s="101">
        <v>15</v>
      </c>
      <c r="AN9" s="101">
        <v>19</v>
      </c>
      <c r="AO9" s="2"/>
      <c r="AP9" s="101">
        <v>99</v>
      </c>
      <c r="AQ9" s="101">
        <v>79</v>
      </c>
      <c r="AR9" s="101">
        <v>15</v>
      </c>
      <c r="AS9" s="101">
        <v>47</v>
      </c>
      <c r="AT9" s="101">
        <v>28</v>
      </c>
      <c r="AU9" s="101">
        <v>16</v>
      </c>
      <c r="AV9" s="101">
        <v>22</v>
      </c>
      <c r="BD9" s="2">
        <v>99</v>
      </c>
      <c r="BE9" s="2">
        <v>79</v>
      </c>
      <c r="BF9" s="2">
        <v>20</v>
      </c>
    </row>
    <row r="10" spans="2:58" x14ac:dyDescent="0.2">
      <c r="B10" s="2">
        <v>99</v>
      </c>
      <c r="C10" s="2">
        <v>78</v>
      </c>
      <c r="D10" s="2">
        <v>22</v>
      </c>
      <c r="E10" s="2">
        <v>42</v>
      </c>
      <c r="F10" s="2">
        <v>22</v>
      </c>
      <c r="G10" s="2">
        <v>13</v>
      </c>
      <c r="H10" s="2">
        <v>19</v>
      </c>
      <c r="I10" s="2"/>
      <c r="J10" s="101">
        <v>99</v>
      </c>
      <c r="K10" s="101">
        <v>78</v>
      </c>
      <c r="L10" s="101">
        <v>22</v>
      </c>
      <c r="M10" s="101">
        <v>42</v>
      </c>
      <c r="N10" s="101">
        <v>22</v>
      </c>
      <c r="O10" s="101">
        <v>13</v>
      </c>
      <c r="P10" s="101">
        <v>19</v>
      </c>
      <c r="Q10" s="2"/>
      <c r="R10" s="101">
        <v>99</v>
      </c>
      <c r="S10" s="101">
        <v>78</v>
      </c>
      <c r="T10" s="101">
        <v>14</v>
      </c>
      <c r="U10" s="101">
        <v>44</v>
      </c>
      <c r="V10" s="101">
        <v>26</v>
      </c>
      <c r="W10" s="101">
        <v>12</v>
      </c>
      <c r="X10" s="101">
        <v>22</v>
      </c>
      <c r="Y10" s="2"/>
      <c r="Z10" s="101">
        <v>99</v>
      </c>
      <c r="AA10" s="101">
        <v>78</v>
      </c>
      <c r="AB10" s="101">
        <v>15</v>
      </c>
      <c r="AC10" s="101">
        <v>44</v>
      </c>
      <c r="AD10" s="101">
        <v>26</v>
      </c>
      <c r="AE10" s="101">
        <v>12</v>
      </c>
      <c r="AF10" s="101">
        <v>23</v>
      </c>
      <c r="AG10" s="2"/>
      <c r="AH10" s="101">
        <v>99</v>
      </c>
      <c r="AI10" s="101">
        <v>78</v>
      </c>
      <c r="AJ10" s="101">
        <v>19</v>
      </c>
      <c r="AK10" s="101">
        <v>44</v>
      </c>
      <c r="AL10" s="101">
        <v>23</v>
      </c>
      <c r="AM10" s="101">
        <v>14</v>
      </c>
      <c r="AN10" s="101">
        <v>18</v>
      </c>
      <c r="AO10" s="2"/>
      <c r="AP10" s="101">
        <v>99</v>
      </c>
      <c r="AQ10" s="101">
        <v>78</v>
      </c>
      <c r="AR10" s="101">
        <v>14</v>
      </c>
      <c r="AS10" s="101">
        <v>46</v>
      </c>
      <c r="AT10" s="101">
        <v>27</v>
      </c>
      <c r="AU10" s="101">
        <v>15</v>
      </c>
      <c r="AV10" s="101">
        <v>21</v>
      </c>
      <c r="BD10" s="2">
        <v>99</v>
      </c>
      <c r="BE10" s="2">
        <v>78</v>
      </c>
      <c r="BF10" s="2">
        <v>19</v>
      </c>
    </row>
    <row r="11" spans="2:58" x14ac:dyDescent="0.2">
      <c r="B11" s="2">
        <v>99</v>
      </c>
      <c r="C11" s="2">
        <v>77</v>
      </c>
      <c r="D11" s="2">
        <v>21</v>
      </c>
      <c r="E11" s="2">
        <v>41</v>
      </c>
      <c r="F11" s="2">
        <v>21</v>
      </c>
      <c r="G11" s="2">
        <v>12</v>
      </c>
      <c r="H11" s="2">
        <v>18</v>
      </c>
      <c r="I11" s="2"/>
      <c r="J11" s="101">
        <v>99</v>
      </c>
      <c r="K11" s="101">
        <v>77</v>
      </c>
      <c r="L11" s="101">
        <v>21</v>
      </c>
      <c r="M11" s="101">
        <v>41</v>
      </c>
      <c r="N11" s="101">
        <v>21</v>
      </c>
      <c r="O11" s="101">
        <v>12</v>
      </c>
      <c r="P11" s="101">
        <v>18</v>
      </c>
      <c r="Q11" s="2"/>
      <c r="R11" s="101">
        <v>99</v>
      </c>
      <c r="S11" s="101">
        <v>77</v>
      </c>
      <c r="T11" s="101">
        <v>13</v>
      </c>
      <c r="U11" s="101">
        <v>43</v>
      </c>
      <c r="V11" s="101">
        <v>25</v>
      </c>
      <c r="W11" s="101">
        <v>11</v>
      </c>
      <c r="X11" s="101">
        <v>21</v>
      </c>
      <c r="Y11" s="2"/>
      <c r="Z11" s="101">
        <v>99</v>
      </c>
      <c r="AA11" s="101">
        <v>77</v>
      </c>
      <c r="AB11" s="101">
        <v>14</v>
      </c>
      <c r="AC11" s="101">
        <v>43</v>
      </c>
      <c r="AD11" s="101">
        <v>25</v>
      </c>
      <c r="AE11" s="101">
        <v>11</v>
      </c>
      <c r="AF11" s="101">
        <v>22</v>
      </c>
      <c r="AG11" s="2"/>
      <c r="AH11" s="101">
        <v>99</v>
      </c>
      <c r="AI11" s="101">
        <v>77</v>
      </c>
      <c r="AJ11" s="101">
        <v>18</v>
      </c>
      <c r="AK11" s="101">
        <v>43</v>
      </c>
      <c r="AL11" s="101">
        <v>22</v>
      </c>
      <c r="AM11" s="101">
        <v>13</v>
      </c>
      <c r="AN11" s="101">
        <v>17</v>
      </c>
      <c r="AO11" s="2"/>
      <c r="AP11" s="101">
        <v>99</v>
      </c>
      <c r="AQ11" s="101">
        <v>77</v>
      </c>
      <c r="AR11" s="101">
        <v>13</v>
      </c>
      <c r="AS11" s="101">
        <v>45</v>
      </c>
      <c r="AT11" s="101">
        <v>26</v>
      </c>
      <c r="AU11" s="101">
        <v>14</v>
      </c>
      <c r="AV11" s="101">
        <v>20</v>
      </c>
      <c r="BD11" s="2">
        <v>99</v>
      </c>
      <c r="BE11" s="2">
        <v>77</v>
      </c>
      <c r="BF11" s="2">
        <v>18</v>
      </c>
    </row>
    <row r="12" spans="2:58" x14ac:dyDescent="0.2">
      <c r="B12" s="2">
        <v>99</v>
      </c>
      <c r="C12" s="2">
        <v>76</v>
      </c>
      <c r="D12" s="2"/>
      <c r="E12" s="2"/>
      <c r="F12" s="2"/>
      <c r="G12" s="2"/>
      <c r="H12" s="2"/>
      <c r="I12" s="2"/>
      <c r="J12" s="101">
        <v>99</v>
      </c>
      <c r="K12" s="101">
        <v>76</v>
      </c>
      <c r="L12" s="101"/>
      <c r="M12" s="101"/>
      <c r="N12" s="101"/>
      <c r="O12" s="101"/>
      <c r="P12" s="101"/>
      <c r="Q12" s="2"/>
      <c r="R12" s="101">
        <v>99</v>
      </c>
      <c r="S12" s="101">
        <v>76</v>
      </c>
      <c r="T12" s="101"/>
      <c r="U12" s="101"/>
      <c r="V12" s="101"/>
      <c r="W12" s="101"/>
      <c r="X12" s="101"/>
      <c r="Y12" s="2"/>
      <c r="Z12" s="101">
        <v>99</v>
      </c>
      <c r="AA12" s="101">
        <v>76</v>
      </c>
      <c r="AB12" s="101"/>
      <c r="AC12" s="101"/>
      <c r="AD12" s="101"/>
      <c r="AE12" s="101"/>
      <c r="AF12" s="101"/>
      <c r="AG12" s="2"/>
      <c r="AH12" s="101">
        <v>99</v>
      </c>
      <c r="AI12" s="101">
        <v>76</v>
      </c>
      <c r="AJ12" s="101"/>
      <c r="AK12" s="101"/>
      <c r="AL12" s="101"/>
      <c r="AM12" s="101"/>
      <c r="AN12" s="101"/>
      <c r="AO12" s="2"/>
      <c r="AP12" s="101">
        <v>99</v>
      </c>
      <c r="AQ12" s="101">
        <v>76</v>
      </c>
      <c r="AR12" s="101"/>
      <c r="AS12" s="101"/>
      <c r="AT12" s="101"/>
      <c r="AU12" s="101"/>
      <c r="AV12" s="101"/>
      <c r="BD12" s="2">
        <v>99</v>
      </c>
      <c r="BE12" s="2">
        <v>76</v>
      </c>
      <c r="BF12" s="2"/>
    </row>
    <row r="13" spans="2:58" x14ac:dyDescent="0.2">
      <c r="B13" s="2">
        <v>99</v>
      </c>
      <c r="C13" s="2">
        <v>75</v>
      </c>
      <c r="D13" s="2"/>
      <c r="E13" s="2"/>
      <c r="F13" s="2"/>
      <c r="G13" s="2"/>
      <c r="H13" s="2"/>
      <c r="I13" s="2"/>
      <c r="J13" s="101">
        <v>99</v>
      </c>
      <c r="K13" s="101">
        <v>75</v>
      </c>
      <c r="L13" s="101"/>
      <c r="M13" s="101"/>
      <c r="N13" s="101"/>
      <c r="O13" s="101"/>
      <c r="P13" s="101"/>
      <c r="Q13" s="2"/>
      <c r="R13" s="101">
        <v>99</v>
      </c>
      <c r="S13" s="101">
        <v>75</v>
      </c>
      <c r="T13" s="101"/>
      <c r="U13" s="101"/>
      <c r="V13" s="101"/>
      <c r="W13" s="101"/>
      <c r="X13" s="101"/>
      <c r="Y13" s="2"/>
      <c r="Z13" s="101">
        <v>99</v>
      </c>
      <c r="AA13" s="101">
        <v>75</v>
      </c>
      <c r="AB13" s="101"/>
      <c r="AC13" s="101"/>
      <c r="AD13" s="101"/>
      <c r="AE13" s="101"/>
      <c r="AF13" s="101"/>
      <c r="AG13" s="2"/>
      <c r="AH13" s="101">
        <v>99</v>
      </c>
      <c r="AI13" s="101">
        <v>75</v>
      </c>
      <c r="AJ13" s="101"/>
      <c r="AK13" s="101"/>
      <c r="AL13" s="101"/>
      <c r="AM13" s="101"/>
      <c r="AN13" s="101"/>
      <c r="AO13" s="2"/>
      <c r="AP13" s="101">
        <v>99</v>
      </c>
      <c r="AQ13" s="101">
        <v>75</v>
      </c>
      <c r="AR13" s="101"/>
      <c r="AS13" s="101"/>
      <c r="AT13" s="101"/>
      <c r="AU13" s="101"/>
      <c r="AV13" s="101"/>
      <c r="BD13" s="2">
        <v>99</v>
      </c>
      <c r="BE13" s="2">
        <v>75</v>
      </c>
      <c r="BF13" s="2"/>
    </row>
    <row r="14" spans="2:58" x14ac:dyDescent="0.2">
      <c r="B14" s="2">
        <v>99</v>
      </c>
      <c r="C14" s="2">
        <v>74</v>
      </c>
      <c r="D14" s="2">
        <v>20</v>
      </c>
      <c r="E14" s="2">
        <v>40</v>
      </c>
      <c r="F14" s="2">
        <v>20</v>
      </c>
      <c r="G14" s="2">
        <v>11</v>
      </c>
      <c r="H14" s="2">
        <v>17</v>
      </c>
      <c r="I14" s="2"/>
      <c r="J14" s="101">
        <v>99</v>
      </c>
      <c r="K14" s="101">
        <v>74</v>
      </c>
      <c r="L14" s="101">
        <v>20</v>
      </c>
      <c r="M14" s="101">
        <v>40</v>
      </c>
      <c r="N14" s="101">
        <v>20</v>
      </c>
      <c r="O14" s="101">
        <v>11</v>
      </c>
      <c r="P14" s="101">
        <v>17</v>
      </c>
      <c r="Q14" s="2"/>
      <c r="R14" s="101">
        <v>99</v>
      </c>
      <c r="S14" s="101">
        <v>74</v>
      </c>
      <c r="T14" s="101">
        <v>12</v>
      </c>
      <c r="U14" s="101">
        <v>42</v>
      </c>
      <c r="V14" s="101">
        <v>24</v>
      </c>
      <c r="W14" s="101">
        <v>10</v>
      </c>
      <c r="X14" s="101">
        <v>20</v>
      </c>
      <c r="Y14" s="2"/>
      <c r="Z14" s="101">
        <v>99</v>
      </c>
      <c r="AA14" s="101">
        <v>74</v>
      </c>
      <c r="AB14" s="101">
        <v>13</v>
      </c>
      <c r="AC14" s="101">
        <v>42</v>
      </c>
      <c r="AD14" s="101">
        <v>24</v>
      </c>
      <c r="AE14" s="101">
        <v>10</v>
      </c>
      <c r="AF14" s="101">
        <v>21</v>
      </c>
      <c r="AG14" s="2"/>
      <c r="AH14" s="101">
        <v>99</v>
      </c>
      <c r="AI14" s="101">
        <v>74</v>
      </c>
      <c r="AJ14" s="101">
        <v>17</v>
      </c>
      <c r="AK14" s="101">
        <v>42</v>
      </c>
      <c r="AL14" s="101">
        <v>21</v>
      </c>
      <c r="AM14" s="101">
        <v>12</v>
      </c>
      <c r="AN14" s="101">
        <v>16</v>
      </c>
      <c r="AO14" s="2"/>
      <c r="AP14" s="101">
        <v>99</v>
      </c>
      <c r="AQ14" s="101">
        <v>74</v>
      </c>
      <c r="AR14" s="101">
        <v>12</v>
      </c>
      <c r="AS14" s="101">
        <v>44</v>
      </c>
      <c r="AT14" s="101">
        <v>25</v>
      </c>
      <c r="AU14" s="101">
        <v>13</v>
      </c>
      <c r="AV14" s="101">
        <v>19</v>
      </c>
      <c r="BD14" s="2">
        <v>99</v>
      </c>
      <c r="BE14" s="2">
        <v>74</v>
      </c>
      <c r="BF14" s="2">
        <v>17</v>
      </c>
    </row>
    <row r="15" spans="2:58" x14ac:dyDescent="0.2">
      <c r="B15" s="2">
        <v>99</v>
      </c>
      <c r="C15" s="2">
        <v>73</v>
      </c>
      <c r="D15" s="2">
        <v>19</v>
      </c>
      <c r="E15" s="2">
        <v>39</v>
      </c>
      <c r="F15" s="2">
        <v>19</v>
      </c>
      <c r="G15" s="2">
        <v>10</v>
      </c>
      <c r="H15" s="2">
        <v>16</v>
      </c>
      <c r="I15" s="2"/>
      <c r="J15" s="101">
        <v>99</v>
      </c>
      <c r="K15" s="101">
        <v>73</v>
      </c>
      <c r="L15" s="101">
        <v>19</v>
      </c>
      <c r="M15" s="101">
        <v>39</v>
      </c>
      <c r="N15" s="101">
        <v>19</v>
      </c>
      <c r="O15" s="101">
        <v>10</v>
      </c>
      <c r="P15" s="101">
        <v>16</v>
      </c>
      <c r="Q15" s="2"/>
      <c r="R15" s="101">
        <v>99</v>
      </c>
      <c r="S15" s="101">
        <v>73</v>
      </c>
      <c r="T15" s="101">
        <v>11</v>
      </c>
      <c r="U15" s="101">
        <v>41</v>
      </c>
      <c r="V15" s="101">
        <v>23</v>
      </c>
      <c r="W15" s="101">
        <v>9</v>
      </c>
      <c r="X15" s="101">
        <v>19</v>
      </c>
      <c r="Y15" s="2"/>
      <c r="Z15" s="101">
        <v>99</v>
      </c>
      <c r="AA15" s="101">
        <v>73</v>
      </c>
      <c r="AB15" s="101">
        <v>12</v>
      </c>
      <c r="AC15" s="101">
        <v>41</v>
      </c>
      <c r="AD15" s="101">
        <v>23</v>
      </c>
      <c r="AE15" s="101">
        <v>9</v>
      </c>
      <c r="AF15" s="101">
        <v>20</v>
      </c>
      <c r="AG15" s="2"/>
      <c r="AH15" s="101">
        <v>99</v>
      </c>
      <c r="AI15" s="101">
        <v>73</v>
      </c>
      <c r="AJ15" s="101">
        <v>16</v>
      </c>
      <c r="AK15" s="101">
        <v>41</v>
      </c>
      <c r="AL15" s="101">
        <v>20</v>
      </c>
      <c r="AM15" s="101">
        <v>11</v>
      </c>
      <c r="AN15" s="101">
        <v>15</v>
      </c>
      <c r="AO15" s="2"/>
      <c r="AP15" s="101">
        <v>99</v>
      </c>
      <c r="AQ15" s="101">
        <v>73</v>
      </c>
      <c r="AR15" s="101">
        <v>11</v>
      </c>
      <c r="AS15" s="101">
        <v>43</v>
      </c>
      <c r="AT15" s="101">
        <v>24</v>
      </c>
      <c r="AU15" s="101">
        <v>12</v>
      </c>
      <c r="AV15" s="101">
        <v>18</v>
      </c>
      <c r="BD15" s="2">
        <v>99</v>
      </c>
      <c r="BE15" s="2">
        <v>73</v>
      </c>
      <c r="BF15" s="2">
        <v>16</v>
      </c>
    </row>
    <row r="16" spans="2:58" x14ac:dyDescent="0.2">
      <c r="B16" s="2"/>
      <c r="C16" s="2">
        <v>72</v>
      </c>
      <c r="D16" s="2"/>
      <c r="E16" s="2"/>
      <c r="F16" s="2"/>
      <c r="G16" s="2"/>
      <c r="H16" s="2"/>
      <c r="I16" s="2"/>
      <c r="J16" s="101"/>
      <c r="K16" s="101">
        <v>72</v>
      </c>
      <c r="L16" s="101"/>
      <c r="M16" s="101"/>
      <c r="N16" s="101"/>
      <c r="O16" s="101"/>
      <c r="P16" s="101"/>
      <c r="Q16" s="2"/>
      <c r="R16" s="101"/>
      <c r="S16" s="101">
        <v>72</v>
      </c>
      <c r="T16" s="101"/>
      <c r="U16" s="101"/>
      <c r="V16" s="101"/>
      <c r="W16" s="101"/>
      <c r="X16" s="101"/>
      <c r="Y16" s="2"/>
      <c r="Z16" s="101"/>
      <c r="AA16" s="101">
        <v>72</v>
      </c>
      <c r="AB16" s="101"/>
      <c r="AC16" s="101"/>
      <c r="AD16" s="101"/>
      <c r="AE16" s="101"/>
      <c r="AF16" s="101"/>
      <c r="AG16" s="2"/>
      <c r="AH16" s="101"/>
      <c r="AI16" s="101">
        <v>72</v>
      </c>
      <c r="AJ16" s="101"/>
      <c r="AK16" s="101"/>
      <c r="AL16" s="101"/>
      <c r="AM16" s="101"/>
      <c r="AN16" s="101"/>
      <c r="AO16" s="2"/>
      <c r="AP16" s="101"/>
      <c r="AQ16" s="101">
        <v>72</v>
      </c>
      <c r="AR16" s="101"/>
      <c r="AS16" s="101"/>
      <c r="AT16" s="101"/>
      <c r="AU16" s="101"/>
      <c r="AV16" s="101"/>
      <c r="BD16" s="2"/>
      <c r="BE16" s="2">
        <v>72</v>
      </c>
      <c r="BF16" s="2"/>
    </row>
    <row r="17" spans="2:58" x14ac:dyDescent="0.2">
      <c r="B17" s="2">
        <v>98</v>
      </c>
      <c r="C17" s="2">
        <v>71</v>
      </c>
      <c r="D17" s="2">
        <v>18</v>
      </c>
      <c r="E17" s="2">
        <v>38</v>
      </c>
      <c r="F17" s="2"/>
      <c r="G17" s="2"/>
      <c r="H17" s="2">
        <v>15</v>
      </c>
      <c r="I17" s="2"/>
      <c r="J17" s="101">
        <v>98</v>
      </c>
      <c r="K17" s="101">
        <v>71</v>
      </c>
      <c r="L17" s="101">
        <v>18</v>
      </c>
      <c r="M17" s="101">
        <v>38</v>
      </c>
      <c r="N17" s="101"/>
      <c r="O17" s="101"/>
      <c r="P17" s="101">
        <v>15</v>
      </c>
      <c r="Q17" s="2"/>
      <c r="R17" s="101">
        <v>98</v>
      </c>
      <c r="S17" s="101">
        <v>71</v>
      </c>
      <c r="T17" s="101">
        <v>10</v>
      </c>
      <c r="U17" s="101">
        <v>40</v>
      </c>
      <c r="V17" s="101">
        <v>22</v>
      </c>
      <c r="W17" s="101"/>
      <c r="X17" s="101">
        <v>18</v>
      </c>
      <c r="Y17" s="2"/>
      <c r="Z17" s="101">
        <v>98</v>
      </c>
      <c r="AA17" s="101">
        <v>71</v>
      </c>
      <c r="AB17" s="101">
        <v>11</v>
      </c>
      <c r="AC17" s="101">
        <v>40</v>
      </c>
      <c r="AD17" s="101">
        <v>22</v>
      </c>
      <c r="AE17" s="101"/>
      <c r="AF17" s="101">
        <v>19</v>
      </c>
      <c r="AG17" s="2"/>
      <c r="AH17" s="101">
        <v>98</v>
      </c>
      <c r="AI17" s="101">
        <v>71</v>
      </c>
      <c r="AJ17" s="101">
        <v>15</v>
      </c>
      <c r="AK17" s="101">
        <v>40</v>
      </c>
      <c r="AL17" s="101">
        <v>19</v>
      </c>
      <c r="AM17" s="101">
        <v>10</v>
      </c>
      <c r="AN17" s="101">
        <v>14</v>
      </c>
      <c r="AO17" s="2"/>
      <c r="AP17" s="101">
        <v>98</v>
      </c>
      <c r="AQ17" s="101">
        <v>71</v>
      </c>
      <c r="AR17" s="101">
        <v>10</v>
      </c>
      <c r="AS17" s="101">
        <v>42</v>
      </c>
      <c r="AT17" s="101">
        <v>23</v>
      </c>
      <c r="AU17" s="101">
        <v>11</v>
      </c>
      <c r="AV17" s="101">
        <v>17</v>
      </c>
      <c r="BD17" s="2">
        <v>98</v>
      </c>
      <c r="BE17" s="2">
        <v>71</v>
      </c>
      <c r="BF17" s="2">
        <v>15</v>
      </c>
    </row>
    <row r="18" spans="2:58" x14ac:dyDescent="0.2">
      <c r="B18" s="2"/>
      <c r="C18" s="2">
        <v>70</v>
      </c>
      <c r="D18" s="2"/>
      <c r="E18" s="2"/>
      <c r="F18" s="2"/>
      <c r="G18" s="2"/>
      <c r="H18" s="2"/>
      <c r="I18" s="2"/>
      <c r="J18" s="101"/>
      <c r="K18" s="101">
        <v>70</v>
      </c>
      <c r="L18" s="101"/>
      <c r="M18" s="101"/>
      <c r="N18" s="101"/>
      <c r="O18" s="101"/>
      <c r="P18" s="101"/>
      <c r="Q18" s="2"/>
      <c r="R18" s="101"/>
      <c r="S18" s="101">
        <v>70</v>
      </c>
      <c r="T18" s="101"/>
      <c r="U18" s="101"/>
      <c r="V18" s="101"/>
      <c r="W18" s="101"/>
      <c r="X18" s="101"/>
      <c r="Y18" s="2"/>
      <c r="Z18" s="101"/>
      <c r="AA18" s="101">
        <v>70</v>
      </c>
      <c r="AB18" s="101"/>
      <c r="AC18" s="101"/>
      <c r="AD18" s="101"/>
      <c r="AE18" s="101"/>
      <c r="AF18" s="101"/>
      <c r="AG18" s="2"/>
      <c r="AH18" s="101"/>
      <c r="AI18" s="101">
        <v>70</v>
      </c>
      <c r="AJ18" s="101"/>
      <c r="AK18" s="101"/>
      <c r="AL18" s="101"/>
      <c r="AM18" s="101"/>
      <c r="AN18" s="101"/>
      <c r="AO18" s="2"/>
      <c r="AP18" s="101"/>
      <c r="AQ18" s="101">
        <v>70</v>
      </c>
      <c r="AR18" s="101"/>
      <c r="AS18" s="101"/>
      <c r="AT18" s="101"/>
      <c r="AU18" s="101"/>
      <c r="AV18" s="101"/>
      <c r="BD18" s="2"/>
      <c r="BE18" s="2">
        <v>70</v>
      </c>
      <c r="BF18" s="2"/>
    </row>
    <row r="19" spans="2:58" x14ac:dyDescent="0.2">
      <c r="B19" s="2">
        <v>97</v>
      </c>
      <c r="C19" s="2">
        <v>69</v>
      </c>
      <c r="D19" s="2">
        <v>17</v>
      </c>
      <c r="E19" s="2">
        <v>37</v>
      </c>
      <c r="F19" s="2"/>
      <c r="G19" s="2"/>
      <c r="H19" s="2">
        <v>14</v>
      </c>
      <c r="I19" s="2"/>
      <c r="J19" s="101">
        <v>97</v>
      </c>
      <c r="K19" s="101">
        <v>69</v>
      </c>
      <c r="L19" s="101">
        <v>17</v>
      </c>
      <c r="M19" s="101">
        <v>37</v>
      </c>
      <c r="N19" s="101"/>
      <c r="O19" s="101"/>
      <c r="P19" s="101">
        <v>14</v>
      </c>
      <c r="Q19" s="2"/>
      <c r="R19" s="101">
        <v>97</v>
      </c>
      <c r="S19" s="101">
        <v>69</v>
      </c>
      <c r="T19" s="101">
        <v>9</v>
      </c>
      <c r="U19" s="101">
        <v>39</v>
      </c>
      <c r="V19" s="101">
        <v>21</v>
      </c>
      <c r="W19" s="101">
        <v>8</v>
      </c>
      <c r="X19" s="101">
        <v>17</v>
      </c>
      <c r="Y19" s="2"/>
      <c r="Z19" s="101">
        <v>97</v>
      </c>
      <c r="AA19" s="101">
        <v>69</v>
      </c>
      <c r="AB19" s="101">
        <v>10</v>
      </c>
      <c r="AC19" s="101">
        <v>39</v>
      </c>
      <c r="AD19" s="101">
        <v>21</v>
      </c>
      <c r="AE19" s="101">
        <v>8</v>
      </c>
      <c r="AF19" s="101">
        <v>18</v>
      </c>
      <c r="AG19" s="2"/>
      <c r="AH19" s="101">
        <v>97</v>
      </c>
      <c r="AI19" s="101">
        <v>69</v>
      </c>
      <c r="AJ19" s="101">
        <v>14</v>
      </c>
      <c r="AK19" s="101">
        <v>39</v>
      </c>
      <c r="AL19" s="101"/>
      <c r="AM19" s="101"/>
      <c r="AN19" s="101"/>
      <c r="AO19" s="2"/>
      <c r="AP19" s="101">
        <v>97</v>
      </c>
      <c r="AQ19" s="101">
        <v>69</v>
      </c>
      <c r="AR19" s="101">
        <v>9</v>
      </c>
      <c r="AS19" s="101">
        <v>41</v>
      </c>
      <c r="AT19" s="101">
        <v>22</v>
      </c>
      <c r="AU19" s="101">
        <v>10</v>
      </c>
      <c r="AV19" s="101">
        <v>16</v>
      </c>
      <c r="BD19" s="2">
        <v>97</v>
      </c>
      <c r="BE19" s="2">
        <v>69</v>
      </c>
      <c r="BF19" s="2">
        <v>14</v>
      </c>
    </row>
    <row r="20" spans="2:58" x14ac:dyDescent="0.2">
      <c r="B20" s="2"/>
      <c r="C20" s="2">
        <v>68</v>
      </c>
      <c r="D20" s="2"/>
      <c r="E20" s="2"/>
      <c r="F20" s="2"/>
      <c r="G20" s="2"/>
      <c r="H20" s="2"/>
      <c r="I20" s="2"/>
      <c r="J20" s="101"/>
      <c r="K20" s="101">
        <v>68</v>
      </c>
      <c r="L20" s="101"/>
      <c r="M20" s="101"/>
      <c r="N20" s="101"/>
      <c r="O20" s="101"/>
      <c r="P20" s="101"/>
      <c r="Q20" s="2"/>
      <c r="R20" s="101"/>
      <c r="S20" s="101">
        <v>68</v>
      </c>
      <c r="T20" s="101"/>
      <c r="U20" s="101"/>
      <c r="V20" s="101"/>
      <c r="W20" s="101"/>
      <c r="X20" s="101"/>
      <c r="Y20" s="2"/>
      <c r="Z20" s="101"/>
      <c r="AA20" s="101">
        <v>68</v>
      </c>
      <c r="AB20" s="101"/>
      <c r="AC20" s="101"/>
      <c r="AD20" s="101"/>
      <c r="AE20" s="101"/>
      <c r="AF20" s="101"/>
      <c r="AG20" s="2"/>
      <c r="AH20" s="101"/>
      <c r="AI20" s="101">
        <v>68</v>
      </c>
      <c r="AJ20" s="101"/>
      <c r="AK20" s="101"/>
      <c r="AL20" s="101"/>
      <c r="AM20" s="101"/>
      <c r="AN20" s="101"/>
      <c r="AO20" s="2"/>
      <c r="AP20" s="101"/>
      <c r="AQ20" s="101">
        <v>68</v>
      </c>
      <c r="AR20" s="101"/>
      <c r="AS20" s="101"/>
      <c r="AT20" s="101"/>
      <c r="AU20" s="101"/>
      <c r="AV20" s="101"/>
      <c r="BD20" s="2"/>
      <c r="BE20" s="2">
        <v>68</v>
      </c>
      <c r="BF20" s="2"/>
    </row>
    <row r="21" spans="2:58" x14ac:dyDescent="0.2">
      <c r="B21" s="2">
        <v>96</v>
      </c>
      <c r="C21" s="2">
        <v>67</v>
      </c>
      <c r="D21" s="2">
        <v>16</v>
      </c>
      <c r="E21" s="2"/>
      <c r="F21" s="2">
        <v>18</v>
      </c>
      <c r="G21" s="2"/>
      <c r="H21" s="2">
        <v>13</v>
      </c>
      <c r="I21" s="2"/>
      <c r="J21" s="101">
        <v>96</v>
      </c>
      <c r="K21" s="101">
        <v>67</v>
      </c>
      <c r="L21" s="101">
        <v>16</v>
      </c>
      <c r="M21" s="101"/>
      <c r="N21" s="101">
        <v>18</v>
      </c>
      <c r="O21" s="101"/>
      <c r="P21" s="101">
        <v>13</v>
      </c>
      <c r="Q21" s="2"/>
      <c r="R21" s="101">
        <v>96</v>
      </c>
      <c r="S21" s="101">
        <v>67</v>
      </c>
      <c r="T21" s="101"/>
      <c r="U21" s="101"/>
      <c r="V21" s="101">
        <v>20</v>
      </c>
      <c r="W21" s="101">
        <v>7</v>
      </c>
      <c r="X21" s="101">
        <v>16</v>
      </c>
      <c r="Y21" s="2"/>
      <c r="Z21" s="101">
        <v>96</v>
      </c>
      <c r="AA21" s="101">
        <v>67</v>
      </c>
      <c r="AB21" s="101">
        <v>9</v>
      </c>
      <c r="AC21" s="101"/>
      <c r="AD21" s="101">
        <v>20</v>
      </c>
      <c r="AE21" s="101"/>
      <c r="AF21" s="101">
        <v>17</v>
      </c>
      <c r="AG21" s="2"/>
      <c r="AH21" s="101">
        <v>96</v>
      </c>
      <c r="AI21" s="101">
        <v>67</v>
      </c>
      <c r="AJ21" s="101">
        <v>13</v>
      </c>
      <c r="AK21" s="101">
        <v>38</v>
      </c>
      <c r="AL21" s="101"/>
      <c r="AM21" s="101"/>
      <c r="AN21" s="101"/>
      <c r="AO21" s="2"/>
      <c r="AP21" s="101">
        <v>96</v>
      </c>
      <c r="AQ21" s="101">
        <v>67</v>
      </c>
      <c r="AR21" s="101"/>
      <c r="AS21" s="101">
        <v>40</v>
      </c>
      <c r="AT21" s="101">
        <v>21</v>
      </c>
      <c r="AU21" s="101"/>
      <c r="AV21" s="101">
        <v>15</v>
      </c>
      <c r="BD21" s="2">
        <v>96</v>
      </c>
      <c r="BE21" s="2">
        <v>67</v>
      </c>
      <c r="BF21" s="2">
        <v>13</v>
      </c>
    </row>
    <row r="22" spans="2:58" x14ac:dyDescent="0.2">
      <c r="B22" s="2">
        <v>95</v>
      </c>
      <c r="C22" s="2">
        <v>66</v>
      </c>
      <c r="D22" s="2">
        <v>15</v>
      </c>
      <c r="E22" s="2">
        <v>36</v>
      </c>
      <c r="F22" s="2"/>
      <c r="G22" s="2">
        <v>9</v>
      </c>
      <c r="H22" s="2"/>
      <c r="I22" s="2"/>
      <c r="J22" s="101">
        <v>95</v>
      </c>
      <c r="K22" s="101">
        <v>66</v>
      </c>
      <c r="L22" s="101">
        <v>15</v>
      </c>
      <c r="M22" s="101">
        <v>36</v>
      </c>
      <c r="N22" s="101"/>
      <c r="O22" s="101">
        <v>9</v>
      </c>
      <c r="P22" s="101"/>
      <c r="Q22" s="2"/>
      <c r="R22" s="101">
        <v>95</v>
      </c>
      <c r="S22" s="101">
        <v>66</v>
      </c>
      <c r="T22" s="101">
        <v>8</v>
      </c>
      <c r="U22" s="101">
        <v>38</v>
      </c>
      <c r="V22" s="101">
        <v>19</v>
      </c>
      <c r="W22" s="101"/>
      <c r="X22" s="101">
        <v>15</v>
      </c>
      <c r="Y22" s="2"/>
      <c r="Z22" s="101">
        <v>95</v>
      </c>
      <c r="AA22" s="101">
        <v>66</v>
      </c>
      <c r="AB22" s="101">
        <v>8</v>
      </c>
      <c r="AC22" s="101">
        <v>38</v>
      </c>
      <c r="AD22" s="101">
        <v>19</v>
      </c>
      <c r="AE22" s="101"/>
      <c r="AF22" s="101">
        <v>16</v>
      </c>
      <c r="AG22" s="2"/>
      <c r="AH22" s="101">
        <v>95</v>
      </c>
      <c r="AI22" s="101">
        <v>66</v>
      </c>
      <c r="AJ22" s="101">
        <v>12</v>
      </c>
      <c r="AK22" s="101">
        <v>37</v>
      </c>
      <c r="AL22" s="101">
        <v>18</v>
      </c>
      <c r="AM22" s="101"/>
      <c r="AN22" s="101"/>
      <c r="AO22" s="2"/>
      <c r="AP22" s="101">
        <v>95</v>
      </c>
      <c r="AQ22" s="101">
        <v>66</v>
      </c>
      <c r="AR22" s="101"/>
      <c r="AS22" s="101"/>
      <c r="AT22" s="101">
        <v>20</v>
      </c>
      <c r="AU22" s="101">
        <v>9</v>
      </c>
      <c r="AV22" s="101">
        <v>14</v>
      </c>
      <c r="BD22" s="2">
        <v>95</v>
      </c>
      <c r="BE22" s="2">
        <v>66</v>
      </c>
      <c r="BF22" s="2"/>
    </row>
    <row r="23" spans="2:58" x14ac:dyDescent="0.2">
      <c r="B23" s="2">
        <v>93</v>
      </c>
      <c r="C23" s="2">
        <v>65</v>
      </c>
      <c r="D23" s="2">
        <v>14</v>
      </c>
      <c r="E23" s="2">
        <v>35</v>
      </c>
      <c r="F23" s="2"/>
      <c r="G23" s="2"/>
      <c r="H23" s="2"/>
      <c r="I23" s="2"/>
      <c r="J23" s="101">
        <v>93</v>
      </c>
      <c r="K23" s="101">
        <v>65</v>
      </c>
      <c r="L23" s="101">
        <v>14</v>
      </c>
      <c r="M23" s="101">
        <v>35</v>
      </c>
      <c r="N23" s="101"/>
      <c r="O23" s="101"/>
      <c r="P23" s="101"/>
      <c r="Q23" s="2"/>
      <c r="R23" s="101">
        <v>93</v>
      </c>
      <c r="S23" s="101">
        <v>65</v>
      </c>
      <c r="T23" s="101"/>
      <c r="U23" s="101">
        <v>37</v>
      </c>
      <c r="V23" s="101"/>
      <c r="W23" s="101"/>
      <c r="X23" s="101">
        <v>14</v>
      </c>
      <c r="Y23" s="2"/>
      <c r="Z23" s="101">
        <v>93</v>
      </c>
      <c r="AA23" s="101">
        <v>65</v>
      </c>
      <c r="AB23" s="101"/>
      <c r="AC23" s="101">
        <v>37</v>
      </c>
      <c r="AD23" s="101"/>
      <c r="AE23" s="101"/>
      <c r="AF23" s="101">
        <v>15</v>
      </c>
      <c r="AG23" s="2"/>
      <c r="AH23" s="101">
        <v>93</v>
      </c>
      <c r="AI23" s="101">
        <v>65</v>
      </c>
      <c r="AJ23" s="101">
        <v>11</v>
      </c>
      <c r="AK23" s="101">
        <v>36</v>
      </c>
      <c r="AL23" s="101"/>
      <c r="AM23" s="101"/>
      <c r="AN23" s="101"/>
      <c r="AO23" s="2"/>
      <c r="AP23" s="101">
        <v>93</v>
      </c>
      <c r="AQ23" s="101">
        <v>65</v>
      </c>
      <c r="AR23" s="101"/>
      <c r="AS23" s="101"/>
      <c r="AT23" s="101">
        <v>19</v>
      </c>
      <c r="AU23" s="101"/>
      <c r="AV23" s="101"/>
      <c r="BD23" s="2">
        <v>93</v>
      </c>
      <c r="BE23" s="2">
        <v>65</v>
      </c>
      <c r="BF23" s="2"/>
    </row>
    <row r="24" spans="2:58" x14ac:dyDescent="0.2">
      <c r="B24" s="2">
        <v>92</v>
      </c>
      <c r="C24" s="2">
        <v>64</v>
      </c>
      <c r="D24" s="2">
        <v>13</v>
      </c>
      <c r="E24" s="2">
        <v>34</v>
      </c>
      <c r="F24" s="2">
        <v>17</v>
      </c>
      <c r="G24" s="2"/>
      <c r="H24" s="2"/>
      <c r="I24" s="2"/>
      <c r="J24" s="101">
        <v>92</v>
      </c>
      <c r="K24" s="101">
        <v>64</v>
      </c>
      <c r="L24" s="101">
        <v>13</v>
      </c>
      <c r="M24" s="101">
        <v>34</v>
      </c>
      <c r="N24" s="101">
        <v>17</v>
      </c>
      <c r="O24" s="101"/>
      <c r="P24" s="101"/>
      <c r="Q24" s="2"/>
      <c r="R24" s="101">
        <v>92</v>
      </c>
      <c r="S24" s="101">
        <v>64</v>
      </c>
      <c r="T24" s="101"/>
      <c r="U24" s="101"/>
      <c r="V24" s="101"/>
      <c r="W24" s="101"/>
      <c r="X24" s="101"/>
      <c r="Y24" s="2"/>
      <c r="Z24" s="101">
        <v>92</v>
      </c>
      <c r="AA24" s="101">
        <v>64</v>
      </c>
      <c r="AB24" s="101"/>
      <c r="AC24" s="101"/>
      <c r="AD24" s="101"/>
      <c r="AE24" s="101">
        <v>7</v>
      </c>
      <c r="AF24" s="101">
        <v>14</v>
      </c>
      <c r="AG24" s="2"/>
      <c r="AH24" s="101">
        <v>92</v>
      </c>
      <c r="AI24" s="101">
        <v>64</v>
      </c>
      <c r="AJ24" s="101">
        <v>10</v>
      </c>
      <c r="AK24" s="101"/>
      <c r="AL24" s="101">
        <v>17</v>
      </c>
      <c r="AM24" s="101">
        <v>9</v>
      </c>
      <c r="AN24" s="101">
        <v>13</v>
      </c>
      <c r="AO24" s="2"/>
      <c r="AP24" s="101">
        <v>92</v>
      </c>
      <c r="AQ24" s="101">
        <v>64</v>
      </c>
      <c r="AR24" s="101"/>
      <c r="AS24" s="101">
        <v>39</v>
      </c>
      <c r="AT24" s="101"/>
      <c r="AU24" s="101"/>
      <c r="AV24" s="101"/>
      <c r="BD24" s="2">
        <v>92</v>
      </c>
      <c r="BE24" s="2">
        <v>64</v>
      </c>
      <c r="BF24" s="2"/>
    </row>
    <row r="25" spans="2:58" x14ac:dyDescent="0.2">
      <c r="B25" s="2">
        <v>90</v>
      </c>
      <c r="C25" s="2">
        <v>63</v>
      </c>
      <c r="D25" s="2">
        <v>12</v>
      </c>
      <c r="E25" s="2">
        <v>33</v>
      </c>
      <c r="F25" s="2"/>
      <c r="G25" s="2"/>
      <c r="H25" s="2"/>
      <c r="I25" s="2"/>
      <c r="J25" s="101">
        <v>90</v>
      </c>
      <c r="K25" s="101">
        <v>63</v>
      </c>
      <c r="L25" s="101">
        <v>12</v>
      </c>
      <c r="M25" s="101">
        <v>33</v>
      </c>
      <c r="N25" s="101"/>
      <c r="O25" s="101"/>
      <c r="P25" s="101">
        <v>12</v>
      </c>
      <c r="Q25" s="2"/>
      <c r="R25" s="101">
        <v>90</v>
      </c>
      <c r="S25" s="101">
        <v>63</v>
      </c>
      <c r="T25" s="101"/>
      <c r="U25" s="101">
        <v>36</v>
      </c>
      <c r="V25" s="101"/>
      <c r="W25" s="101"/>
      <c r="X25" s="101"/>
      <c r="Y25" s="2"/>
      <c r="Z25" s="101">
        <v>90</v>
      </c>
      <c r="AA25" s="101">
        <v>63</v>
      </c>
      <c r="AB25" s="101"/>
      <c r="AC25" s="101">
        <v>36</v>
      </c>
      <c r="AD25" s="101"/>
      <c r="AE25" s="101"/>
      <c r="AF25" s="101"/>
      <c r="AG25" s="2"/>
      <c r="AH25" s="101">
        <v>90</v>
      </c>
      <c r="AI25" s="101">
        <v>63</v>
      </c>
      <c r="AJ25" s="101">
        <v>9</v>
      </c>
      <c r="AK25" s="101">
        <v>35</v>
      </c>
      <c r="AL25" s="101"/>
      <c r="AM25" s="101"/>
      <c r="AN25" s="101"/>
      <c r="AO25" s="2"/>
      <c r="AP25" s="101">
        <v>90</v>
      </c>
      <c r="AQ25" s="101">
        <v>63</v>
      </c>
      <c r="AR25" s="101">
        <v>8</v>
      </c>
      <c r="AS25" s="101">
        <v>38</v>
      </c>
      <c r="AT25" s="101"/>
      <c r="AU25" s="101"/>
      <c r="AV25" s="101"/>
      <c r="BD25" s="2">
        <v>90</v>
      </c>
      <c r="BE25" s="2">
        <v>63</v>
      </c>
      <c r="BF25" s="2"/>
    </row>
    <row r="26" spans="2:58" x14ac:dyDescent="0.2">
      <c r="B26" s="2">
        <v>88</v>
      </c>
      <c r="C26" s="2">
        <v>62</v>
      </c>
      <c r="D26" s="2">
        <v>11</v>
      </c>
      <c r="E26" s="2">
        <v>32</v>
      </c>
      <c r="F26" s="2"/>
      <c r="G26" s="2"/>
      <c r="H26" s="2">
        <v>12</v>
      </c>
      <c r="I26" s="2"/>
      <c r="J26" s="101">
        <v>88</v>
      </c>
      <c r="K26" s="101">
        <v>62</v>
      </c>
      <c r="L26" s="101">
        <v>11</v>
      </c>
      <c r="M26" s="101">
        <v>32</v>
      </c>
      <c r="N26" s="101"/>
      <c r="O26" s="101"/>
      <c r="P26" s="101"/>
      <c r="Q26" s="2"/>
      <c r="R26" s="101">
        <v>88</v>
      </c>
      <c r="S26" s="101">
        <v>62</v>
      </c>
      <c r="T26" s="101"/>
      <c r="U26" s="101">
        <v>35</v>
      </c>
      <c r="V26" s="101"/>
      <c r="W26" s="101"/>
      <c r="X26" s="101"/>
      <c r="Y26" s="2"/>
      <c r="Z26" s="101">
        <v>88</v>
      </c>
      <c r="AA26" s="101">
        <v>62</v>
      </c>
      <c r="AB26" s="101"/>
      <c r="AC26" s="101">
        <v>35</v>
      </c>
      <c r="AD26" s="101"/>
      <c r="AE26" s="101"/>
      <c r="AF26" s="101"/>
      <c r="AG26" s="2"/>
      <c r="AH26" s="101">
        <v>88</v>
      </c>
      <c r="AI26" s="101">
        <v>62</v>
      </c>
      <c r="AJ26" s="101"/>
      <c r="AK26" s="101">
        <v>34</v>
      </c>
      <c r="AL26" s="101"/>
      <c r="AM26" s="101"/>
      <c r="AN26" s="101"/>
      <c r="AO26" s="2"/>
      <c r="AP26" s="101">
        <v>88</v>
      </c>
      <c r="AQ26" s="101">
        <v>62</v>
      </c>
      <c r="AR26" s="101"/>
      <c r="AS26" s="101"/>
      <c r="AT26" s="101"/>
      <c r="AU26" s="101">
        <v>8</v>
      </c>
      <c r="AV26" s="101"/>
      <c r="BD26" s="2">
        <v>88</v>
      </c>
      <c r="BE26" s="2">
        <v>62</v>
      </c>
      <c r="BF26" s="2">
        <v>12</v>
      </c>
    </row>
    <row r="27" spans="2:58" x14ac:dyDescent="0.2">
      <c r="B27" s="2">
        <v>86</v>
      </c>
      <c r="C27" s="2">
        <v>61</v>
      </c>
      <c r="D27" s="2">
        <v>10</v>
      </c>
      <c r="E27" s="2"/>
      <c r="F27" s="2"/>
      <c r="G27" s="2">
        <v>8</v>
      </c>
      <c r="H27" s="2"/>
      <c r="I27" s="2"/>
      <c r="J27" s="101">
        <v>86</v>
      </c>
      <c r="K27" s="101">
        <v>61</v>
      </c>
      <c r="L27" s="101">
        <v>10</v>
      </c>
      <c r="M27" s="101"/>
      <c r="N27" s="101"/>
      <c r="O27" s="101">
        <v>8</v>
      </c>
      <c r="P27" s="101"/>
      <c r="Q27" s="2"/>
      <c r="R27" s="101">
        <v>86</v>
      </c>
      <c r="S27" s="101">
        <v>61</v>
      </c>
      <c r="T27" s="101">
        <v>7</v>
      </c>
      <c r="U27" s="101"/>
      <c r="V27" s="101">
        <v>18</v>
      </c>
      <c r="W27" s="101"/>
      <c r="X27" s="101"/>
      <c r="Y27" s="2"/>
      <c r="Z27" s="101">
        <v>86</v>
      </c>
      <c r="AA27" s="101">
        <v>61</v>
      </c>
      <c r="AB27" s="101">
        <v>7</v>
      </c>
      <c r="AC27" s="101"/>
      <c r="AD27" s="101">
        <v>18</v>
      </c>
      <c r="AE27" s="101"/>
      <c r="AF27" s="101"/>
      <c r="AG27" s="2"/>
      <c r="AH27" s="101">
        <v>86</v>
      </c>
      <c r="AI27" s="101">
        <v>61</v>
      </c>
      <c r="AJ27" s="101"/>
      <c r="AK27" s="101">
        <v>33</v>
      </c>
      <c r="AL27" s="101">
        <v>16</v>
      </c>
      <c r="AM27" s="101"/>
      <c r="AN27" s="101">
        <v>12</v>
      </c>
      <c r="AO27" s="2"/>
      <c r="AP27" s="101">
        <v>86</v>
      </c>
      <c r="AQ27" s="101">
        <v>61</v>
      </c>
      <c r="AR27" s="101"/>
      <c r="AS27" s="101">
        <v>37</v>
      </c>
      <c r="AT27" s="101"/>
      <c r="AU27" s="101"/>
      <c r="AV27" s="101"/>
      <c r="BD27" s="2">
        <v>86</v>
      </c>
      <c r="BE27" s="2">
        <v>61</v>
      </c>
      <c r="BF27" s="2"/>
    </row>
    <row r="28" spans="2:58" x14ac:dyDescent="0.2">
      <c r="B28" s="2">
        <v>84</v>
      </c>
      <c r="C28" s="2">
        <v>60</v>
      </c>
      <c r="D28" s="2">
        <v>9</v>
      </c>
      <c r="E28" s="2">
        <v>31</v>
      </c>
      <c r="F28" s="2">
        <v>16</v>
      </c>
      <c r="G28" s="2"/>
      <c r="H28" s="2">
        <v>11</v>
      </c>
      <c r="I28" s="2"/>
      <c r="J28" s="101">
        <v>84</v>
      </c>
      <c r="K28" s="101">
        <v>60</v>
      </c>
      <c r="L28" s="101">
        <v>9</v>
      </c>
      <c r="M28" s="101">
        <v>31</v>
      </c>
      <c r="N28" s="101">
        <v>16</v>
      </c>
      <c r="O28" s="101"/>
      <c r="P28" s="101">
        <v>11</v>
      </c>
      <c r="Q28" s="2"/>
      <c r="R28" s="101">
        <v>84</v>
      </c>
      <c r="S28" s="101">
        <v>60</v>
      </c>
      <c r="T28" s="101"/>
      <c r="U28" s="101">
        <v>34</v>
      </c>
      <c r="V28" s="101"/>
      <c r="W28" s="101">
        <v>6</v>
      </c>
      <c r="X28" s="101"/>
      <c r="Y28" s="2"/>
      <c r="Z28" s="101">
        <v>84</v>
      </c>
      <c r="AA28" s="101">
        <v>60</v>
      </c>
      <c r="AB28" s="101"/>
      <c r="AC28" s="101">
        <v>34</v>
      </c>
      <c r="AD28" s="101"/>
      <c r="AE28" s="101">
        <v>6</v>
      </c>
      <c r="AF28" s="101"/>
      <c r="AG28" s="2"/>
      <c r="AH28" s="101">
        <v>84</v>
      </c>
      <c r="AI28" s="101">
        <v>60</v>
      </c>
      <c r="AJ28" s="101"/>
      <c r="AK28" s="101">
        <v>32</v>
      </c>
      <c r="AL28" s="101"/>
      <c r="AM28" s="101"/>
      <c r="AN28" s="101"/>
      <c r="AO28" s="2"/>
      <c r="AP28" s="101">
        <v>84</v>
      </c>
      <c r="AQ28" s="101">
        <v>60</v>
      </c>
      <c r="AR28" s="101"/>
      <c r="AS28" s="101"/>
      <c r="AT28" s="101">
        <v>18</v>
      </c>
      <c r="AU28" s="101"/>
      <c r="AV28" s="101">
        <v>13</v>
      </c>
      <c r="BD28" s="2">
        <v>84</v>
      </c>
      <c r="BE28" s="2">
        <v>60</v>
      </c>
      <c r="BF28" s="2">
        <v>11</v>
      </c>
    </row>
    <row r="29" spans="2:58" x14ac:dyDescent="0.2">
      <c r="B29" s="2">
        <v>82</v>
      </c>
      <c r="C29" s="2">
        <v>59</v>
      </c>
      <c r="D29" s="2"/>
      <c r="E29" s="2">
        <v>30</v>
      </c>
      <c r="F29" s="2"/>
      <c r="G29" s="2"/>
      <c r="H29" s="2"/>
      <c r="I29" s="2"/>
      <c r="J29" s="101">
        <v>82</v>
      </c>
      <c r="K29" s="101">
        <v>59</v>
      </c>
      <c r="L29" s="101"/>
      <c r="M29" s="101">
        <v>30</v>
      </c>
      <c r="N29" s="101"/>
      <c r="O29" s="101"/>
      <c r="P29" s="101"/>
      <c r="Q29" s="2"/>
      <c r="R29" s="101">
        <v>82</v>
      </c>
      <c r="S29" s="101">
        <v>59</v>
      </c>
      <c r="T29" s="101"/>
      <c r="U29" s="101"/>
      <c r="V29" s="101"/>
      <c r="W29" s="101"/>
      <c r="X29" s="101">
        <v>13</v>
      </c>
      <c r="Y29" s="2"/>
      <c r="Z29" s="101">
        <v>82</v>
      </c>
      <c r="AA29" s="101">
        <v>59</v>
      </c>
      <c r="AB29" s="101"/>
      <c r="AC29" s="101"/>
      <c r="AD29" s="101"/>
      <c r="AE29" s="101"/>
      <c r="AF29" s="101">
        <v>13</v>
      </c>
      <c r="AG29" s="2"/>
      <c r="AH29" s="101">
        <v>82</v>
      </c>
      <c r="AI29" s="101">
        <v>59</v>
      </c>
      <c r="AJ29" s="101"/>
      <c r="AK29" s="101">
        <v>31</v>
      </c>
      <c r="AL29" s="101"/>
      <c r="AM29" s="101">
        <v>8</v>
      </c>
      <c r="AN29" s="101"/>
      <c r="AO29" s="2"/>
      <c r="AP29" s="101">
        <v>82</v>
      </c>
      <c r="AQ29" s="101">
        <v>59</v>
      </c>
      <c r="AR29" s="101">
        <v>7</v>
      </c>
      <c r="AS29" s="101">
        <v>36</v>
      </c>
      <c r="AT29" s="101"/>
      <c r="AU29" s="101"/>
      <c r="AV29" s="101"/>
      <c r="BD29" s="2">
        <v>82</v>
      </c>
      <c r="BE29" s="2">
        <v>59</v>
      </c>
      <c r="BF29" s="2"/>
    </row>
    <row r="30" spans="2:58" x14ac:dyDescent="0.2">
      <c r="B30" s="2">
        <v>79</v>
      </c>
      <c r="C30" s="2">
        <v>58</v>
      </c>
      <c r="D30" s="2"/>
      <c r="E30" s="2"/>
      <c r="F30" s="2"/>
      <c r="G30" s="2"/>
      <c r="H30" s="2">
        <v>10</v>
      </c>
      <c r="I30" s="2"/>
      <c r="J30" s="101">
        <v>79</v>
      </c>
      <c r="K30" s="101">
        <v>58</v>
      </c>
      <c r="L30" s="101"/>
      <c r="M30" s="101"/>
      <c r="N30" s="101"/>
      <c r="O30" s="101"/>
      <c r="P30" s="101">
        <v>10</v>
      </c>
      <c r="Q30" s="2"/>
      <c r="R30" s="101">
        <v>79</v>
      </c>
      <c r="S30" s="101">
        <v>58</v>
      </c>
      <c r="T30" s="101"/>
      <c r="U30" s="101">
        <v>33</v>
      </c>
      <c r="V30" s="101"/>
      <c r="W30" s="101"/>
      <c r="X30" s="101"/>
      <c r="Y30" s="2"/>
      <c r="Z30" s="101">
        <v>79</v>
      </c>
      <c r="AA30" s="101">
        <v>58</v>
      </c>
      <c r="AB30" s="101"/>
      <c r="AC30" s="101">
        <v>33</v>
      </c>
      <c r="AD30" s="101"/>
      <c r="AE30" s="101"/>
      <c r="AF30" s="101"/>
      <c r="AG30" s="2"/>
      <c r="AH30" s="101">
        <v>79</v>
      </c>
      <c r="AI30" s="101">
        <v>58</v>
      </c>
      <c r="AJ30" s="101"/>
      <c r="AK30" s="101"/>
      <c r="AL30" s="101">
        <v>15</v>
      </c>
      <c r="AM30" s="101"/>
      <c r="AN30" s="101">
        <v>11</v>
      </c>
      <c r="AO30" s="2"/>
      <c r="AP30" s="101">
        <v>79</v>
      </c>
      <c r="AQ30" s="101">
        <v>58</v>
      </c>
      <c r="AR30" s="101"/>
      <c r="AS30" s="101">
        <v>35</v>
      </c>
      <c r="AT30" s="101"/>
      <c r="AU30" s="101">
        <v>7</v>
      </c>
      <c r="AV30" s="101"/>
      <c r="BD30" s="2">
        <v>79</v>
      </c>
      <c r="BE30" s="2">
        <v>58</v>
      </c>
      <c r="BF30" s="2">
        <v>10</v>
      </c>
    </row>
    <row r="31" spans="2:58" x14ac:dyDescent="0.2">
      <c r="B31" s="2">
        <v>76</v>
      </c>
      <c r="C31" s="2">
        <v>57</v>
      </c>
      <c r="D31" s="2"/>
      <c r="E31" s="2">
        <v>29</v>
      </c>
      <c r="F31" s="2">
        <v>15</v>
      </c>
      <c r="G31" s="2">
        <v>7</v>
      </c>
      <c r="H31" s="2"/>
      <c r="I31" s="2"/>
      <c r="J31" s="101">
        <v>76</v>
      </c>
      <c r="K31" s="101">
        <v>57</v>
      </c>
      <c r="L31" s="101"/>
      <c r="M31" s="101">
        <v>29</v>
      </c>
      <c r="N31" s="101">
        <v>15</v>
      </c>
      <c r="O31" s="101">
        <v>7</v>
      </c>
      <c r="P31" s="101"/>
      <c r="Q31" s="2"/>
      <c r="R31" s="101">
        <v>76</v>
      </c>
      <c r="S31" s="101">
        <v>57</v>
      </c>
      <c r="T31" s="101"/>
      <c r="U31" s="101"/>
      <c r="V31" s="101">
        <v>17</v>
      </c>
      <c r="W31" s="101"/>
      <c r="X31" s="101"/>
      <c r="Y31" s="2"/>
      <c r="Z31" s="101">
        <v>76</v>
      </c>
      <c r="AA31" s="101">
        <v>57</v>
      </c>
      <c r="AB31" s="101"/>
      <c r="AC31" s="101"/>
      <c r="AD31" s="101">
        <v>17</v>
      </c>
      <c r="AE31" s="101"/>
      <c r="AF31" s="101"/>
      <c r="AG31" s="2"/>
      <c r="AH31" s="101">
        <v>76</v>
      </c>
      <c r="AI31" s="101">
        <v>57</v>
      </c>
      <c r="AJ31" s="101">
        <v>8</v>
      </c>
      <c r="AK31" s="101">
        <v>30</v>
      </c>
      <c r="AL31" s="101"/>
      <c r="AM31" s="101"/>
      <c r="AN31" s="101">
        <v>10</v>
      </c>
      <c r="AO31" s="2"/>
      <c r="AP31" s="101">
        <v>76</v>
      </c>
      <c r="AQ31" s="101">
        <v>57</v>
      </c>
      <c r="AR31" s="101"/>
      <c r="AS31" s="101">
        <v>34</v>
      </c>
      <c r="AT31" s="101">
        <v>17</v>
      </c>
      <c r="AU31" s="101"/>
      <c r="AV31" s="101"/>
      <c r="BD31" s="2">
        <v>76</v>
      </c>
      <c r="BE31" s="2">
        <v>57</v>
      </c>
      <c r="BF31" s="2"/>
    </row>
    <row r="32" spans="2:58" x14ac:dyDescent="0.2">
      <c r="B32" s="2">
        <v>72</v>
      </c>
      <c r="C32" s="2">
        <v>56</v>
      </c>
      <c r="D32" s="2">
        <v>8</v>
      </c>
      <c r="E32" s="2"/>
      <c r="F32" s="2"/>
      <c r="G32" s="2"/>
      <c r="H32" s="2">
        <v>9</v>
      </c>
      <c r="I32" s="2"/>
      <c r="J32" s="101">
        <v>72</v>
      </c>
      <c r="K32" s="101">
        <v>56</v>
      </c>
      <c r="L32" s="101">
        <v>8</v>
      </c>
      <c r="M32" s="101"/>
      <c r="N32" s="101"/>
      <c r="O32" s="101"/>
      <c r="P32" s="101"/>
      <c r="Q32" s="2"/>
      <c r="R32" s="101">
        <v>72</v>
      </c>
      <c r="S32" s="101">
        <v>56</v>
      </c>
      <c r="T32" s="101">
        <v>6</v>
      </c>
      <c r="U32" s="101">
        <v>32</v>
      </c>
      <c r="V32" s="101"/>
      <c r="W32" s="101">
        <v>5</v>
      </c>
      <c r="X32" s="101"/>
      <c r="Y32" s="2"/>
      <c r="Z32" s="101">
        <v>72</v>
      </c>
      <c r="AA32" s="101">
        <v>56</v>
      </c>
      <c r="AB32" s="101">
        <v>6</v>
      </c>
      <c r="AC32" s="101">
        <v>32</v>
      </c>
      <c r="AD32" s="101"/>
      <c r="AE32" s="101">
        <v>5</v>
      </c>
      <c r="AF32" s="101"/>
      <c r="AG32" s="2"/>
      <c r="AH32" s="101">
        <v>72</v>
      </c>
      <c r="AI32" s="101">
        <v>56</v>
      </c>
      <c r="AJ32" s="101"/>
      <c r="AK32" s="101"/>
      <c r="AL32" s="101"/>
      <c r="AM32" s="101"/>
      <c r="AN32" s="101"/>
      <c r="AO32" s="2"/>
      <c r="AP32" s="101">
        <v>72</v>
      </c>
      <c r="AQ32" s="101">
        <v>56</v>
      </c>
      <c r="AR32" s="101">
        <v>6</v>
      </c>
      <c r="AS32" s="101">
        <v>33</v>
      </c>
      <c r="AT32" s="101"/>
      <c r="AU32" s="101"/>
      <c r="AV32" s="101"/>
      <c r="BD32" s="2">
        <v>72</v>
      </c>
      <c r="BE32" s="2">
        <v>56</v>
      </c>
      <c r="BF32" s="2">
        <v>9</v>
      </c>
    </row>
    <row r="33" spans="2:58" x14ac:dyDescent="0.2">
      <c r="B33" s="2">
        <v>69</v>
      </c>
      <c r="C33" s="2">
        <v>55</v>
      </c>
      <c r="D33" s="2"/>
      <c r="E33" s="2">
        <v>28</v>
      </c>
      <c r="F33" s="2"/>
      <c r="G33" s="2"/>
      <c r="H33" s="2"/>
      <c r="I33" s="2"/>
      <c r="J33" s="101">
        <v>69</v>
      </c>
      <c r="K33" s="101">
        <v>55</v>
      </c>
      <c r="L33" s="101"/>
      <c r="M33" s="101">
        <v>28</v>
      </c>
      <c r="N33" s="101"/>
      <c r="O33" s="101"/>
      <c r="P33" s="101">
        <v>9</v>
      </c>
      <c r="Q33" s="2"/>
      <c r="R33" s="101">
        <v>69</v>
      </c>
      <c r="S33" s="101">
        <v>55</v>
      </c>
      <c r="T33" s="101"/>
      <c r="U33" s="101">
        <v>31</v>
      </c>
      <c r="V33" s="101"/>
      <c r="W33" s="101"/>
      <c r="X33" s="101"/>
      <c r="Y33" s="2"/>
      <c r="Z33" s="101">
        <v>69</v>
      </c>
      <c r="AA33" s="101">
        <v>55</v>
      </c>
      <c r="AB33" s="101"/>
      <c r="AC33" s="101">
        <v>31</v>
      </c>
      <c r="AD33" s="101"/>
      <c r="AE33" s="101"/>
      <c r="AF33" s="101"/>
      <c r="AG33" s="2"/>
      <c r="AH33" s="101">
        <v>69</v>
      </c>
      <c r="AI33" s="101">
        <v>55</v>
      </c>
      <c r="AJ33" s="101"/>
      <c r="AK33" s="101">
        <v>29</v>
      </c>
      <c r="AL33" s="101">
        <v>14</v>
      </c>
      <c r="AM33" s="101">
        <v>7</v>
      </c>
      <c r="AN33" s="101"/>
      <c r="AO33" s="2"/>
      <c r="AP33" s="101">
        <v>69</v>
      </c>
      <c r="AQ33" s="101">
        <v>55</v>
      </c>
      <c r="AR33" s="101"/>
      <c r="AS33" s="101">
        <v>32</v>
      </c>
      <c r="AT33" s="101"/>
      <c r="AU33" s="101"/>
      <c r="AV33" s="101">
        <v>12</v>
      </c>
      <c r="BD33" s="2">
        <v>69</v>
      </c>
      <c r="BE33" s="2">
        <v>55</v>
      </c>
      <c r="BF33" s="2"/>
    </row>
    <row r="34" spans="2:58" x14ac:dyDescent="0.2">
      <c r="B34" s="2">
        <v>65</v>
      </c>
      <c r="C34" s="2">
        <v>54</v>
      </c>
      <c r="D34" s="2"/>
      <c r="E34" s="2"/>
      <c r="F34" s="2">
        <v>14</v>
      </c>
      <c r="G34" s="2"/>
      <c r="H34" s="2"/>
      <c r="I34" s="2"/>
      <c r="J34" s="101">
        <v>65</v>
      </c>
      <c r="K34" s="101">
        <v>54</v>
      </c>
      <c r="L34" s="101"/>
      <c r="M34" s="101"/>
      <c r="N34" s="101">
        <v>14</v>
      </c>
      <c r="O34" s="101"/>
      <c r="P34" s="101"/>
      <c r="Q34" s="2"/>
      <c r="R34" s="101">
        <v>65</v>
      </c>
      <c r="S34" s="101">
        <v>54</v>
      </c>
      <c r="T34" s="101"/>
      <c r="U34" s="101"/>
      <c r="V34" s="101"/>
      <c r="W34" s="101"/>
      <c r="X34" s="101">
        <v>12</v>
      </c>
      <c r="Y34" s="2"/>
      <c r="Z34" s="101">
        <v>65</v>
      </c>
      <c r="AA34" s="101">
        <v>54</v>
      </c>
      <c r="AB34" s="101"/>
      <c r="AC34" s="101"/>
      <c r="AD34" s="101"/>
      <c r="AE34" s="101"/>
      <c r="AF34" s="101">
        <v>12</v>
      </c>
      <c r="AG34" s="2"/>
      <c r="AH34" s="101">
        <v>65</v>
      </c>
      <c r="AI34" s="101">
        <v>54</v>
      </c>
      <c r="AJ34" s="101"/>
      <c r="AK34" s="101">
        <v>28</v>
      </c>
      <c r="AL34" s="101"/>
      <c r="AM34" s="101"/>
      <c r="AN34" s="101"/>
      <c r="AO34" s="2"/>
      <c r="AP34" s="101">
        <v>65</v>
      </c>
      <c r="AQ34" s="101">
        <v>54</v>
      </c>
      <c r="AR34" s="101"/>
      <c r="AS34" s="101"/>
      <c r="AT34" s="101">
        <v>16</v>
      </c>
      <c r="AU34" s="101">
        <v>6</v>
      </c>
      <c r="AV34" s="101"/>
      <c r="BD34" s="2">
        <v>65</v>
      </c>
      <c r="BE34" s="2">
        <v>54</v>
      </c>
      <c r="BF34" s="2"/>
    </row>
    <row r="35" spans="2:58" x14ac:dyDescent="0.2">
      <c r="B35" s="2">
        <v>62</v>
      </c>
      <c r="C35" s="2">
        <v>53</v>
      </c>
      <c r="D35" s="2"/>
      <c r="E35" s="2">
        <v>27</v>
      </c>
      <c r="F35" s="2"/>
      <c r="G35" s="2"/>
      <c r="H35" s="2"/>
      <c r="I35" s="2"/>
      <c r="J35" s="101">
        <v>62</v>
      </c>
      <c r="K35" s="101">
        <v>53</v>
      </c>
      <c r="L35" s="101"/>
      <c r="M35" s="101">
        <v>27</v>
      </c>
      <c r="N35" s="101"/>
      <c r="O35" s="101"/>
      <c r="P35" s="101"/>
      <c r="Q35" s="2"/>
      <c r="R35" s="101">
        <v>62</v>
      </c>
      <c r="S35" s="101">
        <v>53</v>
      </c>
      <c r="T35" s="101">
        <v>5</v>
      </c>
      <c r="U35" s="101">
        <v>30</v>
      </c>
      <c r="V35" s="101">
        <v>16</v>
      </c>
      <c r="W35" s="101"/>
      <c r="X35" s="101"/>
      <c r="Y35" s="2"/>
      <c r="Z35" s="101">
        <v>62</v>
      </c>
      <c r="AA35" s="101">
        <v>53</v>
      </c>
      <c r="AB35" s="101">
        <v>5</v>
      </c>
      <c r="AC35" s="101">
        <v>30</v>
      </c>
      <c r="AD35" s="101">
        <v>16</v>
      </c>
      <c r="AE35" s="101"/>
      <c r="AF35" s="101"/>
      <c r="AG35" s="2"/>
      <c r="AH35" s="101">
        <v>62</v>
      </c>
      <c r="AI35" s="101">
        <v>53</v>
      </c>
      <c r="AJ35" s="101">
        <v>7</v>
      </c>
      <c r="AK35" s="101"/>
      <c r="AL35" s="101">
        <v>13</v>
      </c>
      <c r="AM35" s="101"/>
      <c r="AN35" s="101">
        <v>9</v>
      </c>
      <c r="AO35" s="2"/>
      <c r="AP35" s="101">
        <v>62</v>
      </c>
      <c r="AQ35" s="101">
        <v>53</v>
      </c>
      <c r="AR35" s="101"/>
      <c r="AS35" s="101">
        <v>31</v>
      </c>
      <c r="AT35" s="101"/>
      <c r="AU35" s="101"/>
      <c r="AV35" s="101">
        <v>11</v>
      </c>
      <c r="BD35" s="2">
        <v>62</v>
      </c>
      <c r="BE35" s="2">
        <v>53</v>
      </c>
      <c r="BF35" s="2"/>
    </row>
    <row r="36" spans="2:58" x14ac:dyDescent="0.2">
      <c r="B36" s="2">
        <v>58</v>
      </c>
      <c r="C36" s="2">
        <v>52</v>
      </c>
      <c r="D36" s="2"/>
      <c r="E36" s="2">
        <v>26</v>
      </c>
      <c r="F36" s="2">
        <v>13</v>
      </c>
      <c r="G36" s="2">
        <v>6</v>
      </c>
      <c r="H36" s="2">
        <v>8</v>
      </c>
      <c r="I36" s="2"/>
      <c r="J36" s="101">
        <v>58</v>
      </c>
      <c r="K36" s="101">
        <v>52</v>
      </c>
      <c r="L36" s="101"/>
      <c r="M36" s="101">
        <v>26</v>
      </c>
      <c r="N36" s="101">
        <v>13</v>
      </c>
      <c r="O36" s="101">
        <v>6</v>
      </c>
      <c r="P36" s="101">
        <v>8</v>
      </c>
      <c r="Q36" s="2"/>
      <c r="R36" s="101">
        <v>58</v>
      </c>
      <c r="S36" s="101">
        <v>52</v>
      </c>
      <c r="T36" s="101"/>
      <c r="U36" s="101">
        <v>29</v>
      </c>
      <c r="V36" s="101"/>
      <c r="W36" s="101"/>
      <c r="X36" s="101">
        <v>11</v>
      </c>
      <c r="Y36" s="2"/>
      <c r="Z36" s="101">
        <v>58</v>
      </c>
      <c r="AA36" s="101">
        <v>52</v>
      </c>
      <c r="AB36" s="101"/>
      <c r="AC36" s="101">
        <v>29</v>
      </c>
      <c r="AD36" s="101"/>
      <c r="AE36" s="101"/>
      <c r="AF36" s="101">
        <v>11</v>
      </c>
      <c r="AG36" s="2"/>
      <c r="AH36" s="101">
        <v>58</v>
      </c>
      <c r="AI36" s="101">
        <v>52</v>
      </c>
      <c r="AJ36" s="101"/>
      <c r="AK36" s="101">
        <v>27</v>
      </c>
      <c r="AL36" s="101"/>
      <c r="AM36" s="101"/>
      <c r="AN36" s="101"/>
      <c r="AO36" s="2"/>
      <c r="AP36" s="101">
        <v>58</v>
      </c>
      <c r="AQ36" s="101">
        <v>52</v>
      </c>
      <c r="AR36" s="101">
        <v>5</v>
      </c>
      <c r="AS36" s="101">
        <v>30</v>
      </c>
      <c r="AT36" s="101"/>
      <c r="AU36" s="101"/>
      <c r="AV36" s="101"/>
      <c r="BD36" s="2">
        <v>58</v>
      </c>
      <c r="BE36" s="2">
        <v>52</v>
      </c>
      <c r="BF36" s="2">
        <v>8</v>
      </c>
    </row>
    <row r="37" spans="2:58" x14ac:dyDescent="0.2">
      <c r="B37" s="2">
        <v>54</v>
      </c>
      <c r="C37" s="2">
        <v>51</v>
      </c>
      <c r="D37" s="2">
        <v>7</v>
      </c>
      <c r="E37" s="2">
        <v>25</v>
      </c>
      <c r="F37" s="2"/>
      <c r="G37" s="2"/>
      <c r="H37" s="2"/>
      <c r="I37" s="2"/>
      <c r="J37" s="101">
        <v>54</v>
      </c>
      <c r="K37" s="101">
        <v>51</v>
      </c>
      <c r="L37" s="101">
        <v>7</v>
      </c>
      <c r="M37" s="101"/>
      <c r="N37" s="101"/>
      <c r="O37" s="101"/>
      <c r="P37" s="101"/>
      <c r="Q37" s="2"/>
      <c r="R37" s="101">
        <v>54</v>
      </c>
      <c r="S37" s="101">
        <v>51</v>
      </c>
      <c r="T37" s="101"/>
      <c r="U37" s="101">
        <v>28</v>
      </c>
      <c r="V37" s="101"/>
      <c r="W37" s="101">
        <v>4</v>
      </c>
      <c r="X37" s="101"/>
      <c r="Y37" s="2"/>
      <c r="Z37" s="101">
        <v>54</v>
      </c>
      <c r="AA37" s="101">
        <v>51</v>
      </c>
      <c r="AB37" s="101"/>
      <c r="AC37" s="101">
        <v>28</v>
      </c>
      <c r="AD37" s="101"/>
      <c r="AE37" s="101">
        <v>4</v>
      </c>
      <c r="AF37" s="101"/>
      <c r="AG37" s="2"/>
      <c r="AH37" s="101">
        <v>54</v>
      </c>
      <c r="AI37" s="101">
        <v>51</v>
      </c>
      <c r="AJ37" s="101"/>
      <c r="AK37" s="101">
        <v>26</v>
      </c>
      <c r="AL37" s="101">
        <v>12</v>
      </c>
      <c r="AM37" s="101">
        <v>6</v>
      </c>
      <c r="AN37" s="101">
        <v>8</v>
      </c>
      <c r="AO37" s="2"/>
      <c r="AP37" s="101">
        <v>54</v>
      </c>
      <c r="AQ37" s="101">
        <v>51</v>
      </c>
      <c r="AR37" s="101"/>
      <c r="AS37" s="101">
        <v>29</v>
      </c>
      <c r="AT37" s="101">
        <v>15</v>
      </c>
      <c r="AU37" s="101"/>
      <c r="AV37" s="101"/>
      <c r="BD37" s="2">
        <v>54</v>
      </c>
      <c r="BE37" s="2">
        <v>51</v>
      </c>
      <c r="BF37" s="2"/>
    </row>
    <row r="38" spans="2:58" x14ac:dyDescent="0.2">
      <c r="B38" s="2">
        <v>50</v>
      </c>
      <c r="C38" s="2">
        <v>50</v>
      </c>
      <c r="D38" s="2"/>
      <c r="E38" s="2">
        <v>24</v>
      </c>
      <c r="F38" s="2">
        <v>12</v>
      </c>
      <c r="G38" s="2"/>
      <c r="H38" s="2">
        <v>7</v>
      </c>
      <c r="I38" s="2"/>
      <c r="J38" s="101">
        <v>50</v>
      </c>
      <c r="K38" s="101">
        <v>50</v>
      </c>
      <c r="L38" s="101"/>
      <c r="M38" s="101">
        <v>25</v>
      </c>
      <c r="N38" s="101">
        <v>12</v>
      </c>
      <c r="O38" s="101"/>
      <c r="P38" s="101">
        <v>7</v>
      </c>
      <c r="Q38" s="2"/>
      <c r="R38" s="101">
        <v>50</v>
      </c>
      <c r="S38" s="101">
        <v>50</v>
      </c>
      <c r="T38" s="101">
        <v>4</v>
      </c>
      <c r="U38" s="101"/>
      <c r="V38" s="101">
        <v>15</v>
      </c>
      <c r="W38" s="101"/>
      <c r="X38" s="101"/>
      <c r="Y38" s="2"/>
      <c r="Z38" s="101">
        <v>50</v>
      </c>
      <c r="AA38" s="101">
        <v>50</v>
      </c>
      <c r="AB38" s="101">
        <v>4</v>
      </c>
      <c r="AC38" s="101"/>
      <c r="AD38" s="101">
        <v>15</v>
      </c>
      <c r="AE38" s="101"/>
      <c r="AF38" s="101"/>
      <c r="AG38" s="2"/>
      <c r="AH38" s="101">
        <v>50</v>
      </c>
      <c r="AI38" s="101">
        <v>50</v>
      </c>
      <c r="AJ38" s="101">
        <v>6</v>
      </c>
      <c r="AK38" s="101">
        <v>25</v>
      </c>
      <c r="AL38" s="101"/>
      <c r="AM38" s="101"/>
      <c r="AN38" s="101"/>
      <c r="AO38" s="2"/>
      <c r="AP38" s="101">
        <v>50</v>
      </c>
      <c r="AQ38" s="101">
        <v>50</v>
      </c>
      <c r="AR38" s="101"/>
      <c r="AS38" s="101">
        <v>28</v>
      </c>
      <c r="AT38" s="101"/>
      <c r="AU38" s="101"/>
      <c r="AV38" s="101">
        <v>10</v>
      </c>
      <c r="BD38" s="2">
        <v>50</v>
      </c>
      <c r="BE38" s="2">
        <v>50</v>
      </c>
      <c r="BF38" s="2">
        <v>7</v>
      </c>
    </row>
    <row r="39" spans="2:58" x14ac:dyDescent="0.2">
      <c r="B39" s="2">
        <v>46</v>
      </c>
      <c r="C39" s="2">
        <v>49</v>
      </c>
      <c r="D39" s="2"/>
      <c r="E39" s="2">
        <v>23</v>
      </c>
      <c r="F39" s="2"/>
      <c r="G39" s="2"/>
      <c r="H39" s="2"/>
      <c r="I39" s="2"/>
      <c r="J39" s="101">
        <v>46</v>
      </c>
      <c r="K39" s="101">
        <v>49</v>
      </c>
      <c r="L39" s="101"/>
      <c r="M39" s="101">
        <v>24</v>
      </c>
      <c r="N39" s="101"/>
      <c r="O39" s="101"/>
      <c r="P39" s="101"/>
      <c r="Q39" s="2"/>
      <c r="R39" s="101">
        <v>46</v>
      </c>
      <c r="S39" s="101">
        <v>49</v>
      </c>
      <c r="T39" s="101"/>
      <c r="U39" s="101">
        <v>27</v>
      </c>
      <c r="V39" s="101"/>
      <c r="W39" s="101"/>
      <c r="X39" s="101">
        <v>10</v>
      </c>
      <c r="Y39" s="2"/>
      <c r="Z39" s="101">
        <v>46</v>
      </c>
      <c r="AA39" s="101">
        <v>49</v>
      </c>
      <c r="AB39" s="101"/>
      <c r="AC39" s="101">
        <v>27</v>
      </c>
      <c r="AD39" s="101"/>
      <c r="AE39" s="101"/>
      <c r="AF39" s="101">
        <v>10</v>
      </c>
      <c r="AG39" s="2"/>
      <c r="AH39" s="101">
        <v>46</v>
      </c>
      <c r="AI39" s="101">
        <v>49</v>
      </c>
      <c r="AJ39" s="101"/>
      <c r="AK39" s="101">
        <v>24</v>
      </c>
      <c r="AL39" s="101"/>
      <c r="AM39" s="101"/>
      <c r="AN39" s="101"/>
      <c r="AO39" s="2"/>
      <c r="AP39" s="101">
        <v>46</v>
      </c>
      <c r="AQ39" s="101">
        <v>49</v>
      </c>
      <c r="AR39" s="101"/>
      <c r="AS39" s="101">
        <v>27</v>
      </c>
      <c r="AT39" s="101">
        <v>14</v>
      </c>
      <c r="AU39" s="101">
        <v>5</v>
      </c>
      <c r="AV39" s="101"/>
      <c r="BD39" s="2">
        <v>46</v>
      </c>
      <c r="BE39" s="2">
        <v>49</v>
      </c>
      <c r="BF39" s="2"/>
    </row>
    <row r="40" spans="2:58" x14ac:dyDescent="0.2">
      <c r="B40" s="2">
        <v>42</v>
      </c>
      <c r="C40" s="2">
        <v>48</v>
      </c>
      <c r="D40" s="2"/>
      <c r="E40" s="2">
        <v>22</v>
      </c>
      <c r="F40" s="2">
        <v>11</v>
      </c>
      <c r="G40" s="2">
        <v>5</v>
      </c>
      <c r="H40" s="2"/>
      <c r="I40" s="2"/>
      <c r="J40" s="101">
        <v>42</v>
      </c>
      <c r="K40" s="101">
        <v>48</v>
      </c>
      <c r="L40" s="101"/>
      <c r="M40" s="101">
        <v>23</v>
      </c>
      <c r="N40" s="101">
        <v>11</v>
      </c>
      <c r="O40" s="101">
        <v>5</v>
      </c>
      <c r="P40" s="101"/>
      <c r="Q40" s="2"/>
      <c r="R40" s="101">
        <v>42</v>
      </c>
      <c r="S40" s="101">
        <v>48</v>
      </c>
      <c r="T40" s="101"/>
      <c r="U40" s="101">
        <v>26</v>
      </c>
      <c r="V40" s="101">
        <v>14</v>
      </c>
      <c r="W40" s="101"/>
      <c r="X40" s="101"/>
      <c r="Y40" s="2"/>
      <c r="Z40" s="101">
        <v>42</v>
      </c>
      <c r="AA40" s="101">
        <v>48</v>
      </c>
      <c r="AB40" s="101"/>
      <c r="AC40" s="101">
        <v>26</v>
      </c>
      <c r="AD40" s="101">
        <v>14</v>
      </c>
      <c r="AE40" s="101"/>
      <c r="AF40" s="101"/>
      <c r="AG40" s="2"/>
      <c r="AH40" s="101">
        <v>42</v>
      </c>
      <c r="AI40" s="101">
        <v>48</v>
      </c>
      <c r="AJ40" s="101"/>
      <c r="AK40" s="101">
        <v>23</v>
      </c>
      <c r="AL40" s="101">
        <v>11</v>
      </c>
      <c r="AM40" s="101"/>
      <c r="AN40" s="101"/>
      <c r="AO40" s="2"/>
      <c r="AP40" s="101">
        <v>42</v>
      </c>
      <c r="AQ40" s="101">
        <v>48</v>
      </c>
      <c r="AR40" s="101">
        <v>4</v>
      </c>
      <c r="AS40" s="101">
        <v>26</v>
      </c>
      <c r="AT40" s="101"/>
      <c r="AU40" s="101"/>
      <c r="AV40" s="101">
        <v>9</v>
      </c>
      <c r="BD40" s="2">
        <v>42</v>
      </c>
      <c r="BE40" s="2">
        <v>48</v>
      </c>
      <c r="BF40" s="2"/>
    </row>
    <row r="41" spans="2:58" x14ac:dyDescent="0.2">
      <c r="B41" s="2">
        <v>38</v>
      </c>
      <c r="C41" s="2">
        <v>47</v>
      </c>
      <c r="D41" s="2"/>
      <c r="E41" s="2">
        <v>22</v>
      </c>
      <c r="F41" s="2"/>
      <c r="G41" s="2"/>
      <c r="H41" s="2">
        <v>6</v>
      </c>
      <c r="I41" s="2"/>
      <c r="J41" s="101">
        <v>38</v>
      </c>
      <c r="K41" s="101">
        <v>47</v>
      </c>
      <c r="L41" s="101"/>
      <c r="M41" s="101">
        <v>22</v>
      </c>
      <c r="N41" s="101"/>
      <c r="O41" s="101"/>
      <c r="P41" s="101">
        <v>6</v>
      </c>
      <c r="Q41" s="2"/>
      <c r="R41" s="101">
        <v>38</v>
      </c>
      <c r="S41" s="101">
        <v>47</v>
      </c>
      <c r="T41" s="101"/>
      <c r="U41" s="101"/>
      <c r="V41" s="101"/>
      <c r="W41" s="101">
        <v>3</v>
      </c>
      <c r="X41" s="101">
        <v>9</v>
      </c>
      <c r="Y41" s="2"/>
      <c r="Z41" s="101">
        <v>38</v>
      </c>
      <c r="AA41" s="101">
        <v>47</v>
      </c>
      <c r="AB41" s="101"/>
      <c r="AC41" s="101"/>
      <c r="AD41" s="101"/>
      <c r="AE41" s="101">
        <v>3</v>
      </c>
      <c r="AF41" s="101">
        <v>9</v>
      </c>
      <c r="AG41" s="2"/>
      <c r="AH41" s="101">
        <v>38</v>
      </c>
      <c r="AI41" s="101">
        <v>47</v>
      </c>
      <c r="AJ41" s="101">
        <v>5</v>
      </c>
      <c r="AK41" s="101"/>
      <c r="AL41" s="101"/>
      <c r="AM41" s="101"/>
      <c r="AN41" s="101">
        <v>7</v>
      </c>
      <c r="AO41" s="2"/>
      <c r="AP41" s="101">
        <v>35</v>
      </c>
      <c r="AQ41" s="101">
        <v>46</v>
      </c>
      <c r="AR41" s="101"/>
      <c r="AS41" s="101">
        <v>25</v>
      </c>
      <c r="AT41" s="101">
        <v>13</v>
      </c>
      <c r="AU41" s="101">
        <v>4</v>
      </c>
      <c r="AV41" s="101"/>
      <c r="BD41" s="2">
        <v>38</v>
      </c>
      <c r="BE41" s="2">
        <v>47</v>
      </c>
      <c r="BF41" s="2">
        <v>6</v>
      </c>
    </row>
    <row r="42" spans="2:58" x14ac:dyDescent="0.2">
      <c r="B42" s="2">
        <v>35</v>
      </c>
      <c r="C42" s="2">
        <v>46</v>
      </c>
      <c r="D42" s="2">
        <v>6</v>
      </c>
      <c r="E42" s="2">
        <v>21</v>
      </c>
      <c r="F42" s="2"/>
      <c r="G42" s="2"/>
      <c r="H42" s="2"/>
      <c r="I42" s="2"/>
      <c r="J42" s="101">
        <v>35</v>
      </c>
      <c r="K42" s="101">
        <v>46</v>
      </c>
      <c r="L42" s="101">
        <v>6</v>
      </c>
      <c r="M42" s="101">
        <v>21</v>
      </c>
      <c r="N42" s="101"/>
      <c r="O42" s="101"/>
      <c r="P42" s="101"/>
      <c r="Q42" s="2"/>
      <c r="R42" s="101">
        <v>35</v>
      </c>
      <c r="S42" s="101">
        <v>46</v>
      </c>
      <c r="T42" s="101">
        <v>3</v>
      </c>
      <c r="U42" s="101">
        <v>25</v>
      </c>
      <c r="V42" s="101">
        <v>13</v>
      </c>
      <c r="W42" s="101"/>
      <c r="X42" s="101"/>
      <c r="Y42" s="2"/>
      <c r="Z42" s="101">
        <v>35</v>
      </c>
      <c r="AA42" s="101">
        <v>46</v>
      </c>
      <c r="AB42" s="101">
        <v>3</v>
      </c>
      <c r="AC42" s="101">
        <v>25</v>
      </c>
      <c r="AD42" s="101">
        <v>13</v>
      </c>
      <c r="AE42" s="101"/>
      <c r="AF42" s="101"/>
      <c r="AG42" s="2"/>
      <c r="AH42" s="101">
        <v>35</v>
      </c>
      <c r="AI42" s="101">
        <v>46</v>
      </c>
      <c r="AJ42" s="101"/>
      <c r="AK42" s="101">
        <v>22</v>
      </c>
      <c r="AL42" s="101"/>
      <c r="AM42" s="101">
        <v>5</v>
      </c>
      <c r="AN42" s="101"/>
      <c r="AO42" s="2"/>
      <c r="AP42" s="101">
        <v>31</v>
      </c>
      <c r="AQ42" s="101">
        <v>45</v>
      </c>
      <c r="AR42" s="101">
        <v>3</v>
      </c>
      <c r="AS42" s="101">
        <v>24</v>
      </c>
      <c r="AT42" s="101"/>
      <c r="AV42" s="101">
        <v>8</v>
      </c>
      <c r="BD42" s="2">
        <v>35</v>
      </c>
      <c r="BE42" s="2">
        <v>46</v>
      </c>
      <c r="BF42" s="2"/>
    </row>
    <row r="43" spans="2:58" x14ac:dyDescent="0.2">
      <c r="B43" s="2">
        <v>31</v>
      </c>
      <c r="C43" s="2">
        <v>45</v>
      </c>
      <c r="D43" s="2"/>
      <c r="E43" s="2">
        <v>20</v>
      </c>
      <c r="F43" s="2">
        <v>10</v>
      </c>
      <c r="G43" s="2">
        <v>4</v>
      </c>
      <c r="H43" s="2"/>
      <c r="I43" s="2"/>
      <c r="J43" s="101">
        <v>31</v>
      </c>
      <c r="K43" s="101">
        <v>45</v>
      </c>
      <c r="L43" s="101"/>
      <c r="M43" s="101">
        <v>20</v>
      </c>
      <c r="N43" s="101">
        <v>10</v>
      </c>
      <c r="O43" s="101"/>
      <c r="P43" s="101"/>
      <c r="Q43" s="2"/>
      <c r="R43" s="101">
        <v>31</v>
      </c>
      <c r="S43" s="101">
        <v>45</v>
      </c>
      <c r="T43" s="101"/>
      <c r="U43" s="101">
        <v>24</v>
      </c>
      <c r="V43" s="101"/>
      <c r="W43" s="101"/>
      <c r="X43" s="101"/>
      <c r="Y43" s="2"/>
      <c r="Z43" s="101">
        <v>31</v>
      </c>
      <c r="AA43" s="101">
        <v>45</v>
      </c>
      <c r="AB43" s="101"/>
      <c r="AC43" s="101">
        <v>24</v>
      </c>
      <c r="AD43" s="101"/>
      <c r="AE43" s="101"/>
      <c r="AF43" s="101"/>
      <c r="AG43" s="2"/>
      <c r="AH43" s="101">
        <v>31</v>
      </c>
      <c r="AI43" s="101">
        <v>45</v>
      </c>
      <c r="AJ43" s="101"/>
      <c r="AK43" s="101"/>
      <c r="AL43" s="101">
        <v>10</v>
      </c>
      <c r="AM43" s="101"/>
      <c r="AN43" s="101"/>
      <c r="AO43" s="2"/>
      <c r="AP43" s="101">
        <v>31</v>
      </c>
      <c r="AQ43" s="101">
        <v>45</v>
      </c>
      <c r="AS43" s="101">
        <v>23</v>
      </c>
      <c r="AT43" s="101">
        <v>12</v>
      </c>
      <c r="AU43" s="101"/>
      <c r="AV43" s="101"/>
      <c r="BD43" s="2">
        <v>31</v>
      </c>
      <c r="BE43" s="2">
        <v>45</v>
      </c>
      <c r="BF43" s="2"/>
    </row>
    <row r="44" spans="2:58" x14ac:dyDescent="0.2">
      <c r="B44" s="2">
        <v>28</v>
      </c>
      <c r="C44" s="2">
        <v>44</v>
      </c>
      <c r="D44" s="2">
        <v>5</v>
      </c>
      <c r="E44" s="2">
        <v>19</v>
      </c>
      <c r="F44" s="2"/>
      <c r="G44" s="2"/>
      <c r="H44" s="2">
        <v>5</v>
      </c>
      <c r="I44" s="2"/>
      <c r="J44" s="101">
        <v>28</v>
      </c>
      <c r="K44" s="101">
        <v>44</v>
      </c>
      <c r="L44" s="101">
        <v>5</v>
      </c>
      <c r="M44" s="101">
        <v>19</v>
      </c>
      <c r="N44" s="101"/>
      <c r="O44" s="101">
        <v>4</v>
      </c>
      <c r="P44" s="101">
        <v>5</v>
      </c>
      <c r="Q44" s="2"/>
      <c r="R44" s="101">
        <v>28</v>
      </c>
      <c r="S44" s="101">
        <v>44</v>
      </c>
      <c r="T44" s="101"/>
      <c r="U44" s="101">
        <v>23</v>
      </c>
      <c r="V44" s="101">
        <v>12</v>
      </c>
      <c r="W44" s="101"/>
      <c r="X44" s="101">
        <v>8</v>
      </c>
      <c r="Y44" s="2"/>
      <c r="Z44" s="101">
        <v>28</v>
      </c>
      <c r="AA44" s="101">
        <v>44</v>
      </c>
      <c r="AB44" s="101"/>
      <c r="AC44" s="101">
        <v>23</v>
      </c>
      <c r="AD44" s="101">
        <v>12</v>
      </c>
      <c r="AE44" s="101"/>
      <c r="AF44" s="101">
        <v>8</v>
      </c>
      <c r="AG44" s="2"/>
      <c r="AH44" s="101">
        <v>28</v>
      </c>
      <c r="AI44" s="101">
        <v>44</v>
      </c>
      <c r="AJ44" s="101"/>
      <c r="AK44" s="101">
        <v>21</v>
      </c>
      <c r="AL44" s="101"/>
      <c r="AM44" s="101"/>
      <c r="AN44" s="101"/>
      <c r="AO44" s="2"/>
      <c r="AP44" s="101">
        <v>28</v>
      </c>
      <c r="AQ44" s="101">
        <v>44</v>
      </c>
      <c r="AR44" s="101"/>
      <c r="AS44" s="101">
        <v>22</v>
      </c>
      <c r="AT44" s="101"/>
      <c r="AU44" s="101"/>
      <c r="AV44" s="101"/>
      <c r="BD44" s="2">
        <v>28</v>
      </c>
      <c r="BE44" s="2">
        <v>44</v>
      </c>
      <c r="BF44" s="2">
        <v>5</v>
      </c>
    </row>
    <row r="45" spans="2:58" x14ac:dyDescent="0.2">
      <c r="B45" s="2">
        <v>24</v>
      </c>
      <c r="C45" s="2">
        <v>43</v>
      </c>
      <c r="D45" s="2"/>
      <c r="E45" s="2">
        <v>18</v>
      </c>
      <c r="F45" s="2">
        <v>9</v>
      </c>
      <c r="G45" s="2"/>
      <c r="H45" s="2"/>
      <c r="I45" s="2"/>
      <c r="J45" s="101">
        <v>24</v>
      </c>
      <c r="K45" s="101">
        <v>43</v>
      </c>
      <c r="L45" s="101"/>
      <c r="M45" s="101">
        <v>18</v>
      </c>
      <c r="N45" s="101">
        <v>9</v>
      </c>
      <c r="O45" s="101"/>
      <c r="P45" s="101"/>
      <c r="Q45" s="2"/>
      <c r="R45" s="101">
        <v>24</v>
      </c>
      <c r="S45" s="101">
        <v>43</v>
      </c>
      <c r="T45" s="101"/>
      <c r="U45" s="101">
        <v>22</v>
      </c>
      <c r="V45" s="101"/>
      <c r="W45" s="101"/>
      <c r="X45" s="101"/>
      <c r="Y45" s="2"/>
      <c r="Z45" s="101">
        <v>24</v>
      </c>
      <c r="AA45" s="101">
        <v>43</v>
      </c>
      <c r="AB45" s="101"/>
      <c r="AC45" s="101">
        <v>22</v>
      </c>
      <c r="AD45" s="101"/>
      <c r="AE45" s="101"/>
      <c r="AF45" s="101"/>
      <c r="AG45" s="2"/>
      <c r="AH45" s="101">
        <v>24</v>
      </c>
      <c r="AI45" s="101">
        <v>43</v>
      </c>
      <c r="AJ45" s="101"/>
      <c r="AK45" s="101">
        <v>20</v>
      </c>
      <c r="AL45" s="101"/>
      <c r="AM45" s="101"/>
      <c r="AN45" s="101">
        <v>6</v>
      </c>
      <c r="AO45" s="2"/>
      <c r="AP45" s="101">
        <v>24</v>
      </c>
      <c r="AQ45" s="101">
        <v>43</v>
      </c>
      <c r="AR45" s="101"/>
      <c r="AS45" s="101">
        <v>21</v>
      </c>
      <c r="AT45" s="101">
        <v>11</v>
      </c>
      <c r="AU45" s="101"/>
      <c r="AV45" s="101">
        <v>7</v>
      </c>
      <c r="BD45" s="2">
        <v>24</v>
      </c>
      <c r="BE45" s="2">
        <v>43</v>
      </c>
      <c r="BF45" s="2"/>
    </row>
    <row r="46" spans="2:58" x14ac:dyDescent="0.2">
      <c r="B46" s="2">
        <v>21</v>
      </c>
      <c r="C46" s="2">
        <v>42</v>
      </c>
      <c r="D46" s="2"/>
      <c r="E46" s="2">
        <v>17</v>
      </c>
      <c r="F46" s="2"/>
      <c r="G46" s="2"/>
      <c r="H46" s="2"/>
      <c r="I46" s="2"/>
      <c r="J46" s="101">
        <v>21</v>
      </c>
      <c r="K46" s="101">
        <v>42</v>
      </c>
      <c r="L46" s="101"/>
      <c r="M46" s="101">
        <v>17</v>
      </c>
      <c r="N46" s="101"/>
      <c r="O46" s="101"/>
      <c r="P46" s="101"/>
      <c r="Q46" s="2"/>
      <c r="R46" s="101">
        <v>21</v>
      </c>
      <c r="S46" s="101">
        <v>42</v>
      </c>
      <c r="T46" s="101"/>
      <c r="U46" s="101">
        <v>21</v>
      </c>
      <c r="V46" s="101"/>
      <c r="W46" s="101"/>
      <c r="X46" s="101">
        <v>7</v>
      </c>
      <c r="Y46" s="2"/>
      <c r="Z46" s="101">
        <v>21</v>
      </c>
      <c r="AA46" s="101">
        <v>42</v>
      </c>
      <c r="AB46" s="101"/>
      <c r="AC46" s="101">
        <v>21</v>
      </c>
      <c r="AD46" s="101"/>
      <c r="AE46" s="101"/>
      <c r="AF46" s="101">
        <v>7</v>
      </c>
      <c r="AG46" s="2"/>
      <c r="AH46" s="101">
        <v>21</v>
      </c>
      <c r="AI46" s="101">
        <v>42</v>
      </c>
      <c r="AJ46" s="101">
        <v>4</v>
      </c>
      <c r="AK46" s="101">
        <v>19</v>
      </c>
      <c r="AL46" s="101">
        <v>9</v>
      </c>
      <c r="AM46" s="101">
        <v>4</v>
      </c>
      <c r="AN46" s="101"/>
      <c r="AO46" s="2"/>
      <c r="AP46" s="101">
        <v>21</v>
      </c>
      <c r="AQ46" s="101">
        <v>42</v>
      </c>
      <c r="AR46" s="101"/>
      <c r="AS46" s="101"/>
      <c r="AT46" s="101"/>
      <c r="AU46" s="101"/>
      <c r="AV46" s="101"/>
      <c r="BD46" s="2">
        <v>21</v>
      </c>
      <c r="BE46" s="2">
        <v>42</v>
      </c>
      <c r="BF46" s="2"/>
    </row>
    <row r="47" spans="2:58" x14ac:dyDescent="0.2">
      <c r="B47" s="2">
        <v>19</v>
      </c>
      <c r="C47" s="2">
        <v>41</v>
      </c>
      <c r="D47" s="2">
        <v>4</v>
      </c>
      <c r="E47" s="2">
        <v>16</v>
      </c>
      <c r="F47" s="2"/>
      <c r="G47" s="2"/>
      <c r="H47" s="2"/>
      <c r="I47" s="2"/>
      <c r="J47" s="101">
        <v>19</v>
      </c>
      <c r="K47" s="101">
        <v>41</v>
      </c>
      <c r="L47" s="101">
        <v>4</v>
      </c>
      <c r="M47" s="101">
        <v>16</v>
      </c>
      <c r="N47" s="101"/>
      <c r="O47" s="101"/>
      <c r="P47" s="101"/>
      <c r="Q47" s="2"/>
      <c r="R47" s="101">
        <v>19</v>
      </c>
      <c r="S47" s="101">
        <v>41</v>
      </c>
      <c r="T47" s="101">
        <v>2</v>
      </c>
      <c r="U47" s="101">
        <v>20</v>
      </c>
      <c r="V47" s="101">
        <v>11</v>
      </c>
      <c r="W47" s="101">
        <v>2</v>
      </c>
      <c r="X47" s="101"/>
      <c r="Y47" s="2"/>
      <c r="Z47" s="101">
        <v>19</v>
      </c>
      <c r="AA47" s="101">
        <v>41</v>
      </c>
      <c r="AB47" s="101">
        <v>2</v>
      </c>
      <c r="AC47" s="101">
        <v>20</v>
      </c>
      <c r="AD47" s="101">
        <v>11</v>
      </c>
      <c r="AE47" s="101">
        <v>2</v>
      </c>
      <c r="AF47" s="101"/>
      <c r="AG47" s="2"/>
      <c r="AH47" s="101">
        <v>19</v>
      </c>
      <c r="AI47" s="101">
        <v>41</v>
      </c>
      <c r="AJ47" s="101"/>
      <c r="AK47" s="101">
        <v>18</v>
      </c>
      <c r="AL47" s="101"/>
      <c r="AM47" s="101"/>
      <c r="AN47" s="101"/>
      <c r="AO47" s="2"/>
      <c r="AP47" s="101">
        <v>19</v>
      </c>
      <c r="AQ47" s="101">
        <v>41</v>
      </c>
      <c r="AR47" s="101">
        <v>2</v>
      </c>
      <c r="AS47" s="101">
        <v>20</v>
      </c>
      <c r="AT47" s="101"/>
      <c r="AU47" s="101">
        <v>3</v>
      </c>
      <c r="AV47" s="101">
        <v>6</v>
      </c>
      <c r="BD47" s="2">
        <v>19</v>
      </c>
      <c r="BE47" s="2">
        <v>41</v>
      </c>
      <c r="BF47" s="2"/>
    </row>
    <row r="48" spans="2:58" x14ac:dyDescent="0.2">
      <c r="B48" s="2">
        <v>16</v>
      </c>
      <c r="C48" s="2">
        <v>40</v>
      </c>
      <c r="D48" s="2"/>
      <c r="E48" s="2">
        <v>15</v>
      </c>
      <c r="F48" s="2">
        <v>8</v>
      </c>
      <c r="G48" s="2"/>
      <c r="H48" s="2">
        <v>4</v>
      </c>
      <c r="I48" s="2"/>
      <c r="J48" s="101">
        <v>16</v>
      </c>
      <c r="K48" s="101">
        <v>40</v>
      </c>
      <c r="L48" s="101"/>
      <c r="M48" s="101">
        <v>15</v>
      </c>
      <c r="N48" s="101">
        <v>8</v>
      </c>
      <c r="O48" s="101"/>
      <c r="P48" s="101">
        <v>4</v>
      </c>
      <c r="Q48" s="2"/>
      <c r="R48" s="101">
        <v>16</v>
      </c>
      <c r="S48" s="101">
        <v>40</v>
      </c>
      <c r="T48" s="101"/>
      <c r="U48" s="101">
        <v>19</v>
      </c>
      <c r="V48" s="101"/>
      <c r="W48" s="101"/>
      <c r="X48" s="101">
        <v>6</v>
      </c>
      <c r="Y48" s="2"/>
      <c r="Z48" s="101">
        <v>16</v>
      </c>
      <c r="AA48" s="101">
        <v>40</v>
      </c>
      <c r="AB48" s="101"/>
      <c r="AC48" s="101">
        <v>19</v>
      </c>
      <c r="AD48" s="101"/>
      <c r="AE48" s="101"/>
      <c r="AF48" s="101">
        <v>6</v>
      </c>
      <c r="AG48" s="2"/>
      <c r="AH48" s="101">
        <v>16</v>
      </c>
      <c r="AI48" s="101">
        <v>40</v>
      </c>
      <c r="AJ48" s="101"/>
      <c r="AK48" s="101">
        <v>17</v>
      </c>
      <c r="AL48" s="101"/>
      <c r="AM48" s="101"/>
      <c r="AN48" s="101">
        <v>5</v>
      </c>
      <c r="AO48" s="2"/>
      <c r="AP48" s="101">
        <v>16</v>
      </c>
      <c r="AQ48" s="101">
        <v>40</v>
      </c>
      <c r="AR48" s="101"/>
      <c r="AS48" s="101">
        <v>19</v>
      </c>
      <c r="AT48" s="101">
        <v>10</v>
      </c>
      <c r="AU48" s="101"/>
      <c r="AV48" s="101"/>
      <c r="BD48" s="2">
        <v>16</v>
      </c>
      <c r="BE48" s="2">
        <v>40</v>
      </c>
      <c r="BF48" s="2">
        <v>4</v>
      </c>
    </row>
    <row r="49" spans="2:58" x14ac:dyDescent="0.2">
      <c r="B49" s="2">
        <v>14</v>
      </c>
      <c r="C49" s="2">
        <v>39</v>
      </c>
      <c r="D49" s="2"/>
      <c r="E49" s="2">
        <v>14</v>
      </c>
      <c r="F49" s="2"/>
      <c r="G49" s="2">
        <v>3</v>
      </c>
      <c r="H49" s="2"/>
      <c r="I49" s="2"/>
      <c r="J49" s="101">
        <v>14</v>
      </c>
      <c r="K49" s="101">
        <v>39</v>
      </c>
      <c r="L49" s="101"/>
      <c r="M49" s="101">
        <v>14</v>
      </c>
      <c r="N49" s="101"/>
      <c r="O49" s="101">
        <v>3</v>
      </c>
      <c r="P49" s="101"/>
      <c r="Q49" s="2"/>
      <c r="R49" s="101">
        <v>14</v>
      </c>
      <c r="S49" s="101">
        <v>39</v>
      </c>
      <c r="T49" s="101"/>
      <c r="U49" s="101"/>
      <c r="V49" s="101">
        <v>10</v>
      </c>
      <c r="W49" s="101"/>
      <c r="X49" s="101"/>
      <c r="Y49" s="2"/>
      <c r="Z49" s="101">
        <v>14</v>
      </c>
      <c r="AA49" s="101">
        <v>39</v>
      </c>
      <c r="AB49" s="101"/>
      <c r="AC49" s="101"/>
      <c r="AD49" s="101">
        <v>10</v>
      </c>
      <c r="AE49" s="101"/>
      <c r="AF49" s="101"/>
      <c r="AG49" s="2"/>
      <c r="AH49" s="101">
        <v>14</v>
      </c>
      <c r="AI49" s="101">
        <v>39</v>
      </c>
      <c r="AJ49" s="101">
        <v>3</v>
      </c>
      <c r="AK49" s="101"/>
      <c r="AL49" s="101">
        <v>8</v>
      </c>
      <c r="AM49" s="101"/>
      <c r="AN49" s="101"/>
      <c r="AO49" s="2"/>
      <c r="AP49" s="101">
        <v>14</v>
      </c>
      <c r="AQ49" s="101">
        <v>39</v>
      </c>
      <c r="AR49" s="101"/>
      <c r="AS49" s="101">
        <v>18</v>
      </c>
      <c r="AT49" s="101"/>
      <c r="AU49" s="101"/>
      <c r="AV49" s="101">
        <v>5</v>
      </c>
      <c r="BD49" s="2">
        <v>14</v>
      </c>
      <c r="BE49" s="2">
        <v>39</v>
      </c>
      <c r="BF49" s="2"/>
    </row>
    <row r="50" spans="2:58" x14ac:dyDescent="0.2">
      <c r="B50" s="2">
        <v>12</v>
      </c>
      <c r="C50" s="2">
        <v>38</v>
      </c>
      <c r="D50" s="2"/>
      <c r="E50" s="2"/>
      <c r="F50" s="2">
        <v>7</v>
      </c>
      <c r="G50" s="2"/>
      <c r="H50" s="2"/>
      <c r="I50" s="2"/>
      <c r="J50" s="101">
        <v>12</v>
      </c>
      <c r="K50" s="101">
        <v>38</v>
      </c>
      <c r="L50" s="101">
        <v>3</v>
      </c>
      <c r="M50" s="101"/>
      <c r="N50" s="101">
        <v>7</v>
      </c>
      <c r="O50" s="101"/>
      <c r="P50" s="101"/>
      <c r="Q50" s="2"/>
      <c r="R50" s="101">
        <v>12</v>
      </c>
      <c r="S50" s="101">
        <v>38</v>
      </c>
      <c r="T50" s="101">
        <v>1</v>
      </c>
      <c r="U50" s="101">
        <v>18</v>
      </c>
      <c r="V50" s="101"/>
      <c r="W50" s="101"/>
      <c r="X50" s="101">
        <v>5</v>
      </c>
      <c r="Y50" s="2"/>
      <c r="Z50" s="101">
        <v>12</v>
      </c>
      <c r="AA50" s="101">
        <v>38</v>
      </c>
      <c r="AB50" s="101">
        <v>1</v>
      </c>
      <c r="AC50" s="101">
        <v>18</v>
      </c>
      <c r="AD50" s="101"/>
      <c r="AE50" s="101"/>
      <c r="AF50" s="101">
        <v>5</v>
      </c>
      <c r="AG50" s="2"/>
      <c r="AH50" s="101">
        <v>12</v>
      </c>
      <c r="AI50" s="101">
        <v>38</v>
      </c>
      <c r="AJ50" s="101"/>
      <c r="AK50" s="101">
        <v>16</v>
      </c>
      <c r="AL50" s="101"/>
      <c r="AM50" s="101">
        <v>3</v>
      </c>
      <c r="AN50" s="101"/>
      <c r="AO50" s="2"/>
      <c r="AP50" s="101">
        <v>12</v>
      </c>
      <c r="AQ50" s="101">
        <v>38</v>
      </c>
      <c r="AR50" s="101"/>
      <c r="AS50" s="101">
        <v>17</v>
      </c>
      <c r="AT50" s="101">
        <v>9</v>
      </c>
      <c r="AU50" s="101"/>
      <c r="AV50" s="101"/>
      <c r="BD50" s="2">
        <v>12</v>
      </c>
      <c r="BE50" s="2">
        <v>38</v>
      </c>
      <c r="BF50" s="2"/>
    </row>
    <row r="51" spans="2:58" x14ac:dyDescent="0.2">
      <c r="B51" s="2">
        <v>10</v>
      </c>
      <c r="C51" s="2">
        <v>37</v>
      </c>
      <c r="D51" s="2">
        <v>3</v>
      </c>
      <c r="E51" s="2">
        <v>13</v>
      </c>
      <c r="F51" s="2">
        <v>6</v>
      </c>
      <c r="G51" s="2">
        <v>2</v>
      </c>
      <c r="H51" s="2"/>
      <c r="I51" s="2"/>
      <c r="J51" s="101">
        <v>10</v>
      </c>
      <c r="K51" s="101">
        <v>37</v>
      </c>
      <c r="L51" s="101"/>
      <c r="M51" s="101">
        <v>13</v>
      </c>
      <c r="N51" s="101">
        <v>6</v>
      </c>
      <c r="O51" s="101">
        <v>2</v>
      </c>
      <c r="P51" s="101"/>
      <c r="Q51" s="2"/>
      <c r="R51" s="101">
        <v>10</v>
      </c>
      <c r="S51" s="101">
        <v>37</v>
      </c>
      <c r="T51" s="101"/>
      <c r="U51" s="101">
        <v>17</v>
      </c>
      <c r="V51" s="101">
        <v>9</v>
      </c>
      <c r="W51" s="101"/>
      <c r="X51" s="101"/>
      <c r="Y51" s="2"/>
      <c r="Z51" s="101">
        <v>10</v>
      </c>
      <c r="AA51" s="101">
        <v>37</v>
      </c>
      <c r="AB51" s="101"/>
      <c r="AC51" s="101">
        <v>17</v>
      </c>
      <c r="AD51" s="101">
        <v>9</v>
      </c>
      <c r="AE51" s="101"/>
      <c r="AF51" s="101"/>
      <c r="AG51" s="2"/>
      <c r="AH51" s="101">
        <v>10</v>
      </c>
      <c r="AI51" s="101">
        <v>37</v>
      </c>
      <c r="AJ51" s="101"/>
      <c r="AK51" s="101">
        <v>15</v>
      </c>
      <c r="AL51" s="101">
        <v>7</v>
      </c>
      <c r="AM51" s="101"/>
      <c r="AN51" s="101">
        <v>4</v>
      </c>
      <c r="AO51" s="2"/>
      <c r="AP51" s="101">
        <v>10</v>
      </c>
      <c r="AQ51" s="101">
        <v>37</v>
      </c>
      <c r="AR51" s="101"/>
      <c r="AS51" s="101">
        <v>16</v>
      </c>
      <c r="AT51" s="101"/>
      <c r="AU51" s="101"/>
      <c r="AV51" s="101"/>
      <c r="BD51" s="2">
        <v>10</v>
      </c>
      <c r="BE51" s="2">
        <v>37</v>
      </c>
      <c r="BF51" s="2"/>
    </row>
    <row r="52" spans="2:58" x14ac:dyDescent="0.2">
      <c r="B52" s="2">
        <v>8</v>
      </c>
      <c r="C52" s="2">
        <v>36</v>
      </c>
      <c r="D52" s="2"/>
      <c r="E52" s="2">
        <v>12</v>
      </c>
      <c r="F52" s="2"/>
      <c r="G52" s="2"/>
      <c r="H52" s="2">
        <v>3</v>
      </c>
      <c r="I52" s="2"/>
      <c r="J52" s="101">
        <v>8</v>
      </c>
      <c r="K52" s="101">
        <v>36</v>
      </c>
      <c r="L52" s="101"/>
      <c r="M52" s="101">
        <v>12</v>
      </c>
      <c r="N52" s="101"/>
      <c r="O52" s="101"/>
      <c r="P52" s="101">
        <v>3</v>
      </c>
      <c r="Q52" s="2"/>
      <c r="R52" s="101">
        <v>8</v>
      </c>
      <c r="S52" s="101">
        <v>36</v>
      </c>
      <c r="T52" s="101"/>
      <c r="U52" s="101">
        <v>16</v>
      </c>
      <c r="V52" s="101"/>
      <c r="W52" s="101"/>
      <c r="X52" s="101">
        <v>4</v>
      </c>
      <c r="Y52" s="2"/>
      <c r="Z52" s="101">
        <v>8</v>
      </c>
      <c r="AA52" s="101">
        <v>36</v>
      </c>
      <c r="AB52" s="101"/>
      <c r="AC52" s="101">
        <v>16</v>
      </c>
      <c r="AD52" s="101"/>
      <c r="AE52" s="101"/>
      <c r="AF52" s="101">
        <v>4</v>
      </c>
      <c r="AG52" s="2"/>
      <c r="AH52" s="101">
        <v>8</v>
      </c>
      <c r="AI52" s="101">
        <v>36</v>
      </c>
      <c r="AJ52" s="101"/>
      <c r="AK52" s="101">
        <v>14</v>
      </c>
      <c r="AL52" s="101"/>
      <c r="AM52" s="101"/>
      <c r="AN52" s="101"/>
      <c r="AO52" s="2"/>
      <c r="AP52" s="101">
        <v>8</v>
      </c>
      <c r="AQ52" s="101">
        <v>36</v>
      </c>
      <c r="AR52" s="101"/>
      <c r="AS52" s="101">
        <v>15</v>
      </c>
      <c r="AT52" s="101">
        <v>8</v>
      </c>
      <c r="AU52" s="101">
        <v>2</v>
      </c>
      <c r="AV52" s="101">
        <v>4</v>
      </c>
      <c r="BD52" s="2">
        <v>8</v>
      </c>
      <c r="BE52" s="2">
        <v>36</v>
      </c>
      <c r="BF52" s="2">
        <v>3</v>
      </c>
    </row>
    <row r="53" spans="2:58" x14ac:dyDescent="0.2">
      <c r="B53" s="2">
        <v>7</v>
      </c>
      <c r="C53" s="2">
        <v>35</v>
      </c>
      <c r="D53" s="2"/>
      <c r="E53" s="2">
        <v>11</v>
      </c>
      <c r="F53" s="2"/>
      <c r="G53" s="2"/>
      <c r="H53" s="2"/>
      <c r="I53" s="2"/>
      <c r="J53" s="101">
        <v>7</v>
      </c>
      <c r="K53" s="101">
        <v>35</v>
      </c>
      <c r="L53" s="101"/>
      <c r="M53" s="101">
        <v>11</v>
      </c>
      <c r="N53" s="101"/>
      <c r="O53" s="101"/>
      <c r="P53" s="101"/>
      <c r="Q53" s="2"/>
      <c r="R53" s="101">
        <v>7</v>
      </c>
      <c r="S53" s="101">
        <v>35</v>
      </c>
      <c r="T53" s="101"/>
      <c r="U53" s="101">
        <v>15</v>
      </c>
      <c r="V53" s="101">
        <v>8</v>
      </c>
      <c r="W53" s="101"/>
      <c r="X53" s="101"/>
      <c r="Y53" s="2"/>
      <c r="Z53" s="101">
        <v>7</v>
      </c>
      <c r="AA53" s="101">
        <v>35</v>
      </c>
      <c r="AB53" s="101"/>
      <c r="AC53" s="101">
        <v>15</v>
      </c>
      <c r="AD53" s="101">
        <v>8</v>
      </c>
      <c r="AE53" s="101"/>
      <c r="AF53" s="101"/>
      <c r="AG53" s="2"/>
      <c r="AH53" s="101">
        <v>7</v>
      </c>
      <c r="AI53" s="101">
        <v>35</v>
      </c>
      <c r="AJ53" s="101"/>
      <c r="AK53" s="101">
        <v>13</v>
      </c>
      <c r="AL53" s="101">
        <v>6</v>
      </c>
      <c r="AM53" s="101">
        <v>2</v>
      </c>
      <c r="AN53" s="101"/>
      <c r="AO53" s="2"/>
      <c r="AP53" s="101">
        <v>7</v>
      </c>
      <c r="AQ53" s="101">
        <v>35</v>
      </c>
      <c r="AR53" s="101"/>
      <c r="AS53" s="101"/>
      <c r="AT53" s="101"/>
      <c r="AU53" s="101"/>
      <c r="AV53" s="101"/>
      <c r="BD53" s="2">
        <v>7</v>
      </c>
      <c r="BE53" s="2">
        <v>35</v>
      </c>
      <c r="BF53" s="2"/>
    </row>
    <row r="54" spans="2:58" x14ac:dyDescent="0.2">
      <c r="B54" s="2">
        <v>6</v>
      </c>
      <c r="C54" s="2">
        <v>34</v>
      </c>
      <c r="D54" s="2"/>
      <c r="E54" s="2">
        <v>10</v>
      </c>
      <c r="F54" s="2"/>
      <c r="G54" s="2"/>
      <c r="H54" s="2"/>
      <c r="I54" s="2"/>
      <c r="J54" s="101">
        <v>6</v>
      </c>
      <c r="K54" s="101">
        <v>34</v>
      </c>
      <c r="L54" s="101">
        <v>2</v>
      </c>
      <c r="M54" s="101">
        <v>10</v>
      </c>
      <c r="N54" s="101"/>
      <c r="O54" s="101"/>
      <c r="P54" s="101"/>
      <c r="Q54" s="2"/>
      <c r="R54" s="101">
        <v>6</v>
      </c>
      <c r="S54" s="101">
        <v>33</v>
      </c>
      <c r="T54" s="101"/>
      <c r="U54" s="101">
        <v>14</v>
      </c>
      <c r="V54" s="101"/>
      <c r="W54" s="101">
        <v>1</v>
      </c>
      <c r="X54" s="101"/>
      <c r="Y54" s="2"/>
      <c r="Z54" s="101">
        <v>6</v>
      </c>
      <c r="AA54" s="101">
        <v>33</v>
      </c>
      <c r="AB54" s="101"/>
      <c r="AC54" s="101">
        <v>14</v>
      </c>
      <c r="AD54" s="101"/>
      <c r="AE54" s="101">
        <v>1</v>
      </c>
      <c r="AF54" s="101"/>
      <c r="AG54" s="2"/>
      <c r="AH54" s="101">
        <v>6</v>
      </c>
      <c r="AI54" s="101">
        <v>34</v>
      </c>
      <c r="AJ54" s="101"/>
      <c r="AL54" s="101"/>
      <c r="AM54" s="101"/>
      <c r="AN54" s="101"/>
      <c r="AO54" s="2"/>
      <c r="AP54" s="101">
        <v>6</v>
      </c>
      <c r="AQ54" s="101">
        <v>34</v>
      </c>
      <c r="AR54" s="101">
        <v>1</v>
      </c>
      <c r="AS54" s="101">
        <v>14</v>
      </c>
      <c r="AT54" s="101"/>
      <c r="AU54" s="101"/>
      <c r="AV54" s="101"/>
      <c r="BD54" s="2">
        <v>6</v>
      </c>
      <c r="BE54" s="2">
        <v>33</v>
      </c>
      <c r="BF54" s="2"/>
    </row>
    <row r="55" spans="2:58" x14ac:dyDescent="0.2">
      <c r="B55" s="2">
        <v>5</v>
      </c>
      <c r="C55" s="2">
        <v>33</v>
      </c>
      <c r="D55" s="2">
        <v>2</v>
      </c>
      <c r="E55" s="2"/>
      <c r="F55" s="2">
        <v>5</v>
      </c>
      <c r="G55" s="2"/>
      <c r="H55" s="2">
        <v>2</v>
      </c>
      <c r="I55" s="2"/>
      <c r="J55" s="101">
        <v>5</v>
      </c>
      <c r="K55" s="101">
        <v>33</v>
      </c>
      <c r="L55" s="101"/>
      <c r="M55" s="101"/>
      <c r="N55" s="101">
        <v>5</v>
      </c>
      <c r="O55" s="101"/>
      <c r="P55" s="101">
        <v>2</v>
      </c>
      <c r="Q55" s="2"/>
      <c r="R55" s="101">
        <v>5</v>
      </c>
      <c r="S55" s="101">
        <v>33</v>
      </c>
      <c r="T55" s="101"/>
      <c r="U55" s="101">
        <v>13</v>
      </c>
      <c r="V55" s="101"/>
      <c r="W55" s="101"/>
      <c r="X55" s="101"/>
      <c r="Y55" s="2"/>
      <c r="Z55" s="101">
        <v>5</v>
      </c>
      <c r="AA55" s="101">
        <v>33</v>
      </c>
      <c r="AB55" s="101"/>
      <c r="AC55" s="101">
        <v>13</v>
      </c>
      <c r="AD55" s="101"/>
      <c r="AE55" s="101"/>
      <c r="AF55" s="101"/>
      <c r="AG55" s="2"/>
      <c r="AH55" s="101">
        <v>5</v>
      </c>
      <c r="AI55" s="101">
        <v>33</v>
      </c>
      <c r="AJ55" s="101"/>
      <c r="AL55" s="101">
        <v>5</v>
      </c>
      <c r="AM55" s="101"/>
      <c r="AN55" s="101">
        <v>3</v>
      </c>
      <c r="AO55" s="2"/>
      <c r="AP55" s="101">
        <v>5</v>
      </c>
      <c r="AQ55" s="101">
        <v>33</v>
      </c>
      <c r="AR55" s="101"/>
      <c r="AS55" s="101">
        <v>13</v>
      </c>
      <c r="AT55" s="101">
        <v>7</v>
      </c>
      <c r="AU55" s="101"/>
      <c r="AV55" s="101">
        <v>3</v>
      </c>
      <c r="BD55" s="2">
        <v>5</v>
      </c>
      <c r="BE55" s="2">
        <v>33</v>
      </c>
      <c r="BF55" s="2">
        <v>2</v>
      </c>
    </row>
    <row r="56" spans="2:58" x14ac:dyDescent="0.2">
      <c r="B56" s="2">
        <v>4</v>
      </c>
      <c r="C56" s="2">
        <v>32</v>
      </c>
      <c r="D56" s="2"/>
      <c r="E56" s="2">
        <v>9</v>
      </c>
      <c r="F56" s="2"/>
      <c r="G56" s="2">
        <v>1</v>
      </c>
      <c r="H56" s="2"/>
      <c r="I56" s="2"/>
      <c r="J56" s="101">
        <v>4</v>
      </c>
      <c r="K56" s="101">
        <v>32</v>
      </c>
      <c r="L56" s="101"/>
      <c r="M56" s="101">
        <v>9</v>
      </c>
      <c r="N56" s="101"/>
      <c r="O56" s="101"/>
      <c r="P56" s="101"/>
      <c r="Q56" s="2"/>
      <c r="R56" s="101">
        <v>4</v>
      </c>
      <c r="S56" s="101">
        <v>32</v>
      </c>
      <c r="T56" s="101"/>
      <c r="U56" s="101">
        <v>12</v>
      </c>
      <c r="V56" s="101">
        <v>7</v>
      </c>
      <c r="W56" s="101"/>
      <c r="X56" s="101">
        <v>3</v>
      </c>
      <c r="Y56" s="2"/>
      <c r="Z56" s="101">
        <v>4</v>
      </c>
      <c r="AA56" s="101">
        <v>32</v>
      </c>
      <c r="AB56" s="101"/>
      <c r="AC56" s="101">
        <v>12</v>
      </c>
      <c r="AD56" s="101">
        <v>7</v>
      </c>
      <c r="AE56" s="101"/>
      <c r="AF56" s="101">
        <v>3</v>
      </c>
      <c r="AG56" s="2"/>
      <c r="AH56" s="101">
        <v>4</v>
      </c>
      <c r="AI56" s="101">
        <v>32</v>
      </c>
      <c r="AJ56" s="101"/>
      <c r="AK56" s="101">
        <v>12</v>
      </c>
      <c r="AL56" s="101"/>
      <c r="AM56" s="101"/>
      <c r="AN56" s="101"/>
      <c r="AO56" s="2"/>
      <c r="AP56" s="101">
        <v>4</v>
      </c>
      <c r="AQ56" s="101">
        <v>32</v>
      </c>
      <c r="AR56" s="101"/>
      <c r="AS56" s="101"/>
      <c r="AT56" s="101"/>
      <c r="AU56" s="101"/>
      <c r="AV56" s="101"/>
      <c r="BD56" s="2">
        <v>4</v>
      </c>
      <c r="BE56" s="2">
        <v>32</v>
      </c>
      <c r="BF56" s="2"/>
    </row>
    <row r="57" spans="2:58" x14ac:dyDescent="0.2">
      <c r="B57" s="2">
        <v>2</v>
      </c>
      <c r="C57" s="2">
        <v>31</v>
      </c>
      <c r="D57" s="2"/>
      <c r="E57" s="2">
        <v>8</v>
      </c>
      <c r="F57" s="2">
        <v>4</v>
      </c>
      <c r="G57" s="2"/>
      <c r="H57" s="2"/>
      <c r="I57" s="2"/>
      <c r="J57" s="101">
        <v>2</v>
      </c>
      <c r="K57" s="101">
        <v>31</v>
      </c>
      <c r="L57" s="101">
        <v>1</v>
      </c>
      <c r="M57" s="101">
        <v>8</v>
      </c>
      <c r="N57" s="101">
        <v>4</v>
      </c>
      <c r="O57" s="101">
        <v>1</v>
      </c>
      <c r="P57" s="101"/>
      <c r="Q57" s="2"/>
      <c r="R57" s="101">
        <v>2</v>
      </c>
      <c r="S57" s="101">
        <v>31</v>
      </c>
      <c r="T57" s="101"/>
      <c r="U57" s="101">
        <v>11</v>
      </c>
      <c r="V57" s="101">
        <v>6</v>
      </c>
      <c r="W57" s="101"/>
      <c r="X57" s="101">
        <v>2</v>
      </c>
      <c r="Y57" s="2"/>
      <c r="Z57" s="101">
        <v>2</v>
      </c>
      <c r="AA57" s="101">
        <v>31</v>
      </c>
      <c r="AB57" s="101"/>
      <c r="AC57" s="101">
        <v>11</v>
      </c>
      <c r="AD57" s="101">
        <v>6</v>
      </c>
      <c r="AE57" s="101"/>
      <c r="AF57" s="101">
        <v>2</v>
      </c>
      <c r="AG57" s="2"/>
      <c r="AH57" s="101">
        <v>2</v>
      </c>
      <c r="AI57" s="101">
        <v>31</v>
      </c>
      <c r="AJ57" s="101"/>
      <c r="AK57" s="101">
        <v>11</v>
      </c>
      <c r="AL57" s="101">
        <v>4</v>
      </c>
      <c r="AM57" s="101"/>
      <c r="AN57" s="103">
        <v>2</v>
      </c>
      <c r="AO57" s="2"/>
      <c r="AP57" s="101">
        <v>2</v>
      </c>
      <c r="AQ57" s="101">
        <v>31</v>
      </c>
      <c r="AR57" s="101"/>
      <c r="AS57" s="101">
        <v>12</v>
      </c>
      <c r="AT57" s="101">
        <v>6</v>
      </c>
      <c r="AU57" s="101">
        <v>1</v>
      </c>
      <c r="AV57" s="101">
        <v>2</v>
      </c>
      <c r="BD57" s="2">
        <v>2</v>
      </c>
      <c r="BE57" s="2">
        <v>31</v>
      </c>
      <c r="BF57" s="2"/>
    </row>
    <row r="58" spans="2:58" x14ac:dyDescent="0.2">
      <c r="B58" s="2">
        <v>2</v>
      </c>
      <c r="C58" s="2">
        <v>30</v>
      </c>
      <c r="D58" s="2">
        <v>1</v>
      </c>
      <c r="E58" s="2"/>
      <c r="F58" s="2">
        <v>3</v>
      </c>
      <c r="G58" s="2">
        <v>0</v>
      </c>
      <c r="H58" s="2">
        <v>1</v>
      </c>
      <c r="I58" s="2"/>
      <c r="J58" s="101">
        <v>2</v>
      </c>
      <c r="K58" s="101">
        <v>30</v>
      </c>
      <c r="L58" s="101">
        <v>0</v>
      </c>
      <c r="M58" s="101">
        <v>7</v>
      </c>
      <c r="N58" s="101">
        <v>3</v>
      </c>
      <c r="O58" s="101">
        <v>0</v>
      </c>
      <c r="P58" s="101">
        <v>1</v>
      </c>
      <c r="Q58" s="2"/>
      <c r="R58" s="101">
        <v>2</v>
      </c>
      <c r="S58" s="101">
        <v>30</v>
      </c>
      <c r="T58" s="101">
        <v>0</v>
      </c>
      <c r="U58" s="101">
        <v>10</v>
      </c>
      <c r="V58" s="101">
        <v>5</v>
      </c>
      <c r="W58" s="101">
        <v>0</v>
      </c>
      <c r="X58" s="101"/>
      <c r="Y58" s="2"/>
      <c r="Z58" s="101">
        <v>2</v>
      </c>
      <c r="AA58" s="101">
        <v>30</v>
      </c>
      <c r="AB58" s="101">
        <v>0</v>
      </c>
      <c r="AC58" s="101">
        <v>10</v>
      </c>
      <c r="AD58" s="101">
        <v>5</v>
      </c>
      <c r="AE58" s="101">
        <v>0</v>
      </c>
      <c r="AF58" s="101"/>
      <c r="AG58" s="2"/>
      <c r="AH58" s="101">
        <v>2</v>
      </c>
      <c r="AI58" s="101">
        <v>30</v>
      </c>
      <c r="AJ58" s="101">
        <v>2</v>
      </c>
      <c r="AK58" s="101">
        <v>10</v>
      </c>
      <c r="AL58" s="101">
        <v>3</v>
      </c>
      <c r="AM58" s="101">
        <v>1</v>
      </c>
      <c r="AN58" s="103"/>
      <c r="AO58" s="2"/>
      <c r="AP58" s="101">
        <v>2</v>
      </c>
      <c r="AQ58" s="101">
        <v>30</v>
      </c>
      <c r="AR58" s="101">
        <v>0</v>
      </c>
      <c r="AS58" s="101">
        <v>11</v>
      </c>
      <c r="AT58" s="101">
        <v>5</v>
      </c>
      <c r="AU58" s="101">
        <v>0</v>
      </c>
      <c r="AV58" s="101"/>
      <c r="BD58" s="2">
        <v>2</v>
      </c>
      <c r="BE58" s="2">
        <v>30</v>
      </c>
      <c r="BF58" s="2">
        <v>1</v>
      </c>
    </row>
    <row r="59" spans="2:58" x14ac:dyDescent="0.2">
      <c r="B59" s="2">
        <v>2</v>
      </c>
      <c r="C59" s="2">
        <v>30</v>
      </c>
      <c r="D59" s="2">
        <v>0</v>
      </c>
      <c r="E59" s="2">
        <v>7</v>
      </c>
      <c r="F59" s="2">
        <v>2</v>
      </c>
      <c r="G59" s="2"/>
      <c r="H59" s="2">
        <v>0</v>
      </c>
      <c r="I59" s="2"/>
      <c r="J59" s="101">
        <v>2</v>
      </c>
      <c r="K59" s="101">
        <v>30</v>
      </c>
      <c r="L59" s="101"/>
      <c r="M59" s="101">
        <v>6</v>
      </c>
      <c r="N59" s="101">
        <v>2</v>
      </c>
      <c r="O59" s="101"/>
      <c r="P59" s="101">
        <v>0</v>
      </c>
      <c r="Q59" s="2"/>
      <c r="R59" s="101">
        <v>2</v>
      </c>
      <c r="S59" s="101">
        <v>30</v>
      </c>
      <c r="T59" s="101"/>
      <c r="U59" s="101">
        <v>9</v>
      </c>
      <c r="V59" s="101">
        <v>4</v>
      </c>
      <c r="W59" s="101"/>
      <c r="X59" s="101">
        <v>1</v>
      </c>
      <c r="Y59" s="2"/>
      <c r="Z59" s="101">
        <v>2</v>
      </c>
      <c r="AA59" s="101">
        <v>30</v>
      </c>
      <c r="AB59" s="101"/>
      <c r="AC59" s="101">
        <v>9</v>
      </c>
      <c r="AD59" s="101">
        <v>4</v>
      </c>
      <c r="AE59" s="101"/>
      <c r="AF59" s="101">
        <v>1</v>
      </c>
      <c r="AG59" s="2"/>
      <c r="AH59" s="101">
        <v>2</v>
      </c>
      <c r="AI59" s="101">
        <v>30</v>
      </c>
      <c r="AJ59" s="101">
        <v>1</v>
      </c>
      <c r="AK59" s="101">
        <v>9</v>
      </c>
      <c r="AL59" s="101">
        <v>2</v>
      </c>
      <c r="AM59" s="101">
        <v>0</v>
      </c>
      <c r="AN59" s="103">
        <v>1</v>
      </c>
      <c r="AO59" s="2"/>
      <c r="AP59" s="101">
        <v>2</v>
      </c>
      <c r="AQ59" s="101">
        <v>30</v>
      </c>
      <c r="AR59" s="101"/>
      <c r="AS59" s="101">
        <v>10</v>
      </c>
      <c r="AT59" s="101">
        <v>4</v>
      </c>
      <c r="AU59" s="101"/>
      <c r="AV59" s="101">
        <v>1</v>
      </c>
      <c r="BD59" s="2">
        <v>2</v>
      </c>
      <c r="BE59" s="2">
        <v>30</v>
      </c>
      <c r="BF59" s="2">
        <v>0</v>
      </c>
    </row>
    <row r="60" spans="2:58" x14ac:dyDescent="0.2">
      <c r="B60" s="2">
        <v>2</v>
      </c>
      <c r="C60" s="2">
        <v>30</v>
      </c>
      <c r="D60" s="2"/>
      <c r="E60" s="2">
        <v>6</v>
      </c>
      <c r="F60" s="2">
        <v>1</v>
      </c>
      <c r="G60" s="2"/>
      <c r="H60" s="2"/>
      <c r="I60" s="2"/>
      <c r="J60" s="101">
        <v>2</v>
      </c>
      <c r="K60" s="101">
        <v>30</v>
      </c>
      <c r="L60" s="101"/>
      <c r="M60" s="101">
        <v>5</v>
      </c>
      <c r="N60" s="101">
        <v>1</v>
      </c>
      <c r="O60" s="101"/>
      <c r="P60" s="101"/>
      <c r="Q60" s="2"/>
      <c r="R60" s="101">
        <v>2</v>
      </c>
      <c r="S60" s="101">
        <v>30</v>
      </c>
      <c r="T60" s="101"/>
      <c r="U60" s="101">
        <v>8</v>
      </c>
      <c r="V60" s="101">
        <v>3</v>
      </c>
      <c r="W60" s="101"/>
      <c r="X60" s="101">
        <v>0</v>
      </c>
      <c r="Y60" s="2"/>
      <c r="Z60" s="101">
        <v>2</v>
      </c>
      <c r="AA60" s="101">
        <v>30</v>
      </c>
      <c r="AB60" s="101"/>
      <c r="AC60" s="101">
        <v>8</v>
      </c>
      <c r="AD60" s="101">
        <v>3</v>
      </c>
      <c r="AE60" s="101"/>
      <c r="AF60" s="101">
        <v>0</v>
      </c>
      <c r="AG60" s="2"/>
      <c r="AH60" s="101">
        <v>2</v>
      </c>
      <c r="AI60" s="101">
        <v>30</v>
      </c>
      <c r="AJ60" s="101">
        <v>0</v>
      </c>
      <c r="AK60" s="101">
        <v>8</v>
      </c>
      <c r="AL60" s="101">
        <v>1</v>
      </c>
      <c r="AM60" s="101"/>
      <c r="AN60" s="101">
        <v>0</v>
      </c>
      <c r="AO60" s="2"/>
      <c r="AP60" s="101">
        <v>2</v>
      </c>
      <c r="AQ60" s="101">
        <v>30</v>
      </c>
      <c r="AR60" s="101"/>
      <c r="AS60" s="101">
        <v>9</v>
      </c>
      <c r="AT60" s="101">
        <v>3</v>
      </c>
      <c r="AU60" s="101"/>
      <c r="AV60" s="101"/>
      <c r="BD60" s="2">
        <v>2</v>
      </c>
      <c r="BE60" s="2">
        <v>30</v>
      </c>
      <c r="BF60" s="2"/>
    </row>
    <row r="61" spans="2:58" x14ac:dyDescent="0.2">
      <c r="B61" s="2">
        <v>2</v>
      </c>
      <c r="C61" s="2">
        <v>30</v>
      </c>
      <c r="D61" s="2"/>
      <c r="E61" s="2">
        <v>5</v>
      </c>
      <c r="F61" s="2">
        <v>0</v>
      </c>
      <c r="G61" s="2"/>
      <c r="H61" s="2"/>
      <c r="I61" s="2"/>
      <c r="J61" s="101">
        <v>2</v>
      </c>
      <c r="K61" s="101">
        <v>30</v>
      </c>
      <c r="L61" s="101"/>
      <c r="M61" s="101">
        <v>4</v>
      </c>
      <c r="N61" s="101">
        <v>0</v>
      </c>
      <c r="O61" s="101"/>
      <c r="P61" s="101"/>
      <c r="Q61" s="2"/>
      <c r="R61" s="101">
        <v>2</v>
      </c>
      <c r="S61" s="101">
        <v>30</v>
      </c>
      <c r="T61" s="101"/>
      <c r="U61" s="101">
        <v>7</v>
      </c>
      <c r="V61" s="101">
        <v>2</v>
      </c>
      <c r="W61" s="101"/>
      <c r="X61" s="101"/>
      <c r="Y61" s="2"/>
      <c r="Z61" s="101">
        <v>2</v>
      </c>
      <c r="AA61" s="101">
        <v>30</v>
      </c>
      <c r="AB61" s="101"/>
      <c r="AC61" s="101">
        <v>7</v>
      </c>
      <c r="AD61" s="101">
        <v>2</v>
      </c>
      <c r="AE61" s="101"/>
      <c r="AF61" s="101"/>
      <c r="AG61" s="2"/>
      <c r="AH61" s="101">
        <v>2</v>
      </c>
      <c r="AI61" s="101">
        <v>30</v>
      </c>
      <c r="AJ61" s="101"/>
      <c r="AK61" s="101">
        <v>7</v>
      </c>
      <c r="AL61" s="101">
        <v>0</v>
      </c>
      <c r="AM61" s="101"/>
      <c r="AN61" s="101"/>
      <c r="AO61" s="2"/>
      <c r="AP61" s="101">
        <v>2</v>
      </c>
      <c r="AQ61" s="101">
        <v>30</v>
      </c>
      <c r="AR61" s="101"/>
      <c r="AS61" s="101">
        <v>8</v>
      </c>
      <c r="AT61" s="101">
        <v>2</v>
      </c>
      <c r="AU61" s="101"/>
      <c r="AV61" s="101"/>
      <c r="BD61" s="2">
        <v>2</v>
      </c>
      <c r="BE61" s="2">
        <v>30</v>
      </c>
      <c r="BF61" s="2"/>
    </row>
    <row r="62" spans="2:58" x14ac:dyDescent="0.2">
      <c r="B62" s="2">
        <v>2</v>
      </c>
      <c r="C62" s="2">
        <v>30</v>
      </c>
      <c r="D62" s="2"/>
      <c r="E62" s="2">
        <v>4</v>
      </c>
      <c r="F62" s="2"/>
      <c r="G62" s="2"/>
      <c r="H62" s="2"/>
      <c r="I62" s="2"/>
      <c r="J62" s="101">
        <v>2</v>
      </c>
      <c r="K62" s="101">
        <v>30</v>
      </c>
      <c r="L62" s="101"/>
      <c r="M62" s="101">
        <v>3</v>
      </c>
      <c r="N62" s="101"/>
      <c r="O62" s="101"/>
      <c r="P62" s="101"/>
      <c r="Q62" s="2"/>
      <c r="R62" s="101">
        <v>2</v>
      </c>
      <c r="S62" s="101">
        <v>30</v>
      </c>
      <c r="T62" s="101"/>
      <c r="U62" s="101">
        <v>6</v>
      </c>
      <c r="V62" s="101">
        <v>1</v>
      </c>
      <c r="W62" s="101"/>
      <c r="X62" s="101"/>
      <c r="Y62" s="2"/>
      <c r="Z62" s="101">
        <v>2</v>
      </c>
      <c r="AA62" s="101">
        <v>30</v>
      </c>
      <c r="AB62" s="101"/>
      <c r="AC62" s="101">
        <v>6</v>
      </c>
      <c r="AD62" s="101">
        <v>1</v>
      </c>
      <c r="AE62" s="101"/>
      <c r="AF62" s="101"/>
      <c r="AG62" s="2"/>
      <c r="AH62" s="101">
        <v>2</v>
      </c>
      <c r="AI62" s="101">
        <v>30</v>
      </c>
      <c r="AJ62" s="101"/>
      <c r="AK62" s="101">
        <v>6</v>
      </c>
      <c r="AL62" s="101"/>
      <c r="AM62" s="101"/>
      <c r="AN62" s="101"/>
      <c r="AO62" s="2"/>
      <c r="AP62" s="101">
        <v>2</v>
      </c>
      <c r="AQ62" s="101">
        <v>30</v>
      </c>
      <c r="AR62" s="101"/>
      <c r="AS62" s="101">
        <v>7</v>
      </c>
      <c r="AT62" s="101">
        <v>1</v>
      </c>
      <c r="AU62" s="101"/>
      <c r="AV62" s="101"/>
      <c r="BD62" s="2">
        <v>2</v>
      </c>
      <c r="BE62" s="2">
        <v>30</v>
      </c>
      <c r="BF62" s="2"/>
    </row>
    <row r="63" spans="2:58" x14ac:dyDescent="0.2">
      <c r="B63" s="2">
        <v>2</v>
      </c>
      <c r="C63" s="2">
        <v>30</v>
      </c>
      <c r="D63" s="2"/>
      <c r="E63" s="2">
        <v>3</v>
      </c>
      <c r="F63" s="2"/>
      <c r="G63" s="2"/>
      <c r="H63" s="2"/>
      <c r="I63" s="2"/>
      <c r="J63" s="101">
        <v>2</v>
      </c>
      <c r="K63" s="101">
        <v>30</v>
      </c>
      <c r="L63" s="101"/>
      <c r="M63" s="101">
        <v>2</v>
      </c>
      <c r="N63" s="101"/>
      <c r="O63" s="101"/>
      <c r="P63" s="101"/>
      <c r="Q63" s="2"/>
      <c r="R63" s="101">
        <v>2</v>
      </c>
      <c r="S63" s="101">
        <v>30</v>
      </c>
      <c r="T63" s="101"/>
      <c r="U63" s="101">
        <v>5</v>
      </c>
      <c r="V63" s="101">
        <v>0</v>
      </c>
      <c r="W63" s="101"/>
      <c r="X63" s="101"/>
      <c r="Y63" s="2"/>
      <c r="Z63" s="101">
        <v>2</v>
      </c>
      <c r="AA63" s="101">
        <v>30</v>
      </c>
      <c r="AB63" s="101"/>
      <c r="AC63" s="101">
        <v>5</v>
      </c>
      <c r="AD63" s="101">
        <v>0</v>
      </c>
      <c r="AE63" s="101"/>
      <c r="AF63" s="101"/>
      <c r="AG63" s="2"/>
      <c r="AH63" s="101">
        <v>2</v>
      </c>
      <c r="AI63" s="101">
        <v>30</v>
      </c>
      <c r="AJ63" s="101"/>
      <c r="AK63" s="101">
        <v>5</v>
      </c>
      <c r="AL63" s="101"/>
      <c r="AM63" s="101"/>
      <c r="AN63" s="101"/>
      <c r="AO63" s="2"/>
      <c r="AP63" s="101">
        <v>2</v>
      </c>
      <c r="AQ63" s="101">
        <v>30</v>
      </c>
      <c r="AR63" s="101"/>
      <c r="AS63" s="101">
        <v>6</v>
      </c>
      <c r="AT63" s="101">
        <v>0</v>
      </c>
      <c r="AU63" s="101"/>
      <c r="AV63" s="101">
        <v>0</v>
      </c>
      <c r="BD63" s="2">
        <v>2</v>
      </c>
      <c r="BE63" s="2">
        <v>30</v>
      </c>
      <c r="BF63" s="2"/>
    </row>
    <row r="64" spans="2:58" x14ac:dyDescent="0.2">
      <c r="B64" s="2">
        <v>2</v>
      </c>
      <c r="C64" s="2">
        <v>30</v>
      </c>
      <c r="D64" s="2"/>
      <c r="E64" s="2">
        <v>2</v>
      </c>
      <c r="F64" s="2"/>
      <c r="G64" s="2"/>
      <c r="H64" s="2"/>
      <c r="I64" s="2"/>
      <c r="J64" s="101">
        <v>2</v>
      </c>
      <c r="K64" s="101">
        <v>30</v>
      </c>
      <c r="L64" s="101"/>
      <c r="M64" s="101">
        <v>1</v>
      </c>
      <c r="N64" s="101"/>
      <c r="O64" s="101"/>
      <c r="P64" s="101"/>
      <c r="Q64" s="2"/>
      <c r="R64" s="101">
        <v>2</v>
      </c>
      <c r="S64" s="101">
        <v>30</v>
      </c>
      <c r="T64" s="101"/>
      <c r="U64" s="101">
        <v>4</v>
      </c>
      <c r="V64" s="101"/>
      <c r="W64" s="101"/>
      <c r="X64" s="101"/>
      <c r="Y64" s="2"/>
      <c r="Z64" s="101">
        <v>2</v>
      </c>
      <c r="AA64" s="101">
        <v>30</v>
      </c>
      <c r="AB64" s="101"/>
      <c r="AC64" s="101">
        <v>4</v>
      </c>
      <c r="AD64" s="101"/>
      <c r="AE64" s="101"/>
      <c r="AF64" s="101"/>
      <c r="AG64" s="2"/>
      <c r="AH64" s="101">
        <v>2</v>
      </c>
      <c r="AI64" s="101">
        <v>30</v>
      </c>
      <c r="AJ64" s="101"/>
      <c r="AK64" s="101">
        <v>4</v>
      </c>
      <c r="AL64" s="101"/>
      <c r="AM64" s="101"/>
      <c r="AN64" s="101"/>
      <c r="AO64" s="2"/>
      <c r="AP64" s="101">
        <v>2</v>
      </c>
      <c r="AQ64" s="101">
        <v>30</v>
      </c>
      <c r="AR64" s="101"/>
      <c r="AS64" s="101">
        <v>5</v>
      </c>
      <c r="AT64" s="101"/>
      <c r="AU64" s="101"/>
      <c r="AV64" s="101"/>
      <c r="BD64" s="2">
        <v>2</v>
      </c>
      <c r="BE64" s="2">
        <v>30</v>
      </c>
      <c r="BF64" s="2"/>
    </row>
    <row r="65" spans="2:58" x14ac:dyDescent="0.2">
      <c r="B65" s="2">
        <v>2</v>
      </c>
      <c r="C65" s="2">
        <v>30</v>
      </c>
      <c r="D65" s="2"/>
      <c r="E65" s="2">
        <v>1</v>
      </c>
      <c r="F65" s="2"/>
      <c r="G65" s="2"/>
      <c r="H65" s="2"/>
      <c r="I65" s="2"/>
      <c r="J65" s="101">
        <v>2</v>
      </c>
      <c r="K65" s="101">
        <v>30</v>
      </c>
      <c r="L65" s="101"/>
      <c r="M65" s="101">
        <v>0</v>
      </c>
      <c r="N65" s="101"/>
      <c r="O65" s="101"/>
      <c r="P65" s="101"/>
      <c r="Q65" s="2"/>
      <c r="R65" s="101">
        <v>2</v>
      </c>
      <c r="S65" s="101">
        <v>30</v>
      </c>
      <c r="T65" s="101"/>
      <c r="U65" s="101">
        <v>3</v>
      </c>
      <c r="V65" s="101"/>
      <c r="W65" s="101"/>
      <c r="X65" s="101"/>
      <c r="Y65" s="2"/>
      <c r="Z65" s="101">
        <v>2</v>
      </c>
      <c r="AA65" s="101">
        <v>30</v>
      </c>
      <c r="AB65" s="101"/>
      <c r="AC65" s="101">
        <v>3</v>
      </c>
      <c r="AD65" s="101"/>
      <c r="AE65" s="101"/>
      <c r="AF65" s="101"/>
      <c r="AG65" s="2"/>
      <c r="AH65" s="101">
        <v>2</v>
      </c>
      <c r="AI65" s="101">
        <v>30</v>
      </c>
      <c r="AJ65" s="101"/>
      <c r="AK65" s="101">
        <v>3</v>
      </c>
      <c r="AL65" s="101"/>
      <c r="AM65" s="101"/>
      <c r="AN65" s="101"/>
      <c r="AO65" s="2"/>
      <c r="AP65" s="101">
        <v>2</v>
      </c>
      <c r="AQ65" s="101">
        <v>30</v>
      </c>
      <c r="AR65" s="101"/>
      <c r="AS65" s="101">
        <v>4</v>
      </c>
      <c r="AT65" s="101"/>
      <c r="AU65" s="101"/>
      <c r="AV65" s="101"/>
      <c r="BD65" s="2">
        <v>2</v>
      </c>
      <c r="BE65" s="2">
        <v>30</v>
      </c>
      <c r="BF65" s="2"/>
    </row>
    <row r="66" spans="2:58" x14ac:dyDescent="0.2">
      <c r="B66" s="2">
        <v>2</v>
      </c>
      <c r="C66" s="2">
        <v>30</v>
      </c>
      <c r="D66" s="2"/>
      <c r="E66" s="2">
        <v>0</v>
      </c>
      <c r="F66" s="2"/>
      <c r="G66" s="2"/>
      <c r="H66" s="2"/>
      <c r="I66" s="2"/>
      <c r="J66" s="101">
        <v>2</v>
      </c>
      <c r="K66" s="101">
        <v>30</v>
      </c>
      <c r="L66" s="101"/>
      <c r="M66" s="101"/>
      <c r="N66" s="101"/>
      <c r="O66" s="101"/>
      <c r="P66" s="101"/>
      <c r="Q66" s="2"/>
      <c r="R66" s="101">
        <v>2</v>
      </c>
      <c r="S66" s="101">
        <v>30</v>
      </c>
      <c r="T66" s="101"/>
      <c r="U66" s="101">
        <v>2</v>
      </c>
      <c r="V66" s="101"/>
      <c r="W66" s="101"/>
      <c r="X66" s="101"/>
      <c r="Y66" s="2"/>
      <c r="Z66" s="101">
        <v>2</v>
      </c>
      <c r="AA66" s="101">
        <v>30</v>
      </c>
      <c r="AB66" s="101"/>
      <c r="AC66" s="101">
        <v>2</v>
      </c>
      <c r="AD66" s="101"/>
      <c r="AE66" s="101"/>
      <c r="AF66" s="101"/>
      <c r="AG66" s="2"/>
      <c r="AH66" s="101">
        <v>2</v>
      </c>
      <c r="AI66" s="101">
        <v>30</v>
      </c>
      <c r="AJ66" s="101"/>
      <c r="AK66" s="101">
        <v>2</v>
      </c>
      <c r="AL66" s="101"/>
      <c r="AM66" s="101"/>
      <c r="AN66" s="101"/>
      <c r="AO66" s="2"/>
      <c r="AP66" s="101">
        <v>2</v>
      </c>
      <c r="AQ66" s="101">
        <v>30</v>
      </c>
      <c r="AR66" s="101"/>
      <c r="AS66" s="101">
        <v>3</v>
      </c>
      <c r="AT66" s="101"/>
      <c r="AU66" s="101"/>
      <c r="AV66" s="101"/>
      <c r="BD66" s="2">
        <v>2</v>
      </c>
      <c r="BE66" s="2">
        <v>30</v>
      </c>
      <c r="BF66" s="2"/>
    </row>
    <row r="67" spans="2:58" x14ac:dyDescent="0.2">
      <c r="B67" s="2">
        <v>2</v>
      </c>
      <c r="C67" s="2">
        <v>30</v>
      </c>
      <c r="D67" s="2"/>
      <c r="E67" s="2"/>
      <c r="F67" s="2"/>
      <c r="G67" s="2"/>
      <c r="H67" s="2"/>
      <c r="I67" s="2"/>
      <c r="J67" s="101">
        <v>2</v>
      </c>
      <c r="K67" s="101">
        <v>30</v>
      </c>
      <c r="L67" s="101"/>
      <c r="M67" s="101"/>
      <c r="N67" s="101"/>
      <c r="O67" s="101"/>
      <c r="P67" s="101"/>
      <c r="Q67" s="2"/>
      <c r="R67" s="101">
        <v>2</v>
      </c>
      <c r="S67" s="101">
        <v>30</v>
      </c>
      <c r="T67" s="101"/>
      <c r="U67" s="101">
        <v>1</v>
      </c>
      <c r="V67" s="101"/>
      <c r="W67" s="101"/>
      <c r="X67" s="101"/>
      <c r="Y67" s="2"/>
      <c r="Z67" s="101">
        <v>2</v>
      </c>
      <c r="AA67" s="101">
        <v>30</v>
      </c>
      <c r="AB67" s="101"/>
      <c r="AC67" s="101">
        <v>1</v>
      </c>
      <c r="AD67" s="101"/>
      <c r="AE67" s="101"/>
      <c r="AF67" s="101"/>
      <c r="AG67" s="2"/>
      <c r="AH67" s="101">
        <v>2</v>
      </c>
      <c r="AI67" s="101">
        <v>30</v>
      </c>
      <c r="AJ67" s="101"/>
      <c r="AK67" s="101">
        <v>1</v>
      </c>
      <c r="AL67" s="101"/>
      <c r="AM67" s="101"/>
      <c r="AN67" s="101"/>
      <c r="AO67" s="2"/>
      <c r="AP67" s="101">
        <v>2</v>
      </c>
      <c r="AQ67" s="101">
        <v>30</v>
      </c>
      <c r="AR67" s="101"/>
      <c r="AS67" s="101">
        <v>2</v>
      </c>
      <c r="AT67" s="101"/>
      <c r="AU67" s="101"/>
      <c r="AV67" s="101"/>
      <c r="BD67" s="2">
        <v>2</v>
      </c>
      <c r="BE67" s="2">
        <v>30</v>
      </c>
      <c r="BF67" s="2"/>
    </row>
    <row r="68" spans="2:58" x14ac:dyDescent="0.2">
      <c r="B68" s="2">
        <v>2</v>
      </c>
      <c r="C68" s="2">
        <v>30</v>
      </c>
      <c r="D68" s="2"/>
      <c r="E68" s="2"/>
      <c r="F68" s="2"/>
      <c r="G68" s="2"/>
      <c r="H68" s="2"/>
      <c r="I68" s="2"/>
      <c r="J68" s="101">
        <v>2</v>
      </c>
      <c r="K68" s="101">
        <v>30</v>
      </c>
      <c r="L68" s="101"/>
      <c r="M68" s="101"/>
      <c r="N68" s="101"/>
      <c r="O68" s="101"/>
      <c r="P68" s="101"/>
      <c r="Q68" s="2"/>
      <c r="R68" s="101">
        <v>2</v>
      </c>
      <c r="S68" s="101">
        <v>30</v>
      </c>
      <c r="T68" s="101"/>
      <c r="U68" s="101">
        <v>0</v>
      </c>
      <c r="V68" s="101"/>
      <c r="W68" s="101"/>
      <c r="X68" s="101"/>
      <c r="Y68" s="2"/>
      <c r="Z68" s="101">
        <v>2</v>
      </c>
      <c r="AA68" s="101">
        <v>30</v>
      </c>
      <c r="AB68" s="101"/>
      <c r="AC68" s="101">
        <v>0</v>
      </c>
      <c r="AD68" s="101"/>
      <c r="AE68" s="101"/>
      <c r="AF68" s="101"/>
      <c r="AG68" s="2"/>
      <c r="AH68" s="101">
        <v>2</v>
      </c>
      <c r="AI68" s="101">
        <v>30</v>
      </c>
      <c r="AJ68" s="101"/>
      <c r="AK68" s="101">
        <v>0</v>
      </c>
      <c r="AL68" s="101"/>
      <c r="AM68" s="101"/>
      <c r="AN68" s="101"/>
      <c r="AO68" s="2"/>
      <c r="AP68" s="101">
        <v>2</v>
      </c>
      <c r="AQ68" s="101">
        <v>30</v>
      </c>
      <c r="AR68" s="101"/>
      <c r="AS68" s="101">
        <v>1</v>
      </c>
      <c r="AT68" s="101"/>
      <c r="AU68" s="101"/>
      <c r="AV68" s="101"/>
      <c r="BD68" s="2">
        <v>2</v>
      </c>
      <c r="BE68" s="2">
        <v>30</v>
      </c>
      <c r="BF68" s="2"/>
    </row>
    <row r="69" spans="2:58" x14ac:dyDescent="0.2">
      <c r="B69" s="2">
        <v>2</v>
      </c>
      <c r="C69" s="2">
        <v>30</v>
      </c>
      <c r="D69" s="2"/>
      <c r="E69" s="2"/>
      <c r="F69" s="2"/>
      <c r="G69" s="2"/>
      <c r="H69" s="2"/>
      <c r="I69" s="2"/>
      <c r="J69" s="101">
        <v>2</v>
      </c>
      <c r="K69" s="101">
        <v>30</v>
      </c>
      <c r="L69" s="101"/>
      <c r="M69" s="101"/>
      <c r="N69" s="101"/>
      <c r="O69" s="101"/>
      <c r="P69" s="101"/>
      <c r="Q69" s="2"/>
      <c r="R69" s="101">
        <v>2</v>
      </c>
      <c r="S69" s="101">
        <v>30</v>
      </c>
      <c r="T69" s="101"/>
      <c r="U69" s="101"/>
      <c r="V69" s="101"/>
      <c r="W69" s="101"/>
      <c r="X69" s="101"/>
      <c r="Y69" s="2"/>
      <c r="Z69" s="101">
        <v>2</v>
      </c>
      <c r="AA69" s="101">
        <v>30</v>
      </c>
      <c r="AB69" s="101"/>
      <c r="AC69" s="101"/>
      <c r="AD69" s="101"/>
      <c r="AE69" s="101"/>
      <c r="AF69" s="101"/>
      <c r="AG69" s="2"/>
      <c r="AH69" s="101">
        <v>2</v>
      </c>
      <c r="AI69" s="101">
        <v>30</v>
      </c>
      <c r="AJ69" s="101"/>
      <c r="AK69" s="101"/>
      <c r="AL69" s="101"/>
      <c r="AM69" s="101"/>
      <c r="AN69" s="101"/>
      <c r="AO69" s="2"/>
      <c r="AP69" s="101">
        <v>2</v>
      </c>
      <c r="AQ69" s="101">
        <v>30</v>
      </c>
      <c r="AR69" s="101"/>
      <c r="AS69" s="101">
        <v>0</v>
      </c>
      <c r="AT69" s="101"/>
      <c r="AU69" s="101"/>
      <c r="AV69" s="101"/>
      <c r="BD69" s="2">
        <v>2</v>
      </c>
      <c r="BE69" s="2">
        <v>30</v>
      </c>
      <c r="BF69" s="2"/>
    </row>
    <row r="70" spans="2:58" x14ac:dyDescent="0.2">
      <c r="B70" s="2">
        <v>2</v>
      </c>
      <c r="C70" s="2">
        <v>30</v>
      </c>
      <c r="D70" s="2"/>
      <c r="E70" s="2"/>
      <c r="F70" s="2"/>
      <c r="G70" s="2"/>
      <c r="H70" s="2"/>
      <c r="I70" s="2"/>
      <c r="J70" s="101">
        <v>2</v>
      </c>
      <c r="K70" s="101">
        <v>30</v>
      </c>
      <c r="L70" s="101"/>
      <c r="M70" s="101"/>
      <c r="N70" s="101"/>
      <c r="O70" s="101"/>
      <c r="P70" s="101"/>
      <c r="Q70" s="2"/>
      <c r="R70" s="101">
        <v>2</v>
      </c>
      <c r="S70" s="101">
        <v>30</v>
      </c>
      <c r="T70" s="101"/>
      <c r="U70" s="101"/>
      <c r="V70" s="101"/>
      <c r="W70" s="101"/>
      <c r="X70" s="101"/>
      <c r="Y70" s="2"/>
      <c r="Z70" s="101">
        <v>2</v>
      </c>
      <c r="AA70" s="101">
        <v>30</v>
      </c>
      <c r="AB70" s="101"/>
      <c r="AC70" s="101"/>
      <c r="AD70" s="101"/>
      <c r="AE70" s="101"/>
      <c r="AF70" s="101"/>
      <c r="AG70" s="2"/>
      <c r="AH70" s="101">
        <v>2</v>
      </c>
      <c r="AI70" s="101">
        <v>30</v>
      </c>
      <c r="AJ70" s="101"/>
      <c r="AK70" s="101"/>
      <c r="AL70" s="101"/>
      <c r="AM70" s="101"/>
      <c r="AN70" s="101"/>
      <c r="AO70" s="2"/>
      <c r="AP70" s="101">
        <v>2</v>
      </c>
      <c r="AQ70" s="101">
        <v>30</v>
      </c>
      <c r="AR70" s="101"/>
      <c r="AS70" s="101"/>
      <c r="AT70" s="101"/>
      <c r="AU70" s="101"/>
      <c r="AV70" s="101"/>
      <c r="BD70" s="2">
        <v>2</v>
      </c>
      <c r="BE70" s="2">
        <v>30</v>
      </c>
      <c r="BF70" s="2"/>
    </row>
  </sheetData>
  <mergeCells count="7">
    <mergeCell ref="B3:AV3"/>
    <mergeCell ref="B4:H5"/>
    <mergeCell ref="J4:P5"/>
    <mergeCell ref="R4:X5"/>
    <mergeCell ref="Z4:AF5"/>
    <mergeCell ref="AH4:AN5"/>
    <mergeCell ref="AP4:AV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B57D1-C751-4038-A49D-3B847EAF9AE4}">
  <sheetPr codeName="Hoja5">
    <tabColor rgb="FF00458A"/>
  </sheetPr>
  <dimension ref="A3:T10"/>
  <sheetViews>
    <sheetView showGridLines="0" workbookViewId="0">
      <selection activeCell="F16" sqref="F16"/>
    </sheetView>
  </sheetViews>
  <sheetFormatPr baseColWidth="10" defaultRowHeight="15" x14ac:dyDescent="0.25"/>
  <cols>
    <col min="1" max="1" width="31.85546875" customWidth="1"/>
    <col min="2" max="2" width="11.42578125" style="29"/>
    <col min="20" max="20" width="16" customWidth="1"/>
  </cols>
  <sheetData>
    <row r="3" spans="1:20" x14ac:dyDescent="0.25">
      <c r="A3" s="20"/>
      <c r="B3" s="26"/>
      <c r="C3" s="20"/>
      <c r="D3" s="20"/>
      <c r="E3" s="119" t="s">
        <v>56</v>
      </c>
      <c r="F3" s="119"/>
      <c r="G3" s="119"/>
      <c r="H3" s="119" t="s">
        <v>57</v>
      </c>
      <c r="I3" s="119"/>
      <c r="J3" s="119"/>
      <c r="K3" s="119" t="s">
        <v>58</v>
      </c>
      <c r="L3" s="119"/>
      <c r="M3" s="119"/>
      <c r="N3" s="119" t="s">
        <v>59</v>
      </c>
      <c r="O3" s="119"/>
      <c r="P3" s="119"/>
      <c r="Q3" s="119" t="s">
        <v>60</v>
      </c>
      <c r="R3" s="119"/>
      <c r="S3" s="119"/>
      <c r="T3" s="20" t="s">
        <v>28</v>
      </c>
    </row>
    <row r="4" spans="1:20" x14ac:dyDescent="0.25">
      <c r="A4" s="22" t="s">
        <v>52</v>
      </c>
      <c r="B4" s="27" t="s">
        <v>53</v>
      </c>
      <c r="C4" s="22" t="s">
        <v>54</v>
      </c>
      <c r="D4" s="22" t="s">
        <v>69</v>
      </c>
      <c r="E4" s="23" t="s">
        <v>23</v>
      </c>
      <c r="F4" s="23" t="s">
        <v>24</v>
      </c>
      <c r="G4" s="23" t="s">
        <v>25</v>
      </c>
      <c r="H4" s="23" t="s">
        <v>23</v>
      </c>
      <c r="I4" s="23" t="s">
        <v>24</v>
      </c>
      <c r="J4" s="23" t="s">
        <v>25</v>
      </c>
      <c r="K4" s="23" t="s">
        <v>23</v>
      </c>
      <c r="L4" s="23" t="s">
        <v>24</v>
      </c>
      <c r="M4" s="23" t="s">
        <v>25</v>
      </c>
      <c r="N4" s="23" t="s">
        <v>23</v>
      </c>
      <c r="O4" s="23" t="s">
        <v>24</v>
      </c>
      <c r="P4" s="23" t="s">
        <v>25</v>
      </c>
      <c r="Q4" s="23" t="s">
        <v>23</v>
      </c>
      <c r="R4" s="23" t="s">
        <v>24</v>
      </c>
      <c r="S4" s="23" t="s">
        <v>25</v>
      </c>
      <c r="T4" s="21" t="s">
        <v>23</v>
      </c>
    </row>
    <row r="5" spans="1:20" s="16" customFormat="1" x14ac:dyDescent="0.25">
      <c r="A5" s="7" t="s">
        <v>82</v>
      </c>
      <c r="B5" s="28">
        <v>15</v>
      </c>
      <c r="C5" s="7" t="s">
        <v>64</v>
      </c>
      <c r="D5" s="7" t="s">
        <v>30</v>
      </c>
      <c r="E5" s="24">
        <v>8</v>
      </c>
      <c r="F5" s="24">
        <v>95</v>
      </c>
      <c r="G5" s="24">
        <v>66</v>
      </c>
      <c r="H5" s="24">
        <v>7</v>
      </c>
      <c r="I5" s="24">
        <v>4</v>
      </c>
      <c r="J5" s="24">
        <v>32</v>
      </c>
      <c r="K5" s="24">
        <v>1</v>
      </c>
      <c r="L5" s="24">
        <v>6</v>
      </c>
      <c r="M5" s="24">
        <v>33</v>
      </c>
      <c r="N5" s="24">
        <v>3</v>
      </c>
      <c r="O5" s="24">
        <v>4</v>
      </c>
      <c r="P5" s="24">
        <v>32</v>
      </c>
      <c r="Q5" s="24">
        <v>11</v>
      </c>
      <c r="R5" s="24">
        <v>2</v>
      </c>
      <c r="S5" s="24">
        <v>31</v>
      </c>
      <c r="T5" s="25">
        <v>4</v>
      </c>
    </row>
    <row r="6" spans="1:20" s="16" customFormat="1" x14ac:dyDescent="0.25">
      <c r="A6" s="7" t="s">
        <v>81</v>
      </c>
      <c r="B6" s="28">
        <v>17</v>
      </c>
      <c r="C6" s="7" t="s">
        <v>64</v>
      </c>
      <c r="D6" s="7" t="s">
        <v>30</v>
      </c>
      <c r="E6" s="24">
        <v>1</v>
      </c>
      <c r="F6" s="24">
        <v>12</v>
      </c>
      <c r="G6" s="24">
        <v>38</v>
      </c>
      <c r="H6" s="24">
        <v>18</v>
      </c>
      <c r="I6" s="24">
        <v>86</v>
      </c>
      <c r="J6" s="24">
        <v>61</v>
      </c>
      <c r="K6" s="24">
        <v>10</v>
      </c>
      <c r="L6" s="24">
        <v>99</v>
      </c>
      <c r="M6" s="24">
        <v>74</v>
      </c>
      <c r="N6" s="24">
        <v>14</v>
      </c>
      <c r="O6" s="24">
        <v>93</v>
      </c>
      <c r="P6" s="24">
        <v>65</v>
      </c>
      <c r="Q6" s="24">
        <v>42</v>
      </c>
      <c r="R6" s="24">
        <v>99</v>
      </c>
      <c r="S6" s="24">
        <v>74</v>
      </c>
      <c r="T6" s="25">
        <v>1</v>
      </c>
    </row>
    <row r="7" spans="1:20" s="16" customFormat="1" x14ac:dyDescent="0.25">
      <c r="A7" s="7" t="s">
        <v>80</v>
      </c>
      <c r="B7" s="28">
        <v>17</v>
      </c>
      <c r="C7" s="7" t="s">
        <v>64</v>
      </c>
      <c r="D7" s="7" t="s">
        <v>30</v>
      </c>
      <c r="E7" s="24">
        <v>1</v>
      </c>
      <c r="F7" s="24">
        <v>12</v>
      </c>
      <c r="G7" s="24">
        <v>38</v>
      </c>
      <c r="H7" s="24">
        <v>14</v>
      </c>
      <c r="I7" s="24">
        <v>42</v>
      </c>
      <c r="J7" s="24">
        <v>48</v>
      </c>
      <c r="K7" s="24">
        <v>8</v>
      </c>
      <c r="L7" s="24">
        <v>97</v>
      </c>
      <c r="M7" s="24">
        <v>69</v>
      </c>
      <c r="N7" s="24">
        <v>9</v>
      </c>
      <c r="O7" s="24">
        <v>38</v>
      </c>
      <c r="P7" s="24">
        <v>47</v>
      </c>
      <c r="Q7" s="24">
        <v>31</v>
      </c>
      <c r="R7" s="24">
        <v>69</v>
      </c>
      <c r="S7" s="24">
        <v>55</v>
      </c>
      <c r="T7" s="25">
        <v>3</v>
      </c>
    </row>
    <row r="8" spans="1:20" s="16" customFormat="1" x14ac:dyDescent="0.25">
      <c r="A8" s="7" t="s">
        <v>70</v>
      </c>
      <c r="B8" s="28">
        <v>11</v>
      </c>
      <c r="C8" s="7" t="s">
        <v>71</v>
      </c>
      <c r="D8" s="7" t="s">
        <v>39</v>
      </c>
      <c r="E8" s="24">
        <v>2</v>
      </c>
      <c r="F8" s="24">
        <v>2</v>
      </c>
      <c r="G8" s="24">
        <v>30</v>
      </c>
      <c r="H8" s="24">
        <v>8</v>
      </c>
      <c r="I8" s="24">
        <v>14</v>
      </c>
      <c r="J8" s="24">
        <v>39</v>
      </c>
      <c r="K8" s="24">
        <v>9</v>
      </c>
      <c r="L8" s="24">
        <v>92</v>
      </c>
      <c r="M8" s="24">
        <v>64</v>
      </c>
      <c r="N8" s="24">
        <v>3</v>
      </c>
      <c r="O8" s="24">
        <v>5</v>
      </c>
      <c r="P8" s="24">
        <v>33</v>
      </c>
      <c r="Q8" s="24">
        <v>20</v>
      </c>
      <c r="R8" s="24">
        <v>24</v>
      </c>
      <c r="S8" s="24">
        <v>43</v>
      </c>
      <c r="T8" s="25">
        <v>3</v>
      </c>
    </row>
    <row r="9" spans="1:20" s="16" customFormat="1" x14ac:dyDescent="0.25">
      <c r="A9" s="7" t="s">
        <v>65</v>
      </c>
      <c r="B9" s="28">
        <v>14</v>
      </c>
      <c r="C9" s="7" t="s">
        <v>64</v>
      </c>
      <c r="D9" s="7" t="s">
        <v>31</v>
      </c>
      <c r="E9" s="24">
        <v>3</v>
      </c>
      <c r="F9" s="24">
        <v>35</v>
      </c>
      <c r="G9" s="24">
        <v>46</v>
      </c>
      <c r="H9" s="24">
        <v>16</v>
      </c>
      <c r="I9" s="24">
        <v>62</v>
      </c>
      <c r="J9" s="24">
        <v>53</v>
      </c>
      <c r="K9" s="24">
        <v>7</v>
      </c>
      <c r="L9" s="24">
        <v>92</v>
      </c>
      <c r="M9" s="24">
        <v>64</v>
      </c>
      <c r="N9" s="24">
        <v>9</v>
      </c>
      <c r="O9" s="24">
        <v>38</v>
      </c>
      <c r="P9" s="24">
        <v>47</v>
      </c>
      <c r="Q9" s="24">
        <v>32</v>
      </c>
      <c r="R9" s="24">
        <v>72</v>
      </c>
      <c r="S9" s="24">
        <v>56</v>
      </c>
      <c r="T9" s="25">
        <v>0</v>
      </c>
    </row>
    <row r="10" spans="1:20" s="16" customFormat="1" x14ac:dyDescent="0.25">
      <c r="A10" s="7"/>
      <c r="B10" s="28"/>
      <c r="C10" s="7"/>
      <c r="D10" s="7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5"/>
    </row>
  </sheetData>
  <mergeCells count="5">
    <mergeCell ref="E3:G3"/>
    <mergeCell ref="H3:J3"/>
    <mergeCell ref="K3:M3"/>
    <mergeCell ref="N3:P3"/>
    <mergeCell ref="Q3:S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14460-DC89-4696-A8E3-BB6F3129ABB2}">
  <sheetPr codeName="Hoja4">
    <tabColor theme="1" tint="4.9989318521683403E-2"/>
  </sheetPr>
  <dimension ref="A1:BA39"/>
  <sheetViews>
    <sheetView workbookViewId="0">
      <selection sqref="A1:AF2"/>
    </sheetView>
  </sheetViews>
  <sheetFormatPr baseColWidth="10" defaultRowHeight="15" x14ac:dyDescent="0.25"/>
  <cols>
    <col min="4" max="4" width="29.140625" style="19" customWidth="1"/>
    <col min="5" max="13" width="4.42578125" customWidth="1"/>
    <col min="14" max="14" width="5.140625" customWidth="1"/>
    <col min="15" max="16" width="4.42578125" customWidth="1"/>
    <col min="17" max="17" width="3.5703125" bestFit="1" customWidth="1"/>
    <col min="18" max="53" width="4.42578125" customWidth="1"/>
  </cols>
  <sheetData>
    <row r="1" spans="1:53" x14ac:dyDescent="0.25">
      <c r="A1" s="120" t="s">
        <v>62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</row>
    <row r="2" spans="1:53" x14ac:dyDescent="0.25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</row>
    <row r="3" spans="1:53" x14ac:dyDescent="0.25">
      <c r="A3" s="13" t="s">
        <v>52</v>
      </c>
      <c r="B3" s="13" t="s">
        <v>53</v>
      </c>
      <c r="C3" s="13" t="s">
        <v>54</v>
      </c>
      <c r="D3" s="13" t="s">
        <v>69</v>
      </c>
      <c r="E3" s="13">
        <v>1</v>
      </c>
      <c r="F3" s="13">
        <v>2</v>
      </c>
      <c r="G3" s="13">
        <v>3</v>
      </c>
      <c r="H3" s="13">
        <v>4</v>
      </c>
      <c r="I3" s="13">
        <v>5</v>
      </c>
      <c r="J3" s="13">
        <v>6</v>
      </c>
      <c r="K3" s="13">
        <v>7</v>
      </c>
      <c r="L3" s="13">
        <v>8</v>
      </c>
      <c r="M3" s="13">
        <v>9</v>
      </c>
      <c r="N3" s="13">
        <v>10</v>
      </c>
      <c r="O3" s="13">
        <v>11</v>
      </c>
      <c r="P3" s="13">
        <v>12</v>
      </c>
      <c r="Q3" s="13">
        <v>13</v>
      </c>
      <c r="R3" s="13">
        <v>14</v>
      </c>
      <c r="S3" s="13">
        <v>15</v>
      </c>
      <c r="T3" s="13">
        <v>16</v>
      </c>
      <c r="U3" s="13">
        <v>17</v>
      </c>
      <c r="V3" s="13">
        <v>18</v>
      </c>
      <c r="W3" s="13">
        <v>19</v>
      </c>
      <c r="X3" s="13">
        <v>20</v>
      </c>
      <c r="Y3" s="13">
        <v>21</v>
      </c>
      <c r="Z3" s="13">
        <v>22</v>
      </c>
      <c r="AA3" s="13">
        <v>23</v>
      </c>
      <c r="AB3" s="13">
        <v>24</v>
      </c>
      <c r="AC3" s="13">
        <v>25</v>
      </c>
      <c r="AD3" s="13">
        <v>26</v>
      </c>
      <c r="AE3" s="13">
        <v>27</v>
      </c>
      <c r="AF3" s="13">
        <v>28</v>
      </c>
      <c r="AG3" s="13">
        <v>29</v>
      </c>
      <c r="AH3" s="13">
        <v>30</v>
      </c>
      <c r="AI3" s="13">
        <v>31</v>
      </c>
      <c r="AJ3" s="13">
        <v>32</v>
      </c>
      <c r="AK3" s="13">
        <v>33</v>
      </c>
      <c r="AL3" s="13">
        <v>34</v>
      </c>
      <c r="AM3" s="13">
        <v>35</v>
      </c>
      <c r="AN3" s="13">
        <v>36</v>
      </c>
      <c r="AO3" s="13">
        <v>37</v>
      </c>
      <c r="AP3" s="13">
        <v>38</v>
      </c>
      <c r="AQ3" s="13">
        <v>39</v>
      </c>
      <c r="AR3" s="13">
        <v>40</v>
      </c>
      <c r="AS3" s="13">
        <v>41</v>
      </c>
      <c r="AT3" s="13">
        <v>42</v>
      </c>
      <c r="AU3" s="13">
        <v>43</v>
      </c>
      <c r="AV3" s="13">
        <v>44</v>
      </c>
      <c r="AW3" s="13">
        <v>45</v>
      </c>
      <c r="AX3" s="13">
        <v>46</v>
      </c>
      <c r="AY3" s="13">
        <v>47</v>
      </c>
      <c r="AZ3" s="13">
        <v>48</v>
      </c>
      <c r="BA3" s="13">
        <v>49</v>
      </c>
    </row>
    <row r="4" spans="1:53" s="15" customFormat="1" x14ac:dyDescent="0.25">
      <c r="A4" s="11" t="s">
        <v>83</v>
      </c>
      <c r="B4" s="9">
        <v>14</v>
      </c>
      <c r="C4" s="9" t="s">
        <v>64</v>
      </c>
      <c r="D4" s="9" t="s">
        <v>29</v>
      </c>
      <c r="E4" s="9" t="s">
        <v>0</v>
      </c>
      <c r="F4" s="9" t="s">
        <v>61</v>
      </c>
      <c r="G4" s="9" t="s">
        <v>0</v>
      </c>
      <c r="H4" s="9" t="s">
        <v>61</v>
      </c>
      <c r="I4" s="9" t="s">
        <v>61</v>
      </c>
      <c r="J4" s="9" t="s">
        <v>61</v>
      </c>
      <c r="K4" s="9" t="s">
        <v>61</v>
      </c>
      <c r="L4" s="9" t="s">
        <v>61</v>
      </c>
      <c r="M4" s="9" t="s">
        <v>0</v>
      </c>
      <c r="N4" s="9" t="s">
        <v>61</v>
      </c>
      <c r="O4" s="9" t="s">
        <v>61</v>
      </c>
      <c r="P4" s="9" t="s">
        <v>61</v>
      </c>
      <c r="Q4" s="9" t="s">
        <v>61</v>
      </c>
      <c r="R4" s="9" t="s">
        <v>61</v>
      </c>
      <c r="S4" s="9" t="s">
        <v>61</v>
      </c>
      <c r="T4" s="9" t="s">
        <v>0</v>
      </c>
      <c r="U4" s="9" t="s">
        <v>0</v>
      </c>
      <c r="V4" s="9" t="s">
        <v>114</v>
      </c>
      <c r="W4" s="9" t="s">
        <v>114</v>
      </c>
      <c r="X4" s="9" t="s">
        <v>114</v>
      </c>
      <c r="Y4" s="9" t="s">
        <v>114</v>
      </c>
      <c r="Z4" s="9" t="s">
        <v>114</v>
      </c>
      <c r="AA4" s="9" t="s">
        <v>114</v>
      </c>
      <c r="AB4" s="9" t="s">
        <v>114</v>
      </c>
      <c r="AC4" s="9" t="s">
        <v>114</v>
      </c>
      <c r="AD4" s="9" t="s">
        <v>114</v>
      </c>
      <c r="AE4" s="9" t="s">
        <v>114</v>
      </c>
      <c r="AF4" s="9" t="s">
        <v>114</v>
      </c>
      <c r="AG4" s="9" t="s">
        <v>114</v>
      </c>
      <c r="AH4" s="9" t="s">
        <v>114</v>
      </c>
      <c r="AI4" s="9" t="s">
        <v>114</v>
      </c>
      <c r="AJ4" s="9" t="s">
        <v>114</v>
      </c>
      <c r="AK4" s="9" t="s">
        <v>114</v>
      </c>
      <c r="AL4" s="9" t="s">
        <v>114</v>
      </c>
      <c r="AM4" s="9" t="s">
        <v>114</v>
      </c>
      <c r="AN4" s="9" t="s">
        <v>114</v>
      </c>
      <c r="AO4" s="9" t="s">
        <v>114</v>
      </c>
      <c r="AP4" s="9" t="s">
        <v>114</v>
      </c>
      <c r="AQ4" s="9" t="s">
        <v>114</v>
      </c>
      <c r="AR4" s="9" t="s">
        <v>114</v>
      </c>
      <c r="AS4" s="9" t="s">
        <v>114</v>
      </c>
      <c r="AT4" s="9" t="s">
        <v>114</v>
      </c>
      <c r="AU4" s="9" t="s">
        <v>114</v>
      </c>
      <c r="AV4" s="9" t="s">
        <v>114</v>
      </c>
      <c r="AW4" s="9" t="s">
        <v>114</v>
      </c>
      <c r="AX4" s="9" t="s">
        <v>114</v>
      </c>
      <c r="AY4" s="9" t="s">
        <v>114</v>
      </c>
      <c r="AZ4" s="9" t="s">
        <v>114</v>
      </c>
      <c r="BA4" s="9" t="s">
        <v>114</v>
      </c>
    </row>
    <row r="5" spans="1:53" s="15" customFormat="1" x14ac:dyDescent="0.25">
      <c r="A5" s="11" t="s">
        <v>83</v>
      </c>
      <c r="B5" s="9">
        <v>14</v>
      </c>
      <c r="C5" s="9" t="s">
        <v>64</v>
      </c>
      <c r="D5" s="9" t="s">
        <v>29</v>
      </c>
      <c r="E5" s="9" t="s">
        <v>0</v>
      </c>
      <c r="F5" s="9" t="s">
        <v>61</v>
      </c>
      <c r="G5" s="9" t="s">
        <v>0</v>
      </c>
      <c r="H5" s="9" t="s">
        <v>61</v>
      </c>
      <c r="I5" s="9" t="s">
        <v>61</v>
      </c>
      <c r="J5" s="9" t="s">
        <v>61</v>
      </c>
      <c r="K5" s="9" t="s">
        <v>114</v>
      </c>
      <c r="L5" s="9" t="s">
        <v>61</v>
      </c>
      <c r="M5" s="9" t="s">
        <v>0</v>
      </c>
      <c r="N5" s="9" t="s">
        <v>61</v>
      </c>
      <c r="O5" s="9" t="s">
        <v>61</v>
      </c>
      <c r="P5" s="9" t="s">
        <v>61</v>
      </c>
      <c r="Q5" s="9" t="s">
        <v>61</v>
      </c>
      <c r="R5" s="9" t="s">
        <v>61</v>
      </c>
      <c r="S5" s="9" t="s">
        <v>61</v>
      </c>
      <c r="T5" s="9" t="s">
        <v>0</v>
      </c>
      <c r="U5" s="9" t="s">
        <v>0</v>
      </c>
      <c r="V5" s="9" t="s">
        <v>114</v>
      </c>
      <c r="W5" s="9" t="s">
        <v>114</v>
      </c>
      <c r="X5" s="9" t="s">
        <v>114</v>
      </c>
      <c r="Y5" s="9" t="s">
        <v>114</v>
      </c>
      <c r="Z5" s="9" t="s">
        <v>114</v>
      </c>
      <c r="AA5" s="9" t="s">
        <v>114</v>
      </c>
      <c r="AB5" s="9" t="s">
        <v>114</v>
      </c>
      <c r="AC5" s="9" t="s">
        <v>114</v>
      </c>
      <c r="AD5" s="9" t="s">
        <v>114</v>
      </c>
      <c r="AE5" s="9" t="s">
        <v>114</v>
      </c>
      <c r="AF5" s="9" t="s">
        <v>114</v>
      </c>
      <c r="AG5" s="9" t="s">
        <v>114</v>
      </c>
      <c r="AH5" s="9" t="s">
        <v>114</v>
      </c>
      <c r="AI5" s="9" t="s">
        <v>114</v>
      </c>
      <c r="AJ5" s="9" t="s">
        <v>114</v>
      </c>
      <c r="AK5" s="9" t="s">
        <v>114</v>
      </c>
      <c r="AL5" s="9" t="s">
        <v>114</v>
      </c>
      <c r="AM5" s="9" t="s">
        <v>114</v>
      </c>
      <c r="AN5" s="9" t="s">
        <v>114</v>
      </c>
      <c r="AO5" s="9" t="s">
        <v>114</v>
      </c>
      <c r="AP5" s="9" t="s">
        <v>114</v>
      </c>
      <c r="AQ5" s="9" t="s">
        <v>114</v>
      </c>
      <c r="AR5" s="9" t="s">
        <v>114</v>
      </c>
      <c r="AS5" s="9" t="s">
        <v>114</v>
      </c>
      <c r="AT5" s="9" t="s">
        <v>114</v>
      </c>
      <c r="AU5" s="9" t="s">
        <v>114</v>
      </c>
      <c r="AV5" s="9" t="s">
        <v>114</v>
      </c>
      <c r="AW5" s="9" t="s">
        <v>114</v>
      </c>
      <c r="AX5" s="9" t="s">
        <v>114</v>
      </c>
      <c r="AY5" s="9" t="s">
        <v>114</v>
      </c>
      <c r="AZ5" s="9" t="s">
        <v>114</v>
      </c>
      <c r="BA5" s="9" t="s">
        <v>114</v>
      </c>
    </row>
    <row r="6" spans="1:53" s="15" customFormat="1" x14ac:dyDescent="0.25">
      <c r="A6" s="11" t="s">
        <v>83</v>
      </c>
      <c r="B6" s="9">
        <v>14</v>
      </c>
      <c r="C6" s="9" t="s">
        <v>64</v>
      </c>
      <c r="D6" s="9" t="s">
        <v>29</v>
      </c>
      <c r="E6" s="9" t="s">
        <v>61</v>
      </c>
      <c r="F6" s="9" t="s">
        <v>61</v>
      </c>
      <c r="G6" s="9" t="s">
        <v>61</v>
      </c>
      <c r="H6" s="9" t="s">
        <v>61</v>
      </c>
      <c r="I6" s="9" t="s">
        <v>61</v>
      </c>
      <c r="J6" s="9" t="s">
        <v>61</v>
      </c>
      <c r="K6" s="9" t="s">
        <v>61</v>
      </c>
      <c r="L6" s="9" t="s">
        <v>61</v>
      </c>
      <c r="M6" s="9" t="s">
        <v>61</v>
      </c>
      <c r="N6" s="9" t="s">
        <v>61</v>
      </c>
      <c r="O6" s="9" t="s">
        <v>61</v>
      </c>
      <c r="P6" s="9" t="s">
        <v>61</v>
      </c>
      <c r="Q6" s="9" t="s">
        <v>61</v>
      </c>
      <c r="R6" s="9" t="s">
        <v>61</v>
      </c>
      <c r="S6" s="9" t="s">
        <v>61</v>
      </c>
      <c r="T6" s="9" t="s">
        <v>61</v>
      </c>
      <c r="U6" s="9" t="s">
        <v>61</v>
      </c>
      <c r="V6" s="9" t="s">
        <v>61</v>
      </c>
      <c r="W6" s="9" t="s">
        <v>0</v>
      </c>
      <c r="X6" s="9" t="s">
        <v>0</v>
      </c>
      <c r="Y6" s="9" t="s">
        <v>61</v>
      </c>
      <c r="Z6" s="9" t="s">
        <v>61</v>
      </c>
      <c r="AA6" s="9" t="s">
        <v>61</v>
      </c>
      <c r="AB6" s="9" t="s">
        <v>61</v>
      </c>
      <c r="AC6" s="9" t="s">
        <v>61</v>
      </c>
      <c r="AD6" s="9" t="s">
        <v>61</v>
      </c>
      <c r="AE6" s="9" t="s">
        <v>61</v>
      </c>
      <c r="AF6" s="9" t="s">
        <v>61</v>
      </c>
      <c r="AG6" s="9" t="s">
        <v>61</v>
      </c>
      <c r="AH6" s="9" t="s">
        <v>61</v>
      </c>
      <c r="AI6" s="9" t="s">
        <v>61</v>
      </c>
      <c r="AJ6" s="9" t="s">
        <v>0</v>
      </c>
      <c r="AK6" s="9" t="s">
        <v>0</v>
      </c>
      <c r="AL6" s="9" t="s">
        <v>61</v>
      </c>
      <c r="AM6" s="9" t="s">
        <v>61</v>
      </c>
      <c r="AN6" s="9" t="s">
        <v>61</v>
      </c>
      <c r="AO6" s="9" t="s">
        <v>61</v>
      </c>
      <c r="AP6" s="9" t="s">
        <v>0</v>
      </c>
      <c r="AQ6" s="9" t="s">
        <v>61</v>
      </c>
      <c r="AR6" s="9" t="s">
        <v>0</v>
      </c>
      <c r="AS6" s="9" t="s">
        <v>61</v>
      </c>
      <c r="AT6" s="9" t="s">
        <v>61</v>
      </c>
      <c r="AU6" s="9" t="s">
        <v>61</v>
      </c>
      <c r="AV6" s="9" t="s">
        <v>61</v>
      </c>
      <c r="AW6" s="9" t="s">
        <v>61</v>
      </c>
      <c r="AX6" s="9" t="s">
        <v>61</v>
      </c>
      <c r="AY6" s="9" t="s">
        <v>61</v>
      </c>
      <c r="AZ6" s="9" t="s">
        <v>61</v>
      </c>
      <c r="BA6" s="9" t="s">
        <v>61</v>
      </c>
    </row>
    <row r="7" spans="1:53" s="15" customFormat="1" x14ac:dyDescent="0.25">
      <c r="A7" s="11" t="s">
        <v>82</v>
      </c>
      <c r="B7" s="9">
        <v>15</v>
      </c>
      <c r="C7" s="9" t="s">
        <v>64</v>
      </c>
      <c r="D7" s="9" t="s">
        <v>30</v>
      </c>
      <c r="E7" s="9" t="s">
        <v>61</v>
      </c>
      <c r="F7" s="9" t="s">
        <v>61</v>
      </c>
      <c r="G7" s="9" t="s">
        <v>0</v>
      </c>
      <c r="H7" s="9" t="s">
        <v>61</v>
      </c>
      <c r="I7" s="9" t="s">
        <v>61</v>
      </c>
      <c r="J7" s="9" t="s">
        <v>61</v>
      </c>
      <c r="K7" s="9" t="s">
        <v>61</v>
      </c>
      <c r="L7" s="9" t="s">
        <v>0</v>
      </c>
      <c r="M7" s="9" t="s">
        <v>61</v>
      </c>
      <c r="N7" s="9" t="s">
        <v>0</v>
      </c>
      <c r="O7" s="9" t="s">
        <v>0</v>
      </c>
      <c r="P7" s="9" t="s">
        <v>61</v>
      </c>
      <c r="Q7" s="9" t="s">
        <v>61</v>
      </c>
      <c r="R7" s="9" t="s">
        <v>61</v>
      </c>
      <c r="S7" s="9" t="s">
        <v>61</v>
      </c>
      <c r="T7" s="9" t="s">
        <v>0</v>
      </c>
      <c r="U7" s="9" t="s">
        <v>61</v>
      </c>
      <c r="V7" s="9" t="s">
        <v>0</v>
      </c>
      <c r="W7" s="9" t="s">
        <v>0</v>
      </c>
      <c r="X7" s="9" t="s">
        <v>61</v>
      </c>
      <c r="Y7" s="9" t="s">
        <v>0</v>
      </c>
      <c r="Z7" s="9" t="s">
        <v>61</v>
      </c>
      <c r="AA7" s="9" t="s">
        <v>61</v>
      </c>
      <c r="AB7" s="9" t="s">
        <v>0</v>
      </c>
      <c r="AC7" s="9" t="s">
        <v>0</v>
      </c>
      <c r="AD7" s="9" t="s">
        <v>61</v>
      </c>
      <c r="AE7" s="9" t="s">
        <v>61</v>
      </c>
      <c r="AF7" s="9" t="s">
        <v>61</v>
      </c>
      <c r="AG7" s="9" t="s">
        <v>0</v>
      </c>
      <c r="AH7" s="9" t="s">
        <v>61</v>
      </c>
      <c r="AI7" s="9" t="s">
        <v>61</v>
      </c>
      <c r="AJ7" s="9" t="s">
        <v>61</v>
      </c>
      <c r="AK7" s="9" t="s">
        <v>0</v>
      </c>
      <c r="AL7" s="9" t="s">
        <v>61</v>
      </c>
      <c r="AM7" s="9" t="s">
        <v>61</v>
      </c>
      <c r="AN7" s="9" t="s">
        <v>0</v>
      </c>
      <c r="AO7" s="9" t="s">
        <v>0</v>
      </c>
      <c r="AP7" s="9" t="s">
        <v>0</v>
      </c>
      <c r="AQ7" s="9" t="s">
        <v>61</v>
      </c>
      <c r="AR7" s="9" t="s">
        <v>61</v>
      </c>
      <c r="AS7" s="9" t="s">
        <v>61</v>
      </c>
      <c r="AT7" s="9" t="s">
        <v>0</v>
      </c>
      <c r="AU7" s="9" t="s">
        <v>61</v>
      </c>
      <c r="AV7" s="9" t="s">
        <v>61</v>
      </c>
      <c r="AW7" s="9" t="s">
        <v>61</v>
      </c>
      <c r="AX7" s="9" t="s">
        <v>61</v>
      </c>
      <c r="AY7" s="9" t="s">
        <v>61</v>
      </c>
      <c r="AZ7" s="9" t="s">
        <v>61</v>
      </c>
      <c r="BA7" s="9" t="s">
        <v>61</v>
      </c>
    </row>
    <row r="8" spans="1:53" s="15" customFormat="1" x14ac:dyDescent="0.25">
      <c r="A8" s="11" t="s">
        <v>81</v>
      </c>
      <c r="B8" s="9">
        <v>17</v>
      </c>
      <c r="C8" s="9" t="s">
        <v>64</v>
      </c>
      <c r="D8" s="9" t="s">
        <v>30</v>
      </c>
      <c r="E8" s="9" t="s">
        <v>0</v>
      </c>
      <c r="F8" s="9" t="s">
        <v>0</v>
      </c>
      <c r="G8" s="9" t="s">
        <v>0</v>
      </c>
      <c r="H8" s="9" t="s">
        <v>0</v>
      </c>
      <c r="I8" s="9" t="s">
        <v>0</v>
      </c>
      <c r="J8" s="9" t="s">
        <v>0</v>
      </c>
      <c r="K8" s="9" t="s">
        <v>0</v>
      </c>
      <c r="L8" s="9" t="s">
        <v>0</v>
      </c>
      <c r="M8" s="9" t="s">
        <v>0</v>
      </c>
      <c r="N8" s="9" t="s">
        <v>0</v>
      </c>
      <c r="O8" s="9" t="s">
        <v>0</v>
      </c>
      <c r="P8" s="9" t="s">
        <v>0</v>
      </c>
      <c r="Q8" s="9" t="s">
        <v>0</v>
      </c>
      <c r="R8" s="9" t="s">
        <v>61</v>
      </c>
      <c r="S8" s="9" t="s">
        <v>0</v>
      </c>
      <c r="T8" s="9" t="s">
        <v>0</v>
      </c>
      <c r="U8" s="9" t="s">
        <v>0</v>
      </c>
      <c r="V8" s="9" t="s">
        <v>0</v>
      </c>
      <c r="W8" s="9" t="s">
        <v>0</v>
      </c>
      <c r="X8" s="9" t="s">
        <v>0</v>
      </c>
      <c r="Y8" s="9" t="s">
        <v>0</v>
      </c>
      <c r="Z8" s="9" t="s">
        <v>0</v>
      </c>
      <c r="AA8" s="9" t="s">
        <v>0</v>
      </c>
      <c r="AB8" s="9" t="s">
        <v>61</v>
      </c>
      <c r="AC8" s="9" t="s">
        <v>0</v>
      </c>
      <c r="AD8" s="9" t="s">
        <v>0</v>
      </c>
      <c r="AE8" s="9" t="s">
        <v>0</v>
      </c>
      <c r="AF8" s="9" t="s">
        <v>61</v>
      </c>
      <c r="AG8" s="9" t="s">
        <v>61</v>
      </c>
      <c r="AH8" s="9" t="s">
        <v>0</v>
      </c>
      <c r="AI8" s="9" t="s">
        <v>0</v>
      </c>
      <c r="AJ8" s="9" t="s">
        <v>0</v>
      </c>
      <c r="AK8" s="9" t="s">
        <v>61</v>
      </c>
      <c r="AL8" s="9" t="s">
        <v>0</v>
      </c>
      <c r="AM8" s="9" t="s">
        <v>0</v>
      </c>
      <c r="AN8" s="9" t="s">
        <v>0</v>
      </c>
      <c r="AO8" s="9" t="s">
        <v>0</v>
      </c>
      <c r="AP8" s="9" t="s">
        <v>61</v>
      </c>
      <c r="AQ8" s="9" t="s">
        <v>0</v>
      </c>
      <c r="AR8" s="9" t="s">
        <v>0</v>
      </c>
      <c r="AS8" s="9" t="s">
        <v>0</v>
      </c>
      <c r="AT8" s="9" t="s">
        <v>0</v>
      </c>
      <c r="AU8" s="9" t="s">
        <v>0</v>
      </c>
      <c r="AV8" s="9" t="s">
        <v>0</v>
      </c>
      <c r="AW8" s="9" t="s">
        <v>0</v>
      </c>
      <c r="AX8" s="9" t="s">
        <v>0</v>
      </c>
      <c r="AY8" s="9" t="s">
        <v>0</v>
      </c>
      <c r="AZ8" s="9" t="s">
        <v>0</v>
      </c>
      <c r="BA8" s="9" t="s">
        <v>0</v>
      </c>
    </row>
    <row r="9" spans="1:53" s="15" customFormat="1" x14ac:dyDescent="0.25">
      <c r="A9" s="11" t="s">
        <v>80</v>
      </c>
      <c r="B9" s="9">
        <v>17</v>
      </c>
      <c r="C9" s="9" t="s">
        <v>64</v>
      </c>
      <c r="D9" s="9" t="s">
        <v>30</v>
      </c>
      <c r="E9" s="9" t="s">
        <v>61</v>
      </c>
      <c r="F9" s="9" t="s">
        <v>0</v>
      </c>
      <c r="G9" s="9" t="s">
        <v>0</v>
      </c>
      <c r="H9" s="9" t="s">
        <v>0</v>
      </c>
      <c r="I9" s="9" t="s">
        <v>0</v>
      </c>
      <c r="J9" s="9" t="s">
        <v>61</v>
      </c>
      <c r="K9" s="9" t="s">
        <v>0</v>
      </c>
      <c r="L9" s="9" t="s">
        <v>0</v>
      </c>
      <c r="M9" s="9" t="s">
        <v>0</v>
      </c>
      <c r="N9" s="9" t="s">
        <v>0</v>
      </c>
      <c r="O9" s="9" t="s">
        <v>0</v>
      </c>
      <c r="P9" s="9" t="s">
        <v>0</v>
      </c>
      <c r="Q9" s="9" t="s">
        <v>0</v>
      </c>
      <c r="R9" s="9" t="s">
        <v>61</v>
      </c>
      <c r="S9" s="9" t="s">
        <v>61</v>
      </c>
      <c r="T9" s="9" t="s">
        <v>61</v>
      </c>
      <c r="U9" s="9" t="s">
        <v>61</v>
      </c>
      <c r="V9" s="9" t="s">
        <v>0</v>
      </c>
      <c r="W9" s="9" t="s">
        <v>0</v>
      </c>
      <c r="X9" s="9" t="s">
        <v>61</v>
      </c>
      <c r="Y9" s="9" t="s">
        <v>0</v>
      </c>
      <c r="Z9" s="9" t="s">
        <v>0</v>
      </c>
      <c r="AA9" s="9" t="s">
        <v>61</v>
      </c>
      <c r="AB9" s="9" t="s">
        <v>61</v>
      </c>
      <c r="AC9" s="9" t="s">
        <v>0</v>
      </c>
      <c r="AD9" s="9" t="s">
        <v>0</v>
      </c>
      <c r="AE9" s="9" t="s">
        <v>0</v>
      </c>
      <c r="AF9" s="9" t="s">
        <v>0</v>
      </c>
      <c r="AG9" s="9" t="s">
        <v>61</v>
      </c>
      <c r="AH9" s="9" t="s">
        <v>0</v>
      </c>
      <c r="AI9" s="9" t="s">
        <v>0</v>
      </c>
      <c r="AJ9" s="9" t="s">
        <v>0</v>
      </c>
      <c r="AK9" s="9" t="s">
        <v>61</v>
      </c>
      <c r="AL9" s="9" t="s">
        <v>0</v>
      </c>
      <c r="AM9" s="9" t="s">
        <v>0</v>
      </c>
      <c r="AN9" s="9" t="s">
        <v>61</v>
      </c>
      <c r="AO9" s="9" t="s">
        <v>61</v>
      </c>
      <c r="AP9" s="9" t="s">
        <v>61</v>
      </c>
      <c r="AQ9" s="9" t="s">
        <v>61</v>
      </c>
      <c r="AR9" s="9" t="s">
        <v>0</v>
      </c>
      <c r="AS9" s="9" t="s">
        <v>61</v>
      </c>
      <c r="AT9" s="9" t="s">
        <v>0</v>
      </c>
      <c r="AU9" s="9" t="s">
        <v>0</v>
      </c>
      <c r="AV9" s="9" t="s">
        <v>0</v>
      </c>
      <c r="AW9" s="9" t="s">
        <v>0</v>
      </c>
      <c r="AX9" s="9" t="s">
        <v>61</v>
      </c>
      <c r="AY9" s="9" t="s">
        <v>0</v>
      </c>
      <c r="AZ9" s="9" t="s">
        <v>0</v>
      </c>
      <c r="BA9" s="9" t="s">
        <v>0</v>
      </c>
    </row>
    <row r="10" spans="1:53" s="15" customFormat="1" x14ac:dyDescent="0.25">
      <c r="A10" s="11" t="s">
        <v>70</v>
      </c>
      <c r="B10" s="9">
        <v>11</v>
      </c>
      <c r="C10" s="9" t="s">
        <v>71</v>
      </c>
      <c r="D10" s="9" t="s">
        <v>39</v>
      </c>
      <c r="E10" s="9" t="s">
        <v>0</v>
      </c>
      <c r="F10" s="9" t="s">
        <v>0</v>
      </c>
      <c r="G10" s="9" t="s">
        <v>61</v>
      </c>
      <c r="H10" s="9" t="s">
        <v>61</v>
      </c>
      <c r="I10" s="9" t="s">
        <v>61</v>
      </c>
      <c r="J10" s="9" t="s">
        <v>61</v>
      </c>
      <c r="K10" s="9" t="s">
        <v>61</v>
      </c>
      <c r="L10" s="9" t="s">
        <v>61</v>
      </c>
      <c r="M10" s="9" t="s">
        <v>61</v>
      </c>
      <c r="N10" s="9" t="s">
        <v>61</v>
      </c>
      <c r="O10" s="9" t="s">
        <v>0</v>
      </c>
      <c r="P10" s="9" t="s">
        <v>0</v>
      </c>
      <c r="Q10" s="9" t="s">
        <v>0</v>
      </c>
      <c r="R10" s="9" t="s">
        <v>0</v>
      </c>
      <c r="S10" s="9" t="s">
        <v>61</v>
      </c>
      <c r="T10" s="9" t="s">
        <v>61</v>
      </c>
      <c r="U10" s="9" t="s">
        <v>0</v>
      </c>
      <c r="V10" s="9" t="s">
        <v>61</v>
      </c>
      <c r="W10" s="9" t="s">
        <v>61</v>
      </c>
      <c r="X10" s="9" t="s">
        <v>0</v>
      </c>
      <c r="Y10" s="9" t="s">
        <v>0</v>
      </c>
      <c r="Z10" s="9" t="s">
        <v>0</v>
      </c>
      <c r="AA10" s="9" t="s">
        <v>61</v>
      </c>
      <c r="AB10" s="9" t="s">
        <v>61</v>
      </c>
      <c r="AC10" s="9" t="s">
        <v>0</v>
      </c>
      <c r="AD10" s="9" t="s">
        <v>61</v>
      </c>
      <c r="AE10" s="9" t="s">
        <v>0</v>
      </c>
      <c r="AF10" s="9" t="s">
        <v>61</v>
      </c>
      <c r="AG10" s="9" t="s">
        <v>61</v>
      </c>
      <c r="AH10" s="9" t="s">
        <v>0</v>
      </c>
      <c r="AI10" s="9" t="s">
        <v>0</v>
      </c>
      <c r="AJ10" s="9" t="s">
        <v>61</v>
      </c>
      <c r="AK10" s="9" t="s">
        <v>61</v>
      </c>
      <c r="AL10" s="9" t="s">
        <v>61</v>
      </c>
      <c r="AM10" s="9" t="s">
        <v>0</v>
      </c>
      <c r="AN10" s="9" t="s">
        <v>0</v>
      </c>
      <c r="AO10" s="9" t="s">
        <v>61</v>
      </c>
      <c r="AP10" s="9" t="s">
        <v>61</v>
      </c>
      <c r="AQ10" s="9" t="s">
        <v>61</v>
      </c>
      <c r="AR10" s="9" t="s">
        <v>61</v>
      </c>
      <c r="AS10" s="9" t="s">
        <v>61</v>
      </c>
      <c r="AT10" s="9" t="s">
        <v>61</v>
      </c>
      <c r="AU10" s="9" t="s">
        <v>0</v>
      </c>
      <c r="AV10" s="9" t="s">
        <v>0</v>
      </c>
      <c r="AW10" s="9" t="s">
        <v>61</v>
      </c>
      <c r="AX10" s="9" t="s">
        <v>0</v>
      </c>
      <c r="AY10" s="9" t="s">
        <v>61</v>
      </c>
      <c r="AZ10" s="9" t="s">
        <v>0</v>
      </c>
      <c r="BA10" s="9" t="s">
        <v>0</v>
      </c>
    </row>
    <row r="11" spans="1:53" s="15" customFormat="1" x14ac:dyDescent="0.25">
      <c r="A11" s="11" t="s">
        <v>65</v>
      </c>
      <c r="B11" s="9">
        <v>14</v>
      </c>
      <c r="C11" s="9" t="s">
        <v>64</v>
      </c>
      <c r="D11" s="9" t="s">
        <v>29</v>
      </c>
      <c r="E11" s="9" t="s">
        <v>0</v>
      </c>
      <c r="F11" s="9" t="s">
        <v>0</v>
      </c>
      <c r="G11" s="9" t="s">
        <v>0</v>
      </c>
      <c r="H11" s="9" t="s">
        <v>0</v>
      </c>
      <c r="I11" s="9" t="s">
        <v>0</v>
      </c>
      <c r="J11" s="9" t="s">
        <v>61</v>
      </c>
      <c r="K11" s="9" t="s">
        <v>0</v>
      </c>
      <c r="L11" s="9" t="s">
        <v>0</v>
      </c>
      <c r="M11" s="9" t="s">
        <v>0</v>
      </c>
      <c r="N11" s="9" t="s">
        <v>0</v>
      </c>
      <c r="O11" s="9" t="s">
        <v>0</v>
      </c>
      <c r="P11" s="9" t="s">
        <v>0</v>
      </c>
      <c r="Q11" s="9" t="s">
        <v>61</v>
      </c>
      <c r="R11" s="9" t="s">
        <v>61</v>
      </c>
      <c r="S11" s="9" t="s">
        <v>0</v>
      </c>
      <c r="T11" s="9" t="s">
        <v>0</v>
      </c>
      <c r="U11" s="9" t="s">
        <v>0</v>
      </c>
      <c r="V11" s="9" t="s">
        <v>0</v>
      </c>
      <c r="W11" s="9" t="s">
        <v>61</v>
      </c>
      <c r="X11" s="9" t="s">
        <v>0</v>
      </c>
      <c r="Y11" s="9" t="s">
        <v>0</v>
      </c>
      <c r="Z11" s="9" t="s">
        <v>0</v>
      </c>
      <c r="AA11" s="9" t="s">
        <v>61</v>
      </c>
      <c r="AB11" s="9" t="s">
        <v>61</v>
      </c>
      <c r="AC11" s="9" t="s">
        <v>61</v>
      </c>
      <c r="AD11" s="9" t="s">
        <v>0</v>
      </c>
      <c r="AE11" s="9" t="s">
        <v>0</v>
      </c>
      <c r="AF11" s="9" t="s">
        <v>61</v>
      </c>
      <c r="AG11" s="9" t="s">
        <v>61</v>
      </c>
      <c r="AH11" s="9" t="s">
        <v>0</v>
      </c>
      <c r="AI11" s="9" t="s">
        <v>0</v>
      </c>
      <c r="AJ11" s="9" t="s">
        <v>0</v>
      </c>
      <c r="AK11" s="9" t="s">
        <v>61</v>
      </c>
      <c r="AL11" s="9" t="s">
        <v>0</v>
      </c>
      <c r="AM11" s="9" t="s">
        <v>0</v>
      </c>
      <c r="AN11" s="9" t="s">
        <v>0</v>
      </c>
      <c r="AO11" s="9" t="s">
        <v>61</v>
      </c>
      <c r="AP11" s="9" t="s">
        <v>0</v>
      </c>
      <c r="AQ11" s="9" t="s">
        <v>0</v>
      </c>
      <c r="AR11" s="9" t="s">
        <v>0</v>
      </c>
      <c r="AS11" s="9" t="s">
        <v>0</v>
      </c>
      <c r="AT11" s="9" t="s">
        <v>0</v>
      </c>
      <c r="AU11" s="9" t="s">
        <v>0</v>
      </c>
      <c r="AV11" s="9" t="s">
        <v>61</v>
      </c>
      <c r="AW11" s="9" t="s">
        <v>61</v>
      </c>
      <c r="AX11" s="9" t="s">
        <v>61</v>
      </c>
      <c r="AY11" s="9" t="s">
        <v>0</v>
      </c>
      <c r="AZ11" s="9" t="s">
        <v>61</v>
      </c>
      <c r="BA11" s="9" t="s">
        <v>61</v>
      </c>
    </row>
    <row r="12" spans="1:53" s="15" customFormat="1" x14ac:dyDescent="0.25">
      <c r="A12" s="9"/>
      <c r="B12" s="9"/>
      <c r="C12" s="9"/>
      <c r="D12" s="11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</row>
    <row r="13" spans="1:53" s="15" customFormat="1" x14ac:dyDescent="0.25">
      <c r="A13" s="9"/>
      <c r="B13" s="9"/>
      <c r="C13" s="9"/>
      <c r="D13" s="11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</row>
    <row r="14" spans="1:53" s="15" customFormat="1" x14ac:dyDescent="0.25">
      <c r="A14" s="9"/>
      <c r="B14" s="9"/>
      <c r="C14" s="9"/>
      <c r="D14" s="11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</row>
    <row r="15" spans="1:53" s="15" customFormat="1" x14ac:dyDescent="0.25">
      <c r="A15" s="9"/>
      <c r="B15" s="9"/>
      <c r="C15" s="9"/>
      <c r="D15" s="11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</row>
    <row r="16" spans="1:53" s="15" customFormat="1" x14ac:dyDescent="0.25">
      <c r="A16" s="9"/>
      <c r="B16" s="9"/>
      <c r="C16" s="9"/>
      <c r="D16" s="11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</row>
    <row r="17" spans="1:53" s="15" customFormat="1" x14ac:dyDescent="0.25">
      <c r="A17" s="9"/>
      <c r="B17" s="9"/>
      <c r="C17" s="9"/>
      <c r="D17" s="11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</row>
    <row r="18" spans="1:53" s="15" customFormat="1" x14ac:dyDescent="0.25">
      <c r="A18" s="9"/>
      <c r="B18" s="9"/>
      <c r="C18" s="9"/>
      <c r="D18" s="11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</row>
    <row r="19" spans="1:53" s="15" customFormat="1" x14ac:dyDescent="0.25">
      <c r="A19" s="9"/>
      <c r="B19" s="9"/>
      <c r="C19" s="9"/>
      <c r="D19" s="11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</row>
    <row r="20" spans="1:53" s="15" customFormat="1" x14ac:dyDescent="0.25">
      <c r="A20" s="9"/>
      <c r="B20" s="9"/>
      <c r="C20" s="9"/>
      <c r="D20" s="11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</row>
    <row r="21" spans="1:53" s="15" customFormat="1" x14ac:dyDescent="0.25">
      <c r="A21" s="9"/>
      <c r="B21" s="9"/>
      <c r="C21" s="9"/>
      <c r="D21" s="11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</row>
    <row r="22" spans="1:53" s="15" customFormat="1" x14ac:dyDescent="0.25">
      <c r="A22" s="9"/>
      <c r="B22" s="9"/>
      <c r="C22" s="9"/>
      <c r="D22" s="11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</row>
    <row r="23" spans="1:53" s="15" customFormat="1" x14ac:dyDescent="0.25">
      <c r="A23" s="9"/>
      <c r="B23" s="9"/>
      <c r="C23" s="9"/>
      <c r="D23" s="11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</row>
    <row r="24" spans="1:53" s="15" customFormat="1" x14ac:dyDescent="0.25">
      <c r="A24" s="9"/>
      <c r="B24" s="9"/>
      <c r="C24" s="9"/>
      <c r="D24" s="11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</row>
    <row r="25" spans="1:53" s="15" customFormat="1" x14ac:dyDescent="0.25">
      <c r="A25" s="9"/>
      <c r="B25" s="9"/>
      <c r="C25" s="9"/>
      <c r="D25" s="18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</row>
    <row r="26" spans="1:53" s="15" customFormat="1" x14ac:dyDescent="0.25">
      <c r="A26" s="9"/>
      <c r="B26" s="9"/>
      <c r="C26" s="9"/>
      <c r="D26" s="18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</row>
    <row r="27" spans="1:53" s="15" customFormat="1" x14ac:dyDescent="0.25">
      <c r="A27" s="9"/>
      <c r="B27" s="9"/>
      <c r="C27" s="9"/>
      <c r="D27" s="18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</row>
    <row r="28" spans="1:53" s="15" customFormat="1" x14ac:dyDescent="0.25">
      <c r="A28" s="9"/>
      <c r="B28" s="9"/>
      <c r="C28" s="9"/>
      <c r="D28" s="18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</row>
    <row r="29" spans="1:53" s="15" customFormat="1" x14ac:dyDescent="0.25">
      <c r="A29" s="9"/>
      <c r="B29" s="9"/>
      <c r="C29" s="9"/>
      <c r="D29" s="11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</row>
    <row r="30" spans="1:53" s="15" customFormat="1" x14ac:dyDescent="0.25">
      <c r="A30" s="9"/>
      <c r="B30" s="9"/>
      <c r="C30" s="9"/>
      <c r="D30" s="11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</row>
    <row r="31" spans="1:53" s="15" customFormat="1" x14ac:dyDescent="0.25">
      <c r="A31" s="9"/>
      <c r="B31" s="9"/>
      <c r="C31" s="9"/>
      <c r="D31" s="11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</row>
    <row r="32" spans="1:53" s="15" customFormat="1" x14ac:dyDescent="0.25">
      <c r="A32" s="9"/>
      <c r="B32" s="9"/>
      <c r="C32" s="9"/>
      <c r="D32" s="11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</row>
    <row r="33" spans="1:53" s="15" customFormat="1" x14ac:dyDescent="0.25">
      <c r="A33" s="9"/>
      <c r="B33" s="9"/>
      <c r="C33" s="9"/>
      <c r="D33" s="11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</row>
    <row r="34" spans="1:53" s="15" customFormat="1" x14ac:dyDescent="0.25">
      <c r="A34" s="9"/>
      <c r="B34" s="9"/>
      <c r="C34" s="9"/>
      <c r="D34" s="11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</row>
    <row r="35" spans="1:53" s="15" customFormat="1" x14ac:dyDescent="0.25">
      <c r="A35" s="9"/>
      <c r="B35" s="9"/>
      <c r="C35" s="9"/>
      <c r="D35" s="11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</row>
    <row r="36" spans="1:53" s="16" customFormat="1" x14ac:dyDescent="0.25">
      <c r="A36" s="9"/>
      <c r="B36" s="9"/>
      <c r="C36" s="9"/>
      <c r="D36" s="11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</row>
    <row r="37" spans="1:53" s="16" customFormat="1" x14ac:dyDescent="0.25">
      <c r="A37" s="9"/>
      <c r="B37" s="9"/>
      <c r="C37" s="9"/>
      <c r="D37" s="11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</row>
    <row r="38" spans="1:53" s="16" customFormat="1" x14ac:dyDescent="0.25">
      <c r="A38" s="9"/>
      <c r="B38" s="9"/>
      <c r="C38" s="9"/>
      <c r="D38" s="11"/>
      <c r="E38" s="9"/>
      <c r="F38" s="9"/>
      <c r="G38" s="9"/>
      <c r="H38" s="9"/>
      <c r="I38" s="9"/>
      <c r="J38" s="9"/>
      <c r="K38" s="9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</row>
    <row r="39" spans="1:53" s="16" customFormat="1" x14ac:dyDescent="0.25">
      <c r="A39" s="8"/>
      <c r="B39" s="8"/>
      <c r="C39" s="8"/>
      <c r="D39" s="12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</row>
  </sheetData>
  <mergeCells count="1">
    <mergeCell ref="A1:AF2"/>
  </mergeCells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427DD0-285C-4F19-ACA5-3D4C2F33ED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44</vt:i4>
      </vt:variant>
    </vt:vector>
  </HeadingPairs>
  <TitlesOfParts>
    <vt:vector size="49" baseType="lpstr">
      <vt:lpstr>Hoja de respuestas</vt:lpstr>
      <vt:lpstr>Resultados </vt:lpstr>
      <vt:lpstr>Baremos</vt:lpstr>
      <vt:lpstr>Base de datos de Perfil</vt:lpstr>
      <vt:lpstr>Base da datos</vt:lpstr>
      <vt:lpstr>AA_B</vt:lpstr>
      <vt:lpstr>AA_C</vt:lpstr>
      <vt:lpstr>AA_D</vt:lpstr>
      <vt:lpstr>AA_E</vt:lpstr>
      <vt:lpstr>AA_F</vt:lpstr>
      <vt:lpstr>AA_G</vt:lpstr>
      <vt:lpstr>BA_B</vt:lpstr>
      <vt:lpstr>BA_C</vt:lpstr>
      <vt:lpstr>BA_D</vt:lpstr>
      <vt:lpstr>ba_E</vt:lpstr>
      <vt:lpstr>BA_F</vt:lpstr>
      <vt:lpstr>BA_G</vt:lpstr>
      <vt:lpstr>CA_B</vt:lpstr>
      <vt:lpstr>CA_C</vt:lpstr>
      <vt:lpstr>CA_D</vt:lpstr>
      <vt:lpstr>CA_E</vt:lpstr>
      <vt:lpstr>CA_F</vt:lpstr>
      <vt:lpstr>CA_G</vt:lpstr>
      <vt:lpstr>EA_B</vt:lpstr>
      <vt:lpstr>EA_C</vt:lpstr>
      <vt:lpstr>EA_D</vt:lpstr>
      <vt:lpstr>EA_E</vt:lpstr>
      <vt:lpstr>EA_F</vt:lpstr>
      <vt:lpstr>EA_G</vt:lpstr>
      <vt:lpstr>MA_B</vt:lpstr>
      <vt:lpstr>MA_C</vt:lpstr>
      <vt:lpstr>MA_D</vt:lpstr>
      <vt:lpstr>MA_E</vt:lpstr>
      <vt:lpstr>MA_F</vt:lpstr>
      <vt:lpstr>MA_G</vt:lpstr>
      <vt:lpstr>OA_B</vt:lpstr>
      <vt:lpstr>OA_C</vt:lpstr>
      <vt:lpstr>OA_D</vt:lpstr>
      <vt:lpstr>OA_E</vt:lpstr>
      <vt:lpstr>OA_F</vt:lpstr>
      <vt:lpstr>OA_G</vt:lpstr>
      <vt:lpstr>'Resultados '!pdf</vt:lpstr>
      <vt:lpstr>'Resultados '!Print_Area</vt:lpstr>
      <vt:lpstr>RA_B</vt:lpstr>
      <vt:lpstr>RA_C</vt:lpstr>
      <vt:lpstr>RA_D</vt:lpstr>
      <vt:lpstr>RA_E</vt:lpstr>
      <vt:lpstr>RA_F</vt:lpstr>
      <vt:lpstr>RA_G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Luis Alegría</dc:creator>
  <cp:lastModifiedBy>win</cp:lastModifiedBy>
  <cp:lastPrinted>2024-11-08T20:55:09Z</cp:lastPrinted>
  <dcterms:created xsi:type="dcterms:W3CDTF">2020-04-17T06:20:58Z</dcterms:created>
  <dcterms:modified xsi:type="dcterms:W3CDTF">2026-01-07T04:32:06Z</dcterms:modified>
</cp:coreProperties>
</file>