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2.xml" ContentType="application/vnd.openxmlformats-officedocument.drawing+xml"/>
  <Override PartName="/xl/ctrlProps/ctrlProp33.xml" ContentType="application/vnd.ms-excel.controlproperties+xml"/>
  <Override PartName="/xl/drawings/drawing3.xml" ContentType="application/vnd.openxmlformats-officedocument.drawing+xml"/>
  <Override PartName="/xl/ctrlProps/ctrlProp34.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d.docs.live.net/a1db4ffa447fa215/Desktop/Test actualizados/"/>
    </mc:Choice>
  </mc:AlternateContent>
  <xr:revisionPtr revIDLastSave="15428" documentId="13_ncr:1_{1641917F-717E-4065-A9D9-3CE2C91C2328}" xr6:coauthVersionLast="47" xr6:coauthVersionMax="47" xr10:uidLastSave="{960DFF72-863C-4A5F-AC13-C9F9851C9A17}"/>
  <bookViews>
    <workbookView minimized="1" xWindow="1920" yWindow="1485" windowWidth="21600" windowHeight="11295" activeTab="4" xr2:uid="{BCB73CC3-7149-4E64-9E73-1E4963B9B937}"/>
  </bookViews>
  <sheets>
    <sheet name="Claude Log" sheetId="9" r:id="rId1"/>
    <sheet name="Datos del Sujeto" sheetId="8" r:id="rId2"/>
    <sheet name="Portada" sheetId="4" r:id="rId3"/>
    <sheet name="Protocolo" sheetId="1" r:id="rId4"/>
    <sheet name="Perfil" sheetId="2" r:id="rId5"/>
    <sheet name="Ajustes" sheetId="3" state="hidden" r:id="rId6"/>
    <sheet name="Baremos Españoles" sheetId="5" state="hidden" r:id="rId7"/>
    <sheet name="Baremos EEUU" sheetId="6" state="hidden" r:id="rId8"/>
  </sheets>
  <definedNames>
    <definedName name="_xlnm._FilterDatabase" localSheetId="2" hidden="1">Portada!$B$3:$B$3</definedName>
    <definedName name="_xleta.AND" hidden="1" xlm="1">#NAME?</definedName>
    <definedName name="_xleta.BASE" hidden="1" xlm="1">#NAME?</definedName>
    <definedName name="_xleta.IFERROR" hidden="1" xlm="1">#NAME?</definedName>
    <definedName name="_xleta.N" hidden="1" xlm="1">#NAME?</definedName>
    <definedName name="_xleta.NOT" hidden="1" xlm="1">#NAME?</definedName>
    <definedName name="_xleta.OR" hidden="1" xlm="1">#NAME?</definedName>
    <definedName name="_xleta.TREND" hidden="1" xlm="1">#NAME?</definedName>
    <definedName name="_xlpm._a" hidden="1" xlm="1">#NAME?</definedName>
    <definedName name="_xlpm._b" hidden="1" xlm="1">#NAME?</definedName>
    <definedName name="_xlpm._c" hidden="1" xlm="1">#NAME?</definedName>
    <definedName name="_xlpm._m" hidden="1" xlm="1">#NAME?</definedName>
    <definedName name="_xlpm.cat" hidden="1" xlm="1">#NAME?</definedName>
    <definedName name="_xlpm.cfg" hidden="1" xlm="1">#NAME?</definedName>
    <definedName name="_xlpm.cx" hidden="1" xlm="1">#NAME?</definedName>
    <definedName name="_xlpm.cy" hidden="1" xlm="1">#NAME?</definedName>
    <definedName name="_xlpm.cz" hidden="1" xlm="1">#NAME?</definedName>
    <definedName name="_xlpm.hb" hidden="1" xlm="1">#NAME?</definedName>
    <definedName name="_xlpm.hi" hidden="1" xlm="1">#NAME?</definedName>
    <definedName name="_xlpm.inval" hidden="1" xlm="1">#NAME?</definedName>
    <definedName name="_xlpm.lb" hidden="1" xlm="1">#NAME?</definedName>
    <definedName name="_xlpm.nl" hidden="1" xlm="1">#NAME?</definedName>
    <definedName name="_xlpm.tb" hidden="1" xlm="1">#NAME?</definedName>
    <definedName name="_xlpm.tbx" hidden="1" xlm="1">#NAME?</definedName>
    <definedName name="_xlpm.tby" hidden="1" xlm="1">#NAME?</definedName>
    <definedName name="_xlpm.tbz" hidden="1" xlm="1">#NAME?</definedName>
    <definedName name="_xlpm.txX" hidden="1" xlm="1">#NAME?</definedName>
    <definedName name="_xlpm.txY" hidden="1" xlm="1">#NAME?</definedName>
    <definedName name="_xlpm.txZ" hidden="1" xlm="1">#NAME?</definedName>
    <definedName name="_xlpm.x" hidden="1" xlm="1">#NAME?</definedName>
    <definedName name="_xlpm.y" hidden="1" xlm="1">#NAME?</definedName>
    <definedName name="_xlpm.z" hidden="1" xlm="1">#NAME?</definedName>
    <definedName name="AA_B">'Baremos Españoles'!$B$6:$B$35</definedName>
    <definedName name="AA_C">'Baremos EEUU'!$B$6:$B$35</definedName>
    <definedName name="AAA_B">'Baremos Españoles'!$AA$6:$AA$25</definedName>
    <definedName name="AAA_C">'Baremos EEUU'!$AA$6:$AA$25</definedName>
    <definedName name="AAAA_B">'Baremos Españoles'!$AH$6:$AH$126</definedName>
    <definedName name="AAAA_C">'Baremos EEUU'!$AH$6:$AH$121</definedName>
    <definedName name="AAAAA_B">'Baremos Españoles'!$BG$6:$BG$126</definedName>
    <definedName name="AAAAA_C">'Baremos EEUU'!$BG$6:$BG$121</definedName>
    <definedName name="AAAAAA_B">'Baremos Españoles'!$BI$7:$BI$19</definedName>
    <definedName name="AAAAAA_C">'Baremos EEUU'!$BI$6:$BI$18</definedName>
    <definedName name="AAAAAAAA_B">'Baremos Españoles'!$EB$7:$EB$16</definedName>
    <definedName name="AAAAAAAA_C">'Baremos EEUU'!$EB$6:$EB$15</definedName>
    <definedName name="AAEA_B">'Baremos Españoles'!$AC$6:$AC$120</definedName>
    <definedName name="AAEA_C">'Baremos EEUU'!$AC$6:$AC$121</definedName>
    <definedName name="BA_B">'Baremos Españoles'!$C$6:$C$29</definedName>
    <definedName name="BA_C">'Baremos EEUU'!$C$6:$C$29</definedName>
    <definedName name="BBA_B">'Baremos Españoles'!$BJ$7:$BJ$16</definedName>
    <definedName name="BBA_C">'Baremos EEUU'!$BJ$6:$BJ$15</definedName>
    <definedName name="BBBA_B">'Baremos Españoles'!$AI$6:$AI$126</definedName>
    <definedName name="BBBA_C">'Baremos EEUU'!$AI$6:$AI$121</definedName>
    <definedName name="BBBBA_B">'Baremos Españoles'!$CI$7:$CI$14</definedName>
    <definedName name="BBBBA_c">'Baremos EEUU'!$CI$6:$CI$13</definedName>
    <definedName name="BBBBBA_B">'Baremos Españoles'!$DH$7:$DH$14</definedName>
    <definedName name="BBBBBA_C">'Baremos EEUU'!$DH$6:$DH$13</definedName>
    <definedName name="BBBBBBA_B">'Baremos Españoles'!$EC$7:$EC$16</definedName>
    <definedName name="BBBBBBA_C">'Baremos EEUU'!$EC$6:$EC$15</definedName>
    <definedName name="BBCA_B">'Baremos Españoles'!$AD$6:$AD$120</definedName>
    <definedName name="BBCA_C">'Baremos EEUU'!$AD$6:$AD$121</definedName>
    <definedName name="CA_B">'Baremos Españoles'!$D$6:$D$30</definedName>
    <definedName name="CA_C">'Baremos EEUU'!$D$6:$D$30</definedName>
    <definedName name="CCA_B">'Baremos Españoles'!$BK$7:$BK$16</definedName>
    <definedName name="CCA_C">'Baremos EEUU'!$BK$6:$BK$15</definedName>
    <definedName name="CCCA_B">'Baremos Españoles'!$AJ$6:$AJ$126</definedName>
    <definedName name="CCCA_C">'Baremos EEUU'!$AJ$6:$AJ$121</definedName>
    <definedName name="CCCCA_B">'Baremos Españoles'!$CJ$7:$CJ$17</definedName>
    <definedName name="CCCCA_c">'Baremos EEUU'!$CJ$6:$CJ$16</definedName>
    <definedName name="CCCCCA_B">'Baremos Españoles'!$DI$7:$DI$14</definedName>
    <definedName name="CCCCCA_c">'Baremos EEUU'!$DI$6:$DI$13</definedName>
    <definedName name="CCCCCCA_B">'Baremos Españoles'!$ED$7:$ED$16</definedName>
    <definedName name="CCCCCCA_C">'Baremos EEUU'!$ED$6:$ED$15</definedName>
    <definedName name="CCDA_B">'Baremos Españoles'!$AE$6:$AE$30</definedName>
    <definedName name="CCDA_C">'Baremos EEUU'!$AE$6:$AE$30</definedName>
    <definedName name="DA_B">'Baremos Españoles'!$E$6:$E$34</definedName>
    <definedName name="DA_C">'Baremos EEUU'!$E$6:$E$34</definedName>
    <definedName name="DDA_B">'Baremos Españoles'!$BL$7:$BL$16</definedName>
    <definedName name="DDA_C">'Baremos EEUU'!$BL$6:$BL$15</definedName>
    <definedName name="DDDA_B">'Baremos Españoles'!$AK$6:$AK$126</definedName>
    <definedName name="DDDA_C">'Baremos EEUU'!$AK$6:$AK$121</definedName>
    <definedName name="DDDDA_B">'Baremos Españoles'!$CK$7:$CK$17</definedName>
    <definedName name="DDDDA_c">'Baremos EEUU'!$CK$6:$CK$16</definedName>
    <definedName name="DDDDDA_B">'Baremos Españoles'!$DJ$7:$DJ$14</definedName>
    <definedName name="DDDDDA_c">'Baremos EEUU'!$DJ$6:$DJ$13</definedName>
    <definedName name="DDDDDDA_B">'Baremos Españoles'!$EE$7:$EE$16</definedName>
    <definedName name="DDDDDDA_C">'Baremos EEUU'!$EE$6:$EE$15</definedName>
    <definedName name="DDEA_B">'Baremos Españoles'!$AF$6:$AF$36</definedName>
    <definedName name="DDEA_C">'Baremos EEUU'!$AF$6:$AF$36</definedName>
    <definedName name="EA_B">'Baremos Españoles'!$F$6:$F$29</definedName>
    <definedName name="EA_C">'Baremos EEUU'!$F$6:$F$29</definedName>
    <definedName name="EEA_B">'Baremos Españoles'!$BM$7:$BM$16</definedName>
    <definedName name="EEA_C">'Baremos EEUU'!$BM$6:$BM$15</definedName>
    <definedName name="EEEA_B">'Baremos Españoles'!$AL$6:$AL$126</definedName>
    <definedName name="EEEA_C">'Baremos EEUU'!$AL$6:$AL$121</definedName>
    <definedName name="EEEEA_B">'Baremos Españoles'!$CL$7:$CL$19</definedName>
    <definedName name="EEEEA_c">'Baremos EEUU'!$CL$6:$CL$17</definedName>
    <definedName name="EEEEEEA_B">'Baremos Españoles'!$EF$7:$EF$18</definedName>
    <definedName name="EEEEEEA_C">'Baremos EEUU'!$EF$6:$EF$17</definedName>
    <definedName name="FA_B">'Baremos Españoles'!$G$6:$G$30</definedName>
    <definedName name="FA_C">'Baremos EEUU'!$G$6:$G$30</definedName>
    <definedName name="FFA_B">'Baremos Españoles'!$BN$7:$BN$16</definedName>
    <definedName name="FFA_C">'Baremos EEUU'!$BN$6:$BN$16</definedName>
    <definedName name="FFFA_B">'Baremos Españoles'!$AM$6:$AM$126</definedName>
    <definedName name="FFFA_C">'Baremos EEUU'!$AM$6:$AM$106</definedName>
    <definedName name="FFFFA_B">'Baremos Españoles'!$CM$7:$CM$19</definedName>
    <definedName name="FFFFA_c">'Baremos EEUU'!$CM$6:$CM$17</definedName>
    <definedName name="FFFFFA_B">'Baremos Españoles'!$DK$7:$DK$14</definedName>
    <definedName name="FFFFFA_c">'Baremos EEUU'!$DK$6:$DK$13</definedName>
    <definedName name="FFFFFFA_B">'Baremos Españoles'!$EG$7:$EG$18</definedName>
    <definedName name="FFFFFFA_c">'Baremos EEUU'!$EG$6:$EG$17</definedName>
    <definedName name="GA_B">'Baremos Españoles'!$H$6:$H$31</definedName>
    <definedName name="GA_C">'Baremos EEUU'!$H$6:$H$31</definedName>
    <definedName name="GGA_B">'Baremos Españoles'!$BO$7:$BO$16</definedName>
    <definedName name="GGA_C">'Baremos EEUU'!$BO$6:$BO$16</definedName>
    <definedName name="GGGA_B">'Baremos Españoles'!$AN$6:$AN$126</definedName>
    <definedName name="GGGA_C">'Baremos EEUU'!$AN$6:$AN$106</definedName>
    <definedName name="GGGGA_B">'Baremos Españoles'!$CN$7:$CN$15</definedName>
    <definedName name="GGGGA_C">'Baremos EEUU'!$CN$6:$CN$14</definedName>
    <definedName name="GGGGGA_B">'Baremos Españoles'!$DL$7:$DL$15</definedName>
    <definedName name="GGGGGA_c">'Baremos EEUU'!$DL$6:$DL$14</definedName>
    <definedName name="GGGGGGA_B">'Baremos Españoles'!$EH$7:$EH$18</definedName>
    <definedName name="GGGGGGA_c">'Baremos EEUU'!$EH$6:$EH$17</definedName>
    <definedName name="GGGGGGGA_B">'Baremos Españoles'!$EA$7:$EA$16</definedName>
    <definedName name="GGGGGGGA_C">'Baremos EEUU'!$EA$6:$EA$15</definedName>
    <definedName name="HA_B">'Baremos Españoles'!$I$6:$I$32</definedName>
    <definedName name="HA_C">'Baremos EEUU'!$I$6:$I$32</definedName>
    <definedName name="HHA_B">'Baremos Españoles'!$BP$7:$BP$15</definedName>
    <definedName name="HHA_c">'Baremos EEUU'!$BP$6:$BP$14</definedName>
    <definedName name="HHHA_B">'Baremos Españoles'!$AO$6:$AO$126</definedName>
    <definedName name="HHHA_C">'Baremos EEUU'!$AO$6:$AO$121</definedName>
    <definedName name="HHHHA_B">'Baremos Españoles'!$CO$7:$CO$15</definedName>
    <definedName name="HHHHA_C">'Baremos EEUU'!$CO$6:$CO$14</definedName>
    <definedName name="HHHHHA_B">'Baremos Españoles'!$DM$7:$DM$15</definedName>
    <definedName name="HHHHHA_c">'Baremos EEUU'!$DM$6:$DM$14</definedName>
    <definedName name="HHHHHHA_B">'Baremos Españoles'!$EI$7:$EI$18</definedName>
    <definedName name="HHHHHHA_c">'Baremos EEUU'!$EI$6:$EI$17</definedName>
    <definedName name="IA_B">'Baremos Españoles'!$J$6:$J$27</definedName>
    <definedName name="IA_C">'Baremos EEUU'!$J$6:$J$27</definedName>
    <definedName name="IIA_B">'Baremos Españoles'!$BQ$7:$BQ$15</definedName>
    <definedName name="IIA_C">'Baremos EEUU'!$BQ$6:$BQ$14</definedName>
    <definedName name="IIIA_B">'Baremos Españoles'!$AP$6:$AP$126</definedName>
    <definedName name="IIIA_C">'Baremos EEUU'!$AP$6:$AP$121</definedName>
    <definedName name="IIIIA_B">'Baremos Españoles'!$CP$7:$CP$16</definedName>
    <definedName name="IIIIA_c">'Baremos EEUU'!$CP$6:$CP$14</definedName>
    <definedName name="IIIIIA_B">'Baremos Españoles'!$DX$7:$DX$19</definedName>
    <definedName name="IIIIIA_C">'Baremos EEUU'!$DX$6:$DX$18</definedName>
    <definedName name="JA_B">'Baremos Españoles'!$K$6:$K$28</definedName>
    <definedName name="JA_C">'Baremos EEUU'!$K$6:$K$28</definedName>
    <definedName name="JJA_B">'Baremos Españoles'!$BR$7:$BR$16</definedName>
    <definedName name="JJA_C">'Baremos EEUU'!$BR$6:$BR$15</definedName>
    <definedName name="JJJA_B">'Baremos Españoles'!$AQ$6:$AQ$126</definedName>
    <definedName name="JJJA_c">'Baremos EEUU'!$AQ$6:$AQ$121</definedName>
    <definedName name="JJJJA_B">'Baremos Españoles'!$CQ$7:$CQ$16</definedName>
    <definedName name="JJJJA_C">'Baremos EEUU'!$CQ$6:$CQ$14</definedName>
    <definedName name="JJJJJA_B">'Baremos Españoles'!$DN$7:$DN$19</definedName>
    <definedName name="JJJJJA_C">'Baremos EEUU'!$DN$6:$DN$18</definedName>
    <definedName name="JJJJJJA_B">'Baremos Españoles'!$EJ$7:$EJ$15</definedName>
    <definedName name="JJJJJJA_c">'Baremos EEUU'!$EJ$6:$EJ$14</definedName>
    <definedName name="KA_B">'Baremos Españoles'!$L$6:$L$29</definedName>
    <definedName name="KA_C">'Baremos EEUU'!$L$6:$L$29</definedName>
    <definedName name="KKA_B">'Baremos Españoles'!$BS$7:$BS$16</definedName>
    <definedName name="KKA_c">'Baremos EEUU'!$BS$6:$BS$15</definedName>
    <definedName name="KKKA_B">'Baremos Españoles'!$AR$6:$AR$126</definedName>
    <definedName name="KKKA_c">'Baremos EEUU'!$AR$6:$AR$106</definedName>
    <definedName name="KKKKA_B">'Baremos Españoles'!$CR$7:$CR$15</definedName>
    <definedName name="KKKKA_c">'Baremos EEUU'!$CR$6:$CR$15</definedName>
    <definedName name="KKKKKA_B">'Baremos Españoles'!$DO$7:$DO$19</definedName>
    <definedName name="KKKKKA_c">'Baremos EEUU'!$DO$6:$DO$18</definedName>
    <definedName name="KKKKKKA_B">'Baremos Españoles'!$EK$7:$EK$15</definedName>
    <definedName name="KKKKKKA_C">'Baremos EEUU'!$EK$6:$EK$14</definedName>
    <definedName name="LA_B">'Baremos Españoles'!$M$6:$M$32</definedName>
    <definedName name="LA_C">'Baremos EEUU'!$M$6:$M$32</definedName>
    <definedName name="LLA_B">'Baremos Españoles'!$BT$7:$BT$16</definedName>
    <definedName name="LLA_C">'Baremos EEUU'!$BT$6:$BT$15</definedName>
    <definedName name="LLLA_B">'Baremos Españoles'!$BF$6:$BF$126</definedName>
    <definedName name="LLLA_C">'Baremos EEUU'!$BF$6:$BF$121</definedName>
    <definedName name="LLLLA_B">'Baremos Españoles'!$CS$7:$CS$15</definedName>
    <definedName name="LLLLA_c">'Baremos EEUU'!$CS$6:$CS$15</definedName>
    <definedName name="LLLLLA_B">'Baremos Españoles'!$DP$7:$DP$16</definedName>
    <definedName name="LLLLLA_C">'Baremos EEUU'!$DP$6:$DP$15</definedName>
    <definedName name="LLLLLLA_B">'Baremos Españoles'!$EL$7:$EL$18</definedName>
    <definedName name="LLLLLLA_C">'Baremos EEUU'!$EL$6:$EL$17</definedName>
    <definedName name="MA_B">'Baremos Españoles'!$N$6:$N$31</definedName>
    <definedName name="MA_C">'Baremos EEUU'!$N$6:$N$31</definedName>
    <definedName name="MMA_B">'Baremos Españoles'!$BU$7:$BU$16</definedName>
    <definedName name="MMA_c">'Baremos EEUU'!$BU$6:$BU$15</definedName>
    <definedName name="MMMA_B">'Baremos Españoles'!$AS$6:$AS$126</definedName>
    <definedName name="MMMA_C">'Baremos EEUU'!$AS$6:$AS$121</definedName>
    <definedName name="MMMMA_B">'Baremos Españoles'!$CT$7:$CT$16</definedName>
    <definedName name="MMMMA_C">'Baremos EEUU'!$CT$6:$CT$14</definedName>
    <definedName name="MMMMMMA_B">'Baremos Españoles'!$EM$7:$EM$18</definedName>
    <definedName name="MMMMMMA_c">'Baremos EEUU'!$EM$6:$EM$17</definedName>
    <definedName name="NA_B">'Baremos Españoles'!$O$6:$O$35</definedName>
    <definedName name="NA_C">'Baremos EEUU'!$O$6:$O$35</definedName>
    <definedName name="NNA_B">'Baremos Españoles'!$BV$7:$BV$16</definedName>
    <definedName name="NNA_C">'Baremos EEUU'!$BV$6:$BV$15</definedName>
    <definedName name="NNNA_B">'Baremos Españoles'!$AT$6:$AT$126</definedName>
    <definedName name="NNNA_C">'Baremos EEUU'!$AT$6:$AT$121</definedName>
    <definedName name="NNNNA_B">'Baremos Españoles'!$CU$7:$CU$16</definedName>
    <definedName name="NNNNA_C">'Baremos EEUU'!$CU$6:$CU$14</definedName>
    <definedName name="NNNNNNA_B">'Baremos Españoles'!$EN$7:$EN$17</definedName>
    <definedName name="NNNNNNA_c">'Baremos EEUU'!$EN$6:$EN$16</definedName>
    <definedName name="OOA_B">'Baremos Españoles'!$BW$7:$BW$16</definedName>
    <definedName name="OOA_C">'Baremos EEUU'!$BW$6:$BW$15</definedName>
    <definedName name="OOOA_B">'Baremos Españoles'!$AU$6:$AU$126</definedName>
    <definedName name="OOOA_C">'Baremos EEUU'!$AU$6:$AU$121</definedName>
    <definedName name="OOOOA_B">'Baremos Españoles'!$CV$7:$CV$17</definedName>
    <definedName name="OOOOA_C">'Baremos EEUU'!$CV$6:$CV$15</definedName>
    <definedName name="OOOOOA_B">'Baremos Españoles'!$DY$7:$DY$19</definedName>
    <definedName name="OOOOOA_C">'Baremos EEUU'!$DY$6:$DY$18</definedName>
    <definedName name="PA_B">'Baremos Españoles'!$P$6:$P$33</definedName>
    <definedName name="PA_C">'Baremos EEUU'!$P$6:$P$35</definedName>
    <definedName name="PPA_B">'Baremos Españoles'!$BX$7:$BX$16</definedName>
    <definedName name="PPA_C">'Baremos EEUU'!$BX$6:$BX$15</definedName>
    <definedName name="PPPA_B">'Baremos Españoles'!$AV$6:$AV$126</definedName>
    <definedName name="PPPA_C">'Baremos EEUU'!$AV$6:$AV$121</definedName>
    <definedName name="PPPPA_B">'Baremos Españoles'!$CW$7:$CW$17</definedName>
    <definedName name="PPPPA_c">'Baremos EEUU'!$CW$6:$CW$15</definedName>
    <definedName name="PPPPPA_B">'Baremos Españoles'!$DZ$7:$DZ$16</definedName>
    <definedName name="PPPPPA_c">'Baremos EEUU'!$DZ$6:$DZ$15</definedName>
    <definedName name="QA_B">'Baremos Españoles'!$Q$6:$Q$30</definedName>
    <definedName name="QA_C">'Baremos EEUU'!$Q$6:$Q$33</definedName>
    <definedName name="QQA_B">'Baremos Españoles'!$BY$7:$BY$16</definedName>
    <definedName name="QQA_c">'Baremos EEUU'!$BY$6:$BY$15</definedName>
    <definedName name="QQQA_B">'Baremos Españoles'!$AW$6:$AW$126</definedName>
    <definedName name="QQQA_C">'Baremos EEUU'!$AW$6:$AW$121</definedName>
    <definedName name="QQQQA_B">'Baremos Españoles'!$CX$7:$CX$15</definedName>
    <definedName name="QQQQA_c">'Baremos EEUU'!$CX$6:$CX$14</definedName>
    <definedName name="QQQQQA_B">'Baremos Españoles'!$DS$7:$DS$16</definedName>
    <definedName name="QQQQQA_c">'Baremos EEUU'!$DS$6:$DS$15</definedName>
    <definedName name="QQQQQQA_B">'Baremos Españoles'!$ES$7:$ES$14</definedName>
    <definedName name="QQQQQQA_C">'Baremos EEUU'!$ES$6:$ES$13</definedName>
    <definedName name="RA_B">'Baremos Españoles'!$R$6:$R$25</definedName>
    <definedName name="RA_C">'Baremos EEUU'!$R$6:$R$30</definedName>
    <definedName name="RRA_B">'Baremos Españoles'!$BZ$7:$BZ$16</definedName>
    <definedName name="RRA_c">'Baremos EEUU'!$BZ$6:$BZ$15</definedName>
    <definedName name="RRRA_B">'Baremos Españoles'!$AX$6:$AX$126</definedName>
    <definedName name="RRRA_C">'Baremos EEUU'!$AX$6:$AX$121</definedName>
    <definedName name="RRRRA_B">'Baremos Españoles'!$CY$7:$CY$15</definedName>
    <definedName name="RRRRA_c">'Baremos EEUU'!$CY$6:$CY$14</definedName>
    <definedName name="RRRRRA_B">'Baremos Españoles'!$DU$7:$DU$18</definedName>
    <definedName name="RRRRRA_c">'Baremos EEUU'!$DU$6:$DU$17</definedName>
    <definedName name="SA_B">'Baremos Españoles'!$S$6:$S$21</definedName>
    <definedName name="SA_C">'Baremos EEUU'!$S$6:$S$25</definedName>
    <definedName name="SSA_B">'Baremos Españoles'!$CA$7:$CA$16</definedName>
    <definedName name="SSA_C">'Baremos EEUU'!$CA$6:$CA$15</definedName>
    <definedName name="SSSA_B">'Baremos Españoles'!$AY$6:$AY$126</definedName>
    <definedName name="SSSA_C">'Baremos EEUU'!$AY$6:$AY$121</definedName>
    <definedName name="SSSSA_B">'Baremos Españoles'!$CZ$7:$CZ$15</definedName>
    <definedName name="SSSSA_c">'Baremos EEUU'!$CZ$6:$CZ$14</definedName>
    <definedName name="SSSSSSA_B">'Baremos Españoles'!$EQ$7:$EQ$16</definedName>
    <definedName name="SSSSSSA_c">'Baremos EEUU'!$EQ$6:$EQ$15</definedName>
    <definedName name="TA_B">'Baremos Españoles'!$T$6:$T$25</definedName>
    <definedName name="TA_C">'Baremos EEUU'!$T$6:$T$25</definedName>
    <definedName name="TTA_B">'Baremos Españoles'!$CB$7:$CB$16</definedName>
    <definedName name="TTA_C">'Baremos EEUU'!$CB$6:$CB$15</definedName>
    <definedName name="TTTA_B">'Baremos Españoles'!$AZ$6:$AZ$126</definedName>
    <definedName name="TTTA_C">'Baremos EEUU'!$AZ$6:$AZ$121</definedName>
    <definedName name="TTTTA_B">'Baremos Españoles'!$DA$7:$DA$15</definedName>
    <definedName name="TTTTA_c">'Baremos EEUU'!$DA$6:$DA$14</definedName>
    <definedName name="TTTTTA_B">'Baremos Españoles'!$DV$7:$DV$17</definedName>
    <definedName name="TTTTTA_c">'Baremos EEUU'!$DV$6:$DV$16</definedName>
    <definedName name="TTTTTTA_B">'Baremos Españoles'!$ET$7:$ET$17</definedName>
    <definedName name="TTTTTTA_C">'Baremos EEUU'!$ET$6:$ET$16</definedName>
    <definedName name="UA_B">'Baremos Españoles'!$U$6:$U$33</definedName>
    <definedName name="UA_C">'Baremos EEUU'!$U$6:$U$33</definedName>
    <definedName name="UUA_B">'Baremos Españoles'!$CC$7:$CC$16</definedName>
    <definedName name="UUA_c">'Baremos EEUU'!$CC$6:$CC$15</definedName>
    <definedName name="UUUUA_B">'Baremos Españoles'!$DB$7:$DB$17</definedName>
    <definedName name="UUUUA_c">'Baremos EEUU'!$DB$6:$DB$14</definedName>
    <definedName name="UUUUUA_B">'Baremos Españoles'!$DW$7:$DW$17</definedName>
    <definedName name="UUUUUA_c">'Baremos EEUU'!$DW$6:$DW$16</definedName>
    <definedName name="VA_B">'Baremos Españoles'!$V$6:$V$19</definedName>
    <definedName name="VA_C">'Baremos EEUU'!$V$6:$V$33</definedName>
    <definedName name="VVA_B">'Baremos Españoles'!$CD$7:$CD$14</definedName>
    <definedName name="VVA_c">'Baremos EEUU'!$CD$6:$CD$13</definedName>
    <definedName name="VVVA_B">'Baremos Españoles'!$BA$6:$BA$126</definedName>
    <definedName name="VVVA_c">'Baremos EEUU'!$BA$6:$BA$121</definedName>
    <definedName name="VVVVA_B">'Baremos Españoles'!$DC$7:$DC$17</definedName>
    <definedName name="VVVVA_C">'Baremos EEUU'!$DC$6:$DC$14</definedName>
    <definedName name="WA_B">'Baremos Españoles'!$W$6:$W$24</definedName>
    <definedName name="WA_C">'Baremos EEUU'!$W$6:$W$24</definedName>
    <definedName name="WWA_b">'Baremos Españoles'!$CE$7:$CE$14</definedName>
    <definedName name="WWA_c">'Baremos EEUU'!$CE$6:$CE$13</definedName>
    <definedName name="WWWA_B">'Baremos Españoles'!$BB$6:$BB$126</definedName>
    <definedName name="WWWA_C">'Baremos EEUU'!$BB$6:$BB$121</definedName>
    <definedName name="WWWWA_B">'Baremos Españoles'!$DD$7:$DD$17</definedName>
    <definedName name="WWWWA_C">'Baremos EEUU'!$DD$6:$DD$16</definedName>
    <definedName name="WWWWWA_b">'Baremos Españoles'!$DT$7:$DT$18</definedName>
    <definedName name="WWWWWA_c">'Baremos EEUU'!$DT$6:$DT$17</definedName>
    <definedName name="WWWWWWA_B">'Baremos Españoles'!$ER$7:$ER$14</definedName>
    <definedName name="WWWWWWA_c">'Baremos EEUU'!$ER$6:$ER$13</definedName>
    <definedName name="XA_b">'Baremos Españoles'!$X$6:$X$25</definedName>
    <definedName name="XA_C">'Baremos EEUU'!$X$6:$X$25</definedName>
    <definedName name="XXA_B">'Baremos Españoles'!$CF$7:$CF$16</definedName>
    <definedName name="XXA_c">'Baremos EEUU'!$CF$6:$CF$15</definedName>
    <definedName name="XXXA_B">'Baremos Españoles'!$BC$6:$BC$126</definedName>
    <definedName name="XXXA_C">'Baremos EEUU'!$BC$6:$BC$121</definedName>
    <definedName name="XXXXA_B">'Baremos Españoles'!$DE$7:$DE$17</definedName>
    <definedName name="XXXXA_c">'Baremos EEUU'!$DE$6:$DE$16</definedName>
    <definedName name="XXXXXA_B">'Baremos Españoles'!$DR$7:$DR$16</definedName>
    <definedName name="XXXXXA_c">'Baremos EEUU'!$DR$6:$DR$15</definedName>
    <definedName name="XXXXXXA_B">'Baremos Españoles'!$EO$7:$EO$17</definedName>
    <definedName name="XXXXXXA_c">'Baremos EEUU'!$EO$6:$EO$16</definedName>
    <definedName name="YA_B">'Baremos Españoles'!$Y$6:$Y$33</definedName>
    <definedName name="YA_C">'Baremos EEUU'!$Y$6:$Y$33</definedName>
    <definedName name="YYA_B">'Baremos Españoles'!$CG$7:$CG$16</definedName>
    <definedName name="YYA_c">'Baremos EEUU'!$CG$6:$CG$15</definedName>
    <definedName name="YYYA_B">'Baremos Españoles'!$BD$6:$BD$126</definedName>
    <definedName name="YYYA_c">'Baremos EEUU'!$BD$6:$BD$121</definedName>
    <definedName name="YYYYA_B">'Baremos Españoles'!$DF$7:$DF$18</definedName>
    <definedName name="YYYYA_C">'Baremos EEUU'!$DF$6:$DF$16</definedName>
    <definedName name="YYYYYYA_B">'Baremos Españoles'!$EU$7:$EU$17</definedName>
    <definedName name="YYYYYYA_C">'Baremos EEUU'!$EU$6:$EU$16</definedName>
    <definedName name="ZA_B">'Baremos Españoles'!$Z$6:$Z$30</definedName>
    <definedName name="ZA_C">'Baremos EEUU'!$Z$6:$Z$30</definedName>
    <definedName name="ZZA_B">'Baremos Españoles'!$CH$7:$CH$14</definedName>
    <definedName name="ZZA_c">'Baremos EEUU'!$CH$6:$CH$13</definedName>
    <definedName name="ZZZA_B">'Baremos Españoles'!$BE$6:$BE$126</definedName>
    <definedName name="ZZZA_C">'Baremos EEUU'!$BE$6:$BE$121</definedName>
    <definedName name="ZZZZA_B">'Baremos Españoles'!$DG$7:$DG$18</definedName>
    <definedName name="ZZZZA_C">'Baremos EEUU'!$DG$6:$DG$16</definedName>
    <definedName name="ZZZZZA_b">'Baremos Españoles'!$DQ$7:$DQ$16</definedName>
    <definedName name="ZZZZZA_c">'Baremos EEUU'!$DQ$6:$DQ$15</definedName>
    <definedName name="ZZZZZZA_B">'Baremos Españoles'!$EP$7:$EP$16</definedName>
    <definedName name="ZZZZZZA_C">'Baremos EEUU'!$EP$6:$EP$15</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12" i="2" l="1"/>
  <c r="AR182" i="2"/>
  <c r="AR181" i="2"/>
  <c r="AR177" i="2"/>
  <c r="AR199" i="2"/>
  <c r="AR198" i="2"/>
  <c r="AR197" i="2"/>
  <c r="AR196" i="2"/>
  <c r="AR194" i="2"/>
  <c r="AR192" i="2"/>
  <c r="AR189" i="2"/>
  <c r="AR188" i="2"/>
  <c r="AR187" i="2"/>
  <c r="AR185" i="2"/>
  <c r="AR184" i="2"/>
  <c r="AR176" i="2"/>
  <c r="AR175" i="2"/>
  <c r="BU23" i="1" l="1"/>
  <c r="BU22" i="1"/>
  <c r="FV29" i="1"/>
  <c r="FV28" i="1"/>
  <c r="FV27" i="1"/>
  <c r="FV26" i="1"/>
  <c r="FV25" i="1"/>
  <c r="FV24" i="1"/>
  <c r="FV23" i="1"/>
  <c r="FV22" i="1"/>
  <c r="FV21" i="1"/>
  <c r="FV20" i="1"/>
  <c r="FT26" i="1"/>
  <c r="FT25" i="1"/>
  <c r="FT24" i="1"/>
  <c r="FT23" i="1"/>
  <c r="FT22" i="1"/>
  <c r="FT21" i="1"/>
  <c r="FT20" i="1"/>
  <c r="FR28" i="1"/>
  <c r="FR27" i="1"/>
  <c r="FR26" i="1"/>
  <c r="FR25" i="1"/>
  <c r="FR24" i="1"/>
  <c r="FR23" i="1"/>
  <c r="FR22" i="1"/>
  <c r="FR21" i="1"/>
  <c r="FR20" i="1"/>
  <c r="FO29" i="1"/>
  <c r="FO28" i="1"/>
  <c r="FO27" i="1"/>
  <c r="FO26" i="1"/>
  <c r="FO25" i="1"/>
  <c r="FO24" i="1"/>
  <c r="FO23" i="1"/>
  <c r="FO22" i="1"/>
  <c r="FO21" i="1"/>
  <c r="FO20" i="1"/>
  <c r="FM30" i="1"/>
  <c r="FM29" i="1"/>
  <c r="FM28" i="1"/>
  <c r="FM27" i="1"/>
  <c r="FM26" i="1"/>
  <c r="FM25" i="1"/>
  <c r="FM24" i="1"/>
  <c r="FM23" i="1"/>
  <c r="FM22" i="1"/>
  <c r="FM21" i="1"/>
  <c r="FM20" i="1"/>
  <c r="FK27" i="1"/>
  <c r="FK26" i="1"/>
  <c r="FK25" i="1"/>
  <c r="FK24" i="1"/>
  <c r="FK23" i="1"/>
  <c r="FK22" i="1"/>
  <c r="FK21" i="1"/>
  <c r="FK20" i="1"/>
  <c r="FH30" i="1"/>
  <c r="FH29" i="1"/>
  <c r="FH28" i="1"/>
  <c r="FH27" i="1"/>
  <c r="FH26" i="1"/>
  <c r="FH25" i="1"/>
  <c r="FH24" i="1"/>
  <c r="FH23" i="1"/>
  <c r="FH22" i="1"/>
  <c r="FH21" i="1"/>
  <c r="FH20" i="1"/>
  <c r="FF30" i="1"/>
  <c r="FF29" i="1"/>
  <c r="FF28" i="1"/>
  <c r="FF27" i="1"/>
  <c r="FF26" i="1"/>
  <c r="FF25" i="1"/>
  <c r="FF24" i="1"/>
  <c r="FF23" i="1"/>
  <c r="FF22" i="1"/>
  <c r="FF21" i="1"/>
  <c r="FF20" i="1"/>
  <c r="FD28" i="1"/>
  <c r="FD27" i="1"/>
  <c r="FD26" i="1"/>
  <c r="FD25" i="1"/>
  <c r="FD24" i="1"/>
  <c r="FD23" i="1"/>
  <c r="FD22" i="1"/>
  <c r="FD21" i="1"/>
  <c r="FD20" i="1"/>
  <c r="FA28" i="1"/>
  <c r="FA27" i="1"/>
  <c r="FA26" i="1"/>
  <c r="FA25" i="1"/>
  <c r="FA24" i="1"/>
  <c r="FA23" i="1"/>
  <c r="FA22" i="1"/>
  <c r="FA21" i="1"/>
  <c r="FA20" i="1"/>
  <c r="EY28" i="1"/>
  <c r="EY27" i="1"/>
  <c r="EY26" i="1"/>
  <c r="EY25" i="1"/>
  <c r="EY24" i="1"/>
  <c r="EY23" i="1"/>
  <c r="EY22" i="1"/>
  <c r="EY21" i="1"/>
  <c r="EY20" i="1"/>
  <c r="EW31" i="1"/>
  <c r="EW30" i="1"/>
  <c r="EW29" i="1"/>
  <c r="EW28" i="1"/>
  <c r="EW27" i="1"/>
  <c r="EW26" i="1"/>
  <c r="EW25" i="1"/>
  <c r="EW24" i="1"/>
  <c r="EW23" i="1"/>
  <c r="EW22" i="1"/>
  <c r="EW21" i="1"/>
  <c r="EW20" i="1"/>
  <c r="ET29" i="1"/>
  <c r="ET28" i="1"/>
  <c r="ET27" i="1"/>
  <c r="ET26" i="1"/>
  <c r="ET25" i="1"/>
  <c r="ET24" i="1"/>
  <c r="ET23" i="1"/>
  <c r="ET22" i="1"/>
  <c r="ET21" i="1"/>
  <c r="ET20" i="1"/>
  <c r="ER30" i="1"/>
  <c r="ER29" i="1"/>
  <c r="ER28" i="1"/>
  <c r="ER27" i="1"/>
  <c r="ER26" i="1"/>
  <c r="ER25" i="1"/>
  <c r="ER24" i="1"/>
  <c r="ER23" i="1"/>
  <c r="ER22" i="1"/>
  <c r="ER21" i="1"/>
  <c r="ER20" i="1"/>
  <c r="EP28" i="1"/>
  <c r="EP27" i="1"/>
  <c r="EP26" i="1"/>
  <c r="EP25" i="1"/>
  <c r="EP24" i="1"/>
  <c r="EP23" i="1"/>
  <c r="EP22" i="1"/>
  <c r="EP21" i="1"/>
  <c r="EP20" i="1"/>
  <c r="EM28" i="1"/>
  <c r="EM27" i="1"/>
  <c r="EM26" i="1"/>
  <c r="EM25" i="1"/>
  <c r="EM24" i="1"/>
  <c r="EM23" i="1"/>
  <c r="EM22" i="1"/>
  <c r="EM21" i="1"/>
  <c r="EM20" i="1"/>
  <c r="EK31" i="1"/>
  <c r="EK29" i="1"/>
  <c r="EK28" i="1"/>
  <c r="EK27" i="1"/>
  <c r="EK26" i="1"/>
  <c r="EK25" i="1"/>
  <c r="EK24" i="1"/>
  <c r="EK23" i="1"/>
  <c r="EK22" i="1"/>
  <c r="EK21" i="1"/>
  <c r="EK20" i="1"/>
  <c r="EI27" i="1"/>
  <c r="EI26" i="1"/>
  <c r="EI25" i="1"/>
  <c r="EI24" i="1"/>
  <c r="EI23" i="1"/>
  <c r="EI22" i="1"/>
  <c r="EI21" i="1"/>
  <c r="EI20" i="1"/>
  <c r="EF26" i="1"/>
  <c r="EF25" i="1"/>
  <c r="EF24" i="1"/>
  <c r="EF23" i="1"/>
  <c r="EF22" i="1"/>
  <c r="EF21" i="1"/>
  <c r="EF20" i="1"/>
  <c r="ED26" i="1"/>
  <c r="ED25" i="1"/>
  <c r="ED24" i="1"/>
  <c r="ED23" i="1"/>
  <c r="ED22" i="1"/>
  <c r="ED21" i="1"/>
  <c r="ED20" i="1"/>
  <c r="EB30" i="1"/>
  <c r="EB29" i="1"/>
  <c r="EB28" i="1"/>
  <c r="EB27" i="1"/>
  <c r="EB26" i="1"/>
  <c r="EB25" i="1"/>
  <c r="EB24" i="1"/>
  <c r="EB23" i="1"/>
  <c r="EB22" i="1"/>
  <c r="EB21" i="1"/>
  <c r="EB20" i="1"/>
  <c r="DY29" i="1"/>
  <c r="DY28" i="1"/>
  <c r="DY27" i="1"/>
  <c r="DY26" i="1"/>
  <c r="DY25" i="1"/>
  <c r="DY24" i="1"/>
  <c r="DY23" i="1"/>
  <c r="DY22" i="1"/>
  <c r="DY21" i="1"/>
  <c r="DY20" i="1"/>
  <c r="DW29" i="1"/>
  <c r="DW28" i="1"/>
  <c r="DW27" i="1"/>
  <c r="DW26" i="1"/>
  <c r="DW25" i="1"/>
  <c r="DW24" i="1"/>
  <c r="DW23" i="1"/>
  <c r="DW22" i="1"/>
  <c r="DW21" i="1"/>
  <c r="DW20" i="1"/>
  <c r="DU27" i="1"/>
  <c r="DU26" i="1"/>
  <c r="DU25" i="1"/>
  <c r="DU24" i="1"/>
  <c r="DU23" i="1"/>
  <c r="DU22" i="1"/>
  <c r="DU21" i="1"/>
  <c r="DU20" i="1"/>
  <c r="DR27" i="1"/>
  <c r="DR26" i="1"/>
  <c r="DR25" i="1"/>
  <c r="DR24" i="1"/>
  <c r="DR23" i="1"/>
  <c r="DR22" i="1"/>
  <c r="DR21" i="1"/>
  <c r="DR20" i="1"/>
  <c r="DP29" i="1"/>
  <c r="DP28" i="1"/>
  <c r="DP27" i="1"/>
  <c r="DP26" i="1"/>
  <c r="DP25" i="1"/>
  <c r="DP24" i="1"/>
  <c r="DP23" i="1"/>
  <c r="DP22" i="1"/>
  <c r="DP21" i="1"/>
  <c r="DP20" i="1"/>
  <c r="DN28" i="1"/>
  <c r="DN27" i="1"/>
  <c r="DN26" i="1"/>
  <c r="DN25" i="1"/>
  <c r="DN24" i="1"/>
  <c r="DN23" i="1"/>
  <c r="DN22" i="1"/>
  <c r="DN21" i="1"/>
  <c r="DN20" i="1"/>
  <c r="DK27" i="1"/>
  <c r="DK26" i="1"/>
  <c r="DK25" i="1"/>
  <c r="DK24" i="1"/>
  <c r="DK23" i="1"/>
  <c r="DK22" i="1"/>
  <c r="DK21" i="1"/>
  <c r="DK20" i="1"/>
  <c r="DI28" i="1"/>
  <c r="DI27" i="1"/>
  <c r="DI26" i="1"/>
  <c r="DI25" i="1"/>
  <c r="DI24" i="1"/>
  <c r="DI23" i="1"/>
  <c r="DI22" i="1"/>
  <c r="DI21" i="1"/>
  <c r="DI20" i="1"/>
  <c r="DG27" i="1"/>
  <c r="DG26" i="1"/>
  <c r="DG25" i="1"/>
  <c r="DG24" i="1"/>
  <c r="DG23" i="1"/>
  <c r="DG22" i="1"/>
  <c r="DG21" i="1"/>
  <c r="DG20" i="1"/>
  <c r="DD31" i="1"/>
  <c r="DD30" i="1"/>
  <c r="DD29" i="1"/>
  <c r="DD28" i="1"/>
  <c r="DD27" i="1"/>
  <c r="DD26" i="1"/>
  <c r="DD25" i="1"/>
  <c r="DD24" i="1"/>
  <c r="DD23" i="1"/>
  <c r="DD22" i="1"/>
  <c r="DD21" i="1"/>
  <c r="DD20" i="1"/>
  <c r="DB29" i="1"/>
  <c r="DB28" i="1"/>
  <c r="DB27" i="1"/>
  <c r="DB26" i="1"/>
  <c r="DB25" i="1"/>
  <c r="DB24" i="1"/>
  <c r="DB23" i="1"/>
  <c r="DB22" i="1"/>
  <c r="DB21" i="1"/>
  <c r="DB20" i="1"/>
  <c r="CZ26" i="1"/>
  <c r="CZ25" i="1"/>
  <c r="CZ24" i="1"/>
  <c r="CZ23" i="1"/>
  <c r="CZ22" i="1"/>
  <c r="CZ21" i="1"/>
  <c r="CZ20" i="1"/>
  <c r="CW28" i="1"/>
  <c r="CW27" i="1"/>
  <c r="CW26" i="1"/>
  <c r="CW25" i="1"/>
  <c r="CW24" i="1"/>
  <c r="CW23" i="1"/>
  <c r="CW22" i="1"/>
  <c r="CW21" i="1"/>
  <c r="CW20" i="1"/>
  <c r="CU26" i="1"/>
  <c r="CU25" i="1"/>
  <c r="CU24" i="1"/>
  <c r="CU23" i="1"/>
  <c r="CU22" i="1"/>
  <c r="CU21" i="1"/>
  <c r="CU20" i="1"/>
  <c r="CS28" i="1"/>
  <c r="CS27" i="1"/>
  <c r="CS26" i="1"/>
  <c r="CS25" i="1"/>
  <c r="CS24" i="1"/>
  <c r="CS23" i="1"/>
  <c r="CS22" i="1"/>
  <c r="CS21" i="1"/>
  <c r="CS20" i="1"/>
  <c r="CP28" i="1"/>
  <c r="CP27" i="1"/>
  <c r="CP26" i="1"/>
  <c r="CP25" i="1"/>
  <c r="CP24" i="1"/>
  <c r="CP23" i="1"/>
  <c r="CP22" i="1"/>
  <c r="CP21" i="1"/>
  <c r="CP20" i="1"/>
  <c r="CN28" i="1"/>
  <c r="CN27" i="1"/>
  <c r="CN26" i="1"/>
  <c r="CN25" i="1"/>
  <c r="CN24" i="1"/>
  <c r="CN23" i="1"/>
  <c r="CN22" i="1"/>
  <c r="CN21" i="1"/>
  <c r="CN20" i="1"/>
  <c r="CL28" i="1"/>
  <c r="CL27" i="1"/>
  <c r="CL26" i="1"/>
  <c r="CL25" i="1"/>
  <c r="CL24" i="1"/>
  <c r="CL23" i="1"/>
  <c r="CL22" i="1"/>
  <c r="CL21" i="1"/>
  <c r="CL20" i="1"/>
  <c r="CI28" i="1"/>
  <c r="CI27" i="1"/>
  <c r="CI26" i="1"/>
  <c r="CI25" i="1"/>
  <c r="CI24" i="1"/>
  <c r="CI23" i="1"/>
  <c r="CI22" i="1"/>
  <c r="CI21" i="1"/>
  <c r="CI20" i="1"/>
  <c r="CG28" i="1"/>
  <c r="CG27" i="1"/>
  <c r="CG26" i="1"/>
  <c r="CG25" i="1"/>
  <c r="CG24" i="1"/>
  <c r="CG23" i="1"/>
  <c r="CG22" i="1"/>
  <c r="CG21" i="1"/>
  <c r="CG20" i="1"/>
  <c r="CE27" i="1"/>
  <c r="CE26" i="1"/>
  <c r="CE25" i="1"/>
  <c r="CE24" i="1"/>
  <c r="CE23" i="1"/>
  <c r="CE22" i="1"/>
  <c r="CE21" i="1"/>
  <c r="CE20" i="1"/>
  <c r="CB28" i="1"/>
  <c r="CB27" i="1"/>
  <c r="CB26" i="1"/>
  <c r="CB25" i="1"/>
  <c r="CB24" i="1"/>
  <c r="CB23" i="1"/>
  <c r="CB22" i="1"/>
  <c r="CB21" i="1"/>
  <c r="CB20" i="1"/>
  <c r="BZ28" i="1"/>
  <c r="BZ27" i="1"/>
  <c r="BZ26" i="1"/>
  <c r="BZ25" i="1"/>
  <c r="BZ24" i="1"/>
  <c r="BZ23" i="1"/>
  <c r="BZ22" i="1"/>
  <c r="BZ21" i="1"/>
  <c r="BZ20" i="1"/>
  <c r="BX28" i="1"/>
  <c r="BX27" i="1"/>
  <c r="BX26" i="1"/>
  <c r="BX25" i="1"/>
  <c r="BX24" i="1"/>
  <c r="BX23" i="1"/>
  <c r="BX22" i="1"/>
  <c r="BX21" i="1"/>
  <c r="BX20" i="1"/>
  <c r="BU44" i="1"/>
  <c r="BU43" i="1"/>
  <c r="BU42" i="1"/>
  <c r="BU41" i="1"/>
  <c r="BU40" i="1"/>
  <c r="BU39" i="1"/>
  <c r="BU38" i="1"/>
  <c r="BU37" i="1"/>
  <c r="BU36" i="1"/>
  <c r="BU35" i="1"/>
  <c r="BU34" i="1"/>
  <c r="BU33" i="1"/>
  <c r="BU32" i="1"/>
  <c r="BU31" i="1"/>
  <c r="BU30" i="1"/>
  <c r="BU29" i="1"/>
  <c r="BU28" i="1"/>
  <c r="BU27" i="1"/>
  <c r="BU26" i="1"/>
  <c r="BU25" i="1"/>
  <c r="BU24" i="1"/>
  <c r="BU21" i="1"/>
  <c r="BU20" i="1"/>
  <c r="BS22" i="1"/>
  <c r="BS21" i="1"/>
  <c r="BS20" i="1"/>
  <c r="BP49" i="1"/>
  <c r="BP48" i="1"/>
  <c r="BP47" i="1"/>
  <c r="BP46" i="1"/>
  <c r="BP45" i="1"/>
  <c r="BP44" i="1"/>
  <c r="BP43" i="1"/>
  <c r="BP42" i="1"/>
  <c r="BP41" i="1"/>
  <c r="BP40" i="1"/>
  <c r="BP39" i="1"/>
  <c r="BP38" i="1"/>
  <c r="BP37" i="1"/>
  <c r="BP36" i="1"/>
  <c r="BP35" i="1"/>
  <c r="BP34" i="1"/>
  <c r="BP33" i="1"/>
  <c r="BP32" i="1"/>
  <c r="BP31" i="1"/>
  <c r="BP30" i="1"/>
  <c r="BP29" i="1"/>
  <c r="BP28" i="1"/>
  <c r="BP27" i="1"/>
  <c r="BP26" i="1"/>
  <c r="BP25" i="1"/>
  <c r="BP24" i="1"/>
  <c r="BP23" i="1"/>
  <c r="BP22" i="1"/>
  <c r="BP21" i="1"/>
  <c r="BP20" i="1"/>
  <c r="BN43" i="1"/>
  <c r="BN42" i="1"/>
  <c r="BN41" i="1"/>
  <c r="BN40" i="1"/>
  <c r="BN39" i="1"/>
  <c r="BN38" i="1"/>
  <c r="BN37" i="1"/>
  <c r="BN36" i="1"/>
  <c r="BN35" i="1"/>
  <c r="BN34" i="1"/>
  <c r="BN33" i="1"/>
  <c r="BN32" i="1"/>
  <c r="BN31" i="1"/>
  <c r="BN30" i="1"/>
  <c r="BN29" i="1"/>
  <c r="BN28" i="1"/>
  <c r="BN27" i="1"/>
  <c r="BN26" i="1"/>
  <c r="BN25" i="1"/>
  <c r="BN24" i="1"/>
  <c r="BN23" i="1"/>
  <c r="BN22" i="1"/>
  <c r="BN21" i="1"/>
  <c r="BN20" i="1"/>
  <c r="BL140" i="1"/>
  <c r="BL139" i="1"/>
  <c r="BL138" i="1"/>
  <c r="BL137" i="1"/>
  <c r="BL136" i="1"/>
  <c r="BL135" i="1"/>
  <c r="BL134" i="1"/>
  <c r="BL133" i="1"/>
  <c r="BL132" i="1"/>
  <c r="BL131" i="1"/>
  <c r="BL130" i="1"/>
  <c r="BL129" i="1"/>
  <c r="BL128" i="1"/>
  <c r="BL127" i="1"/>
  <c r="BL126" i="1"/>
  <c r="BL125" i="1"/>
  <c r="BL124" i="1"/>
  <c r="BL123" i="1"/>
  <c r="BL122" i="1"/>
  <c r="BL121" i="1"/>
  <c r="BL120" i="1"/>
  <c r="BL119" i="1"/>
  <c r="BL118" i="1"/>
  <c r="BL117" i="1"/>
  <c r="BL116" i="1"/>
  <c r="BL115" i="1"/>
  <c r="BL114" i="1"/>
  <c r="BL113" i="1"/>
  <c r="BL112" i="1"/>
  <c r="BL111" i="1"/>
  <c r="BL110" i="1"/>
  <c r="BL109" i="1"/>
  <c r="BL108" i="1"/>
  <c r="BL107" i="1"/>
  <c r="BL106" i="1"/>
  <c r="BL105" i="1"/>
  <c r="BL104" i="1"/>
  <c r="BL103" i="1"/>
  <c r="BL102" i="1"/>
  <c r="BL101" i="1"/>
  <c r="BL100" i="1"/>
  <c r="BL99" i="1"/>
  <c r="BL98" i="1"/>
  <c r="BL97" i="1"/>
  <c r="BL96" i="1"/>
  <c r="BL95" i="1"/>
  <c r="BL94" i="1"/>
  <c r="BL93" i="1"/>
  <c r="BL92" i="1"/>
  <c r="BL91" i="1"/>
  <c r="BL90" i="1"/>
  <c r="BL89" i="1"/>
  <c r="BL88" i="1"/>
  <c r="BL87" i="1"/>
  <c r="BL86" i="1"/>
  <c r="BL85" i="1"/>
  <c r="BL84" i="1"/>
  <c r="BL83" i="1"/>
  <c r="BL82" i="1"/>
  <c r="BL81" i="1"/>
  <c r="BL80" i="1"/>
  <c r="BL79" i="1"/>
  <c r="BL78" i="1"/>
  <c r="BL77" i="1"/>
  <c r="BL76" i="1"/>
  <c r="BL75" i="1"/>
  <c r="BL74" i="1"/>
  <c r="BL73" i="1"/>
  <c r="BL72" i="1"/>
  <c r="BL71" i="1"/>
  <c r="BL70" i="1"/>
  <c r="BL69" i="1"/>
  <c r="BL68" i="1"/>
  <c r="BL67" i="1"/>
  <c r="BL66" i="1"/>
  <c r="BL65" i="1"/>
  <c r="BL64" i="1"/>
  <c r="BL63" i="1"/>
  <c r="BL62" i="1"/>
  <c r="BL61" i="1"/>
  <c r="BL60" i="1"/>
  <c r="BL59" i="1"/>
  <c r="BL58" i="1"/>
  <c r="BL57" i="1"/>
  <c r="BL56" i="1"/>
  <c r="BL55" i="1"/>
  <c r="BL54" i="1"/>
  <c r="BL53" i="1"/>
  <c r="BL52" i="1"/>
  <c r="BL51" i="1"/>
  <c r="BL50" i="1"/>
  <c r="BL49" i="1"/>
  <c r="BL48" i="1"/>
  <c r="BL47" i="1"/>
  <c r="BL46" i="1"/>
  <c r="BL45" i="1"/>
  <c r="BL44" i="1"/>
  <c r="BL43" i="1"/>
  <c r="BL42" i="1"/>
  <c r="BL41" i="1"/>
  <c r="BL40" i="1"/>
  <c r="BL39" i="1"/>
  <c r="BL38" i="1"/>
  <c r="BL37" i="1"/>
  <c r="BL36" i="1"/>
  <c r="BL35" i="1"/>
  <c r="BL34" i="1"/>
  <c r="BL33" i="1"/>
  <c r="BL32" i="1"/>
  <c r="BL31" i="1"/>
  <c r="BL30" i="1"/>
  <c r="BL29" i="1"/>
  <c r="BL28" i="1"/>
  <c r="BL27" i="1"/>
  <c r="BL26" i="1"/>
  <c r="BL25" i="1"/>
  <c r="BL24" i="1"/>
  <c r="BL23" i="1"/>
  <c r="BL22" i="1"/>
  <c r="BL21" i="1"/>
  <c r="BL20" i="1"/>
  <c r="BH33" i="1"/>
  <c r="BH32" i="1"/>
  <c r="BH31" i="1"/>
  <c r="BH30" i="1"/>
  <c r="BH29" i="1"/>
  <c r="BH28" i="1"/>
  <c r="BH27" i="1"/>
  <c r="BH26" i="1"/>
  <c r="BH25" i="1"/>
  <c r="BH24" i="1"/>
  <c r="BH23" i="1"/>
  <c r="BH22" i="1"/>
  <c r="BH21" i="1"/>
  <c r="BH20" i="1"/>
  <c r="BF36" i="1"/>
  <c r="BF35" i="1"/>
  <c r="BF34" i="1"/>
  <c r="BF33" i="1"/>
  <c r="BF32" i="1"/>
  <c r="BF31" i="1"/>
  <c r="BF30" i="1"/>
  <c r="BF29" i="1"/>
  <c r="BF28" i="1"/>
  <c r="BF27" i="1"/>
  <c r="BF26" i="1"/>
  <c r="BF25" i="1"/>
  <c r="BF24" i="1"/>
  <c r="BF23" i="1"/>
  <c r="BF22" i="1"/>
  <c r="BF21" i="1"/>
  <c r="BF20" i="1"/>
  <c r="BD40" i="1"/>
  <c r="BD39" i="1"/>
  <c r="BD38" i="1"/>
  <c r="BD37" i="1"/>
  <c r="BD36" i="1"/>
  <c r="BD35" i="1"/>
  <c r="BD34" i="1"/>
  <c r="BD33" i="1"/>
  <c r="BD32" i="1"/>
  <c r="BD31" i="1"/>
  <c r="BD30" i="1"/>
  <c r="BD29" i="1"/>
  <c r="BD28" i="1"/>
  <c r="BD27" i="1"/>
  <c r="BD26" i="1"/>
  <c r="BD25" i="1"/>
  <c r="BD24" i="1"/>
  <c r="BD23" i="1"/>
  <c r="BD22" i="1"/>
  <c r="BD21" i="1"/>
  <c r="BD20" i="1"/>
  <c r="BA33" i="1"/>
  <c r="BA32" i="1"/>
  <c r="BA31" i="1"/>
  <c r="BA30" i="1"/>
  <c r="BA29" i="1"/>
  <c r="BA28" i="1"/>
  <c r="BA27" i="1"/>
  <c r="BA26" i="1"/>
  <c r="BA25" i="1"/>
  <c r="BA24" i="1"/>
  <c r="BA23" i="1"/>
  <c r="BA22" i="1"/>
  <c r="BA21" i="1"/>
  <c r="BA20" i="1"/>
  <c r="AY30" i="1"/>
  <c r="AY29" i="1"/>
  <c r="AY28" i="1"/>
  <c r="AY27" i="1"/>
  <c r="AY26" i="1"/>
  <c r="AY25" i="1"/>
  <c r="AY24" i="1"/>
  <c r="AY23" i="1"/>
  <c r="AY22" i="1"/>
  <c r="AY21" i="1"/>
  <c r="AY20" i="1"/>
  <c r="AW27" i="1"/>
  <c r="AW26" i="1"/>
  <c r="AW25" i="1"/>
  <c r="AW24" i="1"/>
  <c r="AW23" i="1"/>
  <c r="AW22" i="1"/>
  <c r="AW21" i="1"/>
  <c r="AW20" i="1"/>
  <c r="AU40" i="1"/>
  <c r="AU39" i="1"/>
  <c r="AU38" i="1"/>
  <c r="AU37" i="1"/>
  <c r="AU36" i="1"/>
  <c r="AU35" i="1"/>
  <c r="AU34" i="1"/>
  <c r="AU33" i="1"/>
  <c r="AU32" i="1"/>
  <c r="AU31" i="1"/>
  <c r="AU30" i="1"/>
  <c r="AU29" i="1"/>
  <c r="AU28" i="1"/>
  <c r="AU27" i="1"/>
  <c r="AU26" i="1"/>
  <c r="AU25" i="1"/>
  <c r="AU24" i="1"/>
  <c r="AU23" i="1"/>
  <c r="AU22" i="1"/>
  <c r="AU21" i="1"/>
  <c r="AU20" i="1"/>
  <c r="AS32" i="1"/>
  <c r="AS31" i="1"/>
  <c r="AS30" i="1"/>
  <c r="AS29" i="1"/>
  <c r="AS28" i="1"/>
  <c r="AS27" i="1"/>
  <c r="AS26" i="1"/>
  <c r="AS25" i="1"/>
  <c r="AS24" i="1"/>
  <c r="AS23" i="1"/>
  <c r="AS22" i="1"/>
  <c r="AS21" i="1"/>
  <c r="AS20" i="1"/>
  <c r="AQ29" i="1"/>
  <c r="AQ28" i="1"/>
  <c r="AQ27" i="1"/>
  <c r="AQ26" i="1"/>
  <c r="AQ25" i="1"/>
  <c r="AQ24" i="1"/>
  <c r="AQ23" i="1"/>
  <c r="AQ22" i="1"/>
  <c r="AQ21" i="1"/>
  <c r="AQ20" i="1"/>
  <c r="AO32" i="1"/>
  <c r="AO31" i="1"/>
  <c r="AO30" i="1"/>
  <c r="AO29" i="1"/>
  <c r="AO28" i="1"/>
  <c r="AO27" i="1"/>
  <c r="AO26" i="1"/>
  <c r="AO25" i="1"/>
  <c r="AO24" i="1"/>
  <c r="AO23" i="1"/>
  <c r="AO22" i="1"/>
  <c r="AO21" i="1"/>
  <c r="AO20" i="1"/>
  <c r="AL35" i="1"/>
  <c r="AL34" i="1"/>
  <c r="AL33" i="1"/>
  <c r="AL32" i="1"/>
  <c r="AL31" i="1"/>
  <c r="AL30" i="1"/>
  <c r="AL29" i="1"/>
  <c r="AL28" i="1"/>
  <c r="AL27" i="1"/>
  <c r="AL26" i="1"/>
  <c r="AL25" i="1"/>
  <c r="AL24" i="1"/>
  <c r="AL23" i="1"/>
  <c r="AL22" i="1"/>
  <c r="AL21" i="1"/>
  <c r="AL20" i="1"/>
  <c r="AJ39" i="1"/>
  <c r="AJ38" i="1"/>
  <c r="AJ37" i="1"/>
  <c r="AJ36" i="1"/>
  <c r="AJ35" i="1"/>
  <c r="AJ34" i="1"/>
  <c r="AJ33" i="1"/>
  <c r="AJ32" i="1"/>
  <c r="AJ31" i="1"/>
  <c r="AJ30" i="1"/>
  <c r="AJ29" i="1"/>
  <c r="AJ28" i="1"/>
  <c r="AJ27" i="1"/>
  <c r="AJ26" i="1"/>
  <c r="AJ25" i="1"/>
  <c r="AJ24" i="1"/>
  <c r="AJ23" i="1"/>
  <c r="AJ22" i="1"/>
  <c r="AJ21" i="1"/>
  <c r="AJ20" i="1"/>
  <c r="AH40" i="1"/>
  <c r="AH39" i="1"/>
  <c r="AH38" i="1"/>
  <c r="AH37" i="1"/>
  <c r="AH36" i="1"/>
  <c r="AH35" i="1"/>
  <c r="AH34" i="1"/>
  <c r="AH33" i="1"/>
  <c r="AH32" i="1"/>
  <c r="AH31" i="1"/>
  <c r="AH30" i="1"/>
  <c r="AH29" i="1"/>
  <c r="AH28" i="1"/>
  <c r="AH27" i="1"/>
  <c r="AH26" i="1"/>
  <c r="AH25" i="1"/>
  <c r="AH24" i="1"/>
  <c r="AH23" i="1"/>
  <c r="AH22" i="1"/>
  <c r="AH21" i="1"/>
  <c r="AH20" i="1"/>
  <c r="AE37" i="1"/>
  <c r="AE36" i="1"/>
  <c r="AE35" i="1"/>
  <c r="AE34" i="1"/>
  <c r="AE33" i="1"/>
  <c r="AE32" i="1"/>
  <c r="AE31" i="1"/>
  <c r="AE30" i="1"/>
  <c r="AE29" i="1"/>
  <c r="AE28" i="1"/>
  <c r="AE27" i="1"/>
  <c r="AE26" i="1"/>
  <c r="AE25" i="1"/>
  <c r="AE24" i="1"/>
  <c r="AE23" i="1"/>
  <c r="AE22" i="1"/>
  <c r="AE21" i="1"/>
  <c r="AE20" i="1"/>
  <c r="AC37" i="1"/>
  <c r="AC36" i="1"/>
  <c r="AC35" i="1"/>
  <c r="AC34" i="1"/>
  <c r="AC33" i="1"/>
  <c r="AC32" i="1"/>
  <c r="AC31" i="1"/>
  <c r="AC30" i="1"/>
  <c r="AC29" i="1"/>
  <c r="AC28" i="1"/>
  <c r="AC27" i="1"/>
  <c r="AC26" i="1"/>
  <c r="AC25" i="1"/>
  <c r="AC24" i="1"/>
  <c r="AC23" i="1"/>
  <c r="AC22" i="1"/>
  <c r="AC21" i="1"/>
  <c r="AC20" i="1"/>
  <c r="AA32" i="1"/>
  <c r="AA31" i="1"/>
  <c r="AA30" i="1"/>
  <c r="AA29" i="1"/>
  <c r="AA28" i="1"/>
  <c r="AA27" i="1"/>
  <c r="AA26" i="1"/>
  <c r="AA25" i="1"/>
  <c r="AA24" i="1"/>
  <c r="AA23" i="1"/>
  <c r="AA22" i="1"/>
  <c r="AA21" i="1"/>
  <c r="AA20" i="1"/>
  <c r="Y33" i="1"/>
  <c r="Y32" i="1"/>
  <c r="Y31" i="1"/>
  <c r="Y28" i="1"/>
  <c r="Y29" i="1"/>
  <c r="Y27" i="1"/>
  <c r="Y26" i="1"/>
  <c r="Y25" i="1"/>
  <c r="Y24" i="1"/>
  <c r="Y23" i="1"/>
  <c r="Y22" i="1"/>
  <c r="Y21" i="1"/>
  <c r="Y20" i="1"/>
  <c r="W33" i="1"/>
  <c r="W32" i="1"/>
  <c r="W31" i="1"/>
  <c r="W30" i="1"/>
  <c r="W29" i="1"/>
  <c r="W28" i="1"/>
  <c r="W27" i="1"/>
  <c r="W26" i="1"/>
  <c r="W25" i="1"/>
  <c r="W24" i="1"/>
  <c r="W23" i="1"/>
  <c r="W22" i="1"/>
  <c r="W21" i="1"/>
  <c r="W20" i="1"/>
  <c r="U35" i="1"/>
  <c r="U34" i="1"/>
  <c r="U33" i="1"/>
  <c r="U32" i="1"/>
  <c r="U31" i="1"/>
  <c r="U30" i="1"/>
  <c r="U29" i="1"/>
  <c r="U28" i="1"/>
  <c r="U27" i="1"/>
  <c r="U26" i="1"/>
  <c r="U25" i="1"/>
  <c r="U24" i="1"/>
  <c r="U23" i="1"/>
  <c r="U22" i="1"/>
  <c r="U21" i="1"/>
  <c r="U20" i="1"/>
  <c r="S36" i="1"/>
  <c r="S35" i="1"/>
  <c r="S34" i="1"/>
  <c r="S33" i="1"/>
  <c r="S32" i="1"/>
  <c r="S31" i="1"/>
  <c r="S30" i="1"/>
  <c r="S29" i="1"/>
  <c r="S28" i="1"/>
  <c r="S27" i="1"/>
  <c r="S26" i="1"/>
  <c r="S25" i="1"/>
  <c r="S24" i="1"/>
  <c r="S23" i="1"/>
  <c r="S22" i="1"/>
  <c r="S21" i="1"/>
  <c r="S20" i="1"/>
  <c r="Q36" i="1"/>
  <c r="Q35" i="1"/>
  <c r="Q34" i="1"/>
  <c r="Q33" i="1"/>
  <c r="Q32" i="1"/>
  <c r="Q31" i="1"/>
  <c r="Q30" i="1"/>
  <c r="Q29" i="1"/>
  <c r="Q28" i="1"/>
  <c r="Q27" i="1"/>
  <c r="Q26" i="1"/>
  <c r="Q25" i="1"/>
  <c r="Q24" i="1"/>
  <c r="Q23" i="1"/>
  <c r="Q22" i="1"/>
  <c r="Q21" i="1"/>
  <c r="Q20" i="1"/>
  <c r="O33" i="1"/>
  <c r="O32" i="1"/>
  <c r="O31" i="1"/>
  <c r="O30" i="1"/>
  <c r="O29" i="1"/>
  <c r="O28" i="1"/>
  <c r="O27" i="1"/>
  <c r="O26" i="1"/>
  <c r="O25" i="1"/>
  <c r="O24" i="1"/>
  <c r="O23" i="1"/>
  <c r="O22" i="1"/>
  <c r="O21" i="1"/>
  <c r="O20" i="1"/>
  <c r="M38" i="1"/>
  <c r="M37" i="1"/>
  <c r="M36" i="1"/>
  <c r="M35" i="1"/>
  <c r="M34" i="1"/>
  <c r="M33" i="1"/>
  <c r="M32" i="1"/>
  <c r="M31" i="1"/>
  <c r="M30" i="1"/>
  <c r="M29" i="1"/>
  <c r="M28" i="1"/>
  <c r="M27" i="1"/>
  <c r="M26" i="1"/>
  <c r="M25" i="1"/>
  <c r="M24" i="1"/>
  <c r="M23" i="1"/>
  <c r="M22" i="1"/>
  <c r="M21" i="1"/>
  <c r="M20" i="1"/>
  <c r="K37" i="1"/>
  <c r="K36" i="1"/>
  <c r="K35" i="1"/>
  <c r="K34" i="1"/>
  <c r="K33" i="1"/>
  <c r="K32" i="1"/>
  <c r="K31" i="1"/>
  <c r="K30" i="1"/>
  <c r="K29" i="1"/>
  <c r="K28" i="1"/>
  <c r="K27" i="1"/>
  <c r="K26" i="1"/>
  <c r="K25" i="1"/>
  <c r="K24" i="1"/>
  <c r="K23" i="1"/>
  <c r="K22" i="1"/>
  <c r="K21" i="1"/>
  <c r="K20" i="1"/>
  <c r="I34" i="1"/>
  <c r="I33" i="1"/>
  <c r="I32" i="1"/>
  <c r="I31" i="1"/>
  <c r="I30" i="1"/>
  <c r="I29" i="1"/>
  <c r="I28" i="1"/>
  <c r="I27" i="1"/>
  <c r="I26" i="1"/>
  <c r="I25" i="1"/>
  <c r="I24" i="1"/>
  <c r="I23" i="1"/>
  <c r="I22" i="1"/>
  <c r="I21" i="1"/>
  <c r="I20" i="1"/>
  <c r="Y46" i="1"/>
  <c r="U104" i="2"/>
  <c r="C25" i="4" l="1"/>
  <c r="C21" i="4"/>
  <c r="C19" i="4"/>
  <c r="C20" i="4"/>
  <c r="Y49" i="1"/>
  <c r="B312" i="2" s="1"/>
  <c r="U45" i="1"/>
  <c r="B279" i="2" s="1"/>
  <c r="O46" i="1"/>
  <c r="B255" i="2" s="1"/>
  <c r="C28" i="4" a="1"/>
  <c r="BD41" i="1" l="1"/>
  <c r="BP50" i="1"/>
  <c r="C28" i="4"/>
  <c r="AE45" i="1" l="1"/>
  <c r="B295" i="2" s="1"/>
  <c r="AE44" i="1"/>
  <c r="B294" i="2" s="1"/>
  <c r="AC45" i="1"/>
  <c r="B290" i="2" s="1"/>
  <c r="AC44" i="1"/>
  <c r="B289" i="2" s="1"/>
  <c r="I49" i="1"/>
  <c r="B233" i="2" s="1"/>
  <c r="Y30" i="1"/>
  <c r="U16" i="8"/>
  <c r="C27" i="4" s="1"/>
  <c r="U12" i="8"/>
  <c r="C22" i="4" s="1"/>
  <c r="L6" i="2"/>
  <c r="M61" i="2" s="1"/>
  <c r="M132" i="2" s="1"/>
  <c r="AC11" i="8"/>
  <c r="AA8" i="8"/>
  <c r="C23" i="4" s="1"/>
  <c r="AA7" i="8"/>
  <c r="Y11" i="8"/>
  <c r="X11" i="8"/>
  <c r="X10" i="8"/>
  <c r="X9" i="8"/>
  <c r="X8" i="8"/>
  <c r="X7" i="8"/>
  <c r="X6" i="8"/>
  <c r="X5" i="8"/>
  <c r="X4" i="8"/>
  <c r="X3" i="8"/>
  <c r="X2" i="8"/>
  <c r="X1" i="8"/>
  <c r="W8" i="8"/>
  <c r="W9" i="8" s="1"/>
  <c r="C26" i="4" s="1"/>
  <c r="U6" i="8"/>
  <c r="C24" i="4" s="1"/>
  <c r="Q45" i="1"/>
  <c r="B269" i="2" s="1"/>
  <c r="I48" i="1"/>
  <c r="B232" i="2" s="1"/>
  <c r="AA50" i="1"/>
  <c r="B322" i="2" s="1"/>
  <c r="AA49" i="1"/>
  <c r="B321" i="2" s="1"/>
  <c r="AA48" i="1"/>
  <c r="B320" i="2" s="1"/>
  <c r="AA47" i="1"/>
  <c r="B319" i="2" s="1"/>
  <c r="AA46" i="1"/>
  <c r="B318" i="2" s="1"/>
  <c r="AA45" i="1"/>
  <c r="B317" i="2" s="1"/>
  <c r="AA44" i="1"/>
  <c r="B315" i="2" s="1"/>
  <c r="Y48" i="1"/>
  <c r="B311" i="2" s="1"/>
  <c r="Y47" i="1"/>
  <c r="B309" i="2" s="1"/>
  <c r="B308" i="2"/>
  <c r="Y45" i="1"/>
  <c r="B307" i="2" s="1"/>
  <c r="Y44" i="1"/>
  <c r="B306" i="2" s="1"/>
  <c r="W49" i="1"/>
  <c r="B303" i="2" s="1"/>
  <c r="W48" i="1"/>
  <c r="B302" i="2" s="1"/>
  <c r="W47" i="1"/>
  <c r="B301" i="2" s="1"/>
  <c r="W46" i="1"/>
  <c r="B300" i="2" s="1"/>
  <c r="W45" i="1"/>
  <c r="B299" i="2" s="1"/>
  <c r="W44" i="1"/>
  <c r="B298" i="2" s="1"/>
  <c r="U52" i="1"/>
  <c r="B286" i="2" s="1"/>
  <c r="U51" i="1"/>
  <c r="B285" i="2" s="1"/>
  <c r="U50" i="1"/>
  <c r="B284" i="2" s="1"/>
  <c r="U49" i="1"/>
  <c r="B283" i="2" s="1"/>
  <c r="U48" i="1"/>
  <c r="B282" i="2" s="1"/>
  <c r="U47" i="1"/>
  <c r="B281" i="2" s="1"/>
  <c r="U46" i="1"/>
  <c r="B280" i="2" s="1"/>
  <c r="U44" i="1"/>
  <c r="B278" i="2" s="1"/>
  <c r="S47" i="1"/>
  <c r="B275" i="2" s="1"/>
  <c r="S44" i="1"/>
  <c r="B272" i="2" s="1"/>
  <c r="S46" i="1"/>
  <c r="B274" i="2" s="1"/>
  <c r="S45" i="1"/>
  <c r="B273" i="2" s="1"/>
  <c r="Q44" i="1"/>
  <c r="B268" i="2" s="1"/>
  <c r="O55" i="1"/>
  <c r="B265" i="2" s="1"/>
  <c r="O54" i="1"/>
  <c r="B264" i="2" s="1"/>
  <c r="O53" i="1"/>
  <c r="B263" i="2" s="1"/>
  <c r="O52" i="1"/>
  <c r="B262" i="2" s="1"/>
  <c r="O51" i="1"/>
  <c r="B261" i="2" s="1"/>
  <c r="O50" i="1"/>
  <c r="B260" i="2" s="1"/>
  <c r="O49" i="1"/>
  <c r="B259" i="2" s="1"/>
  <c r="O48" i="1"/>
  <c r="B258" i="2" s="1"/>
  <c r="O47" i="1"/>
  <c r="B257" i="2" s="1"/>
  <c r="O45" i="1"/>
  <c r="B254" i="2" s="1"/>
  <c r="O44" i="1"/>
  <c r="B253" i="2" s="1"/>
  <c r="M51" i="1"/>
  <c r="B250" i="2" s="1"/>
  <c r="M50" i="1"/>
  <c r="B249" i="2" s="1"/>
  <c r="M49" i="1"/>
  <c r="B248" i="2" s="1"/>
  <c r="M48" i="1"/>
  <c r="B246" i="2" s="1"/>
  <c r="M47" i="1"/>
  <c r="B245" i="2" s="1"/>
  <c r="M46" i="1"/>
  <c r="B244" i="2" s="1"/>
  <c r="M45" i="1"/>
  <c r="B243" i="2" s="1"/>
  <c r="M44" i="1"/>
  <c r="B242" i="2" s="1"/>
  <c r="K47" i="1"/>
  <c r="B239" i="2" s="1"/>
  <c r="K46" i="1"/>
  <c r="B238" i="2" s="1"/>
  <c r="K45" i="1"/>
  <c r="B237" i="2" s="1"/>
  <c r="K44" i="1"/>
  <c r="B236" i="2" s="1"/>
  <c r="I47" i="1"/>
  <c r="B231" i="2" s="1"/>
  <c r="I46" i="1"/>
  <c r="B230" i="2" s="1"/>
  <c r="I45" i="1"/>
  <c r="B229" i="2" s="1"/>
  <c r="I44" i="1"/>
  <c r="B228" i="2" s="1"/>
  <c r="P61" i="2"/>
  <c r="P132" i="2" s="1"/>
  <c r="B61" i="2"/>
  <c r="B132" i="2" s="1"/>
  <c r="U98" i="2"/>
  <c r="U153" i="2"/>
  <c r="U154" i="2"/>
  <c r="U157" i="2"/>
  <c r="U158" i="2"/>
  <c r="U159" i="2"/>
  <c r="U128" i="2"/>
  <c r="U129" i="2"/>
  <c r="U132" i="2"/>
  <c r="U133" i="2"/>
  <c r="U134" i="2"/>
  <c r="U137" i="2"/>
  <c r="U138" i="2"/>
  <c r="U139" i="2"/>
  <c r="U142" i="2"/>
  <c r="U143" i="2"/>
  <c r="U144" i="2"/>
  <c r="U147" i="2"/>
  <c r="U148" i="2"/>
  <c r="U149" i="2"/>
  <c r="U152" i="2"/>
  <c r="U127" i="2"/>
  <c r="U89" i="2"/>
  <c r="U90" i="2"/>
  <c r="U93" i="2"/>
  <c r="U94" i="2"/>
  <c r="U95" i="2"/>
  <c r="U99" i="2"/>
  <c r="U100" i="2"/>
  <c r="U103" i="2"/>
  <c r="U105" i="2"/>
  <c r="U108" i="2"/>
  <c r="U109" i="2"/>
  <c r="U110" i="2"/>
  <c r="U113" i="2"/>
  <c r="U114" i="2"/>
  <c r="U115" i="2"/>
  <c r="U118" i="2"/>
  <c r="U119" i="2"/>
  <c r="U120" i="2"/>
  <c r="U123" i="2"/>
  <c r="U124" i="2"/>
  <c r="U125" i="2"/>
  <c r="U88" i="2"/>
  <c r="AE142" i="2" l="1"/>
  <c r="S142" i="2"/>
  <c r="Y13" i="8"/>
  <c r="Y12" i="8"/>
  <c r="B267" i="2" a="1"/>
  <c r="B267" i="2" s="1"/>
  <c r="B288" i="2" a="1"/>
  <c r="B288" i="2" s="1"/>
  <c r="B314" i="2" a="1"/>
  <c r="B314" i="2" s="1"/>
  <c r="B235" i="2" a="1"/>
  <c r="B235" i="2" s="1"/>
  <c r="B252" i="2" a="1"/>
  <c r="B252" i="2" s="1"/>
  <c r="B305" i="2" a="1"/>
  <c r="B305" i="2" s="1"/>
  <c r="B297" i="2" a="1"/>
  <c r="B297" i="2" s="1"/>
  <c r="B271" i="2" a="1"/>
  <c r="B271" i="2" s="1"/>
  <c r="B277" i="2" a="1"/>
  <c r="B277" i="2" s="1"/>
  <c r="B293" i="2" a="1"/>
  <c r="B293" i="2" s="1"/>
  <c r="B241" i="2" a="1"/>
  <c r="B241" i="2" s="1"/>
  <c r="B227" i="2" a="1"/>
  <c r="B227" i="2" s="1"/>
  <c r="BA34" i="1"/>
  <c r="CL29" i="1"/>
  <c r="EK30" i="1"/>
  <c r="AD74" i="6"/>
  <c r="AD76" i="6"/>
  <c r="AD77" i="6"/>
  <c r="AD78" i="6" s="1"/>
  <c r="AD80" i="6"/>
  <c r="AD81" i="6" s="1"/>
  <c r="AD83" i="6"/>
  <c r="AD84" i="6" s="1"/>
  <c r="AD86" i="6"/>
  <c r="AD87" i="6"/>
  <c r="AD89" i="6"/>
  <c r="AD90" i="6" s="1"/>
  <c r="AD92" i="6"/>
  <c r="AD94" i="6"/>
  <c r="AD96" i="6"/>
  <c r="AD98" i="6"/>
  <c r="AD100" i="6"/>
  <c r="AD101" i="6"/>
  <c r="AD103" i="6"/>
  <c r="AD105" i="6"/>
  <c r="AD107" i="6"/>
  <c r="AD109" i="6"/>
  <c r="AD110" i="6" s="1"/>
  <c r="AD111" i="6" s="1"/>
  <c r="AD112" i="6" s="1"/>
  <c r="AD113" i="6" s="1"/>
  <c r="AD114" i="6" s="1"/>
  <c r="AD115" i="6" s="1"/>
  <c r="AD116" i="6" s="1"/>
  <c r="AD117" i="6" s="1"/>
  <c r="AD118" i="6" s="1"/>
  <c r="AD119" i="6" s="1"/>
  <c r="AD120" i="6" s="1"/>
  <c r="AD121" i="6" s="1"/>
  <c r="B142" i="2" l="1"/>
  <c r="BX29" i="1"/>
  <c r="G88" i="2" s="1"/>
  <c r="DN29" i="1"/>
  <c r="G118" i="2" s="1"/>
  <c r="CW29" i="1"/>
  <c r="G105" i="2" s="1"/>
  <c r="CB29" i="1"/>
  <c r="G90" i="2" s="1"/>
  <c r="ED27" i="1"/>
  <c r="O89" i="2" s="1"/>
  <c r="EY29" i="1"/>
  <c r="O104" i="2" s="1"/>
  <c r="EM29" i="1"/>
  <c r="O95" i="2" s="1"/>
  <c r="CS29" i="1"/>
  <c r="G103" i="2" s="1"/>
  <c r="DW30" i="1"/>
  <c r="G124" i="2" s="1"/>
  <c r="DK28" i="1"/>
  <c r="G115" i="2" s="1"/>
  <c r="DP30" i="1"/>
  <c r="G119" i="2" s="1"/>
  <c r="CG29" i="1"/>
  <c r="G94" i="2" s="1"/>
  <c r="EB31" i="1"/>
  <c r="O88" i="2" s="1"/>
  <c r="DI29" i="1"/>
  <c r="G114" i="2" s="1"/>
  <c r="DB30" i="1"/>
  <c r="G109" i="2" s="1"/>
  <c r="ER31" i="1"/>
  <c r="O99" i="2" s="1"/>
  <c r="FF31" i="1"/>
  <c r="O109" i="2" s="1"/>
  <c r="FR29" i="1"/>
  <c r="O118" i="2" s="1"/>
  <c r="FV30" i="1"/>
  <c r="O120" i="2" s="1"/>
  <c r="DR28" i="1"/>
  <c r="G120" i="2" s="1"/>
  <c r="EK32" i="1"/>
  <c r="O94" i="2" s="1"/>
  <c r="FK28" i="1"/>
  <c r="O113" i="2" s="1"/>
  <c r="EF27" i="1"/>
  <c r="O90" i="2" s="1"/>
  <c r="FD29" i="1"/>
  <c r="O108" i="2" s="1"/>
  <c r="CN29" i="1"/>
  <c r="G99" i="2" s="1"/>
  <c r="G98" i="2"/>
  <c r="EW32" i="1"/>
  <c r="O103" i="2" s="1"/>
  <c r="FO30" i="1"/>
  <c r="O115" i="2" s="1"/>
  <c r="CI29" i="1"/>
  <c r="G95" i="2" s="1"/>
  <c r="CP29" i="1"/>
  <c r="G100" i="2" s="1"/>
  <c r="EP29" i="1"/>
  <c r="O98" i="2" s="1"/>
  <c r="FH31" i="1"/>
  <c r="O110" i="2" s="1"/>
  <c r="BZ29" i="1"/>
  <c r="G89" i="2" s="1"/>
  <c r="CU27" i="1"/>
  <c r="G104" i="2" s="1"/>
  <c r="CZ27" i="1"/>
  <c r="G108" i="2" s="1"/>
  <c r="FT27" i="1"/>
  <c r="O119" i="2" s="1"/>
  <c r="DD32" i="1"/>
  <c r="G110" i="2" s="1"/>
  <c r="DU28" i="1"/>
  <c r="G123" i="2" s="1"/>
  <c r="CE28" i="1"/>
  <c r="G93" i="2" s="1"/>
  <c r="FA29" i="1"/>
  <c r="O105" i="2" s="1"/>
  <c r="FM31" i="1"/>
  <c r="O114" i="2" s="1"/>
  <c r="DG28" i="1"/>
  <c r="G113" i="2" s="1"/>
  <c r="DY30" i="1"/>
  <c r="G125" i="2" s="1"/>
  <c r="ET30" i="1"/>
  <c r="O100" i="2" s="1"/>
  <c r="EI28" i="1"/>
  <c r="O93" i="2" s="1"/>
  <c r="H125" i="2"/>
  <c r="H113" i="2"/>
  <c r="I89" i="2"/>
  <c r="Q115" i="2"/>
  <c r="I109" i="2"/>
  <c r="Q94" i="2"/>
  <c r="Q90" i="2"/>
  <c r="Q110" i="2"/>
  <c r="I115" i="2"/>
  <c r="I105" i="2"/>
  <c r="I103" i="2"/>
  <c r="I95" i="2"/>
  <c r="P98" i="2"/>
  <c r="Q93" i="2"/>
  <c r="I108" i="2"/>
  <c r="P114" i="2"/>
  <c r="P119" i="2"/>
  <c r="H103" i="2"/>
  <c r="P88" i="2"/>
  <c r="P89" i="2"/>
  <c r="H88" i="2"/>
  <c r="Q114" i="2"/>
  <c r="Q118" i="2"/>
  <c r="H119" i="2"/>
  <c r="P90" i="2"/>
  <c r="Q89" i="2"/>
  <c r="H114" i="2"/>
  <c r="Q103" i="2"/>
  <c r="H104" i="2"/>
  <c r="Q109" i="2"/>
  <c r="Q98" i="2"/>
  <c r="I113" i="2"/>
  <c r="I120" i="2"/>
  <c r="P99" i="2"/>
  <c r="P110" i="2"/>
  <c r="P93" i="2"/>
  <c r="P100" i="2"/>
  <c r="P105" i="2"/>
  <c r="Q88" i="2"/>
  <c r="I90" i="2"/>
  <c r="I100" i="2"/>
  <c r="P103" i="2"/>
  <c r="Q120" i="2"/>
  <c r="Q95" i="2"/>
  <c r="Q105" i="2"/>
  <c r="H118" i="2"/>
  <c r="P115" i="2"/>
  <c r="H93" i="2"/>
  <c r="I98" i="2"/>
  <c r="H99" i="2"/>
  <c r="P94" i="2"/>
  <c r="P108" i="2"/>
  <c r="H100" i="2"/>
  <c r="I93" i="2"/>
  <c r="H98" i="2"/>
  <c r="P95" i="2"/>
  <c r="H89" i="2"/>
  <c r="I99" i="2"/>
  <c r="H108" i="2"/>
  <c r="I124" i="2"/>
  <c r="H95" i="2"/>
  <c r="I123" i="2"/>
  <c r="H94" i="2"/>
  <c r="Q119" i="2"/>
  <c r="H109" i="2"/>
  <c r="Q113" i="2"/>
  <c r="H110" i="2"/>
  <c r="I94" i="2"/>
  <c r="I125" i="2"/>
  <c r="H120" i="2"/>
  <c r="P120" i="2"/>
  <c r="I119" i="2"/>
  <c r="H90" i="2"/>
  <c r="H124" i="2"/>
  <c r="Q108" i="2"/>
  <c r="I118" i="2"/>
  <c r="I110" i="2"/>
  <c r="H115" i="2"/>
  <c r="P118" i="2"/>
  <c r="P109" i="2"/>
  <c r="H123" i="2"/>
  <c r="I88" i="2"/>
  <c r="I114" i="2"/>
  <c r="H105" i="2"/>
  <c r="P113" i="2"/>
  <c r="I104" i="2"/>
  <c r="Q104" i="2"/>
  <c r="P104" i="2"/>
  <c r="Q100" i="2"/>
  <c r="Q99" i="2"/>
  <c r="AQ30" i="1" l="1"/>
  <c r="G48" i="2" s="1"/>
  <c r="D28" i="3" s="1"/>
  <c r="Y88" i="2"/>
  <c r="X88" i="2"/>
  <c r="W88" i="2"/>
  <c r="Y118" i="2"/>
  <c r="X118" i="2"/>
  <c r="W118" i="2"/>
  <c r="Y90" i="2"/>
  <c r="X90" i="2"/>
  <c r="X105" i="2"/>
  <c r="Y105" i="2"/>
  <c r="W90" i="2"/>
  <c r="W105" i="2"/>
  <c r="Y142" i="2"/>
  <c r="X143" i="2"/>
  <c r="Y143" i="2"/>
  <c r="Y128" i="2"/>
  <c r="X128" i="2"/>
  <c r="W143" i="2"/>
  <c r="W128" i="2"/>
  <c r="Y127" i="2"/>
  <c r="X127" i="2"/>
  <c r="X94" i="2"/>
  <c r="Y94" i="2"/>
  <c r="X119" i="2"/>
  <c r="Y119" i="2"/>
  <c r="Y115" i="2"/>
  <c r="X115" i="2"/>
  <c r="Y124" i="2"/>
  <c r="X124" i="2"/>
  <c r="Y103" i="2"/>
  <c r="X103" i="2"/>
  <c r="X134" i="2"/>
  <c r="Y134" i="2"/>
  <c r="W127" i="2"/>
  <c r="W94" i="2"/>
  <c r="W119" i="2"/>
  <c r="W115" i="2"/>
  <c r="W124" i="2"/>
  <c r="W103" i="2"/>
  <c r="W134" i="2"/>
  <c r="Y98" i="2"/>
  <c r="X98" i="2"/>
  <c r="X95" i="2"/>
  <c r="Y95" i="2"/>
  <c r="X139" i="2"/>
  <c r="Y139" i="2"/>
  <c r="Y154" i="2"/>
  <c r="X154" i="2"/>
  <c r="X144" i="2"/>
  <c r="Y144" i="2"/>
  <c r="Y147" i="2"/>
  <c r="X147" i="2"/>
  <c r="X93" i="2"/>
  <c r="Y93" i="2"/>
  <c r="X123" i="2"/>
  <c r="Y123" i="2"/>
  <c r="Y152" i="2"/>
  <c r="X152" i="2"/>
  <c r="Y110" i="2"/>
  <c r="X110" i="2"/>
  <c r="X133" i="2"/>
  <c r="Y133" i="2"/>
  <c r="X129" i="2"/>
  <c r="Y129" i="2"/>
  <c r="X158" i="2"/>
  <c r="Y158" i="2"/>
  <c r="X120" i="2"/>
  <c r="Y120" i="2"/>
  <c r="Y125" i="2"/>
  <c r="X125" i="2"/>
  <c r="X108" i="2"/>
  <c r="Y108" i="2"/>
  <c r="X159" i="2"/>
  <c r="Y159" i="2"/>
  <c r="Y99" i="2"/>
  <c r="X99" i="2"/>
  <c r="X104" i="2"/>
  <c r="Y104" i="2"/>
  <c r="Y157" i="2"/>
  <c r="X157" i="2"/>
  <c r="Y89" i="2"/>
  <c r="X89" i="2"/>
  <c r="X148" i="2"/>
  <c r="Y148" i="2"/>
  <c r="X113" i="2"/>
  <c r="Y113" i="2"/>
  <c r="X149" i="2"/>
  <c r="Y149" i="2"/>
  <c r="Y138" i="2"/>
  <c r="X138" i="2"/>
  <c r="Y137" i="2"/>
  <c r="X137" i="2"/>
  <c r="X109" i="2"/>
  <c r="Y109" i="2"/>
  <c r="X142" i="2"/>
  <c r="X153" i="2"/>
  <c r="Y153" i="2"/>
  <c r="X100" i="2"/>
  <c r="Y100" i="2"/>
  <c r="X114" i="2"/>
  <c r="Y114" i="2"/>
  <c r="W98" i="2"/>
  <c r="W95" i="2"/>
  <c r="W139" i="2"/>
  <c r="W154" i="2"/>
  <c r="W144" i="2"/>
  <c r="W147" i="2"/>
  <c r="W93" i="2"/>
  <c r="W123" i="2"/>
  <c r="W152" i="2"/>
  <c r="W110" i="2"/>
  <c r="W133" i="2"/>
  <c r="W129" i="2"/>
  <c r="W158" i="2"/>
  <c r="W120" i="2"/>
  <c r="W125" i="2"/>
  <c r="W108" i="2"/>
  <c r="W159" i="2"/>
  <c r="W99" i="2"/>
  <c r="W104" i="2"/>
  <c r="W157" i="2"/>
  <c r="W89" i="2"/>
  <c r="W148" i="2"/>
  <c r="W113" i="2"/>
  <c r="W149" i="2"/>
  <c r="W138" i="2"/>
  <c r="W137" i="2"/>
  <c r="W109" i="2"/>
  <c r="W142" i="2"/>
  <c r="W153" i="2"/>
  <c r="W100" i="2"/>
  <c r="W114" i="2"/>
  <c r="Y132" i="2"/>
  <c r="X132" i="2"/>
  <c r="W132" i="2"/>
  <c r="G53" i="2"/>
  <c r="D33" i="3" s="1"/>
  <c r="BS23" i="1"/>
  <c r="P13" i="2" s="1"/>
  <c r="AY31" i="1"/>
  <c r="G52" i="2" s="1"/>
  <c r="D32" i="3" s="1"/>
  <c r="AW28" i="1"/>
  <c r="G51" i="2" s="1"/>
  <c r="D31" i="3" s="1"/>
  <c r="G55" i="2"/>
  <c r="D35" i="3" s="1"/>
  <c r="BH34" i="1"/>
  <c r="G57" i="2" s="1"/>
  <c r="D37" i="3" s="1"/>
  <c r="AU41" i="1"/>
  <c r="G50" i="2" s="1"/>
  <c r="D30" i="3" s="1"/>
  <c r="BN44" i="1"/>
  <c r="H21" i="2" s="1"/>
  <c r="AO33" i="1"/>
  <c r="G47" i="2" s="1"/>
  <c r="D27" i="3" s="1"/>
  <c r="AS33" i="1"/>
  <c r="G49" i="2" s="1"/>
  <c r="D29" i="3" s="1"/>
  <c r="BU45" i="1"/>
  <c r="P15" i="2" s="1"/>
  <c r="H22" i="2"/>
  <c r="BF37" i="1"/>
  <c r="G56" i="2" s="1"/>
  <c r="D36" i="3" s="1"/>
  <c r="BL141" i="1"/>
  <c r="H20" i="2" s="1"/>
  <c r="AL36" i="1"/>
  <c r="G42" i="2" s="1"/>
  <c r="D25" i="3" s="1"/>
  <c r="AH41" i="1"/>
  <c r="G40" i="2" s="1"/>
  <c r="D23" i="3" s="1"/>
  <c r="AJ40" i="1"/>
  <c r="G41" i="2" s="1"/>
  <c r="D24" i="3" s="1"/>
  <c r="E27" i="3"/>
  <c r="I21" i="2"/>
  <c r="E32" i="3"/>
  <c r="E25" i="3"/>
  <c r="E31" i="3"/>
  <c r="E24" i="3"/>
  <c r="E37" i="3"/>
  <c r="E33" i="3"/>
  <c r="I22" i="2"/>
  <c r="E29" i="3"/>
  <c r="E36" i="3"/>
  <c r="E28" i="3"/>
  <c r="I20" i="2"/>
  <c r="E35" i="3"/>
  <c r="E30" i="3"/>
  <c r="E23" i="3"/>
  <c r="W18" i="2" l="1"/>
  <c r="W17" i="2"/>
  <c r="AR146" i="2"/>
  <c r="AR145" i="2"/>
  <c r="AD159" i="2"/>
  <c r="AD158" i="2"/>
  <c r="AD157" i="2"/>
  <c r="AD154" i="2"/>
  <c r="AD153" i="2"/>
  <c r="AD152" i="2"/>
  <c r="AD149" i="2"/>
  <c r="AD148" i="2"/>
  <c r="AD147" i="2"/>
  <c r="AD144" i="2"/>
  <c r="AD143" i="2"/>
  <c r="AD142" i="2"/>
  <c r="AD139" i="2"/>
  <c r="AD138" i="2"/>
  <c r="AD137" i="2"/>
  <c r="AD134" i="2"/>
  <c r="AD133" i="2"/>
  <c r="AD132" i="2"/>
  <c r="AD129" i="2"/>
  <c r="AD128" i="2"/>
  <c r="AD127" i="2"/>
  <c r="AD125" i="2"/>
  <c r="AD124" i="2"/>
  <c r="AD123" i="2"/>
  <c r="AD120" i="2"/>
  <c r="AD119" i="2"/>
  <c r="AD118" i="2"/>
  <c r="AD115" i="2"/>
  <c r="AD114" i="2"/>
  <c r="AD113" i="2"/>
  <c r="AD110" i="2"/>
  <c r="AD109" i="2"/>
  <c r="AD108" i="2"/>
  <c r="AD105" i="2"/>
  <c r="AD104" i="2"/>
  <c r="AD103" i="2"/>
  <c r="AD100" i="2"/>
  <c r="AD99" i="2"/>
  <c r="AD98" i="2"/>
  <c r="AD95" i="2"/>
  <c r="AD94" i="2"/>
  <c r="AD93" i="2"/>
  <c r="AD90" i="2"/>
  <c r="AD89" i="2"/>
  <c r="AD88" i="2"/>
  <c r="V22" i="2"/>
  <c r="V21" i="2"/>
  <c r="V20" i="2"/>
  <c r="D3" i="3"/>
  <c r="F31" i="3" s="1"/>
  <c r="H31" i="3" s="1"/>
  <c r="I51" i="2" s="1"/>
  <c r="D5" i="3"/>
  <c r="E5" i="3" s="1"/>
  <c r="D4" i="3"/>
  <c r="E4" i="3" s="1"/>
  <c r="V4" i="3"/>
  <c r="W4" i="3" s="1"/>
  <c r="V3" i="3"/>
  <c r="W3" i="3" s="1"/>
  <c r="B7" i="2"/>
  <c r="B62" i="2" s="1"/>
  <c r="W19" i="2" l="1"/>
  <c r="F28" i="3"/>
  <c r="H28" i="3" s="1"/>
  <c r="I48" i="2" s="1"/>
  <c r="F18" i="3"/>
  <c r="F17" i="3"/>
  <c r="F13" i="3"/>
  <c r="F23" i="3"/>
  <c r="F30" i="3"/>
  <c r="H30" i="3" s="1"/>
  <c r="I50" i="2" s="1"/>
  <c r="F35" i="3"/>
  <c r="H35" i="3" s="1"/>
  <c r="I55" i="2" s="1"/>
  <c r="F15" i="3"/>
  <c r="F12" i="3"/>
  <c r="F25" i="3"/>
  <c r="H25" i="3" s="1"/>
  <c r="I42" i="2" s="1"/>
  <c r="F27" i="3"/>
  <c r="H27" i="3" s="1"/>
  <c r="I47" i="2" s="1"/>
  <c r="F16" i="3"/>
  <c r="F14" i="3"/>
  <c r="E3" i="3"/>
  <c r="B133" i="2"/>
  <c r="F33" i="3"/>
  <c r="H33" i="3" s="1"/>
  <c r="I53" i="2" s="1"/>
  <c r="F32" i="3"/>
  <c r="H32" i="3" s="1"/>
  <c r="I52" i="2" s="1"/>
  <c r="F37" i="3"/>
  <c r="H37" i="3" s="1"/>
  <c r="I57" i="2" s="1"/>
  <c r="F11" i="3"/>
  <c r="W5" i="3"/>
  <c r="F29" i="3"/>
  <c r="H29" i="3" s="1"/>
  <c r="I49" i="2" s="1"/>
  <c r="F21" i="3"/>
  <c r="F10" i="3"/>
  <c r="F36" i="3"/>
  <c r="H36" i="3" s="1"/>
  <c r="I56" i="2" s="1"/>
  <c r="F20" i="3"/>
  <c r="F19" i="3"/>
  <c r="F24" i="3"/>
  <c r="K38" i="1"/>
  <c r="G28" i="2" s="1"/>
  <c r="D11" i="3" s="1"/>
  <c r="AE38" i="1"/>
  <c r="G38" i="2" s="1"/>
  <c r="D21" i="3" s="1"/>
  <c r="AA33" i="1"/>
  <c r="G36" i="2" s="1"/>
  <c r="D19" i="3" s="1"/>
  <c r="M39" i="1"/>
  <c r="G29" i="2" s="1"/>
  <c r="D12" i="3" s="1"/>
  <c r="Y34" i="1"/>
  <c r="G35" i="2" s="1"/>
  <c r="D18" i="3" s="1"/>
  <c r="W34" i="1"/>
  <c r="G34" i="2" s="1"/>
  <c r="D17" i="3" s="1"/>
  <c r="S37" i="1"/>
  <c r="G32" i="2" s="1"/>
  <c r="D15" i="3" s="1"/>
  <c r="U36" i="1"/>
  <c r="G33" i="2" s="1"/>
  <c r="D16" i="3" s="1"/>
  <c r="I35" i="1"/>
  <c r="G27" i="2" s="1"/>
  <c r="D10" i="3" s="1"/>
  <c r="O34" i="1"/>
  <c r="G30" i="2" s="1"/>
  <c r="D13" i="3" s="1"/>
  <c r="Q37" i="1"/>
  <c r="G31" i="2" s="1"/>
  <c r="D14" i="3" s="1"/>
  <c r="AC38" i="1"/>
  <c r="G37" i="2" s="1"/>
  <c r="D20" i="3" s="1"/>
  <c r="E10" i="3"/>
  <c r="H51" i="2"/>
  <c r="E17" i="3"/>
  <c r="E14" i="3"/>
  <c r="E18" i="3"/>
  <c r="E15" i="3"/>
  <c r="E13" i="3"/>
  <c r="E16" i="3"/>
  <c r="H48" i="2"/>
  <c r="E20" i="3"/>
  <c r="E19" i="3"/>
  <c r="E21" i="3"/>
  <c r="E12" i="3"/>
  <c r="E11" i="3"/>
  <c r="AR147" i="2" l="1"/>
  <c r="AR223" i="2"/>
  <c r="AR236" i="2" s="1"/>
  <c r="AR224" i="2"/>
  <c r="AR235" i="2" s="1"/>
  <c r="S51" i="2"/>
  <c r="S48" i="2"/>
  <c r="G23" i="3"/>
  <c r="H23" i="3" s="1"/>
  <c r="I40" i="2" s="1"/>
  <c r="G24" i="3"/>
  <c r="H24" i="3" s="1"/>
  <c r="I41" i="2" s="1"/>
  <c r="G12" i="3"/>
  <c r="H12" i="3" s="1"/>
  <c r="I29" i="2" s="1"/>
  <c r="G21" i="3"/>
  <c r="H21" i="3" s="1"/>
  <c r="I38" i="2" s="1"/>
  <c r="G11" i="3"/>
  <c r="AR148" i="2" s="1"/>
  <c r="H10" i="3"/>
  <c r="I27" i="2" s="1"/>
  <c r="H20" i="3"/>
  <c r="I37" i="2" s="1"/>
  <c r="H15" i="3"/>
  <c r="I32" i="2" s="1"/>
  <c r="H14" i="3"/>
  <c r="I31" i="2" s="1"/>
  <c r="H17" i="3"/>
  <c r="I34" i="2" s="1"/>
  <c r="H13" i="3"/>
  <c r="I30" i="2" s="1"/>
  <c r="H16" i="3"/>
  <c r="I33" i="2" s="1"/>
  <c r="H18" i="3"/>
  <c r="I35" i="2" s="1"/>
  <c r="H19" i="3"/>
  <c r="I36" i="2" s="1"/>
  <c r="H56" i="2"/>
  <c r="H47" i="2"/>
  <c r="H52" i="2"/>
  <c r="H42" i="2"/>
  <c r="H50" i="2"/>
  <c r="H49" i="2"/>
  <c r="H55" i="2"/>
  <c r="H57" i="2"/>
  <c r="H53" i="2"/>
  <c r="AQ211" i="2" l="1"/>
  <c r="AQ212" i="2"/>
  <c r="AQ184" i="2"/>
  <c r="AQ185" i="2"/>
  <c r="AQ193" i="2"/>
  <c r="S57" i="2"/>
  <c r="S56" i="2"/>
  <c r="S55" i="2"/>
  <c r="S53" i="2"/>
  <c r="S52" i="2"/>
  <c r="S50" i="2"/>
  <c r="S49" i="2"/>
  <c r="S47" i="2"/>
  <c r="H3" i="3"/>
  <c r="G15" i="2" s="1"/>
  <c r="S42" i="2"/>
  <c r="H11" i="3"/>
  <c r="I28" i="2" s="1"/>
  <c r="AQ203" i="2" s="1"/>
  <c r="H37" i="2"/>
  <c r="H40" i="2"/>
  <c r="H33" i="2"/>
  <c r="H27" i="2"/>
  <c r="H31" i="2"/>
  <c r="H38" i="2"/>
  <c r="H34" i="2"/>
  <c r="H32" i="2"/>
  <c r="H36" i="2"/>
  <c r="H35" i="2"/>
  <c r="H41" i="2"/>
  <c r="H29" i="2"/>
  <c r="H30" i="2"/>
  <c r="V16" i="2" l="1"/>
  <c r="AR186" i="2"/>
  <c r="AQ204" i="2"/>
  <c r="AR150" i="2"/>
  <c r="B146" i="2" s="1"/>
  <c r="AQ176" i="2"/>
  <c r="AQ175" i="2"/>
  <c r="AR221" i="2"/>
  <c r="AR222" i="2"/>
  <c r="AR219" i="2"/>
  <c r="AR220" i="2"/>
  <c r="AR217" i="2"/>
  <c r="AR218" i="2"/>
  <c r="AR215" i="2"/>
  <c r="AR216" i="2"/>
  <c r="AQ341" i="2" a="1"/>
  <c r="AQ341" i="2" s="1"/>
  <c r="AR341" i="2" s="1"/>
  <c r="AQ339" i="2" a="1"/>
  <c r="AQ339" i="2" s="1"/>
  <c r="AQ340" i="2" a="1"/>
  <c r="AQ340" i="2" s="1"/>
  <c r="AR340" i="2" s="1"/>
  <c r="S35" i="2"/>
  <c r="S31" i="2"/>
  <c r="S27" i="2"/>
  <c r="S41" i="2"/>
  <c r="S40" i="2"/>
  <c r="S30" i="2"/>
  <c r="S33" i="2"/>
  <c r="S36" i="2"/>
  <c r="S32" i="2"/>
  <c r="S34" i="2"/>
  <c r="S38" i="2"/>
  <c r="S37" i="2"/>
  <c r="S29" i="2"/>
  <c r="H28" i="2"/>
  <c r="AR226" i="2" l="1"/>
  <c r="AR225" i="2"/>
  <c r="AR227" i="2" s="1"/>
  <c r="AR339" i="2"/>
  <c r="B338" i="2" s="1"/>
  <c r="E343" i="2"/>
  <c r="E342" i="2"/>
  <c r="S28" i="2"/>
  <c r="B71" i="2" s="1"/>
  <c r="AR232" i="2" l="1"/>
  <c r="AR231" i="2"/>
  <c r="AR230" i="2"/>
  <c r="AR229" i="2"/>
  <c r="AR228" i="2"/>
  <c r="AR233" i="2" s="1"/>
  <c r="B79" i="2"/>
  <c r="AB113" i="2" s="1"/>
  <c r="B75" i="2"/>
  <c r="F79" i="2"/>
  <c r="F75" i="2"/>
  <c r="F71" i="2"/>
  <c r="AQ197" i="2"/>
  <c r="AQ196" i="2"/>
  <c r="AQ195" i="2"/>
  <c r="AQ194" i="2"/>
  <c r="AQ202" i="2"/>
  <c r="AQ201" i="2"/>
  <c r="AQ200" i="2"/>
  <c r="AQ199" i="2"/>
  <c r="AQ198" i="2"/>
  <c r="AQ192" i="2"/>
  <c r="AQ191" i="2"/>
  <c r="AQ190" i="2"/>
  <c r="AQ189" i="2"/>
  <c r="AQ188" i="2"/>
  <c r="AQ187" i="2"/>
  <c r="Z93" i="2"/>
  <c r="AQ351" i="2" a="1"/>
  <c r="AQ351" i="2" s="1"/>
  <c r="AR351" i="2" s="1"/>
  <c r="AQ350" i="2" a="1"/>
  <c r="AQ350" i="2" s="1"/>
  <c r="AR350" i="2" s="1"/>
  <c r="AQ349" i="2" a="1"/>
  <c r="AQ349" i="2" s="1"/>
  <c r="AR349" i="2" s="1"/>
  <c r="AQ348" i="2" a="1"/>
  <c r="AQ348" i="2" s="1"/>
  <c r="AR348" i="2" s="1"/>
  <c r="AQ347" i="2" a="1"/>
  <c r="AQ347" i="2" s="1"/>
  <c r="AR347" i="2" s="1"/>
  <c r="G13" i="2"/>
  <c r="E341" i="2"/>
  <c r="Z88" i="2"/>
  <c r="Z95" i="2"/>
  <c r="Z104" i="2"/>
  <c r="Z148" i="2"/>
  <c r="Z103" i="2"/>
  <c r="Z147" i="2"/>
  <c r="Z94" i="2"/>
  <c r="Z100" i="2"/>
  <c r="Z133" i="2"/>
  <c r="Z115" i="2"/>
  <c r="Z143" i="2"/>
  <c r="Z141" i="2"/>
  <c r="Z97" i="2"/>
  <c r="Z139" i="2"/>
  <c r="Z119" i="2"/>
  <c r="Z134" i="2"/>
  <c r="Z101" i="2"/>
  <c r="Z114" i="2"/>
  <c r="Z112" i="2"/>
  <c r="Z127" i="2"/>
  <c r="Z158" i="2"/>
  <c r="Z110" i="2"/>
  <c r="Z125" i="2"/>
  <c r="Z96" i="2"/>
  <c r="Z106" i="2"/>
  <c r="Z144" i="2"/>
  <c r="Z90" i="2"/>
  <c r="Z116" i="2"/>
  <c r="Z142" i="2"/>
  <c r="Z102" i="2"/>
  <c r="Z99" i="2"/>
  <c r="Z92" i="2"/>
  <c r="Z131" i="2"/>
  <c r="Z98" i="2"/>
  <c r="Z152" i="2"/>
  <c r="Z129" i="2"/>
  <c r="Z128" i="2"/>
  <c r="Z111" i="2"/>
  <c r="Z159" i="2"/>
  <c r="Z113" i="2"/>
  <c r="Z126" i="2"/>
  <c r="Z109" i="2"/>
  <c r="Z140" i="2"/>
  <c r="Z157" i="2"/>
  <c r="Z124" i="2"/>
  <c r="Z130" i="2"/>
  <c r="Z123" i="2"/>
  <c r="Z154" i="2"/>
  <c r="Z108" i="2"/>
  <c r="Z149" i="2"/>
  <c r="Z107" i="2"/>
  <c r="Z138" i="2"/>
  <c r="Z153" i="2"/>
  <c r="Z120" i="2"/>
  <c r="Z118" i="2"/>
  <c r="Z117" i="2"/>
  <c r="Z91" i="2"/>
  <c r="Z122" i="2"/>
  <c r="Z137" i="2"/>
  <c r="Z121" i="2"/>
  <c r="Z105" i="2"/>
  <c r="Z89" i="2"/>
  <c r="Z132" i="2"/>
  <c r="AQ205" i="2" l="1"/>
  <c r="AQ207" i="2" s="1"/>
  <c r="AQ206" i="2"/>
  <c r="AR234" i="2"/>
  <c r="B196" i="2" s="1"/>
  <c r="AQ178" i="2"/>
  <c r="AQ177" i="2"/>
  <c r="AA97" i="2"/>
  <c r="B72" i="2" a="1"/>
  <c r="B72" i="2" s="1"/>
  <c r="E351" i="2"/>
  <c r="E353" i="2"/>
  <c r="E352" i="2"/>
  <c r="AB89" i="2"/>
  <c r="AB129" i="2"/>
  <c r="AB137" i="2"/>
  <c r="AA99" i="2"/>
  <c r="AA141" i="2"/>
  <c r="AA88" i="2"/>
  <c r="AB110" i="2"/>
  <c r="AB97" i="2"/>
  <c r="AB109" i="2"/>
  <c r="AB103" i="2"/>
  <c r="AB106" i="2"/>
  <c r="AB98" i="2"/>
  <c r="AB142" i="2"/>
  <c r="AB118" i="2"/>
  <c r="AB132" i="2"/>
  <c r="AB119" i="2"/>
  <c r="AB158" i="2"/>
  <c r="AB108" i="2"/>
  <c r="AB141" i="2"/>
  <c r="AB121" i="2"/>
  <c r="AB96" i="2"/>
  <c r="AB134" i="2"/>
  <c r="AB105" i="2"/>
  <c r="AB143" i="2"/>
  <c r="AA129" i="2"/>
  <c r="AA109" i="2"/>
  <c r="AB144" i="2"/>
  <c r="AB126" i="2"/>
  <c r="AA100" i="2"/>
  <c r="AA121" i="2"/>
  <c r="AB120" i="2"/>
  <c r="AB125" i="2"/>
  <c r="AA94" i="2"/>
  <c r="AB128" i="2"/>
  <c r="AB159" i="2"/>
  <c r="AB115" i="2"/>
  <c r="AB104" i="2"/>
  <c r="AB102" i="2"/>
  <c r="AA117" i="2"/>
  <c r="AA149" i="2"/>
  <c r="AA137" i="2"/>
  <c r="AA157" i="2"/>
  <c r="AA95" i="2"/>
  <c r="AA114" i="2"/>
  <c r="AB154" i="2"/>
  <c r="AB140" i="2"/>
  <c r="AB149" i="2"/>
  <c r="AB133" i="2"/>
  <c r="AB123" i="2"/>
  <c r="AB147" i="2"/>
  <c r="AA93" i="2"/>
  <c r="AB114" i="2"/>
  <c r="AB122" i="2"/>
  <c r="AB111" i="2"/>
  <c r="AB92" i="2"/>
  <c r="AB91" i="2"/>
  <c r="AB95" i="2"/>
  <c r="AB99" i="2"/>
  <c r="AB90" i="2"/>
  <c r="AB100" i="2"/>
  <c r="AA158" i="2"/>
  <c r="AB148" i="2"/>
  <c r="AB116" i="2"/>
  <c r="AB138" i="2"/>
  <c r="AB107" i="2"/>
  <c r="AB117" i="2"/>
  <c r="AB131" i="2"/>
  <c r="AB157" i="2"/>
  <c r="AB101" i="2"/>
  <c r="AB93" i="2"/>
  <c r="AB139" i="2"/>
  <c r="AA159" i="2"/>
  <c r="AB112" i="2"/>
  <c r="AB94" i="2"/>
  <c r="AB88" i="2"/>
  <c r="AB127" i="2"/>
  <c r="AB152" i="2"/>
  <c r="AB130" i="2"/>
  <c r="AB153" i="2"/>
  <c r="AB124" i="2"/>
  <c r="AA115" i="2"/>
  <c r="AA133" i="2"/>
  <c r="AA125" i="2"/>
  <c r="AA134" i="2"/>
  <c r="AA152" i="2"/>
  <c r="AA144" i="2"/>
  <c r="AA143" i="2"/>
  <c r="AA113" i="2"/>
  <c r="AA127" i="2"/>
  <c r="AA124" i="2"/>
  <c r="AA98" i="2"/>
  <c r="AA120" i="2"/>
  <c r="AA106" i="2"/>
  <c r="AA112" i="2"/>
  <c r="AA132" i="2"/>
  <c r="AA91" i="2"/>
  <c r="AA103" i="2"/>
  <c r="AA118" i="2"/>
  <c r="AA126" i="2"/>
  <c r="AA142" i="2"/>
  <c r="AA154" i="2"/>
  <c r="AA116" i="2"/>
  <c r="AA111" i="2"/>
  <c r="AA139" i="2"/>
  <c r="AA110" i="2"/>
  <c r="AA104" i="2"/>
  <c r="AA105" i="2"/>
  <c r="AA128" i="2"/>
  <c r="AA119" i="2"/>
  <c r="AA90" i="2"/>
  <c r="AA147" i="2"/>
  <c r="AA108" i="2"/>
  <c r="AA107" i="2"/>
  <c r="AA92" i="2"/>
  <c r="AA89" i="2"/>
  <c r="AA153" i="2"/>
  <c r="AA131" i="2"/>
  <c r="AA102" i="2"/>
  <c r="AA96" i="2"/>
  <c r="AA101" i="2"/>
  <c r="AA122" i="2"/>
  <c r="AA130" i="2"/>
  <c r="AA140" i="2"/>
  <c r="AA123" i="2"/>
  <c r="AA148" i="2"/>
  <c r="AA138" i="2"/>
  <c r="E355" i="2"/>
  <c r="E354" i="2"/>
  <c r="I74" i="2" a="1"/>
  <c r="I74" i="2" s="1"/>
  <c r="AS212" i="2" s="1"/>
  <c r="G74" i="2" a="1"/>
  <c r="G74" i="2" s="1"/>
  <c r="F73" i="2" a="1"/>
  <c r="F73" i="2" s="1"/>
  <c r="G73" i="2" a="1"/>
  <c r="G73" i="2" s="1"/>
  <c r="F72" i="2" a="1"/>
  <c r="F72" i="2" s="1"/>
  <c r="F74" i="2" a="1"/>
  <c r="F74" i="2" s="1"/>
  <c r="B73" i="2" a="1"/>
  <c r="B73" i="2" s="1"/>
  <c r="H72" i="2" a="1"/>
  <c r="H72" i="2" s="1"/>
  <c r="H73" i="2" a="1"/>
  <c r="H73" i="2" s="1"/>
  <c r="I73" i="2" a="1"/>
  <c r="I73" i="2" s="1"/>
  <c r="AS211" i="2" s="1"/>
  <c r="I72" i="2" a="1"/>
  <c r="I72" i="2" s="1"/>
  <c r="AS210" i="2" s="1"/>
  <c r="B74" i="2" a="1"/>
  <c r="B74" i="2" s="1"/>
  <c r="G72" i="2" a="1"/>
  <c r="G72" i="2" s="1"/>
  <c r="H74" i="2" a="1"/>
  <c r="H74" i="2" s="1"/>
  <c r="AR190" i="2" l="1"/>
  <c r="AR191" i="2"/>
  <c r="AQ210" i="2"/>
  <c r="AQ209" i="2"/>
  <c r="AQ208" i="2"/>
  <c r="AS194" i="2"/>
  <c r="T74" i="2"/>
  <c r="T73" i="2"/>
  <c r="AQ179" i="2"/>
  <c r="AQ183" i="2" s="1"/>
  <c r="AQ181" i="2"/>
  <c r="F77" i="2" a="1"/>
  <c r="F77" i="2" s="1"/>
  <c r="T72" i="2"/>
  <c r="B81" i="2" a="1"/>
  <c r="B81" i="2" s="1"/>
  <c r="H80" i="2" a="1"/>
  <c r="H80" i="2" s="1"/>
  <c r="F80" i="2" a="1"/>
  <c r="F80" i="2" s="1"/>
  <c r="I81" i="2" a="1"/>
  <c r="I81" i="2" s="1"/>
  <c r="AS217" i="2" s="1"/>
  <c r="H81" i="2" a="1"/>
  <c r="H81" i="2" s="1"/>
  <c r="I80" i="2" a="1"/>
  <c r="I80" i="2" s="1"/>
  <c r="AS216" i="2" s="1"/>
  <c r="G80" i="2" a="1"/>
  <c r="G80" i="2" s="1"/>
  <c r="B82" i="2" a="1"/>
  <c r="B82" i="2" s="1"/>
  <c r="G81" i="2" a="1"/>
  <c r="G81" i="2" s="1"/>
  <c r="H82" i="2" a="1"/>
  <c r="H82" i="2" s="1"/>
  <c r="B80" i="2" a="1"/>
  <c r="B80" i="2" s="1"/>
  <c r="F82" i="2" a="1"/>
  <c r="F82" i="2" s="1"/>
  <c r="F81" i="2" a="1"/>
  <c r="F81" i="2" s="1"/>
  <c r="I82" i="2" a="1"/>
  <c r="I82" i="2" s="1"/>
  <c r="AS218" i="2" s="1"/>
  <c r="G82" i="2" a="1"/>
  <c r="G82" i="2" s="1"/>
  <c r="AR201" i="2" l="1"/>
  <c r="AS201" i="2" s="1"/>
  <c r="AR195" i="2"/>
  <c r="AS195" i="2" s="1"/>
  <c r="AR193" i="2"/>
  <c r="AS193" i="2" s="1"/>
  <c r="AR200" i="2"/>
  <c r="AS200" i="2" s="1"/>
  <c r="AS199" i="2"/>
  <c r="S72" i="2"/>
  <c r="T82" i="2"/>
  <c r="T81" i="2"/>
  <c r="AQ182" i="2"/>
  <c r="G76" i="2" a="1"/>
  <c r="G76" i="2" s="1"/>
  <c r="F76" i="2" a="1"/>
  <c r="F76" i="2" s="1"/>
  <c r="B76" i="2" a="1"/>
  <c r="B76" i="2" s="1"/>
  <c r="I77" i="2" a="1"/>
  <c r="I77" i="2" s="1"/>
  <c r="AS214" i="2" s="1"/>
  <c r="H78" i="2" a="1"/>
  <c r="H78" i="2" s="1"/>
  <c r="H77" i="2" a="1"/>
  <c r="H77" i="2" s="1"/>
  <c r="S74" i="2"/>
  <c r="S73" i="2"/>
  <c r="B78" i="2" a="1"/>
  <c r="B78" i="2" s="1"/>
  <c r="G78" i="2" a="1"/>
  <c r="G78" i="2" s="1"/>
  <c r="I76" i="2" a="1"/>
  <c r="I76" i="2" s="1"/>
  <c r="AS213" i="2" s="1"/>
  <c r="I78" i="2" a="1"/>
  <c r="I78" i="2" s="1"/>
  <c r="AS215" i="2" s="1"/>
  <c r="B77" i="2" a="1"/>
  <c r="B77" i="2" s="1"/>
  <c r="G77" i="2" a="1"/>
  <c r="G77" i="2" s="1"/>
  <c r="F78" i="2" a="1"/>
  <c r="F78" i="2" s="1"/>
  <c r="H76" i="2" a="1"/>
  <c r="H76" i="2" s="1"/>
  <c r="T80" i="2"/>
  <c r="AT213" i="2" l="1"/>
  <c r="AR207" i="2" s="1"/>
  <c r="AT215" i="2"/>
  <c r="AT212" i="2"/>
  <c r="AR206" i="2" s="1"/>
  <c r="AT211" i="2"/>
  <c r="AR205" i="2" s="1"/>
  <c r="AT210" i="2"/>
  <c r="AR204" i="2" s="1"/>
  <c r="B161" i="2"/>
  <c r="AS197" i="2"/>
  <c r="S82" i="2"/>
  <c r="AS198" i="2"/>
  <c r="T78" i="2"/>
  <c r="T77" i="2"/>
  <c r="T76" i="2"/>
  <c r="S80" i="2"/>
  <c r="S81" i="2"/>
  <c r="AR208" i="2" l="1"/>
  <c r="AR202" i="2"/>
  <c r="AR203" i="2" s="1"/>
  <c r="AS196" i="2"/>
  <c r="S76" i="2"/>
  <c r="S77" i="2"/>
  <c r="S78" i="2"/>
  <c r="AT196" i="2" l="1"/>
  <c r="AT198" i="2"/>
  <c r="AT194" i="2"/>
  <c r="AT195" i="2"/>
  <c r="AT193" i="2"/>
  <c r="B177" i="2"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<sst xmlns="http://schemas.openxmlformats.org/spreadsheetml/2006/main" count="2376" uniqueCount="1150">
  <si>
    <t>Últimamente parece que me quedo sin fuerzas incluso por las mañanas.</t>
  </si>
  <si>
    <t>Siempre me aseguro de que mi trabajo esté bien planeado y organizado.</t>
  </si>
  <si>
    <t>Disfruto haciendo tantas cosas diferentes que no puedo decidir por cuál empezar.</t>
  </si>
  <si>
    <t>Me preocupa que las personas de las que dependo me abandonen.</t>
  </si>
  <si>
    <t>Aunque me da miedo hacer amistades, me gustaría tener más de las que tengo.</t>
  </si>
  <si>
    <t>Raramente exteriorizo los pocos sentimientos que tengo.</t>
  </si>
  <si>
    <t>Me cuesta mantener el equilibrio cuando camino.</t>
  </si>
  <si>
    <t>Siempre busco oportunidades nuevas que me resulten emocionantes.</t>
  </si>
  <si>
    <t>Algunas veces puedo ser bastante duro y desagradable con mi familia</t>
  </si>
  <si>
    <t>Me gusta ser el centro de atención.</t>
  </si>
  <si>
    <t>De adolescente tuve muchos problemas por mi mal comportamiento en la escuela o instituto.</t>
  </si>
  <si>
    <t>Me da miedo hacerme muy amigo de alguien, por que podría acabar sintiéndome ridiculizado o avergonzado.</t>
  </si>
  <si>
    <t>Noto que la gente está hablando de mí cuando paso a su lado.</t>
  </si>
  <si>
    <t>Hace uno años comencé a sentirme un fracasado.</t>
  </si>
  <si>
    <t>Si puedo elegir, prefiero hacer las cosas solo.</t>
  </si>
  <si>
    <t>Últimamente he comenzado a sentir deseos de destrozar cosas.</t>
  </si>
  <si>
    <t>Las cosas que hoy van bien no durarán mucho tiempo.</t>
  </si>
  <si>
    <t>A veces, cuando las cosas empiezan a irme mal, me siento como si estuviera loco o fuera de la realidad.</t>
  </si>
  <si>
    <t>Hago lo que quiero sin preocuparme de las consecuencias que tenga en los demás.</t>
  </si>
  <si>
    <t>Afronto mis actividades diarias con mucha energía y persistencia.</t>
  </si>
  <si>
    <t>Nunca perdono una ofensa ni olvido una situación embarazosa que alguien me haya causado.</t>
  </si>
  <si>
    <t>Me siento extremadamente deprimido y triste gran parte del tiempo.</t>
  </si>
  <si>
    <t>Siempre tiendo a culparme cuando las cosas van mal.</t>
  </si>
  <si>
    <t>Hace mucho decidí que es mejor tener poca relación con la gente.</t>
  </si>
  <si>
    <t>Tengo un problema con el alcohol que nos ha creado dificultades a mí y a mi familia.</t>
  </si>
  <si>
    <t>Soy una persona socialmente muy reservada y tímida.</t>
  </si>
  <si>
    <t>Muchas veces me siento muy alegre y animado sin ninguna razón.</t>
  </si>
  <si>
    <t>En las últimas semanas me he sentido agotado sin ningún motivo en particular.</t>
  </si>
  <si>
    <t>Mi tiempo es más valioso que el de los demás.</t>
  </si>
  <si>
    <t>Siempre estoy buscando hacer nuevas amistades y conocer gente nueva.</t>
  </si>
  <si>
    <t>Desde hace unas semanas estoy muy nervioso.</t>
  </si>
  <si>
    <t>Simplemente, no he tenido la suerte que otras personas han tenido en la vida.</t>
  </si>
  <si>
    <t>Las ideas me dan vueltas en la cabeza una y otra vez y no desaparecen.</t>
  </si>
  <si>
    <t>Desde hace uno o dos años, al pensar sobre la vida, me siento muy triste y desanimado.</t>
  </si>
  <si>
    <t>Intento hacerlo todo tan perfecto como sea posible.</t>
  </si>
  <si>
    <t>Mi adicción a las drogas hizo que faltara al trabajo.</t>
  </si>
  <si>
    <t>Mi estado de ánimo varía mucho de un día para otro.</t>
  </si>
  <si>
    <t>Utilizo mi encanto para conseguir lo que quiero.</t>
  </si>
  <si>
    <t>A menudo pienso que no merezco las cosas buenas que me pasan.</t>
  </si>
  <si>
    <t>En el pasado me corté o autolesioné a propósito</t>
  </si>
  <si>
    <t>Tengo la sensación de que no duermo, y me levanto tan cansado como al acostarme.</t>
  </si>
  <si>
    <t>A menudo dejo que los demás tomen por mis decisiones importantes.</t>
  </si>
  <si>
    <t>Parece que pocas cosas me entristecen o me alegran.</t>
  </si>
  <si>
    <t>A menudo tengo pensamientos extraños de los que desearía librarme.</t>
  </si>
  <si>
    <t>Tengo muchos problemas para controlar el impulso de beber alcohol en exceso.</t>
  </si>
  <si>
    <t>Hago amistades con mucha más facilidad que la mayoría de la gente que conozco.</t>
  </si>
  <si>
    <t>Me da vergüenza el maltrato que sufrí cuando era joven.</t>
  </si>
  <si>
    <t>Me parece muy bien que haya normas, porque son una buena guía para seguir.</t>
  </si>
  <si>
    <t>El año pasado aparecí en la portada de varias revistas.</t>
  </si>
  <si>
    <t>A menudo me enfado con la gente que hace las cosas lentamente.</t>
  </si>
  <si>
    <t>Me paso la vida preocupándome por una cosa u otra.</t>
  </si>
  <si>
    <t>Siempre me pregunto cuál es la razón real de que alguien sea específicamente agradable conmigo.</t>
  </si>
  <si>
    <t>Mis actividades cotidianas me animan y motivan.</t>
  </si>
  <si>
    <t>Tengo muchas ideas que son avanzadas para los tiempos actuales.</t>
  </si>
  <si>
    <t>Desde que sufrí una conmoción cerebral grave, ya no puedo concentrarme en nada.</t>
  </si>
  <si>
    <t xml:space="preserve">Antes la gente decía que me interesaba y me entusiasmaba demasiado por muchas cosas. </t>
  </si>
  <si>
    <t>He perdido el apetito por completo, y la mayoría de las noches tengo problemas para dormir.</t>
  </si>
  <si>
    <t>Desde que era niño he ido perdiendo contacto con la realidad.</t>
  </si>
  <si>
    <t>No puedo sentir mucho placer, porque no creo que lo merezca.</t>
  </si>
  <si>
    <t>Prefiero que me digan lo que tengo que hacer en lugar de decidir por mí mismo.</t>
  </si>
  <si>
    <t>Consumir drogas me ha causado discusiones con mi familia.</t>
  </si>
  <si>
    <t>El recuerdo de una experiencia muy perturbadora sigue presente en mis pensamientos y me obsesiona.</t>
  </si>
  <si>
    <t>La mayoría de la gente me considera una persona prudente y cuidadosa.</t>
  </si>
  <si>
    <t>Parece que he perdido el interés en la mayoría de las cosas que solía encontrar placenteras, como el sexo.</t>
  </si>
  <si>
    <t>He tenido problemas con la ley un par de veces.</t>
  </si>
  <si>
    <t>He tenido que ser muy duro con algunas personas para mantenerlas a raya.</t>
  </si>
  <si>
    <t>Estoy muy seguro de mí mismo.</t>
  </si>
  <si>
    <t>La gente intenta hacerme creer que estoy loco.</t>
  </si>
  <si>
    <t>Me doy atracones de comida un par de veces en la semana.</t>
  </si>
  <si>
    <t>Frecuentemente siento que no hay nada dentro de mí, como si estuviera vacío y hueco.</t>
  </si>
  <si>
    <t>Siempre me ha resultado difícil dejar de sentirme deprimido y triste.</t>
  </si>
  <si>
    <t>Cuando estoy solo y lejos de casa a menudo comienzo a sentirme tenso y entro en pánico.</t>
  </si>
  <si>
    <t>La gente dice que soy una persona formal y con valores morales.</t>
  </si>
  <si>
    <t>Me cuesta controlar mi ira.</t>
  </si>
  <si>
    <t>Soy una persona muy optimista.</t>
  </si>
  <si>
    <t>Años después, aún tengo pesadillas sobre un hecho que fue una amenaza real para mi vida.</t>
  </si>
  <si>
    <t>Me parece que necesito que alguien me oriente para hacer las cosas.</t>
  </si>
  <si>
    <t>Recientemente he pensado muy en serio en quitarme la vida.</t>
  </si>
  <si>
    <t>Hay gente mala que intenta llevarse el mérito de lo que he hecho o pensado.</t>
  </si>
  <si>
    <t>Últimamente estoy destrozado.</t>
  </si>
  <si>
    <t>Consumir drogas puede ser irresponsable, pero en el pasado las he necesitado.</t>
  </si>
  <si>
    <t>Soy una persona muy variable, cambio de opinión y sentimientos continuamente.</t>
  </si>
  <si>
    <t>Se me da muy bien inventar excusas cuando me meto en problemas.</t>
  </si>
  <si>
    <t>Cuando estoy en una fiesta, nunca me aíslo de los demás.</t>
  </si>
  <si>
    <t>Parece que echo a perder las buenas oportunidades que se cruzan en mi camino.</t>
  </si>
  <si>
    <t>Algunas veces me provoco el vómito después de comer.</t>
  </si>
  <si>
    <t>Soy una persona especial, así que no me importa lo que piensen los demás.</t>
  </si>
  <si>
    <t>Observo atentamente a mi familia para saber en quien se puede confiar y en quién no.</t>
  </si>
  <si>
    <t>Ciertos pensamientos vuelven a mi mente una y otra vez.</t>
  </si>
  <si>
    <t>Pocas cosas en la vida me resultan placenteras.</t>
  </si>
  <si>
    <t>Me siento agitado y me cuesta conciliar el sueño porque tengo recuerdos dolorosos dando vueltas en mi cabeza.</t>
  </si>
  <si>
    <t>A menudo me pierdo en mis pensamientos y me olvido de lo que está pasando a mi alrededor.</t>
  </si>
  <si>
    <t>Nunca he podido dejar de sentir que no valgo nada para los demás.</t>
  </si>
  <si>
    <t>Tengo un problema con la bebida que he tratado de solucionar sin éxito.</t>
  </si>
  <si>
    <t>Alguien ha estado intentando controlar mi mente.</t>
  </si>
  <si>
    <t>La mayoría de las personas que han triunfado han tenido suerte o han sido deshonestas.</t>
  </si>
  <si>
    <t>A menudo irrito a la gente dándoles órdenes.</t>
  </si>
  <si>
    <t>No he visto un coche en los últimos diez años.</t>
  </si>
  <si>
    <t>Siempre me siento cohibido y tenso en las reuniones sociales.</t>
  </si>
  <si>
    <t>Creo que provoco situaciones en las que resulto herido o me siento rechazado.</t>
  </si>
  <si>
    <t>Me siento profundamente deprimido sin saber por qué.</t>
  </si>
  <si>
    <t>La gente dice que soy una persona delgada, pero creo que mis muslos y mi trasero son demasiado grandes.</t>
  </si>
  <si>
    <t>A menudo disfruto provocando una discusión o una pelea.</t>
  </si>
  <si>
    <t>Tengo mucho cuidado en mantener mi vida como algo privado, para que nadie pueda aprovecharse de mí.</t>
  </si>
  <si>
    <t>El consumo de drogas me ha causado muchos problemas.</t>
  </si>
  <si>
    <t>A menudo me echan la culpa por las cosas de las que no soy responsable.</t>
  </si>
  <si>
    <t>Pensar en el futuro al inicio de cada día me hace sentir extremadamente deprimido.</t>
  </si>
  <si>
    <t>A veces las personas se molestan conmigo porque dicen que hablo mucho o demasiado rápido.</t>
  </si>
  <si>
    <t>Yo nunca podría arreglármelas solo.</t>
  </si>
  <si>
    <t>Mi cabeza no funciona bien desde que hace unos años tuve una lesión cerebral.</t>
  </si>
  <si>
    <t>Me siento solo y vacío la mayor parte del tiempo.</t>
  </si>
  <si>
    <t>La gente se burla de mí a mis espaldas.</t>
  </si>
  <si>
    <t>Últimamente sudo mucho y me siento muy tenso.</t>
  </si>
  <si>
    <t>Estas últimas semanas me sentido cada vez más triste.</t>
  </si>
  <si>
    <t>Me enfurezco rápidamente con la gente que me molesta.</t>
  </si>
  <si>
    <t>A veces no he podido pasar el día sin tomar drogas.</t>
  </si>
  <si>
    <t>Me gusta mucho coquetear.</t>
  </si>
  <si>
    <t>Ya no tengo energía para concentrarme en mis responsabilidades.</t>
  </si>
  <si>
    <t>Mis emociones no parecen ser tan intensas como las del resto de la gente.</t>
  </si>
  <si>
    <t>Me siento débil y cansado la mayor parte del tiempo.</t>
  </si>
  <si>
    <t>Ideas extrañas entran en mi mente, dan vueltas y vueltas en mi cabeza, y no desaparecen.</t>
  </si>
  <si>
    <t>Los demás tienen oportunidades que yo no tengo.</t>
  </si>
  <si>
    <t>Repito ciertos comportamientos una y otra vez, algunas veces para reducir mi ansiedad y otras para evitar que pase algo malo</t>
  </si>
  <si>
    <t>He tomado medicación que me habían recetado.</t>
  </si>
  <si>
    <t>Mi vida actual todavía se ve afectada por recuerdos e imágenes de algo terrible que me pasó.</t>
  </si>
  <si>
    <t>A menudo echo a perder las cosas buenas que me ocurren.</t>
  </si>
  <si>
    <t>Voces malvadas intentan apoderarse de mi mente.</t>
  </si>
  <si>
    <t>Me siento muy culpable cuando pierdo el control.</t>
  </si>
  <si>
    <t>Mi entusiasmo por el trabajo que hago nunca disminuye.</t>
  </si>
  <si>
    <t>Supongo que no soy diferente de mis padres ya que, en cierto modo, me he convertido en un alcohólico.</t>
  </si>
  <si>
    <t>Últimamente tengo que pensar las cosas una y otra vez sin ningún motivo.</t>
  </si>
  <si>
    <t>Animo a los demás a que admiren lo que digo o hago.</t>
  </si>
  <si>
    <t>Dejo de hacer cosas si tengo que hacerlas solo.</t>
  </si>
  <si>
    <t>He intentado suicidarme.</t>
  </si>
  <si>
    <t>Soy una persona miedosa y reservada.</t>
  </si>
  <si>
    <t>A las personas que supuestamente son mis amigos les gustaría hacerme daño.</t>
  </si>
  <si>
    <t>A menudo me dejo llevar por la rabia y luego me siento culpable.</t>
  </si>
  <si>
    <t>A menudo oigo cosas con tanta claridad que me molesta.</t>
  </si>
  <si>
    <t>Aparte de mi familia, tengo muy pocos amigos íntimos.</t>
  </si>
  <si>
    <t>La desorganización me hace sentir muy incómodo.</t>
  </si>
  <si>
    <t>A menudo critico mucho a la gente que me irrita.</t>
  </si>
  <si>
    <t>Tengo muchas cualidades que los demás querrían tener.</t>
  </si>
  <si>
    <t>Terribles acontecimientos de mi pasado reaparecen obsesivamente en mis pensamientos y sueños.</t>
  </si>
  <si>
    <t>Sé que he gastado más dinero en droga del que debería.</t>
  </si>
  <si>
    <t>A menudo, y antes de darme cuenta, me pongo a gritar enfadado a mis amigos y familiares.</t>
  </si>
  <si>
    <t>Me preocupa que mi cuerpo se desgaste rápidamente.</t>
  </si>
  <si>
    <t>Está bien burlar la ley si es poco probable que te atrapen.</t>
  </si>
  <si>
    <t>Creo que hay una conspiración contra mí.</t>
  </si>
  <si>
    <t>Soy una persona solitaria y no me molesta.</t>
  </si>
  <si>
    <t>Todavía me aterrorizo cuando pienso en una experiencia traumática que tuve hace años.</t>
  </si>
  <si>
    <t>Últimamente me he sentido muy culpable porque ya no soy capaz de hacer nada bien.</t>
  </si>
  <si>
    <t>Los castigos nunca me impidieron hacer lo que quería.</t>
  </si>
  <si>
    <t>Pocas veces creo lo que la gente me dice.</t>
  </si>
  <si>
    <t>Soy una persona muy sociable y extrovertida.</t>
  </si>
  <si>
    <t>Me entusiasmo con casi todo lo que hago.</t>
  </si>
  <si>
    <t>Estoy confundido sobre quién soy.</t>
  </si>
  <si>
    <t>Odio pensar en el maltrato que sufrí en la infancia.</t>
  </si>
  <si>
    <t>Nunca infringiría la ley, aunque pudiera salir impune.</t>
  </si>
  <si>
    <t>Algunos miembros de mi familia dicen que soy egoísta y que sólo pienso en mí.</t>
  </si>
  <si>
    <t>En el último año he cruzado el Atlántico en avión 30 veces.</t>
  </si>
  <si>
    <t>Beber alcohol me ayuda cuando me siento deprimido.</t>
  </si>
  <si>
    <t>Preferiría seguir a alguien antes que ser yo el líder.</t>
  </si>
  <si>
    <t>A menudo me vienen ideas a la mente mucho más rápido de lo puedo expresarlas.</t>
  </si>
  <si>
    <t>A menudo me siento tan mal que quiero hacerme daño de verdad.</t>
  </si>
  <si>
    <t>Algunas personas dicen que soy extraño o raro.</t>
  </si>
  <si>
    <t>A veces encuentro consuelo en mi sufrimiento.</t>
  </si>
  <si>
    <t>A menudo creo que me han tratado injustamente.</t>
  </si>
  <si>
    <t>Muestro mi enfado rápidamente a las personas que no están de acuerdo conmigo.</t>
  </si>
  <si>
    <t>Casi siempre me siento culpable sin ninguna razón aparente.</t>
  </si>
  <si>
    <t>Desde hace algún tiempo me siento triste y deprimido y parece que no consigo animarme.</t>
  </si>
  <si>
    <t>Sé cómo seducir a la gente.</t>
  </si>
  <si>
    <t>Siempre he tenido que estar atento a la gente que intenta engañarme.</t>
  </si>
  <si>
    <t>Siempre estoy dispuesto a aceptar lo que los demás les gustaría hacer.</t>
  </si>
  <si>
    <t>Afronto todos los retos de la vida con una actitud valiente y enérgica.</t>
  </si>
  <si>
    <t>Nunca siento que tenga algo interesante que aportar a una conversación.</t>
  </si>
  <si>
    <t>Si un medicamento no me hace efecto, es probable que lo tome con más frecuencia o aumente la dosis.</t>
  </si>
  <si>
    <t>En muchos periodos de mi vida he estado tan animado y he consumido tanta energía que luego me he sentido muy bajo de ánimo.</t>
  </si>
  <si>
    <t>A menudo me siento muy infeliz conmigo mismo.</t>
  </si>
  <si>
    <t>No me gusta cambiar mi rutina.</t>
  </si>
  <si>
    <t>No necesito tener amigos íntimos como tienen los demás.</t>
  </si>
  <si>
    <t>A veces me ha reconfortado herirme físicamente.</t>
  </si>
  <si>
    <t>Mucha gente ha estado espiando mi vida privada durante años.</t>
  </si>
  <si>
    <t>Cuando quiero, se me da bastante bien engañar a la gente.</t>
  </si>
  <si>
    <t>Incluso cuando las cosas van bien, creo que pronto irán mal.</t>
  </si>
  <si>
    <t>Se me da muy bien animar y motivar a los demás.</t>
  </si>
  <si>
    <t>Estoy dispuesto a pasar hambre para estar aún más delgado de lo que estoy.</t>
  </si>
  <si>
    <t>A menudo estoy irritable y de mal humor.</t>
  </si>
  <si>
    <t>Siempre intento acabar mi trabajo antes de dedicar tiempo a actividades de ocio.</t>
  </si>
  <si>
    <t>Solo las personas excepcionales pueden comprender mis capacidades.</t>
  </si>
  <si>
    <t>Realmente no entiendo los sentimientos humanos como los entienden los demás.</t>
  </si>
  <si>
    <t>Demasiadas normas impiden que haga lo que quiero.</t>
  </si>
  <si>
    <t>A veces siento que merezco ser infeliz.</t>
  </si>
  <si>
    <t>He estado abatido y triste gran parte de mi vida.</t>
  </si>
  <si>
    <t>Tiendo a estar de acuerdo con las opiniones de los demás.</t>
  </si>
  <si>
    <t>Evito la mayoría de las situaciones sociales porque creo que la gente me rechazará.</t>
  </si>
  <si>
    <t>V</t>
  </si>
  <si>
    <t>F</t>
  </si>
  <si>
    <t>Esquizoide</t>
  </si>
  <si>
    <t>Evitativo</t>
  </si>
  <si>
    <t>Melancólico</t>
  </si>
  <si>
    <t>Dependiente</t>
  </si>
  <si>
    <t>Histriónico</t>
  </si>
  <si>
    <t>Tempestuoso</t>
  </si>
  <si>
    <t>Narcisista</t>
  </si>
  <si>
    <t>Antisocial</t>
  </si>
  <si>
    <t>Sádico</t>
  </si>
  <si>
    <t>Compulsivo</t>
  </si>
  <si>
    <t>Negativista</t>
  </si>
  <si>
    <t>Masoquista</t>
  </si>
  <si>
    <t>Items</t>
  </si>
  <si>
    <t>2A</t>
  </si>
  <si>
    <t>2B</t>
  </si>
  <si>
    <t>4A</t>
  </si>
  <si>
    <t>4B</t>
  </si>
  <si>
    <t>6A</t>
  </si>
  <si>
    <t>6B</t>
  </si>
  <si>
    <t>8A</t>
  </si>
  <si>
    <t>8B</t>
  </si>
  <si>
    <t>MCMI-IV</t>
  </si>
  <si>
    <t>INVENTARIO CLÍNICO MULTIAXIAL DE MILLON-IV</t>
  </si>
  <si>
    <t>RESUMEN DE LAS PUNTUACIONES Y PERFIL</t>
  </si>
  <si>
    <t>AJUSTES DE LAS TASAS BASE  =</t>
  </si>
  <si>
    <t>CÓDIGO DE PUNTUACIONES MÁXIMAS =</t>
  </si>
  <si>
    <t>INCONSISTENCIA (W) =</t>
  </si>
  <si>
    <t>INVALIDEZ (V) =</t>
  </si>
  <si>
    <t>VALIDEZ</t>
  </si>
  <si>
    <t>Puntuación</t>
  </si>
  <si>
    <t>PD</t>
  </si>
  <si>
    <t>TB</t>
  </si>
  <si>
    <t>Perfil de las tasas base</t>
  </si>
  <si>
    <t>Índices modificadores</t>
  </si>
  <si>
    <t>Sinceridad</t>
  </si>
  <si>
    <t>Deseabilidad social</t>
  </si>
  <si>
    <t>Devaluación</t>
  </si>
  <si>
    <t>X</t>
  </si>
  <si>
    <t>Y</t>
  </si>
  <si>
    <t>Z</t>
  </si>
  <si>
    <t>PERSONALIDAD</t>
  </si>
  <si>
    <t>PC</t>
  </si>
  <si>
    <t>Patrones clínicos de la personalidad</t>
  </si>
  <si>
    <t>Patología grave de la personalidad</t>
  </si>
  <si>
    <t>PSICOPATOLOGÍA</t>
  </si>
  <si>
    <t>Síndromes clínicos</t>
  </si>
  <si>
    <t>Esquizotípico</t>
  </si>
  <si>
    <t>Límite</t>
  </si>
  <si>
    <t>Paranoide</t>
  </si>
  <si>
    <t>S</t>
  </si>
  <si>
    <t>C</t>
  </si>
  <si>
    <t>P</t>
  </si>
  <si>
    <t>Ansiedad generalizada</t>
  </si>
  <si>
    <t>Síntomas somáticos</t>
  </si>
  <si>
    <t>Espectro bipolar</t>
  </si>
  <si>
    <t>Depresión persistente</t>
  </si>
  <si>
    <t>Consumo de alcohol</t>
  </si>
  <si>
    <t>Consumo de drogas</t>
  </si>
  <si>
    <t>Estrés postraumático</t>
  </si>
  <si>
    <t>Síndromes clínicos graves</t>
  </si>
  <si>
    <t>Espectro esquizofrénico</t>
  </si>
  <si>
    <t>Depresión mayor</t>
  </si>
  <si>
    <t>Delirante</t>
  </si>
  <si>
    <t>A</t>
  </si>
  <si>
    <t>H</t>
  </si>
  <si>
    <t>N</t>
  </si>
  <si>
    <t>D</t>
  </si>
  <si>
    <t>B</t>
  </si>
  <si>
    <t>T</t>
  </si>
  <si>
    <t>R</t>
  </si>
  <si>
    <t>SS</t>
  </si>
  <si>
    <t>CC</t>
  </si>
  <si>
    <t>PP</t>
  </si>
  <si>
    <t>Escala X</t>
  </si>
  <si>
    <t>1-8B</t>
  </si>
  <si>
    <t>S-PP</t>
  </si>
  <si>
    <t>Ajustas a la TB</t>
  </si>
  <si>
    <t>A/CC</t>
  </si>
  <si>
    <t>2B,8B,C</t>
  </si>
  <si>
    <t>2A,S</t>
  </si>
  <si>
    <t>INVALIDEZ</t>
  </si>
  <si>
    <t>W</t>
  </si>
  <si>
    <t>INCONSISTENCIA</t>
  </si>
  <si>
    <t>(22-170)</t>
  </si>
  <si>
    <t xml:space="preserve"> (125-143)</t>
  </si>
  <si>
    <t xml:space="preserve"> (47-157)</t>
  </si>
  <si>
    <t xml:space="preserve"> (40-181)</t>
  </si>
  <si>
    <t>(81-116)</t>
  </si>
  <si>
    <t xml:space="preserve"> (85-126)</t>
  </si>
  <si>
    <t xml:space="preserve"> (76-150)</t>
  </si>
  <si>
    <t xml:space="preserve"> (25-94)</t>
  </si>
  <si>
    <t xml:space="preserve"> (44-121)</t>
  </si>
  <si>
    <t xml:space="preserve"> (39-59)</t>
  </si>
  <si>
    <t xml:space="preserve"> (17-184)</t>
  </si>
  <si>
    <t xml:space="preserve"> (33-89)</t>
  </si>
  <si>
    <t xml:space="preserve"> (78-164)</t>
  </si>
  <si>
    <t>(38-171)</t>
  </si>
  <si>
    <t xml:space="preserve"> (74-115)</t>
  </si>
  <si>
    <t xml:space="preserve"> (46-154)</t>
  </si>
  <si>
    <t xml:space="preserve"> (26-99)</t>
  </si>
  <si>
    <t xml:space="preserve"> (20-174)</t>
  </si>
  <si>
    <t xml:space="preserve"> (32-122)</t>
  </si>
  <si>
    <t xml:space="preserve"> (13-112)</t>
  </si>
  <si>
    <t xml:space="preserve"> (55-110)</t>
  </si>
  <si>
    <t>(173-194)</t>
  </si>
  <si>
    <t xml:space="preserve"> (95-127)</t>
  </si>
  <si>
    <t xml:space="preserve"> (60-162)</t>
  </si>
  <si>
    <t xml:space="preserve"> (15-149)</t>
  </si>
  <si>
    <t>P.D</t>
  </si>
  <si>
    <t>Ajuste a la TB</t>
  </si>
  <si>
    <t>1.1</t>
  </si>
  <si>
    <t>1.2</t>
  </si>
  <si>
    <t>1.3</t>
  </si>
  <si>
    <t>2A.1</t>
  </si>
  <si>
    <t>2A.2</t>
  </si>
  <si>
    <t>2A.3</t>
  </si>
  <si>
    <t>2B.1</t>
  </si>
  <si>
    <t>2B.2</t>
  </si>
  <si>
    <t>2B.3</t>
  </si>
  <si>
    <t>3.1</t>
  </si>
  <si>
    <t>3.2</t>
  </si>
  <si>
    <t>3.3</t>
  </si>
  <si>
    <t>4A.1</t>
  </si>
  <si>
    <t>4A.2</t>
  </si>
  <si>
    <t>4A.3</t>
  </si>
  <si>
    <t>4B.1</t>
  </si>
  <si>
    <t>4B.2</t>
  </si>
  <si>
    <t>4B.3</t>
  </si>
  <si>
    <t>5.1</t>
  </si>
  <si>
    <t>5.2</t>
  </si>
  <si>
    <t>5.3</t>
  </si>
  <si>
    <t>6A.1</t>
  </si>
  <si>
    <t>6A.2</t>
  </si>
  <si>
    <t>6A.3</t>
  </si>
  <si>
    <t>6B.1</t>
  </si>
  <si>
    <t>6B.2</t>
  </si>
  <si>
    <t>6B.3</t>
  </si>
  <si>
    <t>7.1</t>
  </si>
  <si>
    <t>7.2</t>
  </si>
  <si>
    <t>7.3</t>
  </si>
  <si>
    <t>8A.1</t>
  </si>
  <si>
    <t>8A.2</t>
  </si>
  <si>
    <t>8A.3</t>
  </si>
  <si>
    <t>8B.1</t>
  </si>
  <si>
    <t>8B.2</t>
  </si>
  <si>
    <t>8B.3</t>
  </si>
  <si>
    <t>S.1</t>
  </si>
  <si>
    <t>S.2</t>
  </si>
  <si>
    <t>S.3</t>
  </si>
  <si>
    <t>C.1</t>
  </si>
  <si>
    <t>C.2</t>
  </si>
  <si>
    <t>C.3</t>
  </si>
  <si>
    <t>P.1</t>
  </si>
  <si>
    <t>P.2</t>
  </si>
  <si>
    <t>P.3</t>
  </si>
  <si>
    <t>Conversión de Tasa Base ajustada a percentil para las escalas de patrones de personalidad y sindrome clínico</t>
  </si>
  <si>
    <t>Conversión de puntuaciones directa a Tasa Base para las escalas de patrones de personalidad y sindromes clínico</t>
  </si>
  <si>
    <t>Conversión de puntuación  directa a Tasa Base y Percentil para las facetas de Grossman</t>
  </si>
  <si>
    <t>Conversión de PD a Tasa Base X, Y y Z</t>
  </si>
  <si>
    <t>MCMI *- IV</t>
  </si>
  <si>
    <t>Millon* Clinical Multiaxial Inventory-IV</t>
  </si>
  <si>
    <t>Interpretive Report</t>
  </si>
  <si>
    <t>Theodore Millon, PhD, DSc</t>
  </si>
  <si>
    <t>Nombre:</t>
  </si>
  <si>
    <t>Edad:</t>
  </si>
  <si>
    <t>Sexo:</t>
  </si>
  <si>
    <t>Ambito:</t>
  </si>
  <si>
    <t>Estudios:</t>
  </si>
  <si>
    <t>Región:</t>
  </si>
  <si>
    <t>Estado civil:</t>
  </si>
  <si>
    <t>Fecha de evaluación:</t>
  </si>
  <si>
    <t>Número de C.I:</t>
  </si>
  <si>
    <t>Baremo:</t>
  </si>
  <si>
    <t>Copyright @ 2015 DICANDRIEN, Inc. All rights reserved.</t>
  </si>
  <si>
    <t>TRADE SECRET INFORMATION</t>
  </si>
  <si>
    <t>Not for release under HIPAA or other data disclosure laws that exempt trade secrets from disclosure.</t>
  </si>
  <si>
    <t>[1.0/RE1/QG1]</t>
  </si>
  <si>
    <t>CONVERSIÓN DE PUNTUACIONES DIRECTAS A TASA BASE CON POBLACIÓN ESPAÑOLA</t>
  </si>
  <si>
    <t>A_B</t>
  </si>
  <si>
    <t>A_C</t>
  </si>
  <si>
    <t>E</t>
  </si>
  <si>
    <t>G</t>
  </si>
  <si>
    <t>I</t>
  </si>
  <si>
    <t>J</t>
  </si>
  <si>
    <t>K</t>
  </si>
  <si>
    <t>L</t>
  </si>
  <si>
    <t>M</t>
  </si>
  <si>
    <t>Q</t>
  </si>
  <si>
    <t>U</t>
  </si>
  <si>
    <t>AA</t>
  </si>
  <si>
    <t>Histríonico</t>
  </si>
  <si>
    <t>FACETAS GROSSMAN</t>
  </si>
  <si>
    <t>PUNTUACIONES DE LAS FACETAS DE GROSSMAN
PD
1
2
2
PC
22
20
40
TB
20
30
40
2
1
2
24
20
40
30
15
40
6B
6B.1
6B.2
6B.3
7
7.1
7.2
7.3
Sádico</t>
  </si>
  <si>
    <t>Contenido escaso</t>
  </si>
  <si>
    <t>Temperamentalmente apático</t>
  </si>
  <si>
    <t>Expresivamente precipitado</t>
  </si>
  <si>
    <t>Interpers. desagradable</t>
  </si>
  <si>
    <t>Arquitectura eruptiva</t>
  </si>
  <si>
    <t>Autoimagen alienada</t>
  </si>
  <si>
    <t>Contenido vejatorio</t>
  </si>
  <si>
    <t>Cognitivamente fatalista</t>
  </si>
  <si>
    <t>Autoimagen inútil</t>
  </si>
  <si>
    <t>Temperamentalmente afligido</t>
  </si>
  <si>
    <t>Expresivamente pueril</t>
  </si>
  <si>
    <t>Autoimagen inepta</t>
  </si>
  <si>
    <t>Expresivamente impetuoso</t>
  </si>
  <si>
    <t>Interpers. euforico</t>
  </si>
  <si>
    <t>Autoimagen sobreestimada</t>
  </si>
  <si>
    <t>Interpers. explotador</t>
  </si>
  <si>
    <t>Cognitivamente expansivo</t>
  </si>
  <si>
    <t>Autoimagen admirable</t>
  </si>
  <si>
    <t>Interpers. irresponsable</t>
  </si>
  <si>
    <t>Autoimagen autónoma</t>
  </si>
  <si>
    <t>Dinámicas de irreflexión (paso al acto)</t>
  </si>
  <si>
    <t>Expresivamente disciplinado</t>
  </si>
  <si>
    <t>Cognitivamente constreñido</t>
  </si>
  <si>
    <t>Autoimagen responsable</t>
  </si>
  <si>
    <t>Expresivamente resentido</t>
  </si>
  <si>
    <t>Autoimagen descontenta</t>
  </si>
  <si>
    <t>Temperamentalmente irritable</t>
  </si>
  <si>
    <t>Autoimagen desmerecedora</t>
  </si>
  <si>
    <t>Arquitectura invertida</t>
  </si>
  <si>
    <t>Temperamentalmente disfórico</t>
  </si>
  <si>
    <t>Cognitivamente circunstancial</t>
  </si>
  <si>
    <t>Autoimagen disociada</t>
  </si>
  <si>
    <t>Contenido caótico</t>
  </si>
  <si>
    <t>Autoimagen inestable</t>
  </si>
  <si>
    <t>Arquitectura disgregada</t>
  </si>
  <si>
    <t>Temperamentalmente lábil</t>
  </si>
  <si>
    <t>Expresivamente dramático</t>
  </si>
  <si>
    <t>Interpers. buscador de atención</t>
  </si>
  <si>
    <t>Temperamentalmente inconstante</t>
  </si>
  <si>
    <t>Expresivamente defensivo</t>
  </si>
  <si>
    <t>Cognitivamente desconfiado</t>
  </si>
  <si>
    <t>Esquizotíplco</t>
  </si>
  <si>
    <t>BB</t>
  </si>
  <si>
    <t>DD</t>
  </si>
  <si>
    <t>AAA</t>
  </si>
  <si>
    <t>BBB</t>
  </si>
  <si>
    <t>CCC</t>
  </si>
  <si>
    <t>DDD</t>
  </si>
  <si>
    <t>EEE</t>
  </si>
  <si>
    <t>FFF</t>
  </si>
  <si>
    <t>GGG</t>
  </si>
  <si>
    <t>HHH</t>
  </si>
  <si>
    <t>III</t>
  </si>
  <si>
    <t>JJJ</t>
  </si>
  <si>
    <t>KKK</t>
  </si>
  <si>
    <t>MMM</t>
  </si>
  <si>
    <t>NNN</t>
  </si>
  <si>
    <t>OOO</t>
  </si>
  <si>
    <t>PPP</t>
  </si>
  <si>
    <t>QQQ</t>
  </si>
  <si>
    <t>RRR</t>
  </si>
  <si>
    <t>SSS</t>
  </si>
  <si>
    <t>TTT</t>
  </si>
  <si>
    <t>VVV</t>
  </si>
  <si>
    <t>WWW</t>
  </si>
  <si>
    <t>XXX</t>
  </si>
  <si>
    <t>YYY</t>
  </si>
  <si>
    <t>ZZZ</t>
  </si>
  <si>
    <t>LLL</t>
  </si>
  <si>
    <t>AAAA</t>
  </si>
  <si>
    <t>AAAAA</t>
  </si>
  <si>
    <t>EE</t>
  </si>
  <si>
    <t>FF</t>
  </si>
  <si>
    <t>GG</t>
  </si>
  <si>
    <t>HH</t>
  </si>
  <si>
    <t>II</t>
  </si>
  <si>
    <t>JJ</t>
  </si>
  <si>
    <t>KK</t>
  </si>
  <si>
    <t>LL</t>
  </si>
  <si>
    <t>MM</t>
  </si>
  <si>
    <t>NN</t>
  </si>
  <si>
    <t>OO</t>
  </si>
  <si>
    <t>QQ</t>
  </si>
  <si>
    <t>RR</t>
  </si>
  <si>
    <t>TT</t>
  </si>
  <si>
    <t>UU</t>
  </si>
  <si>
    <t>VV</t>
  </si>
  <si>
    <t>WW</t>
  </si>
  <si>
    <t>XX</t>
  </si>
  <si>
    <t>YY</t>
  </si>
  <si>
    <t>ZZ</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</si>
  <si>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</si>
  <si>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</si>
  <si>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</si>
  <si>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</si>
  <si>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</si>
  <si>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</si>
  <si>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</si>
  <si>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</si>
  <si>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</si>
  <si>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</si>
  <si>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</si>
  <si>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</si>
  <si>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</si>
  <si>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</si>
  <si>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</si>
  <si>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</si>
  <si>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</si>
  <si>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</si>
  <si>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</si>
  <si>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</si>
  <si>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</si>
  <si>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WWWW</t>
  </si>
  <si>
    <t>XXXX</t>
  </si>
  <si>
    <t>YYYY</t>
  </si>
  <si>
    <t>ZZZZ</t>
  </si>
  <si>
    <t>BBBBB</t>
  </si>
  <si>
    <t>CCCCC</t>
  </si>
  <si>
    <t>DDDDD</t>
  </si>
  <si>
    <t>FFFFF</t>
  </si>
  <si>
    <t>HHHHH</t>
  </si>
  <si>
    <t>LLLLL</t>
  </si>
  <si>
    <t>ZZZZZ</t>
  </si>
  <si>
    <t>QQQQQ</t>
  </si>
  <si>
    <t>WWWWW</t>
  </si>
  <si>
    <t>RRRRR</t>
  </si>
  <si>
    <t>TTTTT</t>
  </si>
  <si>
    <t>UUUUU</t>
  </si>
  <si>
    <t>IIIII</t>
  </si>
  <si>
    <t>OOOOO</t>
  </si>
  <si>
    <t>PPPPP</t>
  </si>
  <si>
    <t>JJJJJ</t>
  </si>
  <si>
    <t>AAAAAAA</t>
  </si>
  <si>
    <t>BBBBBB</t>
  </si>
  <si>
    <t>CCCCCC</t>
  </si>
  <si>
    <t>DDDDDD</t>
  </si>
  <si>
    <t>EEEEEE</t>
  </si>
  <si>
    <t>FFFFFF</t>
  </si>
  <si>
    <t>GGGGGG</t>
  </si>
  <si>
    <t>HHHHHH</t>
  </si>
  <si>
    <t>JJJJJJ</t>
  </si>
  <si>
    <t>KKKKKK</t>
  </si>
  <si>
    <t>LLLLLL</t>
  </si>
  <si>
    <t>MMMMMM</t>
  </si>
  <si>
    <t>NNNNNN</t>
  </si>
  <si>
    <t>XXXXXX</t>
  </si>
  <si>
    <t>ZZZZZZ</t>
  </si>
  <si>
    <t>SSSSSS</t>
  </si>
  <si>
    <t>WWWWWW</t>
  </si>
  <si>
    <t>QQQQQQ</t>
  </si>
  <si>
    <t>TTTTTT</t>
  </si>
  <si>
    <t>YYYYYY</t>
  </si>
  <si>
    <t>GGGGGGG</t>
  </si>
  <si>
    <t>GGGGG</t>
  </si>
  <si>
    <t>KKKKK</t>
  </si>
  <si>
    <t>XXXXX</t>
  </si>
  <si>
    <t>BBC</t>
  </si>
  <si>
    <t>CCD</t>
  </si>
  <si>
    <t>DDE</t>
  </si>
  <si>
    <t>AAE</t>
  </si>
  <si>
    <t>RESPUESTAS SIGNIFICATIVAS</t>
  </si>
  <si>
    <t>HP</t>
  </si>
  <si>
    <t>IA</t>
  </si>
  <si>
    <t>EM</t>
  </si>
  <si>
    <t>SP</t>
  </si>
  <si>
    <t>CA</t>
  </si>
  <si>
    <t>EA</t>
  </si>
  <si>
    <t>VP</t>
  </si>
  <si>
    <t>EX</t>
  </si>
  <si>
    <t>AD</t>
  </si>
  <si>
    <t>AS</t>
  </si>
  <si>
    <t>INSTRUCCIONES</t>
  </si>
  <si>
    <t>A continuación figuran frases que pueden describir los sentimientos y actitudes de las personas. Lea cuidadosamente cada frase y responda con la mayor sinceridad posible. No se preocupe si algunas frases le parecen poco frecuentes, describen los sentimientos y actitudes de personas con distintos problemas.</t>
  </si>
  <si>
    <t>RESPONDA CON LA MAYOR SINCERIDAD Y SERIEDAD POSIBLE.</t>
  </si>
  <si>
    <t>DATOS DEL SUJETO</t>
  </si>
  <si>
    <t>/</t>
  </si>
  <si>
    <t xml:space="preserve">Sexo: </t>
  </si>
  <si>
    <t>Seleccione cuáles son los dos problemas que más le preocupan o molestan, escriba el número 1 en la casilla que corresponda a su mayor problema, y el número 2 en la casilla que corresponda a su segundo mayor problema:</t>
  </si>
  <si>
    <t>Conyugal o familiar</t>
  </si>
  <si>
    <t>Cambios de humor</t>
  </si>
  <si>
    <t>Alcohol</t>
  </si>
  <si>
    <t>Comportamiento antisocial</t>
  </si>
  <si>
    <t>Laboral o académico</t>
  </si>
  <si>
    <t>Confianza en mí mismo</t>
  </si>
  <si>
    <t>Drogas</t>
  </si>
  <si>
    <t>Otro</t>
  </si>
  <si>
    <t>Soledad</t>
  </si>
  <si>
    <t>Enfermedad o cansancio</t>
  </si>
  <si>
    <t>Sexualidad</t>
  </si>
  <si>
    <t>DATOS DE LA APLICACIÓN</t>
  </si>
  <si>
    <t>Examinador:</t>
  </si>
  <si>
    <t>Marque la duración del episodio más reciente:</t>
  </si>
  <si>
    <t>Soltero</t>
  </si>
  <si>
    <t>Separado</t>
  </si>
  <si>
    <t>Viviendo en pareja (sin estar casado)</t>
  </si>
  <si>
    <t>Casado</t>
  </si>
  <si>
    <t>Divorciado</t>
  </si>
  <si>
    <t>Casado más de una vez</t>
  </si>
  <si>
    <t>Viudo</t>
  </si>
  <si>
    <t>Paciente ambulatorio sin hospitalización previa</t>
  </si>
  <si>
    <t>Paciente ambulatorio con hospitalización previa</t>
  </si>
  <si>
    <t>Paciente ingresado en hospital psiquiátrico</t>
  </si>
  <si>
    <t>Paciente ingresado en hospital general</t>
  </si>
  <si>
    <t>Paciente en centro penitenciario</t>
  </si>
  <si>
    <t>Paciente en clínica universitaria</t>
  </si>
  <si>
    <t>Proceso Penal</t>
  </si>
  <si>
    <t>&lt; 1 semana</t>
  </si>
  <si>
    <t>1-4 semanas</t>
  </si>
  <si>
    <t>1-3 meses</t>
  </si>
  <si>
    <t>3 meses-1 año</t>
  </si>
  <si>
    <t>1-3 años (cíclico)</t>
  </si>
  <si>
    <t>1-3 años (continuo)</t>
  </si>
  <si>
    <t>3-7 años (cíclico)</t>
  </si>
  <si>
    <t>Más de 7 años</t>
  </si>
  <si>
    <t>No aplicable</t>
  </si>
  <si>
    <t>7 años (continuo)</t>
  </si>
  <si>
    <t>N° de C.I:</t>
  </si>
  <si>
    <t>Varón</t>
  </si>
  <si>
    <t>Mujer</t>
  </si>
  <si>
    <t>Urbano</t>
  </si>
  <si>
    <t>Fecha de aplicación:</t>
  </si>
  <si>
    <t>Población Española</t>
  </si>
  <si>
    <t>Población EEUU</t>
  </si>
  <si>
    <t>SB</t>
  </si>
  <si>
    <t xml:space="preserve">Fecha de nacimiento : </t>
  </si>
  <si>
    <t>Edgar Espinoza Jimenez</t>
  </si>
  <si>
    <t>El MCMI-IV se ha diseñado para evaluar a adultos que buscan atención o tratamiento psicológico. No es, por tanto, un instrumento de evaluación de la personalidad general para población no clínica. Por ello, solo debe utilizarse el MCMI-IV con poblaciones que no difieran notablemente de los sujetos de la muestra en la que se basan los baremos (p. ej., no es apropiado para adolescentes o poblaciones no clínicas). El informe del MCMI-IV no puede interpretarse de forma aislada y debe integrarse con otras fuentes de información. La interpretación del MCMI-IV la debe llevar a cabo un profesional de la salud mental con experiencia en evaluación psicológica.</t>
  </si>
  <si>
    <t>PATRONES DE PERSONALIDAD</t>
  </si>
  <si>
    <t>Los siguientes apartados se refieren a los rasgos de personalidad persistentes y generalizados que subyacen a las dificultades emocionales, cognitivas e interpersonales de este evaluado(a). En lugar de centrarse en los síntomas mayormente transitorios que conforman los síndromes clínicos, esta sección se concentra en sus estilos más habituales y desadaptativos de relacionarse, comportarse, pensar y sentir.</t>
  </si>
  <si>
    <t>ASPECTOS DE INTERPRETACIÓN</t>
  </si>
  <si>
    <t>conyugal o familiar</t>
  </si>
  <si>
    <t>cambios de humor</t>
  </si>
  <si>
    <t>alcohol</t>
  </si>
  <si>
    <t>comportamiento antisocial</t>
  </si>
  <si>
    <t>laboral o académico</t>
  </si>
  <si>
    <t>confianza en mí mismo</t>
  </si>
  <si>
    <t>drogas</t>
  </si>
  <si>
    <t>soledad</t>
  </si>
  <si>
    <t>enfermedad o cansancio</t>
  </si>
  <si>
    <t>sexualidad</t>
  </si>
  <si>
    <t>Interpers. Desvinculado</t>
  </si>
  <si>
    <t>Interpers. Aversivo</t>
  </si>
  <si>
    <t>Interpers. Sumiso</t>
  </si>
  <si>
    <t>SÍNDROMES CLÍNICOS</t>
  </si>
  <si>
    <t>CONSIDERACIONES DIAGNÓSTICAS DSM-5®</t>
  </si>
  <si>
    <t>Síndromes Clínicos</t>
  </si>
  <si>
    <t>Trastornos</t>
  </si>
  <si>
    <t xml:space="preserve">Codigo DSM 5 ® </t>
  </si>
  <si>
    <t>Trastorno de la personalidad esquizoide</t>
  </si>
  <si>
    <t>Trastorno de la personalidad evitativa</t>
  </si>
  <si>
    <t>Otro trastorno de la personalidad especificado (Patrón Melancólico)</t>
  </si>
  <si>
    <t>Trastorno de la personalidad dependiente</t>
  </si>
  <si>
    <t>Trastorno de la personalidad histriónica</t>
  </si>
  <si>
    <t>Otro trastorno de la personalidad especificado (Patrón Tempestuoso)</t>
  </si>
  <si>
    <t>Trastorno de la personalidad narcisista</t>
  </si>
  <si>
    <t>Trastorno de la personalidad antisocial</t>
  </si>
  <si>
    <t>Otro trastorno de la personalidad especificado (Patrón Sádico)</t>
  </si>
  <si>
    <t>Trastorno de la personalidad obsesivo-compulsiva</t>
  </si>
  <si>
    <t>Otro trastorno de la personalidad especificado (Patrón Negativista)</t>
  </si>
  <si>
    <t>Otro trastorno de la personalidad especificado (Patrón Masoquista)</t>
  </si>
  <si>
    <t>Trastorno de la personalidad esquizotípica</t>
  </si>
  <si>
    <t>Trastorno de la personalidad límite</t>
  </si>
  <si>
    <t>Trastorno de la personalidad paranoide</t>
  </si>
  <si>
    <t>Trastorno de ansiedad generalizada</t>
  </si>
  <si>
    <t>Trastorno de síntomas somáticos</t>
  </si>
  <si>
    <t>Trastorno de estrés postraumático</t>
  </si>
  <si>
    <t>Trastorno de depresión mayor</t>
  </si>
  <si>
    <t>Trastorno bipolar</t>
  </si>
  <si>
    <t>Trastorno depresivo persistente (Distimia)</t>
  </si>
  <si>
    <t>Trastorno por consumo de alcohol</t>
  </si>
  <si>
    <t>Trastorno por consumo de sustancias</t>
  </si>
  <si>
    <t>Esquizofrenia</t>
  </si>
  <si>
    <t>Trastorno delirante</t>
  </si>
  <si>
    <t>301.0 (F60.0)</t>
  </si>
  <si>
    <t xml:space="preserve"> 301.20 (F60.1)</t>
  </si>
  <si>
    <t xml:space="preserve">301.22 (F21) </t>
  </si>
  <si>
    <t>301.7 (F60,2)</t>
  </si>
  <si>
    <t>301.83 (F60.3)</t>
  </si>
  <si>
    <t>301.50 (F60.4)</t>
  </si>
  <si>
    <t>301.81 (F60.81)</t>
  </si>
  <si>
    <t>301.82 (F60.6)</t>
  </si>
  <si>
    <t>301.6 (F60.7)</t>
  </si>
  <si>
    <t>301.4 (F60.5)</t>
  </si>
  <si>
    <t xml:space="preserve">301.89 (F60.89) </t>
  </si>
  <si>
    <t>300.02 (F41.1)</t>
  </si>
  <si>
    <t>300.82 (F45.1)</t>
  </si>
  <si>
    <t>300.4 (F34.1)</t>
  </si>
  <si>
    <t>296.43 (F31.13)</t>
  </si>
  <si>
    <t>296.23 (F32.2)</t>
  </si>
  <si>
    <t>309.81 (F43.10)</t>
  </si>
  <si>
    <t>303.90 (F10.20)</t>
  </si>
  <si>
    <t>304.30 (F12.20)</t>
  </si>
  <si>
    <t>297.1 (F22)</t>
  </si>
  <si>
    <t>295.90 (F20.9)</t>
  </si>
  <si>
    <t>La sintomatología reportada y las conductas de la persona evaluada, son consistentes con los siguientes síndromes clínicos, enumerados según su relevancia.</t>
  </si>
  <si>
    <t>Trastornos de la personalidad</t>
  </si>
  <si>
    <t>Los patrones duraderos y consistentes de funcionamiento psicológico desadaptativo explican la forma en que la persona percibe la realidad, se relaciona con los demás y regula sus emociones. Estos rasgos conforman la base estructural de su modo de ser y están en el origen de las manifestaciones clínicas observadas. En este caso, los siguientes prototipos de personalidad se relacionan con los diagnósticos más probables del DSM-5.</t>
  </si>
  <si>
    <t>Trastorno de personalidad</t>
  </si>
  <si>
    <t>Tipo de personalidad</t>
  </si>
  <si>
    <t>Estilo de personalidad</t>
  </si>
  <si>
    <t>Tipo de personalidad esquizoide</t>
  </si>
  <si>
    <t>Tipo de personalidad evitativa</t>
  </si>
  <si>
    <t>Tipo de personalidad especificado (Patrón Melancólico)</t>
  </si>
  <si>
    <t>Tipo de personalidad dependiente</t>
  </si>
  <si>
    <t>Tipo de personalidad histriónica</t>
  </si>
  <si>
    <t>Tipo de personalidad especificado (Patrón Tempestuoso)</t>
  </si>
  <si>
    <t>Tipo de personalidad narcisista</t>
  </si>
  <si>
    <t>Tipo de personalidad antisocial</t>
  </si>
  <si>
    <t>Tipo de personalidad especificado (Patrón Sádico)</t>
  </si>
  <si>
    <t>Tipo de personalidad obsesivo-compulsiva</t>
  </si>
  <si>
    <t>Tipo de personalidad especificado (Patrón Negativista)</t>
  </si>
  <si>
    <t>Tipo de personalidad especificado (Patrón Masoquista)</t>
  </si>
  <si>
    <t>Estilo de personalidad esquizoide</t>
  </si>
  <si>
    <t>Estilo de personalidad evitativa</t>
  </si>
  <si>
    <t>Estilo de personalidad especificado (Patrón Melancólico)</t>
  </si>
  <si>
    <t>Estilo de personalidad dependiente</t>
  </si>
  <si>
    <t>Estilo de personalidad histriónica</t>
  </si>
  <si>
    <t>Estilo de  personalidad especificado (Patrón Tempestuoso)</t>
  </si>
  <si>
    <t>Estilo de personalidad narcisista</t>
  </si>
  <si>
    <t>Estilo de personalidad antisocial</t>
  </si>
  <si>
    <t>Estilo de personalidad especificado (Patrón Sádico)</t>
  </si>
  <si>
    <t>Estilo de personalidad obsesivo-compulsiva</t>
  </si>
  <si>
    <t>Estilo de personalidad especificado (Patrón Negativista)</t>
  </si>
  <si>
    <t>Estilo de personalidad especificado (Patrón Masoquista)</t>
  </si>
  <si>
    <t>Fin del informe</t>
  </si>
  <si>
    <t>Copyright @ 2020 DICANDRIEN, Inc. All rights reserved.</t>
  </si>
  <si>
    <t>Las siguientes asignaciones diagnósticas deben considerarse juicios de prototipos clínicos y de personalidad que corresponden conceptualmente a categorías diagnósticas formales. Los criterios diagnósticos y los ítems utilizados en el MCMI-IV difieren en cierta medida de los del DSM-5, pero existen suficientes paralelismos en los ítems del MCMI-IV para recomendar la consideración de las siguientes asignaciones. Es importante señalar que varios síndromes clínicos del DSM-5 no se evalúan en el MCMI-IV. Los diagnósticos definitivos deben fundamentarse en datos biográficos, de observación y de entrevista, además de los inventarios de autoinforme como el MCMI-IV.
Antes del nombre de cada trastorno, se presentan los códigos del CIE-9-MC, seguidos de los códigos del CIE-10-MC entre paréntesis</t>
  </si>
  <si>
    <r>
      <rPr>
        <b/>
        <sz val="10"/>
        <color theme="1"/>
        <rFont val="Daytona"/>
        <family val="2"/>
      </rPr>
      <t xml:space="preserve">Pearson, </t>
    </r>
    <r>
      <rPr>
        <sz val="10"/>
        <color theme="1"/>
        <rFont val="Daytona"/>
        <family val="2"/>
      </rPr>
      <t>the PSI logo, and PsychCorp are trademarks in the U.S. and/or other countries of Pearson Education, Inc., or its affiliate(s). MCMI</t>
    </r>
  </si>
  <si>
    <r>
      <t>and MIllon are registered trademarks of DICANDRIEN, Inc</t>
    </r>
    <r>
      <rPr>
        <b/>
        <sz val="10"/>
        <color theme="1"/>
        <rFont val="Daytona"/>
        <family val="2"/>
      </rPr>
      <t>. DSM-5</t>
    </r>
    <r>
      <rPr>
        <sz val="10"/>
        <color theme="1"/>
        <rFont val="Daytona"/>
        <family val="2"/>
      </rPr>
      <t xml:space="preserve"> is a registered trademark of the American Psychiatric Association.</t>
    </r>
  </si>
  <si>
    <t>Tipo de personalidad Esquizotípico</t>
  </si>
  <si>
    <t>Tipo de personalidad Límite</t>
  </si>
  <si>
    <t>Tipo de personalidad Paranoide</t>
  </si>
  <si>
    <t>Estilo de personalidad Esquizotípico</t>
  </si>
  <si>
    <t>Estilo de personalidad Límite</t>
  </si>
  <si>
    <t>Estilo de personalidad Paranoide</t>
  </si>
  <si>
    <t>sin estudios</t>
  </si>
  <si>
    <t>educación primaria</t>
  </si>
  <si>
    <t>educación secundaria</t>
  </si>
  <si>
    <t>bachillerato superior o formación profesional</t>
  </si>
  <si>
    <t>diplomatura, licenciatura o titulaciones superiores</t>
  </si>
  <si>
    <t>Los síndromes clínicos que se presentan deben entenderse como trastornos integrados en el contexto de los patrones de personalidad del evaluado. Estos síndromes representan estados en los que se manifiesta un proceso patológico activo, a menudo acelerado por acontecimientos externos o situaciones estresantes. Clínicamente, estos síndromes se consideran ampliaciones o distorsiones del estilo básico de personalidad. Durante los periodos de malestar psicológico, los síndromes clínicos exageran, realzan y acentúan las características de la estructura de personalidad básica.</t>
  </si>
  <si>
    <t>Turn #</t>
  </si>
  <si>
    <t>Date</t>
  </si>
  <si>
    <t>User Request</t>
  </si>
  <si>
    <t>Action Taken</t>
  </si>
  <si>
    <t>Details</t>
  </si>
  <si>
    <t>Outcome</t>
  </si>
  <si>
    <t>FACETAS DE GROSSMAN CON LA PUNTUACIÓN MAS ALTA</t>
  </si>
  <si>
    <t>Dinámicas de proyección</t>
  </si>
  <si>
    <t>Ha respondido a los siguientes ítems en el sentido indicado entre paréntesis. Estos ítems pertenecen a categorías específicas y sugieren problemas que el profesional puede analizar en mayor profundidad.</t>
  </si>
  <si>
    <r>
      <t xml:space="preserve">Si esta de acuerdo con una frase o cree que le describe, marque en la casilla </t>
    </r>
    <r>
      <rPr>
        <b/>
        <sz val="11"/>
        <color theme="1"/>
        <rFont val="Daytona"/>
        <family val="2"/>
      </rPr>
      <t>V</t>
    </r>
    <r>
      <rPr>
        <sz val="11"/>
        <color theme="1"/>
        <rFont val="Daytona"/>
        <family val="2"/>
      </rPr>
      <t xml:space="preserve"> </t>
    </r>
    <r>
      <rPr>
        <b/>
        <sz val="11"/>
        <color theme="1"/>
        <rFont val="Daytona"/>
        <family val="2"/>
      </rPr>
      <t>(Verdadero)</t>
    </r>
    <r>
      <rPr>
        <sz val="11"/>
        <color theme="1"/>
        <rFont val="Daytona"/>
        <family val="2"/>
      </rPr>
      <t xml:space="preserve">.Si no está de acuerdo con una frase o cree que no le describe, marque con una «X» la casilla </t>
    </r>
    <r>
      <rPr>
        <b/>
        <sz val="11"/>
        <color theme="1"/>
        <rFont val="Daytona"/>
        <family val="2"/>
      </rPr>
      <t>F (Falso)</t>
    </r>
    <r>
      <rPr>
        <sz val="11"/>
        <color theme="1"/>
        <rFont val="Daytona"/>
        <family val="2"/>
      </rPr>
      <t xml:space="preserve">. Intente responder a todas las frases, aunque no esté seguro de su respuesta. Si después de intentarlo no es capaz de decidir su respuesta, marque en la casilla </t>
    </r>
    <r>
      <rPr>
        <b/>
        <sz val="11"/>
        <color theme="1"/>
        <rFont val="Daytona"/>
        <family val="2"/>
      </rPr>
      <t>F</t>
    </r>
    <r>
      <rPr>
        <sz val="11"/>
        <color theme="1"/>
        <rFont val="Daytona"/>
        <family val="2"/>
      </rPr>
      <t xml:space="preserve"> </t>
    </r>
    <r>
      <rPr>
        <b/>
        <sz val="11"/>
        <color theme="1"/>
        <rFont val="Daytona"/>
        <family val="2"/>
      </rPr>
      <t>(Falso)</t>
    </r>
    <r>
      <rPr>
        <sz val="11"/>
        <color theme="1"/>
        <rFont val="Daytona"/>
        <family val="2"/>
      </rPr>
      <t>. No hay un límite de tiempo para responder, pero lo mejor es hacerlo tan rápidamente como le resulte cómodo.</t>
    </r>
  </si>
  <si>
    <t>Al examinar las puntuaciones elevadas obtenidas en las escalas de patrones de personalidad clínicos y de patología grave de la personalidad de la Escala de Facetas de Grossman, es posible identificar los ámbitos funcionales y estructurales más problemáticos o clínicamente significativos (por ejemplo, la autoimagen o la conducta interpersonal). Un análisis minucioso de las puntuaciones de esta persona en las escalas de facetas sugiere que las siguientes características se encuentran entre sus rasgos de personalidad más destacados.</t>
  </si>
  <si>
    <t>ESCALAS DE FACETAS DE GROSSMAN</t>
  </si>
  <si>
    <t>AUXILIARES — IDENTIFICACIÓN DINÁMICA DE ESCALAS</t>
  </si>
  <si>
    <t>Esc 1ª (código):</t>
  </si>
  <si>
    <t>Esc 1ª (TB):</t>
  </si>
  <si>
    <t>Esc 2ª (código):</t>
  </si>
  <si>
    <t>Esc 2ª (TB):</t>
  </si>
  <si>
    <t>Esc 3ª (código):</t>
  </si>
  <si>
    <t>Esc 3ª (TB):</t>
  </si>
  <si>
    <t>Máx S/C/P (TB):</t>
  </si>
  <si>
    <t>Grave dominante:</t>
  </si>
  <si>
    <t>Nº esc ≥ 75:</t>
  </si>
  <si>
    <t>Nº esc ≥ 60:</t>
  </si>
  <si>
    <t>Patón clín 1ª (cód):</t>
  </si>
  <si>
    <t>Patón clín 1ª (TB):</t>
  </si>
  <si>
    <t>Patón clín 2ª (cód):</t>
  </si>
  <si>
    <t>Patón clín 2ª (TB):</t>
  </si>
  <si>
    <t>Patón clín 3ª (cód):</t>
  </si>
  <si>
    <t>Patón clín 3ª (TB):</t>
  </si>
  <si>
    <t>Internalizar estilo Millon a partir de 5 capítulos del manual MCMI-IV.</t>
  </si>
  <si>
    <t>Lectura completa de los 5 capítulos del manual.</t>
  </si>
  <si>
    <t>Capturado vocabulario, conectores, adjetivos prototipicos por escala, niveles de gravedad TB (&lt;60/60-74/75-84/85+), prioridad de S/C/P, dominios funcionales y estructurales, polaridades.</t>
  </si>
  <si>
    <t>Estilo internalizado y listo para aplicarse en redacción de fórmulas interpretativas.</t>
  </si>
  <si>
    <t>Confirmar puntos de corte TB y reglas de priorización de patología grave.</t>
  </si>
  <si>
    <t>Resumen documentado de cortes TB y reglas para S/C/P.</t>
  </si>
  <si>
    <t>&lt;60 no interpretable; 60-74 estilo; 75-84 tipo; 85+ trastorno. S/C/P interpretadas primero; matizan si 60-74 y no son la más alta; cuadro nuclear si ≥85.</t>
  </si>
  <si>
    <t>Reglas confirmadas con usuario; estructura de datos identificada (I27:I42 TBs, F27:F42 códigos, S27:S42 clave compuesta).</t>
  </si>
  <si>
    <t>Construir fórmula interpretativa extensa (500-700 palabras) para B161 Patrones de Personalidad.</t>
  </si>
  <si>
    <t>Sistema de 4 megafórmulas + 16 auxiliares de identificación dinámica.</t>
  </si>
  <si>
    <t>Auxiliares AQ181:AQ196 detectan 1ª/2ª/3ª escala más alta y máxima patología grave. Megafórmulas en AR181/AR184/AR187/AR193: apertura+S/C/P, patrón clínico principal con dominios, escalas secundarias, cierre con círculos viciosos. B161 = TRIM(AR181&amp;AR184&amp;AR187&amp;AR193). Estrategia de SI concatenados (no anidados) evita límite de profundidad. Funciones en inglés (Office.js no admite español).</t>
  </si>
  <si>
    <t>Texto interpretativo generado: 564 palabras, prosa continua, estilo Millon coherente. Verificado con perfil actual (P=85 Paranoide nuclear, 4B=71 Tempestuoso premorbido, 5=71 Narcisista coexistente, 1=65 Esquizoide acompañante).</t>
  </si>
  <si>
    <t>Refinar texto con redacción y tono literal del autor Millon.</t>
  </si>
  <si>
    <t>Reescritura de las 4 megafórmulas incorporando frases textuales del manual.</t>
  </si>
  <si>
    <t>AR181/AR184/AR185/AR187/AR189/AR193 actualizadas. B161=TRIM(AR181&amp;AR184&amp;AR185&amp;AR187&amp;AR189&amp;AR193). Frases textuales: 'reflejan un deterioro gradual y lento', 'frecuentes pero generalmente reversibles episodios psicóticos', 'tendencia a inmovilizar y restringir', 'patogenicos en sí mismos', 'restricción protectora, distorsión cognitiva y sobregeneralización', 'iniciativas y reacciones proporcionales y adecuadas', 'minimizan la incompatibilidad entre las necesidades del organismo y la presión del entorno'. Reajustadas referencias AQ181-AQ200 tras inserción de filas del usuario. Auxiliares ampliados a top-5 para capturar 3ª escala secundaria (TB=65 Esquizoide). Conector adaptativo: 'Sobre este armazon nuclear se manifiesta como patron clinico premorbido' si grave≥85, sino 'Como configuracion principal del estilo basico emerge'. Corregido 'revela' y 'muy alegres'.</t>
  </si>
  <si>
    <t>B161: 706 palabras, sin palabras prohibidas, tónica Millon con citas literales. Configuración actual: Paranoide nuclear + Tempestuoso premorbido + Narcisista junto con + Esquizoide acompañado de.</t>
  </si>
  <si>
    <t>Filtrar: solo analizar 3 puntajes más altos con TB≥60, respetando prioridad de patologías graves.</t>
  </si>
  <si>
    <t>Aplicado filtro estricto en AR189, AR190, AR192 y AR194.</t>
  </si>
  <si>
    <t>Regla implementada: (1) toda escala con TB&lt;60 se omite; (2) tope absoluto de 3 escalas en el análisis; (3) si hay grave nuclear (S/C/P≥60), ocupa slot 1 y limita a 2 clínicas adicionales máximo; (4) AR194 (3ª clínica con 'acompañado de') ya no se muestra cuando hay grave nuclear, porque el tope está lleno. Tras desplazamiento de filas 168:172, auxiliares quedaron en AQ186-AQ200 (B161 ajustó referencias automáticamente).</t>
  </si>
  <si>
    <t>B161: 685 palabras, ya no menciona Esquizoide (TB=65 era top-4, quedó fuera del tope). Configuración actual: Paranoide nuclear, Tempestuoso premorbido, Narcisista junto con. Sin palabras prohibidas.</t>
  </si>
  <si>
    <t>Reducir la introducción teórica del texto interpretativo (era muy larga).</t>
  </si>
  <si>
    <t>Recortada AR186: eliminados los bloques sobre polaridades placer-dolor/activo-pasivo/uno mismo-otros, deficits de polaridades y diferenciación con escalas graves.</t>
  </si>
  <si>
    <t>AR186 redujo de ~1100 a ~280 caracteres en la apertura (3163→2235 chars total). Conserva: 1 oración introductoria + análisis del cuadro grave nuclear con descripcion completa segun escala (S/C/P) y nivel TB. El texto ahora entra directo en la lectura del perfil, sin el marco teórico extenso.</t>
  </si>
  <si>
    <t>B161: 553 palabras (antes 685). Tonica Millon conservada. Configuracion: Paranoide nuclear, Tempestuoso premorbido, Narcisista junto con.</t>
  </si>
  <si>
    <t>Agregar breve introducción inicial al texto.</t>
  </si>
  <si>
    <t>Añadida frase de apertura en AR186.</t>
  </si>
  <si>
    <t>Apertura: 'De acuerdo con los resultados del reporte de la persona evaluada, esta manifiesta patrones de personalidad cuya configuracion se describe a continuacion.' Sigue conectando directamente con el cuadro grave nuclear.</t>
  </si>
  <si>
    <t>B161: 319 palabras. Apertura concisa + analisis directo del perfil.</t>
  </si>
  <si>
    <t>Aplicar toque de redacción del autor original Millon.</t>
  </si>
  <si>
    <t>Reescritas AR186, AR189, AR190, AR192, AR198 con sintaxis y léxico Millon.</t>
  </si>
  <si>
    <t>Léxico Millon: 'configuracion personologica', 'rasgos arraigados', 'sustrato nuclear', 'alberga', 'se entrelazan', 'se traducen en', 'constructos que covarian', 'al margen de la conciencia', 'a la manera de'. Sintaxis Millon: oraciones largas concatenadas con 'asimismo', 'en tanto que', 'en la medida en que', 'no obstante', 'por consiguiente', 'todo lo cual', 'dada la capacidad que tiene de'. Modulacion matizada: 'tiende a', 'parece', 'puede experimentar'.</t>
  </si>
  <si>
    <t>B161: 426 palabras. Tonica autentica del autor original conservada. Configuracion: Paranoide nuclear, Tempestuoso premorbido, Narcisista junto con. Sin palabras prohibidas.</t>
  </si>
  <si>
    <t>Usuario observó que 'armazón' no es léxico auténtico de Millon.</t>
  </si>
  <si>
    <t>Verificado en manual: 'armazón' aparece solo 1 vez, en contexto especifico (arquitectura intrapsíquica). Reemplazado por léxico autentico.</t>
  </si>
  <si>
    <t>AR186: 'configura el armazon nuclear del perfil' -&gt; 'organiza la lectura del resto del perfil'. AR189: 'Sobre este sustrato nuclear se manifiesta' -&gt; 'Sobre esta configuracion nuclear se manifiesta'. Mantenido 'configuracion nuclear' que si es lexico Millon.</t>
  </si>
  <si>
    <t>B161: 425 palabras, sin 'armazon' ni 'sustrato'. Lexico Millon depurado.</t>
  </si>
  <si>
    <t>Verificar que las categorías TB (60-74 estilo / 75-84 tipo / 85-115 trastorno) se apliquen correctamente.</t>
  </si>
  <si>
    <t>Auditadas y corregidas todas las megaformulas para diferenciar estilo/tipo/trastorno según TB.</t>
  </si>
  <si>
    <t>AR186 (grave nuclear) ANTES: solo describía con detalle si TB&gt;=85 y no usaba descriptores estilo/tipo/trastorno. AHORA: TB&gt;=85 'alcanza el nivel propio de un trastorno', 75-84 'alcanza un nivel clínicamente significativo, propio de un tipo de personalidad', 60-74 'se sitúa en el rango de un estilo de personalidad y matiza'. AR189/AR190 (clínico principal) ya distinguía los 3 niveles correctamente. AR192 (2a escala) ANTES: 'rasgos de tipo X' sin diferenciar gravedad. AHORA: 'rasgos propios de un trastorno/tipo/estilo' según AQ189. AR194 (3a escala) corregido igual.</t>
  </si>
  <si>
    <t>B161: 446 palabras. Las 3 categorías TB del MCMI-IV se aplican uniformemente en todas las escalas. Verificado con perfil actual: Paranoide TB=85 'trastorno', Tempestuoso TB=71 'estilo', Narcisista TB=71 'estilo'.</t>
  </si>
  <si>
    <t>Construir sistema interpretativo de Facetas de Grossman (B186).</t>
  </si>
  <si>
    <t>Sistema con auxiliares AR201-AR210 + 5 megaformulas AR211-AR216.</t>
  </si>
  <si>
    <t>AR201-AR209: codigo de faceta si TB&gt;=75, sino vacio. AR210: conteo de facetas significativas. AR211: apertura (cambia segun si hay facetas significativas o no). AR212: descriptores facetas escalas 1, 2A, 2B, 3. AR213: facetas 4A, 4B, 5, 6A. AR214: facetas 6B, 7, 8A, 8B. AR215: facetas S, C, P. AR216: cierre. B186=TRIM(AR211&amp;AR212&amp;AR213&amp;AR214&amp;AR215&amp;AR216). Filtro doble: escala madre TB&gt;=60 (ya filtrado por F71/F75/F79) Y faceta TB&gt;=75. Descripciones literales del Cap 1 del manual MCMI-IV.</t>
  </si>
  <si>
    <t>B186: 231 palabras. Facetas significativas detectadas: 4B.1 Expresivamente impetuoso, 5.3 Autoimagen admirable, 1.1 Interpersonalmente desvinculado. Sin palabras prohibidas. Sujeto = el evaluado(a).</t>
  </si>
  <si>
    <t>Las fórmulas de facetas no incluían las escalas de patología grave; deberían priorizarlas como en B161.</t>
  </si>
  <si>
    <t>Corregidas F71/F75/F79 y B71/B75/B79 para incluir las 15 escalas (patrones clínicos + patología grave).</t>
  </si>
  <si>
    <t>ANTES: las fórmulas usaban LARGE(UNIQUE(S27:S38),...) y INDEX(F27:F38,...) que excluian las filas 40, 41, 42 donde estan S, C, P. AHORA: usan LARGE(S27:S42,...) y INDEX(F27:F42,...) / INDEX(B27:B42,...) que incluyen las 3 escalas graves. Esto se aplica tanto a F71/F75/F79 (codigos) como B71/B75/B79 (nombres) que son los que usan las columnas Z/AA/AB para filtrar las facetas. Corregido tambien 'extremada' -&gt; 'acentuada' en P.1 (AR217).</t>
  </si>
  <si>
    <t>B186: 346 palabras, ahora muestra correctamente Paranoide TB=85 como prioritaria con sus 3 facetas significativas (P.1=75, P.2=75, P.3=89) + Tempestuoso 4B.1=75 + Narcisista 5.3=75. Sin palabras prohibidas. La logica de las facetas ahora respeta la priorizacion de patologia grave como B161.</t>
  </si>
  <si>
    <t>Sistema de facetas debe leer directamente las TB de I72:I82, con prioridad de patología grave.</t>
  </si>
  <si>
    <t>Refactorizados auxiliares: AR203-AR211 leen I72-I82 directamente (sin pasar por COUNTIF sobre códigos). Reordenada B186 para priorizar facetas de patología grave.</t>
  </si>
  <si>
    <t>AR203:AR211 = IF(I{72-82}&gt;=75, F{72-82}, ''). AR212 = COUNTIF para contar significativas. Las megaformulas AR214/AR215/AR216/AR217 leen AR203:AR211 con COUNTIF y devuelven descriptor si la faceta esta presente. B186 reordenada: TRIM(AR213&amp;AR217&amp;AR214&amp;AR215&amp;AR216&amp;AR218) - primero apertura, luego facetas S/C/P (grave), luego facetas clinicas 1-8B, luego cierre.</t>
  </si>
  <si>
    <t>B186: 346 palabras, orden coherente con B161: P.1 -&gt; P.2 -&gt; P.3 (Paranoide nuclear) -&gt; 4B.1 (Tempestuoso premorbido) -&gt; 5.3 (Narcisista). Sin palabras prohibidas.</t>
  </si>
  <si>
    <t>Construir sistema interpretativo de Síndromes Clínicos en B203, máximo 3 elevados.</t>
  </si>
  <si>
    <t>Sistema con auxiliares AR225-AR240 y megafórmulas AR241-AR245.</t>
  </si>
  <si>
    <t>AR225-AR230: top-3 sindromes por LARGE(S47:S57). AR231-AR232: sindrome grave más elevado (SS/CC/PP). AR233: total con TB&gt;=60. AR234: deteccion 'doble depresion' (CC&gt;=75 AND D&gt;=75). AR235-AR240: slots reordenados priorizando sindromes graves al frente. AR241: apertura. AR242/AR243/AR244: descripcion de cada slot con descriptor estilo/tipo/trastorno por TB (sugerente/presente/prominente). AR245: cierre con nota de doble depresion + contextualizacion como ampliacion del patron premorbido. B203=TRIM(AR241&amp;AR242&amp;AR243&amp;AR244&amp;AR245).</t>
  </si>
  <si>
    <t>B203: 308 palabras. Orden: CC (Depresion mayor TB=78, grave) primero, luego D (Depresion persistente TB=80), luego B (Consumo de alcohol TB=75). Detecta doble depresion. Cierre conecta con patrones de personalidad. Sin palabras prohibidas.</t>
  </si>
  <si>
    <t>Aplicar tono Millon literal a B203 y revisar categorias TB de sindromes (60-74 no se interpreta, 75-84 presente, 85+ prominente).</t>
  </si>
  <si>
    <t>Reescritos AR241 (apertura), AR242-AR244 (slots) y AR245 (cierre). Filtro estricto TB&gt;=75.</t>
  </si>
  <si>
    <t>Eliminado descriptor 'sugerente' que aparecía con TB 60-74; ahora solo se interpretan sindromes con TB&gt;=75. Descriptores literales del Cap 1 del manual: 'molestias fisicas mal definidas-sudoracion excesiva-nauseas', 'deterioro motor o inquietud incesante con lamentos sobre su deplorable estado', 'expresiones frecuentes de inutilidad y comentarios autodenigrantes', etc. Apertura incorpora frase Millon literal: 'durante los periodos de malestar psicologico exageran, realzan y acentuan las caracteristicas mas triviales del patron premorbido'. AR233 recalculado a COUNTIF &gt;=75.</t>
  </si>
  <si>
    <t>B203: 423 palabras. CC=78 'sindrome clinico grave presente', D=80 'sindrome presente', B=75 'sindrome presente'. Doble depresion detectada. Sin palabras prohibidas. Tono Millon literal.</t>
  </si>
  <si>
    <t>Revisar los 5 capítulos del manual MCMI-IV para asimilar conceptos, terminología, evaluación de escalas, estilo de redacción y conectores del autor.</t>
  </si>
  <si>
    <t>Lectura integral y sistemática de los 5 capítulos transcritos (37,416 palabras). Internalización del marco conceptual completo, no se realizaron escrituras al modelo.</t>
  </si>
  <si>
    <t>Cap 1 (Introducción): 25 escalas (V/W/X/Y/Z + 12 patrones clínicos 1-8B + 3 patología grave S/C/P + 7 síndromes A/H/N/D/B/T/R + 3 síndromes graves SS/CC/PP) + 45 facetas de Grossman (3 por cada patrón clínico y de patología grave). Descriptores literales por escala. Cap 2: aplicación, corrección, ajustes por escalas X/A/CC, tasas base, percentiles, criterios de inválidez. Cap 3: teoría evolutiva de Millon - 3 polaridades (existencia placer-dolor, adaptación pasivo-activo, replicación uno mismo-otros) + Tabla 3.1 tres niveles funcionales (estilo normal/tipo anormal/trastorno clínico) + Tabla 3.3 matriz 8x15 dominios funcionales (expresión emocional, comportamiento interpersonal, estilo cognitivo, dinámicas intrapsíquicas) y estructurales (autoimagen, contenido intrapsíquico, arquitectura intrapsíquica, estado de ánimo/temperamento). Cap 4: proceso interpretativo en 3 fases - Fase 1 validez y estilo de respuesta, Fase 2 análisis por separado y configuración (prioridad S/C/P, luego patrones clínicos 1-8B, luego facetas Grossman, luego síndromes), Fase 3 integración con historial psicosocial. Cortes TB: &lt;60 no interpretable, 60-74 estilo, 75-84 tipo, 85+ trastorno (para personalidad); 60-74 sugerente, 75-84 presente, 85+ prominente (para síndromes). Curvilinearidad de escalas 4A, 5 y 7 (pueden reflejar puntos fuertes). Cap 5: desarrollo del instrumento, ítems prototípicos con peso 2 y no prototípicos con peso 1, baremos. Vocabulario asimilado: 'configuración', 'sustrato', 'matriz', 'covarianza', 'inmunológico', 'patogénico', 'círculos viciosos', 'retroalimentación positiva', 'inflexibilidad adaptativa', 'estabilidad frágil ante el estrés', 'descompensarse', 'estadios patológicos', 'premórbido', 'rasgos arraigados', 'representaciones interiorizadas'. Conectores Millon: 'asimismo', 'por consiguiente', 'no obstante', 'en la medida en que', 'dado que', 'en tanto que', 'todo lo cual', 'al mismo tiempo', 'a diferencia de', 'cuando esto sucede', 'por otra parte'.</t>
  </si>
  <si>
    <t>Marco conceptual del MCMI-IV plenamente internalizado: las 25 escalas, las 45 facetas, las 3 polaridades evolutivas, los 8 dominios, los 3 niveles funcionales del espectro, los cortes TB diferenciados (personalidad vs síndromes), las reglas de priorización (S/C/P primero), las fases interpretativas y el estilo de redacción del autor. Listo para aplicarse en redacción de fórmulas interpretativas y análisis de perfiles.</t>
  </si>
  <si>
    <t>Reescribir B186 (facetas de Grossman) con el léxico, sintaxis y conectores del autor original del MCMI-IV.</t>
  </si>
  <si>
    <t>Refactorizadas AR212, AR213, AR214, AR215, AR216 y AR217 con vocabulario Millon.</t>
  </si>
  <si>
    <t>Apertura AR212 incorpora: 'nivel más molecular del análisis', 'matriz completa de la persona', 'atributos clínicos que covarían y se entrelazan', 'configuración personológica', 'rasgos arraigados'. Cada faceta etiquetada con su dominio auténtico (funcional de la expresión emocional / funcional del comportamiento interpersonal / funcional del estilo cognitivo / funcional de las dinámicas intrapsíquicas / estructural de la autoimagen / estructural del contenido intrapsíquico / estructural de la arquitectura intrapsíquica / biofísico del temperamento). Conectores Millon en cada descripción: 'en tanto que', 'en la medida en que', 'sobre un sustrato de', 'todo lo cual', 'por consiguiente', 'no obstante', 'al margen de la conciencia', 'a la manera infantil', 'sobre un alto nivel de'. Léxico Millon: 'representaciones objetales interiorizadas', 'representación de sí mismo', 'sustrato', 'arquitectura', 'transposición recurrente de la gratificación', 'configuración personológica'. Cierre AR217 reformulado con frase Millon literal del manual sobre el diseño de las facetas de Grossman. Sin palabras prohibidas (revela/correspondencia/sumándose/serios/extremadamente).</t>
  </si>
  <si>
    <t>B186: 343 palabras. Conserva las facetas significativas detectadas en el perfil actual (4B.3 Autoimagen sobreestimada y 5.2 Cognitivamente expansivo). Tónica Millon auténtica: marca explícita de dominios funcionales y estructurales, conectores característicos, sintaxis larga concatenada, modulación matizada. Sin palabras prohibidas.</t>
  </si>
  <si>
    <t>Cambiar la palabra 'avanzando' de inicio en B186.</t>
  </si>
  <si>
    <t>Modificado el inicio de AR212.</t>
  </si>
  <si>
    <t>Avanzando hacia un nivel más molecular del análisis' → 'En un nivel más molecular del análisis'. Apertura ahora arranca con una locución preposicional declarativa, más acorde al registro expositivo del manual.</t>
  </si>
  <si>
    <t>B186 actualizado. Apertura: 'En un nivel más molecular del análisis, las facetas de Grossman aportan una visión diferenciada...'</t>
  </si>
  <si>
    <t>Reescribir B205 (síndromes clínicos) con tono Millon literal y eliminar toda mención al manual o al instrumento.</t>
  </si>
  <si>
    <t>Refactorizadas AR240, AR241, AR242, AR243 y AR244.</t>
  </si>
  <si>
    <t>Eliminadas todas las menciones explícitas al test/manual: 'del MCMI-IV' suprimido de AR240; 'conforme a la recomendación del manual' suprimido y reformulado como 'priorizando las elevaciones en las escalas de síndromes clínicos graves, dado que, por su mayor vulnerabilidad clínica, pueden matizar la interpretación de los restantes cuadros'. Aplicado léxico Millon literal: 'configuración personológica', 'patrón premórbido', 'sobre un sustrato de', 'ampliaciones o distorsiones del estilo básico', 'en tanto que se manifiestan'. Cambiados conectores: 'En el cuadro del evaluado(a) se manifiesta, como' → 'En el cuadro del evaluado(a) emerge, en tanto que'. AR242 abre con 'Asimismo emerge'. AR243 abre con 'A lo anterior se añade'. AR244: 'dado que' reemplazado por 'en la medida en que', y cierre con 'configuración personológica' en lugar de 'personalidad'. Sin palabras prohibidas (revela/correspondencia/sumándose/serios/extremadamente/considerablemente).</t>
  </si>
  <si>
    <t>B205: sin menciones al manual o instrumento. Tónica Millon auténtica con conectores característicos. Perfil actual (sin elevaciones ≥75): apertura concisa sobre la ausencia de cuadros sintomáticos agudos.</t>
  </si>
  <si>
    <t>Eliminar de B186 toda mención al manual o al instrumento; no debe leerse referencia al test.</t>
  </si>
  <si>
    <t>Reformulada AR217 (cierre).</t>
  </si>
  <si>
    <t>Frase original mencionaba 'las facetas de Grossman no están diseñadas para especificar', lo cual remitía al diseño del instrumento. Reformulada como observación clínica intrínseca: 'las facetas señaladas no agotan la totalidad de los dominios personológicos, sino aquellos que tienden a resultar más relevantes'. Reemplazado 'en términos de la patología de la personalidad' por 'en la configuración personológica'. También quitado 'clínicamente' redundante. Sin palabras prohibidas.</t>
  </si>
  <si>
    <t>B186: sin menciones al manual o instrumento. Cierre reformulado como observación clínica integrada al perfil.</t>
  </si>
  <si>
    <t>Eliminar de B161 toda mención al manual o al instrumento; no debe leerse referencia al test.</t>
  </si>
  <si>
    <t>Reformuladas AR186 (apertura) y AR199 (cierre).</t>
  </si>
  <si>
    <t>AR186 apertura: 'De acuerdo con los resultados arrojados por el inventario' → 'De acuerdo con la lectura integrada del perfil obtenido'. También suprimida la mención a 'las escalas de la patología grave de la personalidad' (que remitía al instrumento) y reformulado como 'la patología grave de la personalidad' y 'sobresale como configuración nuclear un cuadro [esquizotípico/límite/paranoide]' (sin nombrar las escalas). AR199 cierre: suprimido 'el MCMI-IV es un instrumento autoinformado' → 'sus resultados adquieren pleno significado clínico al integrarse'. Sin palabras prohibidas.</t>
  </si>
  <si>
    <t>B161: sin menciones al MCMI-IV, al inventario, a las escalas como construcción del test ni al instrumento autoinformado. El texto se lee enteramente como una lectura clínica del perfil. Configuración actual conservada: Tempestuoso principal + Histriónico (asimismo) + Narcisista (acompañando).</t>
  </si>
  <si>
    <t>Revisar sintaxis, léxico y secuencia de B186 (facetas de Grossman).</t>
  </si>
  <si>
    <t>Auditadas y reescritas AR212, AR213, AR214, AR215, AR216 y AR217.</t>
  </si>
  <si>
    <t>(1) AR212: 'subyacentes a las escalas de personalidad elevadas' → 'subyacentes a los patrones de personalidad más relevantes del perfil' (suprime mención a las escalas); 'examen de las escalas de patrones de personalidad' → 'lectura de los patrones de personalidad'. (2) Variabilidad sintáctica: cada faceta ahora abre con una de tres estructuras alternantes según su tipo: dominios funcionales → 'En el dominio funcional de X se aprecia/emerge la faceta Y, expresada/plasmada en...'; dominios estructurales → 'En el plano estructural de X sobresale/destaca la faceta Y, plasmada/integrada en...'; dominio biofísico del temperamento → 'Desde el plano biofísico del temperamento se evidencia la faceta Y, manifestada en...'. (3) Corregido error gramatical en 8A.3: 'fácilmente se molesta y se exasperan' → 'fácilmente se molesta y se exaspera' (singular concordado con el sujeto). (4) Eliminada repetición estructural en todas las facetas: ya no abren todas con 'en tanto que faceta X', sino que el nombre de la faceta queda integrado en la oración principal con verbo conjugado. (5) AR217 cierre reformulado: 'En conjunto, las facetas señaladas no agotan la totalidad...' (más cohesivo con el cuerpo, evita 'Cabe puntualizar' que era ética de manual). Sin palabras prohibidas.</t>
  </si>
  <si>
    <t>B186: configuración actual (4B.3 Autoimagen sobreestimada + 5.2 Cognitivamente expansivo) presentada con variabilidad sintáctica - una abre con 'En el plano estructural de la autoimagen sobresale la faceta', la otra con 'En el dominio funcional del estilo cognitivo se aprecia la faceta'. Apertura y cierre reescritos. Sin palabras prohibidas, sin menciones al manual/test, léxico Millon conservado.</t>
  </si>
  <si>
    <t>Eliminar de B186 el cierre que empieza por 'En conjunto, las facetas señaladas no agotan...'.</t>
  </si>
  <si>
    <t>Vaciada la fórmula AR217.</t>
  </si>
  <si>
    <t>AR217 anteriormente contenía el párrafo de cierre con el resumen sobre facetas no agotadoras y su orientación terapéutica. Ahora AR217='' (cadena vacía). El texto de B186 ahora termina en la descripción de la última faceta detectada.</t>
  </si>
  <si>
    <t>B186: texto finaliza con la última faceta significativa (en el perfil actual, 5.2 Cognitivamente expansivo). Sin cierre adicional.</t>
  </si>
  <si>
    <t>Eliminar de B205 el cierre que empieza por 'Cabe puntualizar, no obstante, que estos síndromes...'.</t>
  </si>
  <si>
    <t>Reformulada AR244 dejando solo la nota condicional de doble depresión.</t>
  </si>
  <si>
    <t>Antes AR244 contenía dos bloques concatenados: (a) detección de doble depresión cuando CC&gt;=75 y D&gt;=75 + (b) cierre general cuando había al menos un síndrome &gt;=75. Ahora AR244 conserva solo (a). El bloque (b) eliminado decía: 'Cabe puntualizar, no obstante, que estos síndromes no deben leerse como entidades aisladas: sólo adquieren pleno sentido clínico cuando se contextualizan en la configuración personológica del evaluado(a)...'. El texto de B205 ahora termina en la descripción de los síndromes presentes, más la nota de doble depresión cuando corresponda.</t>
  </si>
  <si>
    <t>B205: en el perfil actual (sin elevaciones &gt;=75) sigue mostrando solo la apertura sobre ausencia de cuadros sintomáticos agudos. Cuando hay síndromes elevados, el texto cerrará en la última descripción de síndrome (o, si corresponde, en la nota de doble depresión).</t>
  </si>
  <si>
    <t>Eliminar de B161 el cierre que empieza por 'En conjunto, esta configuración personológica...'.</t>
  </si>
  <si>
    <t>Vaciada la fórmula AR199.</t>
  </si>
  <si>
    <t>AR199 contenía el párrafo de síntesis final con dos partes: (a) recapitulación sobre la operatividad automática y profundamente arraigada de la configuración personológica + (b) advertencia sobre contextualización con entrevista clínica e historial psicosocial. Ahora AR199='' (cadena vacía). B161 finaliza con la última escala secundaria detectada.</t>
  </si>
  <si>
    <t>B161: texto finaliza con la última descripción de rasgo (en el perfil actual, la manifestación narcisista). Sin cierre adicional.</t>
  </si>
  <si>
    <t>Adoptar el estilo, conceptos, conectores y léxico del manual MCMI-IV oficial (PDF subido) y reescribir la fórmula de B146.</t>
  </si>
  <si>
    <t>Leías las páginas relevantes del manual (Cap 2 validez/impuntuables, Cap 4 Fase 1, Fase 2, indicadores V/W, índices X/Y/Z, patrones de personalidad). Reescritas las fórmulas V12, W17, W18 y V16 con vocabulario literal del manual y ajustado B146 al nuevo detector de invalidez.</t>
  </si>
  <si>
    <t>Frases incorporadas literales del manual: 'tres ítems cuya respuesta afirmativa es sumamente inverosímil si la persona evaluada responde con rigor', '25 pares de ítems semánticamente similares y estadísticamente relacionados', 'deben investigarse las posibles causas y, hasta que no se averigüe el motivo de la aleatoriedad', 'tendencia a parecer socialmente agradable, moralmente admirable o emocionalmente equilibrada', 'tendencia del sujeto a menospreciarse o subestimarse manifestando más problemas emocionales y personales de los que un análisis posterior pueda reflejar', 'examinar con mucho detalle las puntuaciones especialmente altas', 'perfil de petición de ayuda', 'configuración falseado-bueno', 'tipos de personalidad menos adaptativos', 'umbral de un trastorno clínico de la personalidad', 'código de puntuaciones máximas', 'estructura de polaridades y dominios funcionales y estructurales'. Detector de B146: el patrón de búsqueda 'se considera inválido' se reemplazó por 'debe considerarse inválido' (literal del manual).</t>
  </si>
  <si>
    <t>B146: 519 palabras en su configuración actual (V cuestionable + Z/Y altas + X normal + personalidad &gt;=85). Cuatro fórmulas reescritas: [V12](&lt;citation:Perfil!V12&gt;) (validez), [W17](&lt;citation:Perfil!W17&gt;) (configuraciones X/Y/Z conflictivas), [W18](&lt;citation:Perfil!W18&gt;) (configuraciones estándar), [V16](&lt;citation:Perfil!V16&gt;) (patrones de personalidad). Tono clínico del manual conservado, vocabulario literal de Millon, sin palabras prohibidas.</t>
  </si>
  <si>
    <t>Corregir los criterios numéricos de validez en las fórmulas W17 y W18 para que respondan a los puntos de corte literales del manual MCMI-IV (puntuación directa, no tasa base).</t>
  </si>
  <si>
    <t>Verificadas las páginas 21, 38 y 40 del manual. Reescritas W17 y W18 sustituyendo I20 (tasa base de X) por H20 (puntuación directa de X) en todos los criterios de invalidez y de configuración de estilo de respuesta. Y y Z se mantienen en I21 e I22 (tasa base) porque el manual define sus umbrales en tasa base (≥75).</t>
  </si>
  <si>
    <t>Criterios literales del manual aplicados: X invalida en PD&lt;7 o PD&gt;114 (p. 21); X baja en PD&lt;21, X alta en PD&gt;60 (p. 27, ajuste del sistema). Y≥75 TB = imagen positiva; Z≥75 TB = autodevaluación. V&gt;1 inválido; W&gt;19 inválido. Configuraciones reescritas: invalidez por X (PD&lt;7 o PD&gt;114), X baja + Y≥75 + Z≥75 = perfil con dudas (síntomas antitéticos); X alta + Z≥75 = petición de ayuda; X baja + Y baja + Z≥75 = exageración moderada de problemas pasados; X baja + Y≥75 = falseado-bueno; X alta sola = abierta/autorreveladora; X baja sola = reservada; Y≥75 + Z≥75 = autodevaluación + imagen positiva; Z≥75 sola = autodevaluación; Y≥75 sola = imagen positiva; resto = sincera. Término 'puntuación directa' incorporado explícitamente al texto.</t>
  </si>
  <si>
    <t>B146: configuración actual del perfil (H20=54 válido, I21=78, I22=75, personalidad &gt;=85) sigue cayendo en la rama correcta de W18 (Y≥75 + Z≥75 con X en rango medio) y el texto se lee igual que antes. Fórmulas auditadas: [V12](&lt;citation:Perfil!V12&gt;), [W17](&lt;citation:Perfil!W17&gt;), [W18](&lt;citation:Perfil!W18&gt;), [V16](&lt;citation:Perfil!V16&gt;). El sistema ahora responde a los puntos de corte literales del manual.</t>
  </si>
  <si>
    <t>Verificar que los criterios de las escalas V (Invalidez) y W (Inconsistencia) en la fórmula V12 sean correctos según el manual MCMI-IV.</t>
  </si>
  <si>
    <t>Auditadas las cinco ramas de V12 contra los criterios literales del manual (Cap. 2, p. 21, Anexo B p. 68 y Tabla 5.1 confirmada por imagen aportada). Confirmados los umbrales de invalidez, cuestionable y aceptable.</t>
  </si>
  <si>
    <t>Tabla 5.1 literal del manual: V Aceptable=0, Cuestionable=1, Inválido=2-3; W Aceptable=0-8, Cuestionable=9-19, Inválido=20-25. Ramas de V12 verificadas: rango fuera (P13&lt;0 o P13&gt;3 o P15&lt;0 o P15&gt;25), inválido por ambas (P13&gt;=2 Y P15&gt;=20), inválido por V (P13&gt;=2), inválido por W (P15&gt;=20), cuestionable (P13=1 o P15 entre 9 y 19), válido (resto). Todas las ramas coinciden con la tabla.</t>
  </si>
  <si>
    <t>V12 verificada y confirmada correcta contra la Tabla 5.1 del manual. Valor actual del perfil: P13=0 (V aceptable), P15=10 (W cuestionable, rango 9-19) -&gt; activa la rama 'cuestionable', que es la lectura correcta según el manual.</t>
  </si>
  <si>
    <t>Verificar que los criterios de la escala X (Sinceridad) en las fórmulas W17 y W18 coinciden con la Tabla 5.2 del manual MCMI-IV.</t>
  </si>
  <si>
    <t>Comparadas las cinco categorías literales de la Tabla 5.2 con los umbrales aplicados en W17 y W18. Confirmada coincidencia exacta.</t>
  </si>
  <si>
    <t>Tabla 5.2 literal del manual: X Inválido 0-6, Posible minimización de los síntomas 7-20, Aceptable 21-60, Posible exageración de los síntomas 61-114, Inválido 115-121. Fórmulas verificadas: invalidez en H20&lt;7 o H20&gt;114; rango bajo (minimización) en H20&lt;21; rango alto (exageración) en H20&gt;60; aceptable cubierto por las ramas sin elevación de X (21-60). Posible afinamiento: incorporar las etiquetas literales 'posible minimización de los síntomas' y 'posible exageración de los síntomas' en los textos.</t>
  </si>
  <si>
    <t>W17 y W18 verificadas y confirmadas correctas contra la Tabla 5.2 del manual. Los cortes numéricos aplicados (&lt;7, &lt;21, &gt;60, &gt;114) coinciden exactamente con la clasificación oficial. Pendiente decisión del usuario sobre incorporar las etiquetas literales del manual en los textos.</t>
  </si>
  <si>
    <t>Aplicar el estilo de redacción del autor del manual MCMI-IV (Theodore Millon) a las cuatro fórmulas que alimentan B146, de modo que el texto resulte como si lo hubiera estructurado el propio autor.</t>
  </si>
  <si>
    <t>Reescritas V12, W17, W18 y V16 con sintaxis y conectores característicos del manual Millon. Incorporadas etiquetas literales de la Tabla 5.2 ('posible minimización de los síntomas', 'posible exageración de los síntomas').</t>
  </si>
  <si>
    <t>Recursos estilísticos del autor incorporados: (1) sintaxis expositiva con subordinaciones largas y verbos en tercera persona profesional; (2) conectores Millon: 'Cabe señalar', 'Cabe inferir', 'en consecuencia', 'por consiguiente', 'en tanto que', 'en la medida en que', 'en cambio', 'no obstante', 'dado que', 'hasta tanto no'; (3) verbos característicos: 'apunta a', 'configura', 'refleja', 'resulta compatible con', 'cabe inferir', 'permite considerar'; (4) etiquetas literales del manual: 'posible minimización de los síntomas' (rango 7-20), 'posible exageración de los síntomas' (rango 61-114), 'perfil de petición de ayuda', 'patrón de falseado-bueno', 'código de puntuaciones máximas', 'estructura de polaridades', 'dominios funcionales y estructurales'; (5) numerales en letra ('tres ítems', 'veinticinco pares') siguiendo el estilo editorial del manual; (6) modulación matizada: 'tienden a aparecer', 'puede obedecer', 'resulta pertinente', 'conviene examinar'.</t>
  </si>
  <si>
    <t>Las cuatro fórmulas ([V12](&lt;citation:Perfil!V12&gt;), [W17](&lt;citation:Perfil!W17&gt;), [W18](&lt;citation:Perfil!W18&gt;), [V16](&lt;citation:Perfil!V16&gt;)) reescritas con tónica Millon literal y etiquetas oficiales de la Tabla 5.2. El texto resultante en [B146](&lt;citation:Perfil!B146&gt;) ahora se lee como una sección del manual estructurada por el propio autor: presenta primero el indicador empírico y a continuación despliega su significación clínica con sintaxis subordinada y conectores expositivos. Sin palabras prohibidas. Cortes numéricos sin cambios (alineados con Tablas 5.1 y 5.2).</t>
  </si>
  <si>
    <t>Reescribir V12, W17, W18 y V16 con un juego más profundo del vocabulario y los conceptos del manual MCMI-IV, de modo que el texto incorpore los constructos teóricos centrales del autor.</t>
  </si>
  <si>
    <t>Leías a fondo las páginas 38-43 y 55-58 del manual para ampliar el repertorio léxico-conceptual y reescritas las cuatro fórmulas incorporando los constructos teóricos centrales de Millon.</t>
  </si>
  <si>
    <t>Constructos incorporados literalmente desde el manual: 'estructura de polaridades' con sus tres ejes (placer-dolor, pasivo-activo, uno mismo-otros) según Tabla 4.1, 'dominios funcionales y estructurales' como articuladores del funcionamiento, 'matriz personológica' que opera como 'mediador inmunológico entre el estrés psicosocial y la producción de síntomas' (Cap 4 p. 40), 'patrón caracterológico', 'rango subumbral' (Cap 4 p. 40 sobre tasas base 60-74), 'rasgos incapacitantes propios del constructo correspondiente' (Cap 4 p. 39 sobre tipos clínicamente significativos 75-84), 'patología suficientemente generalizada como para considerarla un trastorno' (Cap 4 p. 39 sobre TB≥85), 'código de puntuaciones máximas' (Cap 2 p. 22), 'información obtenida más allá del inventario' (Cap 4 p. 39), 'atenuan la consistencia general del perfil', 'configuración del perfil'. También conservadas las construcciones sintácticas Millon: 'cabe inferir', 'cabe señalar', 'en tanto que', 'en la medida en que', 'en consecuencia', 'por consiguiente', 'tal configuración', 'tal patrón'.</t>
  </si>
  <si>
    <t>Las cuatro fórmulas ([V12](&lt;citation:Perfil!V12&gt;), [W17](&lt;citation:Perfil!W17&gt;), [W18](&lt;citation:Perfil!W18&gt;), [V16](&lt;citation:Perfil!V16&gt;)) reescritas con un juego léxico-conceptual profundo del manual MCMI-IV. V16 en particular despliega ahora los tres ejes de la estructura de polaridades y el constructo central del papel inmunológico de la personalidad. El texto de [B146](&lt;citation:Perfil!B146&gt;) ahora ofrece una lectura clínica que articula explícitamente la teoría evolutiva de Millon como marco interpretativo.</t>
  </si>
  <si>
    <t>Eliminar las palabras 'obedecer', 'lectura' (cuando alude a 'leer el perfil'), 'comprome*', 'conviene' y 'examinar', así como los guiones largos '—', por ser ajenas al vocabulario del manual MCMI-IV.</t>
  </si>
  <si>
    <t>Sustituidas las cinco palabras prohibidas en V12, W17, W18 y V16 por equivalentes literales del manual. Eliminados los guiones largos y reformuladas las cláusulas con comas y locuciones.</t>
  </si>
  <si>
    <t>Sustituciones aplicadas: 'obedecer' → 'deberse a' (literal del manual, p. 38, 45); 'lectura' (cuando aludía a leer el perfil) → 'interpretación' / 'interpretación clínica' (literal del manual, títulos de capítulos y fases); 'compromete la lectura del perfil' → 'afecta a la validez interpretativa del perfil' (literal Cap 4 p. 40); 'conviene' → 'es necesario' / 'debe' / 'cabe' (verbos modales literales del manual); 'examinar' → 'analizar' / 'analizarse' (literal Cap 4, Fase 2). Eliminados los guiones largos al introducir incisos: 'placer-dolor, pasivo-activo, uno mismo-otros' ahora va entre paréntesis; el inciso 'entrevista clínica, historial psicosocial y otras fuentes' se introduce con 'es decir,' en lugar de guión. Mantenidas las locuciones Millon: 'cabe inferir', 'cabe señalar', 'en tanto que', 'en la medida en que', 'tal configuración', 'en consecuencia', 'por consiguiente'.</t>
  </si>
  <si>
    <t>[V12](&lt;citation:Perfil!V12&gt;), [W17](&lt;citation:Perfil!W17&gt;), [W18](&lt;citation:Perfil!W18&gt;) y [V16](&lt;citation:Perfil!V16&gt;) sin palabras prohibidas y sin guiones largos. [B146](&lt;citation:Perfil!B146&gt;) verificado y limpio. El léxico es ahora pleamente del manual.</t>
  </si>
  <si>
    <t>Revisar la fórmula de B161 para verificar que prioriza correctamente las escalas de patología grave de la personalidad (S, C, P) según el manual MCMI-IV.</t>
  </si>
  <si>
    <t>Detectado fallo en AQ193/AQ194: buscaban S/C/P solo dentro del top-3 general del perfil, omitiéndolas si las clínicas eran más altas. Reescritas para detectar la S/C/P más alta con TB&gt;=60 independientemente del ranking general.</t>
  </si>
  <si>
    <t>Manual MCMI-IV, Cap. 4 Fase 2, p. 41 (literal): 'se recomienda centrar la interpretación en las tres o cuatro elevaciones más destacadas, empezando por las de las escalas de la patología grave de la personalidad (S, C y P)'. Página 42: 'Cuando la tasa base de alguna de las tres escalas de la patología grave de la personalidad es igual o superior a 60, y ninguna de ellas es de las más altas del perfil, el efecto de la estructura de la personalidad indicada por esa escala debe matizar el resto de las escalas de la personalidad'. 'Este paso puede omitirse si no hay ninguna escala de la patología grave de la personalidad con una tasa base igual o superior a 60'. Umbral confirmado: TB&gt;=60. Corrección: AQ193 = IF(MAX(I40:I42)&gt;=60, INDEX(F40:F42, MATCH(MAX(I40:I42), I40:I42, 0)), ""). AQ194 = IF(MAX(I40:I42)&gt;=60, MAX(I40:I42), 0). Perfil actual: P=69 (Paranoide) ahora se detecta correctamente como grave nuclear matizadora.</t>
  </si>
  <si>
    <t>[B161](&lt;citation:Perfil!B161&gt;) ahora arranca con la patología grave nuclear (paranoide, TB=69, estilo de personalidad que matiza) seguida de las dos clínicas más altas (Compulsivo TB=80, Tempestuoso TB=80). Histriónico (TB=75) se omite por regla de tope de 3 escalas cuando hay grave nuclear. Coincide con el orden interpretativo del manual.</t>
  </si>
  <si>
    <t>Jose Anibal Motaño</t>
  </si>
  <si>
    <t>Confrontación legal en la que me encuentro actualmente</t>
  </si>
  <si>
    <t>Eliminar términos extremos como 'plenamente', 'sumamente', 'particular', 'especialmente' y 'mucha' (intensificadores excesivos) de las cuatro fórmulas V12, W17, W18 y V16.</t>
  </si>
  <si>
    <t>Reescritas las cuatro fórmulas sustituyendo intensificadores extremos por equivalentes mesurados.</t>
  </si>
  <si>
    <t>Sustituciones aplicadas: 'sumamente inverosímil' → 'altamente inverosímil'; 'plenamente interpretable' → 'interpretable'; 'puede interpretarse plenamente' → 'puede interpretarse'; 'particular detenimiento' → 'detenimiento'; 'especialmente abierta' → 'abierta'; 'especialmente altas' → 'altas'; 'mucha angustia' → 'angustia'; 'mucho detalle' → 'detalle'. Mantenidos: 'cabe inferir', 'cabe señalar', 'en tanto que', 'en la medida en que', 'tal configuración', 'por consiguiente', 'en consecuencia'.</t>
  </si>
  <si>
    <t>[V12](&lt;citation:Perfil!V12&gt;), [W17](&lt;citation:Perfil!W17&gt;), [W18](&lt;citation:Perfil!W18&gt;) y [V16](&lt;citation:Perfil!V16&gt;) sin intensificadores extremos. Texto clínico más mesurado y profesional. [B146](&lt;citation:Perfil!B146&gt;) verificado y limpio.</t>
  </si>
  <si>
    <t>Eliminar de V12 las descripciones del propósito de cada escala (V, W, X, Y, Z), de modo que el texto presente los resultados obtenidos en lugar de explicar qué evalúa cada escala.</t>
  </si>
  <si>
    <t>Reescrita V12 suprimiendo las cláusulas descriptivas 'formada por tres ítems cuya respuesta afirmativa resulta altamente inverosímil cuando la persona evaluada responde con rigor' y 'compuesta por veinticinco pares de ítems semánticamente similares y estadísticamente relacionados', que explicaban el diseño psicométrico de las escalas V y W.</t>
  </si>
  <si>
    <t>V12 ahora se centra exclusivamente en el RESULTADO obtenido: si el protocolo es interpretable, cuestionable o inválido, y la implicación clínica de la elevación observada. Eliminado el detalle estructural de las escalas (número de ítems, pares estadísticamente relacionados). Conservadas las locuciones Millon ('cabe inferir', 'tal configuración', 'en consecuencia') y los conceptos clave del manual ('considerados cuestionables', 'umbral de invalidez', 'reducen la consistencia general del perfil', 'proceder aleatorio', 'respuestas contradictorias'). W17, W18 y V16 se revisaron y tampoco contienen descripciones del propósito de las escalas, por lo que no requieren modificación.</t>
  </si>
  <si>
    <t>[V12](&lt;citation:Perfil!V12&gt;) reescrita. [B146](&lt;citation:Perfil!B146&gt;) ahora presenta el resultado obtenido en cada bloque interpretativo (validez, estilo de respuesta, patrones de personalidad) sin entrar en la descripción psicométrica de las escalas. El texto es más ejecutivo y enfocado en el hallazgo.</t>
  </si>
  <si>
    <t>Eliminar de V12 la frase de apertura 'Los indicadores de respuestas aleatorias permiten considerar el protocolo interpretable', que resultaba confusa, y mejorarla.</t>
  </si>
  <si>
    <t>Reescrita la rama por defecto de V12 (protocolo válido) sustituyendo la apertura confusa por una formulación directa y clara.</t>
  </si>
  <si>
    <t>Nueva apertura: 'El protocolo reúne las condiciones necesarias para ser interpretado.' Frase de cierre afinada: 'el perfil puede analizarse a partir de las elevaciones que presenta' (en lugar de 'el perfil reúne las condiciones necesarias para ser interpretado', que repetía el predicado inicial). Conservado el marco conceptual: 'no muestran un patrón compatible con respuestas aleatorias', 'ha atendido con rigor al contenido de los ítems', 'cabe inferir, en consecuencia'. Las otras cuatro ramas (rango fuera, inválido V+W, inválido V, inválido W, cuestionable) permanecen sin cambios.</t>
  </si>
  <si>
    <t>[V12](&lt;citation:Perfil!V12&gt;) en su rama por defecto ahora arranca con 'El protocolo reúne las condiciones necesarias para ser interpretado' — más directo y claro. Verificado en [B146](&lt;citation:Perfil!B146&gt;).</t>
  </si>
  <si>
    <t>Revisar la secuencia y coherencia interna de las cuatro fórmulas (V12, W17, W18, V16), cambiar 'El protocolo reúne las condiciones necesarias para ser interpretado' por 'El perfil es interpretable', y eliminar conectores deductivos falsos ('cabe inferir, en consecuencia') donde no corresponden a una verdadera deducción.</t>
  </si>
  <si>
    <t>Reescritas las cuatro fórmulas optimizando la lógica narrativa y la conexión entre cláusulas.</t>
  </si>
  <si>
    <t>(1) V12 rama válida: 'El protocolo reúne las condiciones...' → 'El perfil es interpretable: las escalas V y W no muestran un patrón compatible con respuestas aleatorias y la persona evaluada ha atendido con rigor al contenido de los ítems, de modo que el perfil puede analizarse a partir de las elevaciones que presenta'. Una sola oración con dos puntos y conector consecutivo 'de modo que', sin falsa inferencia. (2) Eliminado 'cabe inferir, en consecuencia' donde introducía una falsa deducción entre dos hechos equivalentes. (3) V12 ramas inválidas: cláusulas concatenadas con 'lo que' en lugar de oraciones independientes con punto y aparte, más fluido. (4) W17 rama inválida por X: 'Cabe inferir que' → 'La persona evaluada ha minimizado...' (eliminada falsa deducción). (5) W17 rama anti-tética: 'lo que debe dar lugar a dudas' → 'lo que da lugar a dudas' (sin imperativo redundante). (6) W18 rama falseado-bueno: 'cabe inferir, por consiguiente, que' → 'lo que indica que' (más directo). (7) W18 rama sincera: 'cabe inferir, en consecuencia, que' → 'de modo que'. (8) W18 rama Y≥75: estructura reformulada con punto y coma + 'por lo que resulta pertinente' para evitar el corte antes en 'Cuanto más alta'. (9) V16: el conector con W19 sigue siendo 'Sobre esta base,' porque W19 deja el hilo en 'contrastar las elevaciones del resto del perfil', lo que conecta naturalmente con la descripción de los patrones de personalidad. Detector B146 conserva los marcadores 'fuera de los límites', 'debe considerarse inválido', 'considerados cuestionables'.</t>
  </si>
  <si>
    <t>[V12](&lt;citation:Perfil!V12&gt;), [W17](&lt;citation:Perfil!W17&gt;), [W18](&lt;citation:Perfil!W18&gt;) y [V16](&lt;citation:Perfil!V16&gt;) revisadas con lógica narrativa más inteligente. [B146](&lt;citation:Perfil!B146&gt;) ahora abre con 'El perfil es interpretable:' y fluye sin deducciones forzadas. Hilo: validez → estilo de respuesta (con empalme 'En cuanto al estilo de respuesta,') → patrones de personalidad (con empalme 'Sobre esta base,'). Todas las uniones son ahora coherentes con el contenido que las precede.</t>
  </si>
  <si>
    <t>Sustituir 'con rigor' en V12 por una expresión más neutra que describa el desempeño de respuesta sin valorarlo.</t>
  </si>
  <si>
    <t>Reemplazado 'con rigor' por 'con atención' en la rama de protocolo válido de V12.</t>
  </si>
  <si>
    <t>Responder con atención al contenido' aparece en el Cap. 4 del manual como descriptor neutro del comportamiento esperado, más descriptivo y menos valorativo que 'rigor'. Mantiene la coherencia con la enumeración de causas en las ramas inválidas, donde se menciona 'dificultad para mantener la atención' como una de las posibles explicaciones de la aleatoriedad. Las otras cuatro ramas de V12 no requieren modificación porque ya no mencíonan 'rigor'.</t>
  </si>
  <si>
    <t>[V12](&lt;citation:Perfil!V12&gt;) rama válida ahora dice 'ha atendido con atención al contenido de los ítems' — redacción más neutra y descriptiva.</t>
  </si>
  <si>
    <t>Buscar y reemplazar palabras extremas en V12, W17, W18 y V16 por términos más neutros del manual MCMI-IV.</t>
  </si>
  <si>
    <t>Audité las cuatro fórmulas para identificar adjetivos o sustantivos extremos no presentes literalmente en el manual y los sustituí.</t>
  </si>
  <si>
    <t>Sustituciones aplicadas: (1) V16 rama TB&gt;=60 (estilo): 'rasgos incapacitantes propios del constructo correspondiente' → 'rasgos problemáticos propios del constructo correspondiente' (manual Cap. 4 p. 39 literal: 'rasgos problemáticos del constructo narcisista'); (2) W17 rama petición de ayuda: 'una persona con problemas emocionales que le causan angustia' → 'una petición de ayuda significativa por parte de la persona evaluada' (más descriptivo, sin patologizar emoción); (3) W18 rama Z≥75 sola: 'problemas emocionales que le causan angustia' → 'petición de ayuda significativa por parte de la persona evaluada' (misma razón). V12 no requirió cambios: 'deterioro cognitivo', 'descuido', 'indiferencia', 'fatiga', 'falta de cooperación' son enumeración literal de causas del manual (Cap. 4 p. 38, 45). Tampoco se modificó 'trastornos depresivos graves' (literal del manual), 'menospreciarse o subestimarse' (literal), 'patología suficientemente generalizada como para considerarla un trastorno' (literal Cap. 4 p. 39).</t>
  </si>
  <si>
    <t>[V12](&lt;citation:Perfil!V12&gt;), [W17](&lt;citation:Perfil!W17&gt;), [W18](&lt;citation:Perfil!W18&gt;) y [V16](&lt;citation:Perfil!V16&gt;) auditadas y depuradas de términos extremos. El registro léxico es ahora consistentemente neutro y descriptivo, conforme al manual.</t>
  </si>
  <si>
    <t>Aplicar a B161 (patrones de personalidad) la misma lógica de descripción neutra y respeto a los tres puntos de corte de TB (estilo 60-74, tipo 75-84, trastorno ≥85) que se aplicó a B146. Sustituir intensificadores extremos.</t>
  </si>
  <si>
    <t>Auditadas las megafórmulas AR190 (cuadro principal) y AR191 (continuación) y eliminados intensificadores extremos no literales del manual.</t>
  </si>
  <si>
    <t>Sustituciones aplicadas en AR190 (descripciones de patrones clínicos 1, 2A, 2B, 3, 4A, 4B): (1) 'notable falta de deseo' → 'falta de deseo' (esquizoide); (2) 'siempre alerta' → 'en alerta' (evitativo); (3) 'marcado miedo a la autonomía real y una necesidad persistente' → 'miedo a la autonomía real y una necesidad' (histriónico); (4) 'notablemente alegre y animado' → 'alegre y animado' (tempestuoso); (5) 'sensación de vitalidad infatigable' → 'sensación de vitalidad' (tempestuoso). En AR191 (continuación con 5, 6A, 6B, 7, 8A, 8B): (1) 'notable desconfianza hacia los demás, un deseo persistente de autonomía y un anhelo de venganza' → 'desconfianza hacia los demás, un deseo de autonomía y un anhelo de venganza' (antisocial); (2) 'sumamente combativo' → 'combativo' (sádico); (3) 'exigiéndose mucho a sí mismo' → 'exigiéndose a sí mismo' (compulsivo); (4) 'interminables disputas y decepciones' → 'disputas y decepciones reiteradas' (negativista); (5) 'rememora activa y reiteradamente' → 'rememora reiteradamente' (masoquista). Los tres niveles diferenciados (estilo/tipo/trastorno) ya estaban implementados correctamente en la lógica de las megafórmulas: AQ187&gt;=85 'trastorno de la personalidad de tipo', AQ187&gt;=75 'tipo clínicamente significativo de personalidad', resto 'estilo de personalidad'. Lo mismo en AR193 (secundario) y AR195 (terciario). Conservadas las descripciones literales del manual ('configuración personológica', 'rasgos arraigados', 'patrón clínico premórbido', 'autoimagen', 'temperamento', 'estilo cognitivo', 'mecanismos de disociación/intelectualización/racionalización', etc.).</t>
  </si>
  <si>
    <t>[B161](&lt;citation:Perfil!B161&gt;) audited con términos neutros y diferenciación por TB conservada. Las descripciones de las 15 escalas de personalidad ahora son consistentemente descriptivas, sin intensificadores extremos no presentes en el manual. La configuración actual del perfil (Histriónico tipo, Dependiente tipo, Tempestuoso tipo) se mantiene con la redacción más neutra.</t>
  </si>
  <si>
    <t>Revisar a fondo los 5 capítulos del manual MCMI-IV y adoptar el estilo, términos, conceptos y conectores del autor original.</t>
  </si>
  <si>
    <t>Lectura íntegra y sistemática de los 5 capítulos transcritos (Cap 1 Introducción, Cap 2 Aplicación y corrección, Cap 3 Base teórica, Cap 4 Interpretación, Cap 5 Desarrollo y adaptación española).</t>
  </si>
  <si>
    <t>Internalizadas las características del estilo Millon: tono técnico-clínico neutral; sintaxis larga con subordinadas; conectores prototípicos ('por ello', 'asimismo', 'no obstante', 'por consiguiente', 'habitualmente', 'por lo general', 'de este modo', 'a menudo', 'en tanto que', 'en la medida en que'); terminología propia (tasas base, polaridades placer-dolor/activa-pasiva/otros-uno mismo, patrones de personalidad, síndromes clínicos, dominios funcionales y estructurales, facetas de Grossman, índices X/Y/Z, escalas V/W, constructos evolutivos, covarianzas, validez incremental, premórbido/básico, ampliaciones o distorsiones del estilo básico); cortes TB &lt;60/60-74/75-84/≥85 para personalidad y 60-74/75-84/≥85 para síndromes; construcciones recurrentes ('Estos sujetos…', 'tienden a…', 'se distinguen por…'). No se modificó el workbook.</t>
  </si>
  <si>
    <t>Estilo internalizado y listo para aplicarse en redacción de interpretaciones, conclusiones, descripciones de escalas o cualquier sección del informe pericial conservando la voz del manual.</t>
  </si>
  <si>
    <t>Replicar la estructura inteligente y adaptable de los informes interpretativos oficiales de Pearson (MCMI-IV Sample Interpretive Reports de Robert y Joan): bloque Profile Severity, párrafo de cohesión global y narrativa fenomenológica integrada en la fórmula de [B161](&lt;citation:Perfil!B161&gt;).</t>
  </si>
  <si>
    <t>Análisis comparativo de los dos PDFs Pearson. Construidos dos auxiliares de conteo en [AQ184](&lt;citation:Perfil!AQ184&gt;) (TBs &gt;=75 en patrones clínicos y graves) y [AQ185](&lt;citation:Perfil!AQ185&gt;) (TBs &gt;=85). Creadas dos nuevas megafórmulas: [AR184](&lt;citation:Perfil!AR184&gt;) (Profile Severity con cuatro niveles: funcional/moderada/notable/acentuada) y [AR185](&lt;citation:Perfil!AR185&gt;) (Párrafo de cohesión global condicional, solo se activa en gravedad notable o acentuada). Actualizada la fórmula de [B161](&lt;citation:Perfil!B161&gt;) a =TRIM(AR184&amp;AR185&amp;AR186&amp;AR190&amp;AR191&amp;AR193&amp;AR195&amp;AR199).</t>
  </si>
  <si>
    <t>Lógica de severidad implementada: (1) FUNCIONAL si AQ184=0 -&gt; 'configuración personológica que opera dentro del rango subumbral y no alcanza el nivel propio de un tipo de personalidad clínicamente significativo'; (2) ACENTUADA si AQ194&gt;=85 o AQ185&gt;=3 o (AQ194&gt;=75 Y AQ184&gt;=4) -&gt; 'gravedad acentuada', 'patología generalizada de la personalidad, suficientemente extendida como para considerarla un trastorno', 'modularse al alza'; (3) NOTABLE si AQ184&gt;=3 o AQ194&gt;=75 -&gt; 'gravedad notable', 'coexisten elevaciones en varias escalas', 'cuadro de patología personológica clínicamente significativa'; (4) MODERADA en otros casos -&gt; 'gravedad moderada', 'uno o más tipos de personalidad clínicamente significativos sin patología generalizada', 'modulada ligeramente al alza o a la baja'. Párrafo de cohesión diferenciado para gravedad acentuada ('falta de cohesión interna', 'plantilla interna comprometida', 'sentido de coherencia psíquica precario', 'círculos viciosos autoderrotantes') vs notable ('ambivalencia entre motivaciones contrapuestas', 'labilidad emocional', 'tensiones interpersonales reiteradas'). Constructos literales de los PDFs Pearson incorporados: 'lack of internal cohesion', 'pronounced ambivalence', 'inner template compromised', 'self-defeating vicious circles', 'modulated only slightly upward or downward', 'patología suficientemente generalizada'. Conectores Millon: 'en su conjunto', 'todo lo cual', 'tal configuración', 'en tanto que', 'de modo que', 'en consecuencia', 'no obstante', 'por consiguiente', 'cabe esperar', 'asimismo'.</t>
  </si>
  <si>
    <t>Perfil actual (AQ184=3, AQ185=0, AQ194=0): activa rama de gravedad NOTABLE + cohesión con ambivalencia. [B161](&lt;citation:Perfil!B161&gt;) ahora arranca con la clasificación de severidad, continúa con el párrafo de cohesión y luego despliega la narrativa fenomenológica de los patrones (Histriónico nuclear + Dependiente entrelazado + Tempestuoso acompañando). Estructura coherente con Pearson y respetuosa de los cortes TB. Pendiente, si el usuario lo desea, ampliar la narrativa fenomenológica de cada patrón con descripciones multi-oración más ricas (estilo Pearson), reescribir el párrafo conceptual de [B156](&lt;citation:Perfil!B156&gt;) para conectar mejor con la nueva estructura, o trasladar la lógica a las secciones de Facetas y Síndromes.</t>
  </si>
  <si>
    <t>Slot top-4 (código)</t>
  </si>
  <si>
    <t>Faceta TB+tiebreak</t>
  </si>
  <si>
    <t>Total facetas ≥1 elevadas</t>
  </si>
  <si>
    <t>Código faceta</t>
  </si>
  <si>
    <t>Descripción narrativa Pearson</t>
  </si>
  <si>
    <t>una evitación de las actividades que suponen relaciones personales estrechas, sobre un sustrato de ansiedad social y desconfianza; busca la aceptación, no obstante se muestra poco dispuesto a implicarse en los vínculos a menos que tenga la certeza de agradar, en la medida en que mantiene la distancia para preservar su privacidad y evitar la vergüenza y la humillación</t>
  </si>
  <si>
    <t>una representación de sí mismo como socialmente inepto, incompetente e inferior, lo cual justifica a sus ojos el aislamiento y el rechazo recibido; se percibe personalmente poco atractivo, subestima sus logros y experimenta una persistente sensación de vacío</t>
  </si>
  <si>
    <t>una búsqueda activa de elogios y la manipulación de los demás para obtener la seguridad, atención y aprobación que necesita; tiende a mostrarse exigente, coqueto, engreído y seductoramente exhibicionista, en particular cuando quiere ser el centro de atención</t>
  </si>
  <si>
    <t>una representación de sí mismo como una fuerza imponente, inspiradora y vigorosa, cuya energía omnipresente activa y estimula a los demás; tiende a creerse invencible y capaz de emprender y lograr más de lo objetivamente posible</t>
  </si>
  <si>
    <t>una disposición a actuar como persona desleal en la que no se puede confiar, que incumple o elude deliberadamente sus obligaciones personales, no respeta a los demás y vulnera sus derechos; sus conductas engañosas e ilegales conllevan la transgresión de los códigos sociales establecidos</t>
  </si>
  <si>
    <t>una percepción de sí mismo como libre tanto de las restricciones de las normas sociales como de la obligación de mantenerse leal a otras personas; valora la idea de libertad y disfruta sintiéndose sin responsabilidades, en tanto que siente que no está limitado por personas, lugares, obligaciones o rutinas</t>
  </si>
  <si>
    <t>una evitación de las tensiones internas a través de la expresión sin limitación de pensamientos ofensivos y la realización de acciones malintencionadas; no transforma los impulsos socialmente repulsivos en formas sublimadas, sino que los libera directa e impetuosamente, por lo general al margen del sentimiento de culpa y del remordimiento</t>
  </si>
  <si>
    <t>una gratificación psicológica inmediata al intimidar, coaccionar, humillar o menospreciar a los demás; tiende a ser ofensivo verbalmente y, posiblemente, agresivo física o sexualmente</t>
  </si>
  <si>
    <t>una vida muy estructurada y estrictamente organizada, en una conducta estricta y responsable y en la necesidad de mantener las emociones bajo control; su búsqueda del perfeccionismo puede resultar limitante y dificultar la realización completa de las tareas habituales</t>
  </si>
  <si>
    <t>una construcción del mundo en términos de reglas, normas, planificaciones y jerarquías sociales; tiende a ser inflexible y obstinado respecto al cumplimiento de las normas convencionales y, ante situaciones inciertas, a menudo acaba bloqueado, incapaz de tomar una decisión</t>
  </si>
  <si>
    <t>una representación de sí mismo como incomprendido, desafortunado, poco valorado y menospreciado por los demás; reconoce su propio resentimiento, insatisfacción y desilusión con la vida, en tanto que experimenta envidia y rencor hacia quienes considera que tienen una vida más fácil</t>
  </si>
  <si>
    <t>una tendencia a sentir placer cuando la reacción más apropiada sería el dolor y dolor cuando la más adecuada sería el placer; esta transposición recurrente de la gratificación de las necesidades se traduce, por consiguiente, en frustración y, en ocasiones, en autosabotaje</t>
  </si>
  <si>
    <t>una maraña de recuerdos diversos, impulsos erráticos y canales desorganizados de regulación de la tensión; esta mezcla casi aleatoria de objetos, impulsos y pensamientos vuelve ineficaz y desorganizada la regulación de tensiones, necesidades y objetivos</t>
  </si>
  <si>
    <t>una confusión generada por un sentido de la identidad inmaduro, indefinido o fluctuante, con sentimientos subyacentes de vacío; aparenta una incapacidad para elegir un rumbo o rol a partir del cual formarse un sentido de sí mismo homogéneo y duradero, en tanto que tiende a redimir los actos impulsivos con expresiones de remordimiento y conductas autopunitivas</t>
  </si>
  <si>
    <t>Aplicar estructura Pearson a B186 (Grossman Facet Scales): máximo top-4 facetas con TB más alta, prosa narrativa sin etiquetas de dominio, conectores Pearson en cadena, cierre terapéutico.</t>
  </si>
  <si>
    <t>Construido sistema de ranking top-4 facetas con tabla narrativa en AV202:AW246 (45 facetas) y reescritas AR213-AR217.</t>
  </si>
  <si>
    <t>(1) AS202:AS210 nueva columna auxiliar = IF(AR{i}="",0,I{i}*100-ROW()*0.01) para ranking con desempate. (2) AT202:AT205 nueva columna = INDEX/MATCH/LARGE para extraer top-1 a top-4 códigos de faceta. AT207 = COUNTIF facetas elevadas. (3) AV202:AW246 = lookup table con las 45 facetas (código + descripción narrativa Pearson sin etiqueta de dominio). (4) AR213-AR216 reescritas: cada slot = IF(AT{i}="","","[conector] "&amp;INDEX($AW$202:$AW$246,MATCH(AT{i},$AV$202:$AV$246,0))&amp;". "). (5) AR217 cierre terapéutico Pearson: 'Las intervenciones tempranas tienden a producir resultados óptimos cuando se orientan a modificar estos rasgos personológicos'. (6) B186 fórmula corregida orden: =TRIM(AR212&amp;AR213&amp;AR214&amp;AR215&amp;AR216&amp;AR217). Conectores Pearson en cadena: 'Cabe destacar en primer término', 'Asimismo sobresale', 'Resulta también relevante', 'Por último, se aprecia' (gramaticalmente neutrales para sustantivos masc/fem).</t>
  </si>
  <si>
    <t>[B186](&lt;citation:Perfil!B186&gt;) ahora replica estructura Pearson: apertura conceptual + 4 slots narrativos con conectores en cadena + cierre terapéutico. Perfil actual muestra Top-4: 4A.2 (TB 93) -&gt; 4B.1 (TB 85) -&gt; 4B.2 (TB 85) -&gt; 4A.3 (TB 75). Sin etiquetas de dominio funcional/estructural/biofísico; prosa fenomenológica pura. El sistema escala automáticamente: si solo hay 1 faceta significativa, se muestra solo el slot 1; si hay 0, se muestra apertura alternativa de 'no se identifican puntuaciones que alcancen el umbral'.</t>
  </si>
  <si>
    <t>Código síndrome</t>
  </si>
  <si>
    <t>Etiqueta de cuadro</t>
  </si>
  <si>
    <t>de ansiedad generalizada</t>
  </si>
  <si>
    <t>de síntomas somáticos</t>
  </si>
  <si>
    <t>del espectro bipolar</t>
  </si>
  <si>
    <t>de depresión persistente</t>
  </si>
  <si>
    <t>de consumo de alcohol</t>
  </si>
  <si>
    <t>de consumo de sustancias</t>
  </si>
  <si>
    <t>de estrés postraumático</t>
  </si>
  <si>
    <t>del espectro esquizofrénico</t>
  </si>
  <si>
    <t>de depresión mayor</t>
  </si>
  <si>
    <t>delirante</t>
  </si>
  <si>
    <t>Aplicar misma lógica Pearson a B205 (Síndromes Clínicos): conectores Pearson en cadena, lookup table de los 10 síndromes, cierre terapéutico, manteniendo prioridad de síndromes graves y top-3.</t>
  </si>
  <si>
    <t>Construida lookup table de 10 síndromes en AV250:AX259, reescritas AR241/AR242/AR243 con INDEX/MATCH y conectores Pearson, añadido cierre AR245.</t>
  </si>
  <si>
    <t>(1) AV250:AX259 = lookup table de los 10 síndromes (código + descripción narrativa + etiqueta de cuadro). Columnas: AV (código A/H/N/D/B/T/R/SS/CC/PP), AW (descripción fenomenológica), AX (etiqueta corta para sintaxis: 'de ansiedad generalizada', 'del espectro bipolar', etc.). (2) AR241/AR242/AR243 reescritas con fórmula uniforme: IF(slot_TB&lt;75,"",[conector]&amp;IF(grave,grave_label,normal_label)&amp;etiqueta_cuadro&amp;", "&amp;descripción&amp;". "). Conectores Pearson: 'Cabe destacar en primer término' / 'Asimismo emerge' / 'Resulta también relevante'. (3) AR245 nuevo cierre terapéutico Pearson: 'Estos síndromes reflejan y acentúan, por consiguiente, varios de los aspectos más persistentes y arraigados del patrón personológico básico del evaluado(a), de modo que su evolución dependerá tanto del manejo terapéutico inmediato de los síntomas como del abordaje de la configuración personológica subyacente'. (4) B205 actualizada: =TRIM(AR240&amp;AR241&amp;AR242&amp;AR243&amp;AR244&amp;AR245). (5) AR244 conserva su fórmula original de detección de doble depresión. Corregido typo 'ciclotímico' en AW252. Sistema escala automáticamente: 0 elevaciones → apertura alternativa + cierre vacío; 1-3 elevaciones → slots correspondientes activos.</t>
  </si>
  <si>
    <t>[B205](&lt;citation:Perfil!B205&gt;) replica estructura Pearson coherente con B161 y B186: apertura conceptual + 3 slots narrativos con conectores Pearson + nota de doble depresión (cuando aplica) + cierre terapéutico. Perfil actual: CC=82 (grave presente, depresión mayor) → A=90 (prominente, ansiedad generalizada) → N=75 (presente, espectro bipolar). Texto resultante con prosa fenomenológica integrada estilo Pearson.</t>
  </si>
  <si>
    <t>una tendencia a humillarse y a considerarse merecedor de deshonras, reproches y menosprecios; tiende a centrarse en sus peores características y, ante elogios o reconocimientos, suele considerarlos observaciones erróneas, en tanto que ante el incumplimiento de expectativas siente que merece consecuencias dolorosas</t>
  </si>
  <si>
    <t>Aplicar tono de escritura del manual Millon a la fórmula B186: revisar palabras no usadas por el autor, gramática, conectores, adjetivos y conceptos.</t>
  </si>
  <si>
    <t>Auditadas y reescritas la apertura (AR212), los cuatro conectores (AR213-AR216), el cierre (AR217) y diez descripciones de faceta (AW204, AW208, AW214, AW216, AW218, AW222, AW232, AW235, AW239, AW244).</t>
  </si>
  <si>
    <t>AR212: 'Por su parte' → 'Asimismo'; 'examen' → 'análisis'; 'delimitar' → 'identificar'; orden Millon literal 'más problemáticos o clínicamente significativos'; 'Del análisis cuidadoso' → 'Un análisis detenido'; 'se desprende' → 'indica'; 'rasgos personales más prominentes de su configuración personológica' → 'rasgos más prominentes de su personalidad'; 'análisis molecular' → 'nivel más molecular del análisis'; 'lectura' → 'interpretación'. Conectores AR213-AR216: 'Cabe destacar en primer término' → 'Lo más destacable es'; 'Asimismo sobresale' conservado; 'Resulta también relevante' → 'Es también digna de atención'; 'Por último, se aprecia' → 'Merece asimismo señalarse'. AR217 cierre: sustituido por fórmula literal del Cap 4: 'Los esfuerzos terapéuticos iniciales tenderán a producir resultados óptimos si se orientan a la modificación de estos rasgos de la personalidad'. Descripciones AW: typo 'fríaldad' → 'frialdad'; 'marcadamente pesimista/emocional/optimista' → 'muy ...'; 'notoria' → 'notable'; 'innecesariamente insistente' → 'innecesariamente intruso' (literal Millon); 'notablemente alta' → 'elevada'; 'al margen de la conciencia plena' → 'al margen de la conciencia'; 'estimarlos observaciones erróneas' → 'considerarlos observaciones erróneas' (gramática); 'afectividad disonante' → 'afectividad incongruente' (literal Millon); 'acentuada desconfianza' → 'manifiesta desconfianza'.</t>
  </si>
  <si>
    <t>[B186](&lt;citation:Perfil!B186&gt;) ahora reproduce el registro estilístico del autor del manual: léxico Millon depurado, conectores Pearson en cadena con concordancia gramatical correcta, cierre literal del Cap 4. Sin palabras prohibidas (revela, sumamente, plenamente, especialmente, particular como intensificador, particularmente, mucho/mucha, considerablemente, marcadamente como intensificador genuino se conserva en contextos descriptivos no exagerados). Perfil actual conserva las 4 facetas Top: 4A.2 -&gt; 4B.1 -&gt; 4B.2 -&gt; 4A.3.</t>
  </si>
  <si>
    <t>Aplicar tono de escritura del manual Millon a la fórmula B161: revisar palabras no usadas por el autor, gramática, conectores, adjetivos y conceptos.</t>
  </si>
  <si>
    <t>Auditadas y reescritas AR184 (Profile Severity), AR185 (cohesión global), AR186 (apertura del cuerpo + descripción nuclear grave), AR193 (cuadro secundario) y AR195 (cuadro terciario).</t>
  </si>
  <si>
    <t>AR184: 'evidencian' → 'indican'; 'todo lo cual configura' → 'lo cual configura' (sin redundancia); 'requiere modular en consecuencia' → 'debe modularse en consecuencia'. AR185: 'tipifica' → 'caracteriza'; 'frecuentemente precario' → 'a menudo precario'; 'no obstante el evaluado(a) sea capaz' → 'aun cuando el evaluado(a) sea capaz' (gramática); 'la presencia de tensiones interpersonales' → 'la aparición de tensiones interpersonales'; 'matizado o tensionado' → 'alterado'. AR186: 'Del análisis en conjunto del perfil obtenido se desprende que' → 'El análisis del perfil obtenido indica que'; 'afectar a toda la estructura personológica' → 'afectar al conjunto de la estructura personológica'; 'organiza el análisis del resto del perfil' → 'organiza la interpretación del resto del perfil'; 'particularmente vulnerable' → 'vulnerable' (eliminado intensificador); 'notable inflexibilidad' → 'manifiesta inflexibilidad'. AR193: 'se entrelazan, asimismo, rasgos' → 'se añaden, asimismo, rasgos'; 'que se traducen en el evaluado(a) como' → 'que se manifiestan en el evaluado(a) como'. AR195: 'Acompañando a los rasgos anteriores se observan también' → 'A los rasgos anteriores se asocian, asimismo,'; 'que se evidencian en el evaluado(a) como' → 'que se concretan en el evaluado(a) como' (evitar repetición con 'manifestaciones').</t>
  </si>
  <si>
    <t>[B161](&lt;citation:Perfil!B161&gt;) ahora reproduce el registro estilístico del autor del manual con léxico Millon depurado: 'indican', 'caracteriza', 'a menudo', 'aun cuando', 'aparición', 'alterado', 'al conjunto de', 'interpretación', 'manifiesta inflexibilidad', 'se añaden', 'se asocian', 'se manifiestan', 'se concretan'. Sin redundancias ('todo lo cual configura' → 'lo cual configura'), sin intensificadores extremos ('particularmente vulnerable' → 'vulnerable'), sin verbos no-Millon ('se desprende' → 'indica'). Perfil actual: histriónico nuclear (TB 78) + dependiente secundario (TB 78) + tempestuoso terciario (TB 75), gravedad notable, con ambivalencia entre motivaciones contrapuestas.</t>
  </si>
  <si>
    <t>Aplicar tono de escritura del manual Millon a la fórmula B205 (Síndromes Clínicos): revisar palabras no usadas por el autor, gramática, conectores, adjetivos y conceptos.</t>
  </si>
  <si>
    <t>Auditadas y reescritas AR240 (apertura), AR244 (nota doble depresión), AR245 (cierre terapéutico) y las descripciones AW252, AW253, AW254, AW256, AW258 de la lookup table.</t>
  </si>
  <si>
    <t>AR240: 'La lectura se ofrece priorizando' → 'La interpretación se desarrolla priorizando'; 'matizar la interpretación de los restantes cuadros' → 'matizar el sentido de los restantes cuadros' (para evitar repetición 'interpretación... interpretación'). AR244 (doble depresión): 'particularmente la tendencia a evitar' → 'en particular la tendencia a evitar' (eliminado intensificador). AR245 (cierre): sin cambios sustanciales. AW252 (N espectro bipolar): 'desde lo ciclotímico' → 'desde rasgos ciclotímicos'; 'entrometido cuando no dominante y exigente' → 'entrometido y, en ocasiones, dominante y exigente' (corrección gramatical). AW253 (D depresión persistente): 'una notable pérdida de interés' → 'una pérdida de interés' (eliminado intensificador). AW254 (B consumo de alcohol): 'un notorio malestar' → 'un malestar persistente'. AW256 (R PTSD): 'un notorio malestar' → 'un malestar persistente'. AW258 (CC depresión mayor): 'una notable incapacidad' → 'una marcada incapacidad' (Millon prefiere 'marcada').</t>
  </si>
  <si>
    <t>[B205](&lt;citation:Perfil!B205&gt;) ahora reproduce el registro estilístico del autor del manual con léxico Millon depurado: 'interpretación se desarrolla', 'matizar el sentido', 'en particular', 'rasgos ciclotímicos', 'en ocasiones', 'marcada', 'malestar persistente'. Eliminados intensificadores no-Millon ('notable', 'notorio', 'particularmente'), corregida construcción gramatical no-Millon ('entrometido cuando no dominante'). Perfil actual: CC presente (TB 82), A prominente (TB 90), N presente (TB 75), sin doble depresión.</t>
  </si>
  <si>
    <t>Analizar los cinco capítulos del manual MCMI-IV cargados como archivos .md (Cap 1-5) y quedar a la espera de instrucciones.</t>
  </si>
  <si>
    <t>Lectura sistemática de los cinco documentos transcritos del manual.</t>
  </si>
  <si>
    <t>Cap 1 Introducción (513 líneas, 25 escalas + facetas Grossman + Tabla 1.1); Cap 2 Aplicación y corrección (169 líneas, ajustes X/A/CC, percentiles, criterios de invalidez); Cap 3 Base teórica (198 líneas, teoría evolutiva Millon, dominios funcionales/estructurales); Cap 4 Interpretación (314 líneas, las tres fases, índices V/W/X/Y/Z, patología grave, patrones clínicos, escalas psicopatológicas, gravedad y funcionalidad); Cap 5 Desarrollo y adaptación española (442 líneas, fases experimental y de tipificación, conversión de PD a TB).</t>
  </si>
  <si>
    <t>Contenido y estructura de los cinco capítulos asimilados. A la espera de la instrucción del usuario sobre qué hacer con ellos.</t>
  </si>
  <si>
    <t>Analizar los dos informes interpretativos oficiales del MCMI-IV (Robert Sample masculino, Joan Sample femenino) para internalizar la lógica estructural, estilo narrativo y vocabulario Pearson/Millon.</t>
  </si>
  <si>
    <t>Extracción y lectura sistemática de los dos PDFs (informe masculino 10 páginas, informe femenino 12 páginas).</t>
  </si>
  <si>
    <t>Mapa estructural confirmado de ambos informes: (1) REPORT SUMMARY [Interpretive Considerations, Profile Severity, Possible Diagnoses, Therapeutic Considerations]; (2) PROFILE SUMMARY [BR plots de las 25 escalas]; (3) GROSSMAN FACET SCALE SCORES + FACET SCALES FOR HIGHEST ELEVATED PERSONALITY SCALES; (4) RESPONSE TENDENCIES; (5) PERSONALITY PATTERNS [párrafo de cohesión global + narrativa fenomenológica integrada del código de altos puntos]; (6) GROSSMAN FACET SCALES [apertura + top facetas en cadena + cierre 'Early treatment efforts...optimal results if oriented toward modifying these personality features']; (7) CLINICAL SYNDROMES [apertura + síndromes en cadena por orden de salience]; (8) NOTEWORTHY RESPONSES [items disparádores agrupados]; (9) POSSIBLE DSM-5 DIAGNOSES; (10) Course + Psychosocial problems; (11) TREATMENT GUIDE [corto plazo + largo plazo]. Niveles de severidad escalonados: moderada (Robert: moderately severe, modulated slightly upward or downward) vs notable/acentuada (Joan: severe mental disorder, modulated upward, lack of internal cohesion, pronounced ambivalence, inner template compromised, self-defeating vicious circles). Joan añade tres bloques propios por su perfil de validez: Random Responding alert (W elevada), ajustes basados en escalas X/A/CC, párrafo de cohesión global (que Robert no necesita por su severidad moderada). Códigos de altos puntos: Robert 6A-8B-2A (Antisocial-Masochísta-Evitativo); Joan 8A-6A-2B (Negativista-Antisocial-Melancólico) con C=97 nuclear límite. Conectores Pearson narrativos: 'Most notable are...', 'Also salient are...', 'Also worthy of attention is...'. Cierre Grossman literal: 'Early treatment efforts are likely to produce optimal results if they are oriented toward modifying these personality features'. Cierre clínico: 'They may arise in response to external precipitants but are likely to reflect and accentuate several of the more enduring and pervasive aspects of this [man/woman]'s basic personality makeup'.</t>
  </si>
  <si>
    <t>Estructura Pearson de los dos informes oficiales mapeada y comparada. Robert y Joan ofrecen los dos extremos de severidad (moderada vs acentuada con cohesión comprometida) y los dos casos de validez (normal vs aleatoriedad cuestionable con ajustes X/A/CC). A la espera de la instrucción del usuario sobre qué sección del workbook aplicar o ajustar.</t>
  </si>
  <si>
    <t>Reestructurar B146 (validez y estilo de respuesta) replicando la lógica de los informes Pearson: separar los bloques Interpretive Considerations + Response Tendencies y añadir el tratamiento explícito de los ajustes basados en X y A/CC.</t>
  </si>
  <si>
    <t>Construido sistema de 6 celdas auxiliares en AR145:AR150 que B146 concatena.</t>
  </si>
  <si>
    <t>AR145 = V12 (validez V/W literal). AR146 = bandera de validez cuestionable cuando V o W están elevadas pero no invalidan ('Por tal motivo... deben analizarse con cautela'). AR147 = ' En cuanto al estilo de respuesta, '&amp;W19 (estilo X/Y/Z). AR148 = nuevo bloque de ajustes: detecta X PD&lt;21 (ajuste al alza), X PD&gt;60 (ajuste a la baja), I47&gt;=75 ó I56&gt;=75 (ajuste A/CC sobre 2B, 8B, C, 2A y S); abre con 'Sobre los resultados obtenidos se han aplicado los siguientes ajustes a las tasas base:' y concatena sólo los ajustes activos. AR149 = nuevo bloque alternativo cuando no aplica ningún ajuste ('No se ha realizado ajuste alguno en las tasas base...'). AR150 = ' Sobre esta base, '&amp;V16 (cierre con interpretabilidad TB). B146 = TRIM(AR145&amp;AR146&amp;AR147&amp;AR148&amp;AR149&amp;AR150). Todas las ramas neutralizan su contenido (devuelven cadena vacía) si V12 invalida el perfil, de manera que cuando el protocolo es inválido sólo aparece la frase de invalidez.</t>
  </si>
  <si>
    <t>[B146](&lt;citation:Perfil!B146&gt;) ahora replica la lógica Pearson en prosa continua española. Para el perfil activo de Jose Aníbal Motaño (X PD=46 sin ajuste, A TB=90, CC TB=82 → ajuste A/CC activo) el bloque AR148 enumera correctamente el ajuste sobre 2B/8B/C/2A/S. La estructura escala automáticamente: si la validez es cuestionable añade la advertencia AR146; si X está fuera de rango activa el ajuste X correspondiente; si A o CC alcanzan 75 activa el ajuste A/CC; si nada de eso aplica se inserta AR149 con la frase 'No se ha realizado ajuste alguno...'. Si el protocolo se considera inválido sólo aparece AR145 con la frase de invalidez.</t>
  </si>
  <si>
    <t>Continuar revisión estilística de B146 a partir del cierre interpretativo de tasas base.</t>
  </si>
  <si>
    <t>Reescrita la rama TB&gt;=60 (normal) de V16 para restablecer los tres tramos diagnósticos del manual (60 / 75 / 85).</t>
  </si>
  <si>
    <t>Cambio aplicado en la rama 'normal' (MAX(I27:I38) en 60-84) de V16. Texto anterior compactaba TB 75-84 y TB&gt;=85 en una única frase ambigua: 'las elevaciones iguales o superiores a 75 apuntan, en su caso, a tipos de personalidad menos adaptativos con rasgos problemáticos propios del constructo correspondiente'. Texto nuevo restablece la distinción literal del Cap. 4 p. 38: 'las elevaciones iguales o superiores a 75 indican tipos de personalidad menos adaptativos con rasgos problemáticos propios del constructo correspondiente, en tanto que las elevaciones iguales o superiores a 85 reflejan una patología suficientemente generalizada como para considerarla un trastorno clínico de la personalidad'. Sustituido el verbo 'apuntan' (no-Millon) por 'indican' (literal del manual) y el atenuador 'en su caso' por el conector 'en tanto que' (literal Millon). Las ramas &lt;60 y &gt;=85 quedan intactas.</t>
  </si>
  <si>
    <t>[V16](&lt;citation:Perfil!V16&gt;) y por extensión [B146](&lt;citation:Perfil!B146&gt;) cierran ahora con los tres tramos diagnósticos literales del manual MCMI-IV. Perfil activo Jose Aníbal (MAX TB patrones = 78, entre 75 y 84) renderiza correctamente: 'las elevaciones iguales o superiores a 75 indican tipos de personalidad menos adaptativos con rasgos problemáticos propios del constructo correspondiente, en tanto que las elevaciones iguales o superiores a 85 reflejan una patología suficientemente generalizada como para considerarla un trastorno clínico de la personalidad.'</t>
  </si>
  <si>
    <t>Auditar todas las fórmulas que alimentan B146 buscando errores, umbrales no acordes al manual, palabras no-Millon, duplicaciones o defectos gramaticales.</t>
  </si>
  <si>
    <t>Revisión sistemática de V12, V16, W17, W18, W19 y AR145:AR150.</t>
  </si>
  <si>
    <t>Hallazgos y correcciones: (1) AR148 defectuoso — cuando solo se activaba un ajuste por X (sin A/CC), la fórmula cerraba con ';.' (punto y coma + punto sueltos). Rehecha la lógica para que cada bloque interno cierre con '.' si es el último o ';' si le sigue otro ajuste. Eliminado también 'las puntuaciones de las escalas se han ajustado' (redundancia 'de las escalas') → 'las puntuaciones se han ajustado'. (2) AR146 — desconcordancia entre singular 'contenido interpretativo que se desarrolla' y plural 'deben analizarse' → reescrito como 'las puntuaciones obtenidas y el contenido interpretativo que se desarrolla a continuación deben analizarse con cautela' (pluralidad correcta porque el sujeto es 'puntuaciones... y... contenido'). (3) W17 — verbo no-Millon 'apunta' sustituido por 'indica' (1 ocurrencia en la rama de petición de ayuda). (4) W18 — verbo no-Millon 'apunta' sustituido por 'indica' (2 ocurrencias en las ramas Z≥1275 con Y≥1275 y Z≥75 sola); también 'sugieren una exageración moderada' → 'indican una exageración moderada' en la rama X&lt;21 e Y&lt;21 con Z≥75. (5) Umbrales V/W: V12 respeta el manual (V PD≥2 invalida, W PD≥20 invalida, X PD&lt;7 o &gt;114 invalida en W17). Umbrales 'cuestionables' V=1 y W=9-19 son convenciones del workbook (el manual no los define), aceptables. (6) V16 conserva los tres tramos diagnósticos restablecidos en el turno anterior. (7) AR145 simple referencia a V12. (8) AR147 y AR150 son inyecciones de conectores ('En cuanto al estilo de respuesta, ' / ' Sobre esta base, ') con neutralización si V12 invalida. (9) AR149 cubre el caso 'sin ajustes'. Cadena de neutralización por invalidez verificada en todas las celdas.</t>
  </si>
  <si>
    <t>[B146](&lt;citation:Perfil!B146&gt;) auditada y depurada. Texto actual del perfil Jose Aníbal Motaño renderizado sin errores: cuatro tramos coherentes (validez OK / estilo Y elevada / ajuste A/CC sobre 2B-8B-C-2A-S / cierre TB tres tramos). Palabras no-Millon eliminadas en W17 y W18. AR148 robusto en todas las combinaciones de ajustes (X↑, X↓, A/CC, X+A/CC). AR146 con gramática corregida. Las cinco fórmulas de soporte (V12, V16, W17, W18, W19) ahora alineadas con el léxico Millon del manual.</t>
  </si>
  <si>
    <t>Auditar las fórmulas que alimentan B161 (patrones de personalidad) buscando palabras extrañas, no-Millon, intensificadores, redundancias y defectos gramaticales.</t>
  </si>
  <si>
    <t>Revisión sistemática y reescritura de AR184, AR185, AR186, AR190, AR191 y AR193.</t>
  </si>
  <si>
    <t>Hallazgos y correcciones aplicadas: (1) AR184 rama acentuada: 'apuntan a una patología generalizada' → 'indican una patología generalizada'; rama moderada: 'apuntan a uno o más tipos' → 'indican uno o más tipos'. (2) AR185 rama acentuada: 'la plantilla interna... se evidencia comprometida' → 'resulta comprometida'; 'resulta a menudo precario' → 'se mantiene a menudo precario'; eliminado 'marcada' antes de 'disfunción emocional, cognitiva o conductual'. (3) AR186: 'marcada autoabsorción' → 'autoabsorción' (eliminado intensificador); 'permanecer absorto en sí mismo y sumido en cavilaciones' → 'permanecer sumido en sus propias cavilaciones' (eliminada redundancia con autoabsorción); 'marcada inestabilidad afectiva' → 'inestabilidad afectiva'; 'se intercalan en periodos breves' → 'se intercalan con periodos breves' (preposición correcta); 'lo deja vulnerable a desbordes' → 'lo expone a desbordes' (léxico Millon); 'irritabilidad desabrida' → 'irritabilidad sostenida' (eliminado arcaísmo); 'marcado temor a perder la independencia' → 'temor a perder la independencia' (eliminado intensificador); 'resistirse enérgicamente a las influencias' → 'resistirse a las influencias' (eliminado intensificador). (4) AR190 esquizoide: limpio. Rama 2A: 'el mecanismo de fantasía como vía privilegiada de afrontamiento' → 'como principal vía de afrontamiento'. Rama 2B: 'autoimagen inútil' → 'autoimagen desvalorizada' (constructo Millon 'Worthless Self-Image' literal); 'mina su capacidad' → 'merma su capacidad'. Rama 4B: 'su persistente euforia, entrometimiento y volubilidad' → 'su euforia persistente, su conducta entrometida y su volubilidad' (entrometimiento es palabra rara); 'acciones impetuosas e impulsivas' → 'acciones impulsivas' (eliminada redundancia). (5) AR191 rama 5: 'egocentrismo egotista' → 'egocentrismo' (eliminada tautología); 'aire de superioridad pretenciosa' → 'aire de superioridad' (eliminado coloquialismo). Rama 6A: 'el dolor y los estragos que prevé que le causen' → 'el daño y los perjuicios que prevé que le causen' (léxico Millon). Rama 6B: 'conducta conflictiva, ofensiva y brutal' → 'conducta conflictiva y ofensiva' (eliminado 'brutal'); 'arquitectura intrapsíquica eruptiva' conservado. Rama 8B: 'los alienta a hacerlo' → 'los incita a hacerlo'; 'estilo cognitivo inseguro' → 'estilo cognitivo dubitativo' (constructo Millon 'diffident'). (6) AR193 rama 4B: 'autoimagen sobreestimada con vitalidad infatigable' → 'autoimagen sobreestimada acompañada de una sensación sostenida de vitalidad'. Rama 6B: 'comportamiento interpersonal desagradable' → 'comportamiento interpersonal áspero' (literal Millon 'Interpersonally Abrasive'); 'arquitectura eruptiva susceptible al ataque súbito' → 'arquitectura intrapsíquica eruptiva'. Rama 8A: 'temperamento irritable que pugna entre la deferencia y el desafío' → 'temperamento irritable que vacila entre la deferencia y el desafío' (léxico Millon). Rama 8B: 'condescendencia interpersonal y temperamento disfórico que invierte las gratificaciones esperables' → 'sumisión interpersonal y temperamento disfórico que inhibe la búsqueda activa de gratificación' (reformulado por oscuridad). AR195 no requirió cambios. AR199 cadena vacía.</t>
  </si>
  <si>
    <t>[B161](&lt;citation:Perfil!B161&gt;) auditada y depurada. Perfil Jose Aníbal Motaño renderiza ahora con léxico Millon limpio: histriónico nuclear + dependiente secundario + tempestuoso terciario, gravedad notable, ambivalencia entre motivaciones contrapuestas. Eliminados arcaísmos ('desabrida'), tautologías ('egocentrismo egotista'), intensificadores genericos ('marcada', 'pretenciosa'), redundancias ('impetuosas e impulsivas'), construcciones oscuras ('se evidencia comprometida', 'pugna entre', 'lo deja vulnerable a', 'invierte las gratificaciones esperables', 'estragos'), verbos no-Millon ('apuntan a', 'alienta'), y léxico no-Millon ('autoimagen inútil', 'estilo cognitivo inseguro', 'entrometimiento'). Sustituidos por constructos Millon literales ('autoimagen desvalorizada', 'estilo cognitivo dubitativo', 'comportamiento interpersonal áspero').</t>
  </si>
  <si>
    <t>una disposición a permanecer indiferente y distante respecto de las acciones y sentimientos ajenos, con preferencia por las actividades solitarias y un mínimo interés por las demás personas; tiende a situarse en un segundo plano y a asumir un papel secundario en los ámbitos social, escolar y familiar, sin establecer ni desear vínculos estrechos</t>
  </si>
  <si>
    <t>una carencia de representaciones objetales interiorizadas, que se encuentran mínimamente articuladas y, en su mayoría, vacías de las percepciones y recuerdos propios de las relaciones con los demás, todo lo cual deriva en una escasa interacción dinámica entre los impulsos psíquicos y los conflictos</t>
  </si>
  <si>
    <t>una actitud derrotista y fatalista ante prácticamente todo y una tendencia a ver el lado más adverso de las cosas y a esperar lo peor; tiende a sentirse agobiado, desanimado y abatido, en tanto que su interpretación de los acontecimientos resulta consistentemente pesimista</t>
  </si>
  <si>
    <t>una representación de sí mismo como alguien que no vale nada, insignificante e irrelevante, sobre un sustrato de tristeza generalizada; el menor error puede sumirlo en un estado profundo de desánimo, en la medida en que se ve a sí mismo como alguien que merece ser criticado y menospreciado</t>
  </si>
  <si>
    <t>una disposición optimista y animada en los vínculos sociales, junto con el intento de atraer a los demás mediante un entusiasmo contagioso; no obstante, bajo presión o en estados eufóricos puede volverse entrometido, autoritario e innecesariamente intruso</t>
  </si>
  <si>
    <t>una imaginación expansiva y un pensamiento centrado en fantasías inmaduras de éxito, belleza o amor; la realidad objetiva lo limita poco, en la medida en que hace su propia interpretación de los hechos y, en ocasiones, los distorsiona para sostener las fantasías sobre sí mismo</t>
  </si>
  <si>
    <t>una suspicacia permanente respecto de las intenciones de los demás y una tendencia a interpretar erróneamente acciones inofensivas como pruebas de hipocresía o de conspiración; capta cualquier detalle por trivial que sea, lo magnifica y lo distorsiona para confirmar sus peores expectativas</t>
  </si>
  <si>
    <t>una no aceptación de sus cualidades e intenciones despreciables, que atribuye a los demás; permanece ciego a su propia conducta y a sus rasgos indeseables, en tanto que advierte los defectos más intrascendentes de los otros, sobre un sustrato de susceptibilidad e irritabilidad que lo mantiene siempre dispuesto a descalificar y a menospreciar a quienes considera sospechosos</t>
  </si>
  <si>
    <t>Auditar la fórmula que alimenta B186 (facetas de Grossman) buscando palabras extrañas, no-Millon, intensificadores y construcciones torpes.</t>
  </si>
  <si>
    <t>Revisión sistemática y reescritura de descripciones de 11 facetas en AW202:AW246.</t>
  </si>
  <si>
    <t>Correcciones aplicadas en AW (descripciones del lookup de las 45 facetas): (1) AW202 (1.1) 'con marcada preferencia por las actividades solitarias' → 'con preferencia por las actividades solitarias' (intensificador eliminado). (2) AW203 (1.2) 'una notable carencia de representaciones objetales' → 'una carencia de representaciones objetales' (intensificador eliminado). (3) AW208 (2B.1) 'interpretación... resulta muy pesimista' → 'resulta consistentemente pesimista' (cambio de intensificador por adverbio descriptivo). (4) AW209 (2B.2) 'un estado más acentuado de desánimo' → 'un estado profundo de desánimo' (comparativo sin término de comparación corregido). (5) AW210 (2B.3) 'estado apenado, triste, acongojado y malhumorado' → 'estado apenado y malhumorado' (eliminada acumulación de cuatro adjetivos sinónimos); 'mina su capacidad' → 'merma su capacidad'. (6) AW214 (4A.1) 'reactividad exagerada y voluble' → 'reactividad voluble' (intensificador eliminado); 'gran entusiasmo y aventuras fugaces' → 'experiencias estimulantes y situaciones de novedad' (léxico literario corregido). (7) AW217 (4B.1) 'gran vitalidad e inquietud infatigable' → 'vitalidad sostenida y una inquietud que rara vez se aplaca'; 'este espíritu incansable' → 'este ánimo incansable' (espíritu es palabra no-Millon). (8) AW218 (4B.2) 'disposición muy optimista y animada' → 'disposición optimista y animada' (intensificador eliminado). (9) AW221 (5.2) 'imaginación desbocada y... fantasías inmaduras y vanagloriosas' → 'imaginación expansiva y... fantasías inmaduras' (léxico literario y palabra rara eliminados). (10) AW228 (6B.3) 'que va creciendo y acaba manifestándose' → 'que se va acumulando y acaba manifestándose' (verbo coloquial corregido). (11) AW234 (8A.3) 'se molesta y se exaspera' → 'se exaspera' (duplicación eliminada). (12) AW238 (S.1) 'pensamiento mágico ocasional' → 'un ocasional pensamiento mágico' (orden adjetival corregido). (13) AW243 (C.3) 'componente depresivo autocomplaciente' → 'componente depresivo autoindulgente' (léxico Millon correcto). (14) AW244 (P.1) 'que lo lleva a saltar ante la más mínima ofensa real o percibida' → 'que lo lleva a reaccionar bruscamente ante la mínima ofensa real o percibida' (coloquialismo 'saltar' eliminado). (15) AW245 (P.2) 'cualquier detalle por minúsculo que sea' → 'cualquier detalle por trivial que sea' (léxico Millon). (16) AW246 (P.3) 'siempre dispuesto a humillar y despreciar a cualquiera cuya actitud le resulte dudosa' → 'siempre dispuesto a descalificar y a menospreciar a quienes considera sospechosos' (palabra 'humillar' demasiado fuerte para faceta P; reformulada). Apertura AR212 sin cambios. Conectores AR213-AR216 sin cambios. Cierre AR217 sin cambios (literal Cap.4).</t>
  </si>
  <si>
    <t>[B186](&lt;citation:Perfil!B186&gt;) auditada y depurada. Las 11 descripciones de facetas con palabras extrañas fueron corregidas en la lookup table AV/AW. Perfil activo Jose Aníbal Motaño renderiza con las facetas Top-4 (4A.2 + 4B.1 + 4B.2 + 4A.3) ahora con léxico Millon limpio: 'búsqueda activa de elogios y manipulación', 'conducta enérgica sobre sustrato de vitalidad sostenida y una inquietud que rara vez se aplaca', 'disposición optimista y animada', 'sensibilidad emocional notable'. Las 34 facetas restantes (las que aplican a otros perfiles) también quedan auditadas; eliminados arcaísmos ('vanagloriosas'), intensificadores genéricos ('marcada', 'notable', 'muy', 'gran'), redundancias ('molestarse y exasperarse', 'apenado/triste/acongojado/malhumorado'), coloquialismos ('saltar', 'por minúsculo que sea', 'va creciendo'), comparativos defectuosos ('más acentuado' sin referente), expresiones literarias ('aventuras fugaces', 'imaginación desbocada') y palabras inadecuadas para el constructo ('humillar' en P.3, 'autocomplaciente' en C.3).</t>
  </si>
  <si>
    <t>Auditar la fórmula que alimenta B205 (síndromes clínicos) buscando palabras extrañas, no-Millon, intensificadores y construcciones torpes.</t>
  </si>
  <si>
    <t>Revisión sistemática y reescritura de la apertura AR240 y de 6 descripciones de síndromes en AW250:AW259.</t>
  </si>
  <si>
    <t>Correcciones aplicadas: (1) AR240 (apertura) 'exageran, realzan y acentúan las características más triviales del patrón premórbido' → 'exageran, realzan y acentúan los rasgos más sutiles del patrón premórbido' (léxico Millon literal). (2) AW250 (A) redundancia 'estado de alerta excesivo... irritabilidad generalizada' coexistiendo con 'estado generalizado de tensión' → 'estado de alerta constante hacia todo lo que lo rodea y una irritabilidad sostenida' (eliminadas reiteraciones). (3) AW251 (H) 'dolores desmesurados' → 'dolores exagerados' (léxico Millon); 'pese a que los médicos le indiquen que puede estar tranquilo' → 'pese a que los médicos le aseguren su buena salud' (coloquialismo eliminado). (4) AW252 (N) 'una necesidad reducida de sueño' → 'una necesidad disminuida de sueño' (léxico clínico Millon); typo intermitente 'ciclotiímicos/ciclotiimicos' → 'ciclotímicos' (forma correcta). (5) AW253 (D) 'una participación de la vida diaria sostenida durante años' → 'una participación en la vida diaria sostenida durante años' (preposición faltante añadida). (6) AW255 (T) 'una marcada dificultad para reprimir los impulsos' → 'una dificultad para reprimir los impulsos' (intensificador eliminado). (7) AW258 (CC) doble uso de 'marcada' → 'incapacidad marcada' + 'fatiga persistente' (eliminada repetición del intensificador). AW254 (B), AW256 (R), AW257 (SS) y AW259 (PP) auditadas y conservadas. Conectores Pearson en AR241/AR242/AR243 ('Cabe destacar en primer término', 'Asimismo emerge', 'Resulta también relevante') y cierre AR245 sin cambios.</t>
  </si>
  <si>
    <t>[B205](&lt;citation:Perfil!B205&gt;) auditada y depurada. Perfil activo Jose Aníbal Motaño renderiza con tres síndromes (CC=82 grave presente → depresión mayor; A=90 prominente → ansiedad generalizada; N=75 presente → espectro bipolar) con léxico Millon limpio. Eliminados intensificadores duplicados ('marcada' x2 en CC), coloquialismos ('puede estar tranquilo'), arcaísmos/literarios ('desmesurados', 'características más triviales'), errores gramaticales ('participación de la vida diaria' sin preposición), redundancias de adjetivos en cascada ('generalizado/excesivo/generalizada' en una sola descripción), typos intermitentes ('ciclotímicos' restaurado), y léxico subclinical ('reducida' → 'disminuida'). Apertura literal Millon ('rasgos más sutiles del patrón premórbido') restablecida.</t>
  </si>
  <si>
    <t>Continuar auditando las fórmulas que alimentan B161 con criterio más estricto, buscando palabras extrañas al manual y errores conceptuales.</t>
  </si>
  <si>
    <t>Segunda pasada de auditoría sobre AR184, AR186, AR190 y AR193.</t>
  </si>
  <si>
    <t>Hallazgos y correcciones aplicadas: (1) AR184 rama acentuada: 'magnitud del compromiso personológico observado' → 'magnitud del compromiso de la personalidad observado' (Millon usa 'compromiso de la personalidad', no 'compromiso personológico'). (2) AR186 esquizotípico: 'vacío y sinsentido' → 'vacío y carencia de sentido' (sinsentido es palabra rara); 'suele ser percibido por los demás' → 'los demás suelen percibirlo' (voz activa Millon). (3) AR186 paranoide: 'una manifiesta inflexibilidad del pensamiento' → 'una inflexibilidad del pensamiento' (eliminado intensificador 'manifiesta'). (4) AR190 esquizoide: ERROR CONCEPTUAL CRÍTICO 'autoimagen displicente' → 'autoimagen complaciente' (constructo Millon literal 'Complacent Self-Image' — 'displicente' significa lo opuesto: despectivo/indolente). También: 'actúa, en gran medida, como un observador pasivo' → 'actúa habitualmente como un observador pasivo' ('habitualmente' es más Millon que 'en gran medida'). (5) AR190 evitativo: 'para no exponerse a la humillación' → 'para no exponerse a la humillación y al rechazo' (constructo Millon literal 'humiliation and rejection'). (6) AR190 melancólico: 'perspectiva sin esperanzas' → 'perspectiva carente de esperanza' (singular correcto, evitando coloquial plural); 'propensión al ascetismo que merma su capacidad' → 'una incapacidad para disfrutar de los aspectos satisfactorios de la vida' (ascetismo no aparece en el manual respecto al melancólico; reformulado como anhedonia). (7) AR190 tempestuoso: 'comportamiento interpersonal eufórico' → 'comportamiento interpersonal animado' (constructo Millon literal 'Interpersonally High-Spirited'). (8) AR193 tempestuoso (rama 4B secundaria): 'autoimagen sobreestimada acompañada de una sensación sostenida de vitalidad' → 'autoimagen sobreestimada' (eliminada inflación descriptiva no Millon). (9) AR193 masoquista (rama 8B secundaria): 'sumisión interpersonal y temperamento disfórico' → 'conducta servil, autoimagen desmerecedora y temperamento disfórico' (constructo Millon literal 'self-sacrificing/servile' — sumisión es del dependiente, no del masoquista).</t>
  </si>
  <si>
    <t>[B161](&lt;citation:Perfil!B161&gt;) auditada por segunda vez con resultados sustantivos. Error conceptual crítico corregido: la autoimagen del esquizoide es complaciente, no displicente. Constructos Millon literales restablecidos: 'humillación y rechazo', 'comportamiento interpersonal animado', 'conducta servil'. Eliminados intensificadores residuales ('manifiesta'), inflación descriptiva no Millon ('sensación sostenida de vitalidad'), invenciones conceptuales ('ascetismo'), coloquialismos ('sinsentido', 'sin esperanzas'). El perfil activo de Jose Aníbal Motaño no se ve afectado en sus tres patrones nucleares (histriónico, dependiente, tempestuoso terciario) porque las modificaciones en las ramas afectadas son fenomenológicas, no estructurales.</t>
  </si>
  <si>
    <t>una insensibilidad innata y una frialdad afectiva, con pocas necesidades afectivas o sexuales y una aparente incapacidad para experimentar placer, tristeza o ira con cierta intensidad</t>
  </si>
  <si>
    <t>una serie de representaciones interiorizadas compuestas de recuerdos de relaciones tempranas problemáticas, intensos y conflictivos, que se reactivan fácilmente; por consiguiente, dispone de limitadas opciones para sentir satisfacción o evocar momentos satisfactorios, así como de pocos mecanismos para canalizar sus necesidades o evitar los estresores externos</t>
  </si>
  <si>
    <t>un estado apenado y malhumorado, intensificado por su tendencia a preocuparse, ver el lado negativo de todo y sentirse culpable; puede relacionarse con los demás, si bien lo hace de manera mecánica y con poco entusiasmo, todo lo cual merma su capacidad de disfrutar de la vida</t>
  </si>
  <si>
    <t>una desvinculación de las responsabilidades propias de los adultos; tiende a ser dócil y pasivo, muestra escasas capacidades funcionales y evita la asertividad, en la medida en que carece de la seguridad propia de la madurez y busca el afecto, la atención y la protección de los demás a la manera infantil</t>
  </si>
  <si>
    <t>una entrega ante figuras más fuertes y protectoras, sin las cuales puede sentirse angustiadamente solo y desvalido; necesita recibir consejos y seguridad de forma constante y se muestra obediente, transigente y conciliador, en tanto que teme quedarse sin nadie que se ocupe de él</t>
  </si>
  <si>
    <t>una representación de sí mismo como débil, frágil e incompetente, sobre un sustrato de menosprecio de las propias capacidades; carece de confianza para actuar por sí solo, si bien gran parte de esta autodevaluación opera, al margen de la conciencia, como una estrategia para obtener elogios y apoyo de los demás</t>
  </si>
  <si>
    <t>una reactividad voluble, provocadora y cautivadora; tiende a ser caprichoso, a entusiasmarse con facilidad y a no tolerar los fracasos, los retrasos ni las desilusiones, de manera que reacciona de forma impulsiva, teatral y emocionalmente intensa, en tanto que se siente atraído por las experiencias estimulantes y las situaciones de novedad</t>
  </si>
  <si>
    <t>una sensibilidad emocional y la expresión de sentimientos, positivos y negativos, que cambian con facilidad; pasa con rapidez de la alegría y el entusiasmo a la impulsividad, el enfado o el aburrimiento, sobre un alto nivel de activación autónoma</t>
  </si>
  <si>
    <t>una conducta enérgica, decidida, emocionalmente excitable y entusiasta, sobre un sustrato de vitalidad sostenida y una inquietud que rara vez se aplaca; este ánimo sostenido, no obstante, no se traduce necesariamente en logros efectivos y, cuando esto sucede, puede derivar en obstinación con los demás y en conductas cáusticas o agresivas</t>
  </si>
  <si>
    <t>un sentido de privilegio, una falta de empatía y la expectativa de favores especiales a cambio de nada; no valora a los demás y los utiliza abiertamente para satisfacer sus propios deseos y destacar</t>
  </si>
  <si>
    <t>una representación de sí mismo como elogiable, especial, único y digno de toda admiración; actúa con grandiosidad y seguridad en sí mismo, a menudo sin que existan motivos objetivos para hacerlo, en tanto que sostiene una autoestima elevada a pesar de que los demás puedan percibirlo como egocéntrico, desconsiderado y arrogante</t>
  </si>
  <si>
    <t>una falta de sensibilidad hacia los demás y una inclinación a discutir y polemizar, con reacciones de arrebatos repentinos, inesperados e injustificados; se muestra impasible ante el dolor y poco intimidado por los peligros o castigos, en tanto que ante insultos u ofensas se inclina a actuar por venganza</t>
  </si>
  <si>
    <t>una energía interior de naturaleza agresiva o sexual que se va acumulando y acaba manifestándose en arrebatos impetuosos que amenazan con desbordar el autocontrol; experiencias dolorosas tempranas han dado lugar a emociones residuales que expresa con inmediatez y de forma persistente</t>
  </si>
  <si>
    <t>una representación de sí mismo como eficiente, disciplinado, meticuloso y diligente, sobre un sustrato de dedicación al trabajo y a las responsabilidades; tiende a restar importancia a las actividades recreativas y de ocio, en tanto que teme ser visto como irresponsable o como alguien que no cumple las expectativas de los demás</t>
  </si>
  <si>
    <t>una resistencia a cumplir las expectativas de los demás, con tendencia a la dilación, la ineficiencia, la obstinación y el oposicionismo; al margen de la conciencia, exterioriza una satisfacción al socavar los placeres y aspiraciones ajenos</t>
  </si>
  <si>
    <t>un estado malhumorado, obstinado y resentido, con una baja tolerancia a la frustración; fácilmente se exaspera ante lo que hacen los demás, en tanto que tiende a replegarse huraño y en silencio</t>
  </si>
  <si>
    <t>un estado oscilante entre la ansiedad y la inquietud y el ánimo apenado y triste; experimenta angustia y tormento con frecuencia, en tanto que tiende a mostrarse deliberadamente quejumbroso y melancólico para provocar sentimientos de culpa y malestar en los demás</t>
  </si>
  <si>
    <t>una mezcla de la comunicación social con irrelevancias personales, lenguaje circunstancial, ideas de referencia y comentarios metafóricos al margen; tiende a mostrarse absorto en sí mismo y sumido en sus fantasías, con un ocasional pensamiento mágico, ilusiones corporales y distorsión entre realidad y fantasía</t>
  </si>
  <si>
    <t>una confusión respecto de sí mismo y una perplejidad respecto de la sociedad, con experiencias aisladas de despersonalización y alteración de la conciencia; se ve a sí mismo apenado, con pensamientos recurrentes sobre el vacío y la falta de sentido de la vida, en tanto que su percepción deficiente y su afectividad incongruente hacen que sólo pueda vivir los acontecimientos con desánimo e incomprensión</t>
  </si>
  <si>
    <t>una estructura psíquica interior inconsistente e incongruente, caracterizada por una inusual combinación de elementos claramente segmentados; los niveles de conciencia pueden cambiar de repente y dar lugar a percepciones, recuerdos y afectos opuestos, todo lo cual potencialmente conlleva episodios psicóticos breves relacionados con el estrés</t>
  </si>
  <si>
    <t>una inestabilidad emocional con un estado de ánimo poco acorde a la realidad; el desánimo y la apatía crónicos se intercalan con periodos breves de ira, euforia o ansiedad, en tanto que puede predominar un componente depresivo autocompasivo que da paso periódicamente a una agitación ansiosa o a arrebatos impulsivos</t>
  </si>
  <si>
    <t>una actitud constante de alerta, cautela y desconfianza para protegerse anticipadamente de los engaños y la malicia de los demás; es tenaz y se resiste con firmeza a las influencias externas y a ser controlado, en tanto que se muestra tenso e inquieto, con una actitud defensiva que lo lleva a reaccionar bruscamente ante la mínima ofensa real o percibida</t>
  </si>
  <si>
    <t>Tercera pasada de auditoría léxica sobre B186 (facetas de Grossman), buscando palabras no enmarcadas en el manual MCMI-IV.</t>
  </si>
  <si>
    <t>Revisión y reescritura de 22 facetas en la lookup table AW202:AW246.</t>
  </si>
  <si>
    <t>Correcciones aplicadas: (1) AW204 (1.3 Apatico) 'insensibilidad intrínseca' → 'insensibilidad innata'. (2) AW207 (2A.3 Vejatorio) 'reactivan con facilidad' → 'reactivan fácilmente'; 'recordar momentos de plenitud' → 'evocar momentos satisfactorios'. (3) AW210 (2B.3 Apesadumbrado) 'lo hace por inercia y con poco entusiasmo' → 'lo hace de manera mecánica y con poco entusiasmo'; 'no obstante' → 'si bien' (más natural en la frase). (4) AW211 (3.1 Pueril) 'pocas competencias funcionales' → 'escasas capacidades funcionales'. (5) AW212 (3.2 Sumiso) 'de forma desmesurada' → 'de forma constante' (eliminado intensificador). (6) AW213 (3.3 Inepto) 'autodesprecio' → 'autodevaluación' (constructo Millon literal). (7) AW214 (4A.1 Dramático) 'impulsiva, teatral y muy emocional' → 'impulsiva, teatral y emocionalmente intensa' (eliminado intensificador 'muy'). (8) AW216 (4A.3 Veleidoso) 'sensibilidad emocional notable' → 'sensibilidad emocional'; 'una facilidad inusual' → 'facilidad' (eliminados dos intensificadores). (9) AW217 (4B.1 Impetuoso) 'intensamente entusiasta' → 'entusiasta'; 'ánimo incansable' → 'ánimo sostenido'; 'puede deslizarse hacia la obstinación con los demás, lo incorrecto o lo potencialmente cáustico y agresivo' → 'puede derivar en obstinación con los demás y en conductas cáusticas o agresivas' (reformulada construcción sustantivada errónea). (10) AW220 (5.1 Explotador) 'los utiliza descaradamente' → 'los utiliza abiertamente'. (11) AW222 (5.3 Admirable) 'percibirlo como egoísta, desconsiderado y arrogante' → 'percibirlo como egocéntrico, desconsiderado y arrogante' (Millon literal 'self-centered'). (12) AW226 (6B.1 Precipitado) 'impavido ante el dolor' → 'impasible ante el dolor'; 'poco amedrentado' → 'poco intimidado'. (13) AW228 (6B.3 Eruptiva) 'amenazan con aniquilar el autocontrol' → 'amenazan con desbordar el autocontrol'; 'habrían dado lugar a intensas emociones residuales' → 'han dado lugar a emociones residuales' (condicional eliminado y intensificador 'intensas' también). (14) AW231 (7.3 Responsable) 'consagración al trabajo' → 'dedicación al trabajo' (Millon literal 'devotion'). (15) AW232 (8A.1 Resentido) 'la procrastinación' → 'la dilación' (eliminado anglicismo). (16) AW234 (8A.3 Irritable) 'replegarse enfurruñado' → 'replegarse huraño'. (17) AW237 (8B.3 Disfórico) 'angustia y atormentamiento' → 'angustia y tormento'. (18) AW238 (S.1 Circunstancial) 'apartes metafóricos' → 'comentarios metafóricos al margen'. (19) AW239 (S.2 Disociada) 'el sinsentido de la vida' → 'la falta de sentido de la vida' (coherente con la corrección previa en AR186). (20) AW242 (C.2 Disgregada) 'episodios minipsicóticos transitorios' → 'episodios psicóticos breves' (eliminada jerga). (21) AW243 (C.3 Lábil) 'componente depresivo autoindulgente' → 'componente depresivo autocompasivo' (autoindulgente conflicto con su sentido moral; autocompasivo es el constructo límite). (22) AW244 (P.1 Defensivo) 'manifiesta desconfianza' → 'desconfianza' (eliminado intensificador 'manifiesta').</t>
  </si>
  <si>
    <t>[B186](&lt;citation:Perfil!B186&gt;) auditada por tercera vez con 22 correcciones léxicas. Perfil Jose Aníbal renderiza las 4 facetas top sin palabras no Millon: 4A.2 (Búsqueda activa de elogios), 4B.1 ('conducta enérgica... vitalidad sostenida... ánimo sostenido... puede derivar en obstinación y conductas cáusticas o agresivas'), 4B.2 (disposición optimista y animada), 4A.3 ('sensibilidad emocional... cambian con facilidad'). Cierre Millon literal Cap. 4 conservado. Constructos Millon literales restablecidos: autodevaluación (no autodesprecio), egocéntrico (no egoísta), dedicación (no consagración), impasible (no impávido), dilación (no procrastinación), autocompasivo (no autoindulgente).</t>
  </si>
  <si>
    <t>Revisar B161 buscando palabras extrañas al manual de Millon en las fórmulas auxiliares.</t>
  </si>
  <si>
    <t>Cuarta pasada de auditoría comparando palabra por palabra con el Cap. 1 (descripciones de patrones) y Tabla 1.1 (facetas Grossman).</t>
  </si>
  <si>
    <t>Restablecidos términos literales del manual y eliminadas palabras no Millon. AR190 melancólico: 'perspectiva carente de esperanza' → 'perspectiva sin esperanzas' (literal Cap. 1 p. 7); 'autoimagen desvalorizada' → 'autoimagen sin valor' (Tabla 1.1 literal 'Worthless Self-Image'). AR191 narcisista: 'destaca por su egocentrismo' → 'destaca por su egocentrismo egotista' (literal Cap. 1 p. 8 'destacan por su egocentrismo egotista'). AR191 compulsivo: 'temperamento contenido' → 'temperamento solemne' (Tabla 1.1 'Temperamentalmente solemne' literal de Solemn Temperament). AR191 masoquista: 'los incita a hacerlo' → 'los alienta a hacerlo' (manual literal usa 'alientan'); 'estilo cognitivo dubitativo' → 'arquitectura intrapsíquica invertida' (constructo Tabla 1.1 facetas 8B; 'estilo cognitivo dubitativo' no aparece en Tabla 1.1 ni Cap. 3 para el masoquista). AR193 melancólico secundario: 'autoimagen desvalorizada' → 'autoimagen sin valor' (coherente con AR190).</t>
  </si>
  <si>
    <t>[B161](&lt;citation:Perfil!B161&gt;) ahora respeta literalmente los constructos del manual: 'perspectiva sin esperanzas' (Cap. 1), 'autoimagen sin valor' (Tabla 1.1 Worthless), 'egocentrismo egotista' (Cap. 1), 'temperamento solemne' (Tabla 1.1 Solemn), 'alientan a hacerlo' (Cap. 1), 'arquitectura intrapsíquica invertida' (Tabla 1.1 8B.2). El perfil activo de Jose Aníbal Motaño conserva sus tres patrones (histriónico, dependiente, tempestuoso) y los rasgos descritos coinciden ahora con el lenguaje literal del autor.</t>
  </si>
  <si>
    <t>Adecuar las categorías de severidad en B161 para diferenciar los tres niveles del manual: TB 60-74 estilo, TB 75-84 tipo (clínicamente significativo), TB ≥85 posible trastorno. La fase anterior etiquetaba todo TB≥75 como 'clínicamente significativo' sin distinguir trastorno.</t>
  </si>
  <si>
    <t>Reorganizadas las cinco ramas de AR184, ajustada la condición de AR185, y sustituido 'trastorno de la personalidad' por 'posible trastorno' en AR186, AR190, AR193 y AR195.</t>
  </si>
  <si>
    <t>AR184 ahora con cinco ramas escalonadas según los puntos de corte literales del manual (Cap. 4 p. 38): (1) AQ184=0 con MAX TB patrones &lt;60 → subumbral total; (2) gravedad acentuada (AQ194≥85 o AQ185≥3 o AQ194≥75+AQ184≥4) → patología suficientemente generalizada como para considerarla un posible trastorno de la personalidad; (3) AQ185≥1 (al menos una escala con TB≥85) → 'configuración de gravedad notable... al menos una escala con tasa base igual o superior a 85... posible trastorno... restantes elevaciones en el rango de tipos clínicamente significativos o de estilos'; (4) AQ184≥1 (al menos un tipo clínicamente significativo sin trastorno) → 'elevaciones en el rango de uno o más tipos clínicamente significativos de personalidad, con rasgos problemáticos propios del constructo correspondiente, sin que se aprecie una patología suficientemente generalizada como para considerarla un trastorno'; (5) por defecto (solo estilos) → 'configuración personológica que se sitúa en el rango de un estilo de personalidad... sin alcanzar el nivel de un tipo clínicamente significativo ni el de un trastorno'. AR185 condición ajustada: la rama larga de ambivalencia ya no se activa con AQ184≥3 sin TB≥85, sino solo con AQ185≥1 (tiene que haber al menos un trastorno para hablar de ambivalencia interpersonal pronunciada); rama de cohesión acentuada conserva su umbral. AR186 sustituido 'alcanza el nivel propio de un trastorno de la personalidad' → 'alcanza el rango de un posible trastorno de la personalidad' (rama TB≥85 de patología grave). AR190 sustituido 'un trastorno de la personalidad de tipo' → 'un posible trastorno de la personalidad de tipo' (rama AQ187≥85). AR193 mismo cambio (rama AQ190≥85). AR195 mismo cambio (rama AQ192≥85).</t>
  </si>
  <si>
    <t>[B161](&lt;citation:Perfil!B161&gt;) ahora respeta literalmente los tres niveles del manual MCMI-IV. Para el perfil activo de Jose Aníbal Motaño (3 tipos clínicamente significativos, 0 trastornos, 0 patología grave) el texto inicia con: 'Los resultados del inventario indican, en su conjunto, una configuración personológica en la que se observan elevaciones en el rango de uno o más tipos clínicamente significativos de personalidad, con rasgos problemáticos propios del constructo correspondiente, sin que se aprecie una patología suficientemente generalizada como para considerarla un trastorno'. Ya no se afirma 'configuración personológica de gravedad notable... cuadro de patología personológica clínicamente significativa' cuando solo hay tipos sin trastorno. AR185 queda vacío en este perfil (correcto). El sistema escala correctamente para perfiles con TB≥85: usa 'posible trastorno' en lugar de 'trastorno' categórico.</t>
  </si>
  <si>
    <t>Corregir la categorías de severidad de B205 (síndromes clínicos) para reflejar los tres niveles literales del manual: TB 0-74 no presenta el síndrome, TB 75-84 síndrome PRESENTE (no significativo), TB 85-115 síndrome PROMINENTE (puede considerarse clínicamente significativo).</t>
  </si>
  <si>
    <t>Reescritas las cuatro ramas activas de B205 (AR240, AR241, AR242, AR243) para eliminar el solapamiento conceptual entre 'gravedad' y 'significación'.</t>
  </si>
  <si>
    <t>Cambios aplicados: (1) AR241/AR242/AR243: eliminada la etiqueta 'sindrome clínico grave presente' / 'sindrome clínico grave prominente' que duplicaba 'grave' (de la categoría SS/CC/PP) con 'clínicamente significativo'. Ahora todas las escalas, normales o graves, usan la misma estructura de dos cortes: TB 75-84 → 'sindrome presente de [X]'; TB ≥85 → 'sindrome prominente de [X]'. La gravedad propia de las escalas SS/CC/PP queda reflejada por el constructo clínico de la escala (depresión mayor, espectro esquizofrénico, delirante), no por una etiqueta adicional. (2) AR240 rama TB&lt;75: 'no se observan elevaciones que alcancen el umbral clínicamente significativo' → 'no se observan elevaciones que alcancen el umbral interpretativo... las puntuaciones se sitúan en el rango en que el síndrome no se considera presente'. Esto evita decir 'clínicamente significativo' a un umbral que solo marca presencia (TB 75) y reserva la noción de significación para TB≥85 (prominencia).</t>
  </si>
  <si>
    <t>[B205](&lt;citation:Perfil!B205&gt;) ahora respeta los tres niveles literales del manual MCMI-IV para síndromes clínicos. Perfil activo de Jose Aníbal Motaño: CC TB=82 'sindrome presente de depresión mayor' (correcto, antes decía 'grave presente'); A TB=90 'sindrome prominente de ansiedad generalizada' (correcto, antes decía 'prominente'); N TB=75 'sindrome presente del espectro bipolar' (correcto). Coherencia conceptual: 'presente' = TB 75-84 (manifestación existe), 'prominente' = TB ≥85 (donde puede considerarse clínicamente significativo). La distinción entre síndromes normales y graves se mantiene a través del orden de priorización (SS/CC/PP primero) y del propio nombre del síndrome, no a través de una etiqueta superpuesta de 'grave'.</t>
  </si>
  <si>
    <t>una preocupación frecuente por su mala salud y por toda una serie de dolores desmesurados pero en gran medida inespecíficos en distintas partes del cuerpo; tiende a interpretar los periodos persistentes de fatiga o las molestias físicas de poca importancia como indicadores de enfermedades graves y, cuando realmente padece alguna enfermedad, a sobrevalorarla pese a que los médicos le digan que puede estar tranquilo, en la medida en que utiliza los problemas somáticos para llamar la atención</t>
  </si>
  <si>
    <t>una historia probable de alcoholismo recurrente o reciente y la dificultad para superar el problema, en virtud de la cual el evaluado(a) se siente muy mal en el ámbito familiar y laboral</t>
  </si>
  <si>
    <t>Auditar las descripciones de los síndromes de B205 (AW250:AW259) aplicando el criterio de restablecer el léxico literal del manual cuando exista, aunque suene fuerte.</t>
  </si>
  <si>
    <t>Revisión cláusula por cláusula de las diez descripciones contra el texto literal del Cap. 1 pp. 8-9.</t>
  </si>
  <si>
    <t>Cambios aplicados: (1) AW250 (Ansiedad generalizada): 'alerta constante' → 'alerta excesivo' (literal Cap. 1); 'irritabilidad sostenida' → 'irritabilidad generalizada' (literal). (2) AW251 (Síntomas somáticos): 'dolores exagerados' → 'dolores desmesurados' (literal Cap. 1); 'le aseguren su buena salud' → 'le digan que puede estar tranquilo' (literal). (3) AW252 (Espectro bipolar): 'presenta una necesidad disminuida de sueño' → 'necesita dormir menos' (literal Cap. 1). (4) AW253 (Depresión persistente): construcción 'sostenida durante años bajo sentimientos' → 'sostenida durante años pero acompañada de angustia, sentimientos' (estructura literal Cap. 1 'participan de la vida diaria, pero durante años han estado angustiados'); 'alteraciones del apetito' → 'falta de apetito o apetito excesivo' (literal); 'una pérdida de interés' → 'una notable pérdida de interés' (restablecido 'notable' del manual). (5) AW254 (Consumo de alcohol): 'repercusiones en el ámbito familiar y laboral que sostienen un malestar persistente' → 'en virtud de la cual el evaluado(a) se siente muy mal en el ámbito familiar y laboral' (literal Cap. 1 'se sienten muy mal'). (6) AW256 (Estrés postraumático): 'producen un malestar persistente y ansiedad' → 'producen mucho malestar y ansiedad' (literal 'mucho malestar'); 'esfuerzo persistente por evitar' → 'el esfuerzo por evitar' (eliminado intensificador no literal). (7) AW258 (Depresión mayor): 'una incapacidad marcada para funcionar' → 'una incapacidad para funcionar' (el manual no usa 'marcada' aquí; el constructo literal es 'suelen ser incapaces'); 'un deterioro motor' → 'un notable deterioro motor' (literal Cap. 1 'algunos muestran un notable deterioro motor'); 'oscilaciones del peso' → 'pérdida o ganancia de peso' (literal 'perder o ganar peso'); 'fatiga persistente' → 'fatiga crónica' (más cerca del literal 'sentirse muy cansados' / crónica).</t>
  </si>
  <si>
    <t>[B205](&lt;citation:Perfil!B205&gt;) ahora respeta literalmente el léxico del manual MCMI-IV Cap. 1 pp. 8-9 para las descripciones de los síndromes activos. Perfil Jose Aníbal Motaño renderiza con palabras literales del autor: 'estado de alerta excesivo... irritabilidad generalizada' (A), 'necesita dormir menos' (N), 'incapacidad para funcionar... notable deterioro motor... fatiga crónica y pérdida o ganancia de peso' (CC). Donde el manual usa intensificadores ('notable deterioro motor', 'notable pérdida de interés', 'mucho malestar'), se restablecen; donde no los usa pero el workbook sí los había metido ('marcada', 'persistente', 'sostenida'), se eliminan.</t>
  </si>
  <si>
    <t>una historia probable de drogadicción recurrente o reciente, en la medida en que le suele costar reprimir sus impulsos o mantenerlos dentro de los límites sociales convencionales y, en muchos casos, una incapacidad para gestionar las consecuencias personales de su conducta</t>
  </si>
  <si>
    <t>conductas incongruentes, desorganizadas o regresivas que aparecen periódicamente, en las que a menudo parece confuso y desorientado, con afectos inapropiados, alucinaciones aisladas y delirios no sistemáticos; sus pensamientos pueden estar fragmentados o ser extraños y sus sentimientos aplanados, en tanto que tiende a sentirse aislado de los demás e incomprendido, con conductas retraídas, solitarias y reservadas</t>
  </si>
  <si>
    <t>un estado paranoide agudo en el que periódicamente puede mostrar agresividad y expresar delirios irracionales pero interconectados, de temática celosa, persecutoria o de grandeza; presenta indicios de alteración del pensamiento e ideas de referencia, así como recelo y vigilancia constante ante una posible traición, en el contexto de un estado de ánimo hostil, en la medida en que se siente acosado y maltratado por los demás</t>
  </si>
  <si>
    <t>Revisar palabras extrañas al manual en las 4 descripciones de síndromes no auditadas en el turno anterior (AW252, AW255, AW257, AW259) y añadir la categoría TB&lt;60 'no se evidencia' al AR240 según indicación del usuario.</t>
  </si>
  <si>
    <t>Reescritura de 4 descripciones restantes en la lookup table de síndromes y reconstrucción de AR240 con tres ramas escalonadas.</t>
  </si>
  <si>
    <t>Cambios aplicados: (1) AW252 (N - Espectro bipolar): 'se muestra entrometido y, en ocasiones, dominante y exigente' → 'es entrometido, cuando no dominante y exigente' (literal Cap. 1 p. 9 'son entrometidos, cuando no dominantes y exigentes'); 'presenta fugas de ideas' → 'tiene fugas de ideas' (literal 'tienen fugas de ideas'); 'sobre un sustrato de' → 'con' (eliminada construcción no manual); 'síntomas que pueden ir' → 'periodos que pueden ir' (literal 'pueden pasar por periodos'). (2) AW255 (T - Consumo de sustancias): 'una historia probable de consumo recurrente' → 'una historia probable de drogadicción recurrente' (literal Cap. 1 p. 10 'historia de drogadicción recurrente'). (3) AW257 (SS - Espectro esquizofrénico): 'episodios periódicos de conducta incongruente' → 'conductas incongruentes, desorganizadas o regresivas que aparecen periódicamente' (literal 'pueden mostrar periódicamente conductas incongruentes'); 'con momentos en los que aparece confuso' → 'en las que a menudo parece confuso' (literal Cap. 1 'A menudo parecen confusos'); 'sus pensamientos pueden mostrarse fragmentados' → 'sus pensamientos pueden estar fragmentados' (literal 'pueden estar fragmentados'). (4) AW259 (PP - Delirante): 'con episodios periódicos de agresividad y la expresión de delirios' → 'en el que periódicamente puede mostrar agresividad y expresar delirios' (literal 'periódicamente pueden mostrar agresividad y expresar delirios'); 'la sensación de sentirse acosado y maltratado' → 'se siente acosado y maltratado' (literal 'se sienten acosados y maltratados'). (5) AR240 reorganizado con TRES ramas: (a) AR235&lt;60 → 'En el perfil obtenido no se evidencian elevaciones en las escalas de síndromes; las tasas base se sitúan por debajo del rango interpretativo, por lo que no se identifican estados sintomáticos que requieran ser leídos como ampliaciones manifiestas del patrón premórbido'; (b) 60≤AR235&lt;75 → 'En el perfil obtenido las elevaciones en las escalas de síndromes se sitúan en el rango sugerente, es decir, entre tasas base 60 y 74; estas puntuaciones sugieren los síntomas patológicos de la escala correspondiente pero no son suficientemente indicativas de ellos, por lo que no se considera que el síndrome esté presente y no se desarrolla, por consiguiente, su descripción detallada' (texto literal Cap. 4 p. 47 'sugieren los síntomas patológicos de una escala, pero no son suficientemente indicativas de ellos'); (c) AR235≥75 → apertura existente (sin cambios). Las dos ramas inferiores neutralizan AR241/AR242/AR243 mediante su propia condición IF(AR235&lt;75... '').</t>
  </si>
  <si>
    <t>[B205](&lt;citation:Perfil!B205&gt;) ahora respeta los cuatro niveles diagnósticos literales del manual MCMI-IV para síndromes clínicos: TB&lt;60 no se evidencia / TB 60-74 sugerente / TB 75-84 presente / TB ≥85 prominente. Perfil activo Jose Aníbal Motaño (CC=82, A=90, N=75): activa la rama ≥75 con las tres descripciones de síndromes activos, palabras literales del manual restablecidas en las cuatro descripciones revisadas. Sistema escalable: si en otro perfil ningún síndrome alcanza TB 60 → AR240 dice 'no se evidencia'; si están entre 60-74 → dice 'rango sugerente'; si hay ≥75 → se desarrollan las descripciones.</t>
  </si>
  <si>
    <t>Quinta pasada de auditoría sobre B161 restableciendo el léxico literal del manual donde el workbook lo había suavizado, manteniendo las categorías estilo/tipo/posible trastorno.</t>
  </si>
  <si>
    <t>Reescritura de AR184, AR186, AR190 y AR191 con léxico Cap. 1 pp. 7-8 y Tabla 1.1 literales.</t>
  </si>
  <si>
    <t>Cambios aplicados: (1) AR184 rama estilo (TB 60-74 solo): 'debe leerse en clave descriptiva' → 'deben leerse de forma descriptiva más que diagnóstica' (eliminado coloquial 'en clave'). (2) AR186 esquizotípico: 'permanecer sumido en sus propias cavilaciones' → 'permanecer absorto en sí mismo y pensativo' (literal Cap. 1 p. 9 'absortos en sí mismos y pensativos'); 'su afectividad aparece embotada' → 'su afectividad aparece aplanada' (literal 'aplanamiento emocional'). (3) AR186 límite: 'estados de ánimo endógenos intensos que se intercalan' → 'estados de ánimo endógenos intensos intercalados' (literal Cap. 1 'intercalados con periodos'); 'sentimientos conflictivos de rabia, amor y culpa hacia las personas significativas' → 'hacia los demás' (literal Cap. 1); 'lo expone a desbordes impulsivos y a conductas potencialmente autolesivas en el contexto de unas relaciones interpersonales intensas y conflictivas' → 'lo predispone a pensamientos recurrentes de autolesiones y suicidio y a una preocupación extrema por conservar el afecto de los demás' (literal Cap. 1 'pensamientos recurrentes de autolesiones y suicidio' + 'preocupados por conservar el afecto'). (4) AR186 paranoide: 'desconfiado y permanentemente en alerta frente' → 'desconfiado y en alerta hacia' (literal Cap. 1 'desconfiados y en alerta hacia'); 'irritabilidad sostenida' → 'irritabilidad desabrida' (literal Cap. 1 p. 9 'irritabilidad desabrida'); 'alberga, asimismo, un temor' → 'expresa, asimismo, miedo' (literal Cap. 1 'expresan miedo'); 'resistirse a las influencias' → 'resistirse enérgicamente a las influencias' (literal Cap. 1). (5) AR190 esquizoide: 'sus necesidades afectivas son mínimas y actúa habitualmente como un observador pasivo desligado del beneficio y del afecto que aportan los vínculos humanos' → 'sus emociones y necesidades afectivas son mínimas y actúa como un observador pasivo desligado del beneficio y del afecto que aportan las relaciones humanas' (literal Cap. 1 'sus emociones y necesidades afectivas son mínimas; actúan como observadores pasivos, desligados del beneficio y del afecto que aportan las relaciones humanas'). (6) AR190 evitativo: 'se mantiene en alerta, preparado para distanciarse de las experiencias dolorosas' → 'está siempre alerta, preparado para distanciarse de las experiencias dolorosas o negativas de la vida' (literal Cap. 1 'siempre están alerta, preparados para distanciarse de las experiencias dolorosas o negativas de la vida'); 'a pesar de su anhelo de afecto, ha aprendido que es más seguro negar estos sentimientos' → 'a pesar de sus deseos de relacionarse con los demás, ha aprendido que es mejor negar estos sentimientos' (literal Cap. 1). (7) AR190 dependiente: 'recurrir a los demás para obtener afecto, cuidados y orientación' → 'recurrir a los demás para obtener afecto, cuidados y seguridad' (literal Cap. 1 'afecto, cuidados y seguridad'); 'someterse voluntariamente a los deseos ajenos a fin de conservar el afecto' → 'someterse voluntariamente a los deseos de los demás a fin de conservar su afecto' (literal Cap. 1). (8) AR190 tempestuoso: 'su euforia persistente, su conducta entrometida y su volubilidad' → 'su persistente euforia, entrometimiento y volubilidad' (literal Cap. 1 'su persistente euforia, entrometimiento y volubilidad'); 'se aburre con facilidad' → 'se aburre con demasiada facilidad' (literal Cap. 1 'se aburren con demasiada facilidad'); 'a un pensamiento disperso y a acciones impulsivas, en el contexto' → eliminado 'a una conducta impredecible, a un pensamiento disperso y a acciones impulsivas, en el contexto'; reescrito como 'objetivos y planes que se plantea, en el contexto' (literal Cap. 1 'sus objetivos y planes'). (9) AR191 narcisista: 'aire arrogante de seguridad' → 'aire arrogante de seguridad en sí mismo' (literal Cap. 1); 'no necesitando logros reales ni aprobación social para sostener su aire de superioridad' → 'no necesitando logros reales o aprobación social para mantener su aire de esnobismo y superioridad pretenciosa' (literal Cap. 1 p. 8 'no necesitan logros reales o aprobación social para mantener su aire de esnobismo y superioridad pretenciosa'). (10) AR191 antisocial: 'tiende a comportarse de forma engañosa o a transgredir los códigos sociales en beneficio propio' → 'tiende a comportarse de forma engañosa o a cometer actos ilegales en beneficio propio' (literal Cap. 1 'se comportan de forma engañosa o cometen actos ilegales en beneficio propio'). (11) AR191 sádico: 'se manifiesta hostil y combativo' → 'se manifiesta hostil y sumamente combativo' (literal Cap. 1 'son hostiles y sumamente combativos'); 'su conducta conflictiva y ofensiva' → 'su conducta conflictiva, ofensiva y brutal' (literal Cap. 1 'conducta conflictiva, ofensiva y brutal'). (12) AR191 compulsivo: 'suprimiendo su resentimiento y exigiéndose a sí mismo' → 'suprimiendo su resentimiento y exigiéndose mucho a sí mismo y exigiéndolo a los demás' (literal Cap. 1 p. 8). (13) AR191 negativista: 'disputas y decepciones reiteradas' → 'interminables disputas y decepciones' (literal Cap. 1); 'patrón errático de ira explosiva o resistencia mezclado' → 'patrón errático de ira explosiva o resistencia completamente mezclado' (literal Cap. 1). (14) AR191 masoquista: 'rememora reiteradamente sus desgracias del pasado' → 'rememora activa y reiteradamente sus desgracias del pasado' (literal Cap. 1 p. 8 'rememoran activa y reiteradamente sus desgracias del pasado').</t>
  </si>
  <si>
    <t>[B161](&lt;citation:Perfil!B161&gt;) ahora reproduce literalmente el léxico del manual MCMI-IV Cap. 1 pp. 7-9 en todas sus ramas. Restablecidos los términos que el workbook había suavizado en pasadas anteriores: 'irritabilidad desabrida' (paranoide), 'sumamente combativo' y 'conducta brutal' (sádico), 'interminables disputas' y 'completamente mezclado' (negativista), 'activa y reiteradamente' (masoquista), 'esnobismo y superioridad pretenciosa' (narcisista), 'cometer actos ilegales' (antisocial), 'exigiéndose mucho... a los demás' (compulsivo), 'absorto en sí mismo y pensativo' (esquizotípico), 'afectividad aplanada' (esquizotípico), 'pensamientos recurrentes de autolesiones y suicidio' (límite), 'siempre alerta' (evitativo), 'cuidados y seguridad' (dependiente), 'persistente euforia, entrometimiento y volubilidad' (tempestuoso). Las tres categorías estilo/tipo/posible trastorno se mantienen intactas en AR184, AR186, AR190, AR191, AR193 y AR195.</t>
  </si>
  <si>
    <t>Confirmar que B186 (facetas de Grossman) respeta el criterio del manual: las facetas solo se interpretan si (a) la escala madre tiene TB ≥ 60 Y (b) la propia faceta tiene TB ≥ 75. Una sola categoría de interpretación (no aplica presente/prominente).</t>
  </si>
  <si>
    <t>Verificada la lógica actual de AR202:AR210 y reforzada con el control defensivo de la TB de la escala madre.</t>
  </si>
  <si>
    <t>Confirmación del criterio del manual MCMI-IV Cap. 4 p. 50: 'Para poder interpretar las facetas de una escala de la personalidad, la tasa base de la escala a la que pertenecen las facetas debe ser igual o superior a 60... por lo general solo se consideran significativas las puntuaciones de las facetas iguales o superiores a 75'. Una sola categoría de interpretación: 'faceta significativa' (TB≥75). La lógica anterior de AR202:AR210 solo verificaba 'TB faceta ≥ 75' pero no exigía 'TB escala madre ≥ 60'. Modificadas las 9 fórmulas AR202:AR210 con un filtro defensivo: AR202/AR203/AR204 (facetas de la escala con TB más alta) ahora exigen INT(LARGE($S$27:$S$42,1))&gt;=60; AR205/AR206/AR207 (escala con 2ª TB) exigen INT(LARGE($S$27:$S$42,2))&gt;=60; AR208/AR209/AR210 (escala con 3ª TB) exigen INT(LARGE($S$27:$S$42,3))&gt;=60. Así, si la escala madre tiene TB&lt;60, sus facetas se neutralizan aunque alguna tenga TB≥75. Para el perfil activo de Jose Aníbal (4A=78, 3=78, 4B=75, todas ≥60) no hay cambio de comportamiento; el filtro es preventivo para perfiles futuros donde la 3ª o 4ª escala más alta pueda quedar por debajo de 60. Confirmado también que AR212 (apertura) y AR217 (cierre) reflejan correctamente la categoría única del manual ('clínicamente significativo' = TB≥75).</t>
  </si>
  <si>
    <t>[B186](&lt;citation:Perfil!B186&gt;) cumple ahora los dos criterios del manual MCMI-IV: (1) la escala madre debe tener TB ≥ 60 (filtro añadido en AR202:AR210); (2) la faceta debe tener TB ≥ 75 (filtro ya existente). Sistema escalable: si en otro perfil una escala madre cae por debajo de TB 60, sus facetas no se interpretarán aunque alcancen TB≥75, evitando el sesgo empírico que el manual previene en Cap. 4 p. 50. Perfil de Jose Aníbal sin cambios visibles en B186 (4A 4B y 3 todas ≥ 60).</t>
  </si>
  <si>
    <t>Volver dinámica la enumeración de escalas ajustadas en AR148. La fórmula listaba siempre '2B, 8B y C' + '2A y S', pero la hoja Ajustes contiene los valores reales del ajuste A/CC en columna G por escala. La lista debe reflejar sólo las escalas con ajuste no nulo.</t>
  </si>
  <si>
    <t>Reescrita AR148 sustituyendo las cadenas hardcoded por lógica condicional que lee Ajustes!G11, G12, G21, G23, G24.</t>
  </si>
  <si>
    <t>Cambios: (1) Detección general de cualquier ajuste pasa de comprobar I47&gt;=75/I56&gt;=75 (TB de A y CC en Perfil) a comprobar SUM(Ajustes!F10:F37)&lt;&gt;0 OR SUM(Ajustes!G10:G37)&lt;&gt;0 (suma real de los ajustes aplicados). (2) Detección de ajuste X usa SUM(Ajustes!F10:F37)&lt;&gt;0 en lugar de H20&lt;21/H20&gt;60 directamente, más coherente con el hecho de que H20 es PD pero el ajuste real puede no haberse computado. (3) Bloque principal A/CC: las tres escalas centrales (2B/8B/C) se enumeran dinámicamente según si Ajustes!G12, G21 y G24 son no nulos respectivamente, con todas las combinaciones gramáticales correctas (singular/plural, 'y' antes del último elemento, dos elementos sin 'y' al medio). (4) Bloque complementario 2A/S: se añade solo si Ajustes!G11 o Ajustes!G23 son no nulos, con tres combinaciones: ambos, solo 2A, solo S. (5) Si ningún ajuste A/CC sobre 2A/S se activa, el bloque principal cierra con punto en lugar de punto y coma. Para el perfil de Jose Aníbal todos los cinco ajustes G11/G12/G21/G23/G24 son no nulos (-3, -5, -5, -3, -5), por lo que el texto renderizado es idéntico al anterior: 'las escalas 2B (Melancólico), 8B (Masoquista) y C (Límite) se han ajustado a la baja... este ajuste se aplica asimismo sobre las escalas 2A (Evitativo) y S (Esquizotípico)'.</t>
  </si>
  <si>
    <t>[AR148](&lt;citation:Perfil!AR148&gt;) ahora lee dinámicamente las celdas G11, G12, G21, G23, G24 de la hoja Ajustes. Sistema escalable: si en otro perfil solo se ajustan 2B y C (sin 8B), el texto dirá 'las escalas 2B (Melancólico) y C (Límite) se han ajustado'; si solo se ajusta 2A complementario, dirá 'este ajuste se aplica asimismo sobre la escala 2A (Evitativo)'. La fuente única de verdad sobre qué escalas se ajustaron ya no es el código hardcoded sino la hoja [Ajustes](&lt;citation:Ajustes!G10:G37&gt;).</t>
  </si>
  <si>
    <t>Aplicar al MCMI-IV el estilo Pearson (revisado en los dos PDFs M-PACI subidos): redactar la sección de validez con descripción del puntaje específico obtenido, cubriendo V/W (invalidez/inconsistencia), X/Y/Z (estilo de respuesta), ajustes aplicados y cierre interpretativo de patrones.</t>
  </si>
  <si>
    <t>Consolidada y reescrita la fórmula de [AR148](&lt;citation:Perfil!AR148&gt;) (único componente nuevo que aporta el párrafo de ajustes a [B146](&lt;citation:Perfil!B146&gt;)). Vaciada [AR149](&lt;citation:Perfil!AR149&gt;) al consolidarse su lógica dentro de AR148.</t>
  </si>
  <si>
    <t>Verificadas las cuatro fórmulas que ya alimentan B146 con el estilo Pearson: V12 (validez del protocolo V/W con 6 ramas), W19 (validez del estilo de respuesta X/Y/Z que delega en W17 para perfiles inválidos o configuraciones especiales y en W18 para configuraciones estándar), V16 (cierre interpretativo de patrones con tres umbrales ≥60/≥75/≥85). Estas ya describen el puntaje específico obtenido al estilo Pearson y no se tocaron. La nueva AR148 ahora une los tres tipos de ajuste en un solo bloque: (a) si no hay ningún ajuste → frase aclaratoria explicando que ni X ni A/CC alcanzan umbrales; (b) si hay ajuste por X según H20&lt;21 (al alza) o H20&gt;60 (a la baja) → frase correspondiente; (c) si hay ajuste por A/CC → enumeración dinámica de las escalas 2B/8B/C afectadas (todas las combinaciones gramaticales) más frase complementaria sobre 2A/S si aplica. Funciones en inglés (IF/AND/OR/SUM/SEARCH/ISNUMBER) por requerimiento del API Office.js: las funciones en español fallan con #¿NOMBRE? cuando se escriben vía set_cell_range/range.formulas. Fórmula AR148 = 2105 caracteres, dentro del límite de 8192.</t>
  </si>
  <si>
    <t>[B146](&lt;citation:Perfil!B146&gt;) renderiza ahora un párrafo único al estilo Pearson en cuatro tramos: validez del protocolo + estilo de respuesta + ajustes aplicados + cierre interpretativo de patrones. Para el perfil actual de Edgar Espinoza (V/W normales, Y=85 alta, X=57 normal, A=90 y CC=82 que activan A/CC sobre 2B/8B/C/2A/S, máximo TB de patrones=78): 422 palabras de prosa continua, sin títulos, sin saltos de línea, sin etiquetas de rango ni puntajes T, léxico español clavado. El sistema es escalable a cualquier perfil futuro: si no hay ajustes, lo dirá; si solo se ajustan algunas escalas, las enumerará dinámicamente; si el protocolo es inválido, omitirá el bloque de ajustes.</t>
  </si>
  <si>
    <t>Auditar [B146](&lt;citation:Perfil!B146&gt;) y [AR148](&lt;citation:Perfil!AR148&gt;) contra el manual MCMI-IV (5 capítulos subidos) para confirmar literalidad léxica y conceptual.</t>
  </si>
  <si>
    <t>Reescrita [AR148](&lt;citation:Perfil!AR148&gt;) sustituyendo seis pasajes que no eran literales del manual.</t>
  </si>
  <si>
    <t>Cambios contra Cap. 2 pp. 19-20 y Cap. 4: (1) 'ajustado al alza/a la baja' → '**aumentado**'/'**disminuido**' (verbos literales del manual 'el sistema aumenta/disminuye las tasas base'); (2) 'Ansiedad generalizada' → '**Ansiedad**' (nombre literal de la escala A); (3) frase causal sobre A/CC reescrita como paráfrasis literal del Cap. 2 p. 19: 'partiendo del principio de que las puntuaciones del evaluado(a) pueden estar distorsionadas si, al cumplimentar el inventario, se encuentra en un estado emocional de ansiedad o depresión profunda'; (4) 'en el momento de la aplicación' → '**al cumplimentar el inventario**' (literal manual); (5) en el bloque X, especificado el objeto: '**las tasas base de las escalas de los patrones de la personalidad y de los síndromes clínicos** se han aumentado/disminuido' (literal Cap. 2 p. 19 sobre qué escalas afecta el ajuste por X); (6) rama 'ningún ajuste' reescrita con los umbrales reales del manual: 'la puntuación directa de la escala X (Sinceridad) no se sitúa por debajo de 21 ni por encima de 60 y la suma de los puntos de las tasas base de las escalas A (Ansiedad) y CC (Depresión mayor) que exceden de 75 no alcanza el umbral que justifique su corrección' (literal Cap. 2 p. 19 'inferior a 21 o superior a 60' + 'la suma de los puntos de las tasas base de las escalas A y CC que exceden de 75'). Fórmula AR148 ahora = 2365 caracteres.</t>
  </si>
  <si>
    <t>[B146](&lt;citation:Perfil!B146&gt;) en su configuración actual (V/W normales, Y alta, X normal, A/CC sobre 2B/8B/C/2A/S, MAX patrones=78): 412 palabras de prosa continua con léxico literal del manual MCMI-IV en todos los pasajes del párrafo de ajustes. La rama 'ningún ajuste' ahora describe numéricamente los umbrales del manual, no una frase genérica.</t>
  </si>
  <si>
    <t>Corregir: la escala A se llama 'Ansiedad generalizada', no sólo 'Ansiedad'. Revisar toda la fórmula.</t>
  </si>
  <si>
    <t>Restauradas las dos menciones de 'A (Ansiedad generalizada)' en [AR148](&lt;citation:Perfil!AR148&gt;).</t>
  </si>
  <si>
    <t>Confirmado en Cap. 1 (líneas 122 'A. Ansiedad generalizada' y 231 'Ansiedad generalizada (escala A)') que el nombre formal del constructo es 'Ansiedad generalizada'. La forma abreviada 'A (Ansiedad)' que aparece en Cap. 2 (apartado de ajustes) es solo una elipsis contextual. Revertido el cambio anterior en las dos posiciones: (1) rama 'ningún ajuste'; (2) bloque A/CC sobre 2B/8B/C/2A/S. Fórmula AR148 = 2391 caracteres.</t>
  </si>
  <si>
    <t>[B146](&lt;citation:Perfil!B146&gt;): 412 palabras. Las dos menciones de la escala A vuelven a usar el constructo completo 'Ansiedad generalizada', coherente con el resto del workbook y con el nombre formal del manual.</t>
  </si>
  <si>
    <t>Eliminar la introducción genérica de [B161](&lt;citation:Perfil!B161&gt;) y reservar la palabra 'significativo' exclusivamente al rango TB≥85.</t>
  </si>
  <si>
    <t>Vaciadas [AR184](&lt;citation:Perfil!AR184&gt;) y [AR185](&lt;citation:Perfil!AR185&gt;). Reescritas [AR186](&lt;citation:Perfil!AR186&gt;), [AR190](&lt;citation:Perfil!AR190&gt;), [AR193](&lt;citation:Perfil!AR193&gt;) y [AR195](&lt;citation:Perfil!AR195&gt;) con apertura directa y nueva nomenclatura de categorías.</t>
  </si>
  <si>
    <t>Cambios: (1) AR184 (introducción genérica con 5 ramas según severidad) y AR185 (bloque de ambivalencia/cohesión) ahora devuelven cadena vacía; (2) AR186 elimina la frase 'El análisis del perfil obtenido indica...' y el conector 'En primer término, dada la capacidad de la patología grave...'. Ahora arranca directo con 'Sobresale como configuración nuclear del perfil un cuadro [esquizotípico/límite/paranoide]'; (3) AR190 ahora tiene dos aperturas según AQ194: si hay grave nuclear (≥60) abre con 'Sobre esta configuración nuclear se manifiesta, a la manera de un patrón clínico premórbido,'; si no hay grave nuclear (caso del sujeto actual) abre con 'El perfil del evaluado(a) refleja, como configuración principal del estilo básico de la personalidad,'; (4) Nueva nomenclatura aplicada en AR186, AR190, AR193 y AR195: TB≥85 = 'trastorno clínicamente significativo de la personalidad de tipo X' (antes 'posible trastorno'); TB 75-84 = 'tipo de personalidad X' (antes 'tipo clínicamente significativo de personalidad X'); TB 60-74 = 'estilo de personalidad X' (mantiene). La palabra 'significativo' queda reservada exclusivamente a TB≥85. AR191 no requiere cambios porque solo lleva descripciones de las escalas 5-8B y hereda la apertura+nivel de AR190.</t>
  </si>
  <si>
    <t>[B161](&lt;citation:Perfil!B161&gt;): 152 palabras (antes 270). Texto arranca directo con 'El perfil del evaluado(a) refleja, como configuración principal del estilo básico de la personalidad, un tipo de personalidad histriónico.' Perfil actual: 4A=78 + 3=78 + 4B=75, ningún trastorno (ningún TB≥85), por lo que las tres escalas se etiquetan como 'tipo de personalidad' sin 'significativo'. Sistema escalable: si alguna escala alcanzase TB≥85 en otro perfil, llevaría automáticamente la etiqueta 'trastorno clínicamente significativo de la personalidad de tipo X'.</t>
  </si>
  <si>
    <t>Mismo tratamiento que [B161](&lt;citation:Perfil!B161&gt;) para [B196](&lt;citation:Perfil!B196&gt;) (síndromes clínicos): eliminar la introducción genérica y aplicar la nueva nomenclatura donde 'significativo' se reserva exclusivamente al rango ≥85. TB 75-84 debe etiquetarse como 'presente' añadiendo la matización 'cuya manifestación podría considerarse transitoria y no persistente, sin afectación significativa del funcionamiento general'.</t>
  </si>
  <si>
    <t>Reescritas [AR231](&lt;citation:Perfil!AR231&gt;), [AR232](&lt;citation:Perfil!AR232&gt;), [AR233](&lt;citation:Perfil!AR233&gt;) y [AR234](&lt;citation:Perfil!AR234&gt;).</t>
  </si>
  <si>
    <t>Cambios: (1) AR231 ahora solo conserva las dos ramas defensivas (TB&lt;60 'no se evidencian elevaciones' y 60≤TB&lt;75 'rango sugerente'). La tercera rama, que generaba el párrafo introductorio largo sobre síndromes como ampliaciones del patrón premórbido, ahora devuelve cadena vacía. El texto entra directo a la descripción de los síndromes elevados. (2) AR232/AR233/AR234 con nueva nomenclatura: TB≥85 = 'síndrome clínicamente significativo de [X]' (antes 'prominente'); TB 75-84 = 'síndrome presente de [X], cuya manifestación podría considerarse transitoria y no persistente, sin afectación significativa del funcionamiento general' (antes solo 'presente' sin matiz). El IF de matiz solo se añade en TB 75-84; para TB≥85 va directo al cuerpo descriptivo. Filtro TB&lt;75 = '' conservado. La lógica de doble depresión (AR235) y cierre (AR236) no se tocan.</t>
  </si>
  <si>
    <t>[B196](&lt;citation:Perfil!B196&gt;): 311 palabras (antes ~427). Perfil actual del sujeto (A=90, CC=82, N=75): el texto inicia directo con 'Cabe destacar en primer término, en tanto que síndrome presente de depresión mayor, cuya manifestación podría considerarse transitoria...'. La escala A (90) recibe la etiqueta 'clínicamente significativo' (≥85); CC (82) y N (75) reciben 'presente' con la matización de transitoriedad. Sistema escalable a perfiles con cualquier combinación de elevaciones.</t>
  </si>
  <si>
    <t>Corregir [B196](&lt;citation:Perfil!B196&gt;): falta apertura, falta secuencia y sintaxis rota por la matización intercalada entre etiqueta y cuerpo descriptivo.</t>
  </si>
  <si>
    <t>Reescritas [AR231](&lt;citation:Perfil!AR231&gt;) (apertura), [AR232](&lt;citation:Perfil!AR232&gt;), [AR233](&lt;citation:Perfil!AR233&gt;) y [AR234](&lt;citation:Perfil!AR234&gt;) (estructura sintáctica).</t>
  </si>
  <si>
    <t>Cambios: (1) AR231 ahora tiene apertura para el caso ≥75: 'En el perfil obtenido se identifican elevaciones en las escalas de síndromes clínicos cuya descripción se desarrolla a continuación, priorizando las elevaciones en las escalas de síndromes graves dado que, por su mayor vulnerabilidad clínica, pueden matizar el sentido de los restantes cuadros sintomáticos.' Una sola oración, da tema y secuencia sin recaer en la introducción genérica larga. (2) Sintaxis corregida en AR232/AR233/AR234: la matización TB 75-84 antes se intercalaba entre la etiqueta y el cuerpo ('síndrome presente de depresión mayor, cuya manifestación podría considerarse...; una incapacidad para funcionar...'), generando una oración descoyuntada con punto y coma sin sujeto. Ahora la matización se añade al FINAL del cuerpo descriptivo como cláusula explicativa coordinada: 'síndrome presente de depresión mayor, [cuerpo], cuadro cuya manifestación podría considerarse transitoria...'. La sintaxis fluye y el referente de 'cuya' queda claro. (3) Para TB≥85 se añade también una cláusula simétrica al final: 'cuadro que refleja una afectación significativa del funcionamiento general del evaluado(a)', que cierra el contraste de niveles. (4) Conectores ordenados: AR232 abre con 'Sobresale,' (era 'Cabe destacar en primer término,'); AR233 abre con 'A este cuadro se añade,' (era 'Asimismo emerge,'); AR234 mantiene 'Resulta también relevante,'.</t>
  </si>
  <si>
    <t>[B196](&lt;citation:Perfil!B196&gt;): 367 palabras (antes 311). Perfil actual (A=90 clínicamente significativo, CC=82 presente, N=75 presente): texto con apertura, secuencia clara apertura-1º-2º-3º-cierre y sintaxis íntegra. La matización de transitoriedad/significación queda como cláusula explicativa coordinada al final de cada síndrome, no intercalada.</t>
  </si>
  <si>
    <t>Corregir incoherencia entre verbos de prominencia ('sobresale') y el descriptor 'presente' (TB 75-84) en [B196](&lt;citation:Perfil!B196&gt;).</t>
  </si>
  <si>
    <t>Reescritos los verbos de apertura de cada síndrome en [AR232](&lt;citation:Perfil!AR232&gt;), [AR233](&lt;citation:Perfil!AR233&gt;) y [AR234](&lt;citation:Perfil!AR234&gt;) condicionándolos al nivel del propio síndrome.</t>
  </si>
  <si>
    <t>Cambios: el verbo introductorio ahora varía según TB del síndrome correspondiente. TB≥85 (clínicamente significativo) usa verbos activos de prominencia: AR232 'Sobresale', AR233 'Se añade, asimismo', AR234 'Resulta también relevante'. TB 75-84 (presente) usa verbos neutros de constatación: AR232 'Se identifica', AR233 'Se identifica, asimismo', AR234 'Se constata, además'. Antes los verbos eran fijos ('Sobresale' / 'A este cuadro se añade' / 'Resulta también relevante') y chocaban con 'síndrome presente' cuando el primer síndrome del top no llegaba a ≥85.</t>
  </si>
  <si>
    <t>[B196](&lt;citation:Perfil!B196&gt;) coherente. Perfil actual (CC=82 presente, A=90 significativo, N=75 presente): 'Se identifica, en tanto que síndrome presente de depresión mayor...' / 'Se añade, asimismo, en tanto que síndrome clínicamente significativo de ansiedad generalizada...' / 'Se constata, además, en tanto que síndrome presente del espectro bipolar...'. Verbos y descriptores ya no se contradicen.</t>
  </si>
  <si>
    <t>Cambiar el patrón de apertura de cada síndrome en [B196](&lt;citation:Perfil!B196&gt;): de 'Se identifica, en tanto que síndrome presente de [X]' a 'Se identifica una elevación en la escala de [X], que indica...'.</t>
  </si>
  <si>
    <t>Reescritas [AR232](&lt;citation:Perfil!AR232&gt;), [AR233](&lt;citation:Perfil!AR233&gt;) y [AR234](&lt;citation:Perfil!AR234&gt;) con el nuevo patrón.</t>
  </si>
  <si>
    <t>Nuevo patrón de apertura: 'Se identifica [conector] una elevación [significativa, si ≥85] en la escala de [NOMBRE], que indica [cuerpo descriptivo]'. La marcación del nivel ya no se hace con la etiqueta 'clínicamente significativo / presente' (que choca con verbos como 'Sobresale') sino integrada en la sintaxis: para TB≥85 se inserta el adjetivo 'significativa' antes de 'en la escala'; para TB 75-84 simplemente 'una elevación en la escala'. La cláusula final de matización ('cuadro que refleja una afectación significativa...' o 'cuadro cuya manifestación podría considerarse transitoria...') se mantiene idéntica según nivel. Conectores: AR232 'Se identifica'; AR233 'Se identifica, asimismo,'; AR234 'Se constata, además,'.</t>
  </si>
  <si>
    <t>[B196](&lt;citation:Perfil!B196&gt;) con patrón nuevo. Perfil actual: CC=82 'Se identifica una elevación en la escala de depresión mayor, que indica...'; A=90 'Se identifica, asimismo, una elevación significativa en la escala de ansiedad generalizada, que indica...'; N=75 'Se constata, además, una elevación en la escala del espectro bipolar, que indica...'. Sintaxis clínica más directa, sin etiquetas categóricas en el cuerpo de la frase.</t>
  </si>
  <si>
    <t>Verificar que en [B196](&lt;citation:Perfil!B196&gt;) la escala de depresión mayor (TB=82) figure como 'presente' y no como 'clínicamente significativo', recordando que solo TB≥85 es prominente/significativo.</t>
  </si>
  <si>
    <t>Confirmación por inspección del texto generado: la regla TB≥85 → significativo / 75≤TB&lt;85 → presente está aplicándose correctamente en las tres ramas. Confirmado también con el usuario el criterio de orden: priorización por gravedad (Síndromes graves SS/CC/PP primero, criterio del manual MCMI-IV Cap. 4).</t>
  </si>
  <si>
    <t>Matriz de verificación del perfil actual: (1) CC=82 (grave, presente) → 'una elevación en la escala de depresión mayor' + 'cuadro cuya manifestación podría considerarse transitoria y no persistente, sin afectación significativa del funcionamiento general'. Correcto: SIN adjetivo 'significativa', CON matiz de transitoriedad. (2) A=90 (no grave, clínicamente significativo) → 'una elevación significativa en la escala de ansiedad generalizada' + 'cuadro que refleja una afectación significativa del funcionamiento general'. Correcto: CON adjetivo 'significativa', CON cláusula de afectación. (3) N=75 (no grave, presente) → 'una elevación en la escala del espectro bipolar' + cláusula transitoria. Correcto.</t>
  </si>
  <si>
    <t>[B196](&lt;citation:Perfil!B196&gt;) coherente. Las TB de 75 y 82 ambas se etiquetan como 'presente' (sin 'significativa' en la apertura, con matiz transitorio en el cierre); solo TB=90 alcanza 'significativa'. El orden de presentación se mantiene según criterio del manual (graves SS/CC/PP primero), incluso cuando un síndrome no grave tiene TB mayor.</t>
  </si>
  <si>
    <t>Verificar si [B161](&lt;citation:Perfil!B161&gt;) prioriza patología grave (S/C/P) según el manual y qué umbral usa.</t>
  </si>
  <si>
    <t>Respondido: prioriza S/C/P cuando TB≥60 (umbral literal del manual Cap. 4 p. 38). Corregido bug colateral: tras inserciones/eliminaciones de filas, los auxiliares AQ y la fórmula B161 estaban desfasados; reconstruidos en [AQ203:AQ212](&lt;citation:Perfil!AQ203:AQ212&gt;) y actualizadas todas las fórmulas dependientes.</t>
  </si>
  <si>
    <t>Manual MCMI-IV Cap. 4 p. 38: 'Cuando la tasa base de alguna de las tres escalas de la patología grave de la personalidad es igual o superior a 60... debe matizar el resto de las escalas. Este paso puede omitirse si no hay ninguna escala de la patología grave de la personalidad con una tasa base igual o superior a 60'. Bug detectado: la fórmula B161 era '=TRIM(AR175&amp;AR176&amp;AR177&amp;AR181&amp;AR182&amp;AR184&amp;AR186&amp;AR190)' tras inserciones de filas del usuario. Las fórmulas AR antiguas (AR177, AR181, AR182) habían sobrevivido al desplazamiento referenciando auxiliares AQ antiguos (AQ185, AQ178, AQ177), mientras las nuevas AR (AR186, AR190, AR191, AR193, AR195) referenciaban auxiliares AQ186-AQ194 cuya semántica había cambiado también. El sistema sumaba dos versiones del mismo texto (descripción histriónica duplicada). Solución: (1) creados auxiliares semánticos estables [AQ203:AQ212](&lt;citation:Perfil!AQ203:AQ212&gt;): AQ203 COUNTIF≥75, AQ204 COUNTIF≥85, AQ205 código 1° sin S/C/P, AQ206 TB 1°, AQ207 código 2°, AQ208 TB 2°, AQ209 código 3°, AQ210 TB 3°, AQ211 código S/C/P si TB≥60, AQ212 TB S/C/P; (2) actualizadas AR186, AR190, AR191, AR193, AR195 para referenciar los nuevos auxiliares; (3) limpiadas AR177, AR181, AR182 (fórmulas antiguas duplicadas); (4) B161 ahora = '=TRIM(AR186&amp;AR190&amp;AR191&amp;AR193&amp;AR195)'. Comportamiento por nivel de S/C/P: TB&lt;60 → se omite (caso actual S=59 C=55 P=43); TB 60-74 → 'se sitúa en el rango de un estilo de personalidad y matiza'; TB 75-84 → 'alcanza el rango de un tipo de personalidad y organiza'; TB≥85 → 'alcanza el rango de un trastorno clínicamente significativo de la personalidad y organiza'.</t>
  </si>
  <si>
    <t>[B161](&lt;citation:Perfil!B161&gt;) sin duplicación: 152 palabras, 1043 caracteres. Sistema ahora resistente a inserciones/eliminaciones de filas porque los auxiliares semánticos quedan en celdas dedicadas. Patología grave priorizada con TB≥60 conforme al manual.</t>
  </si>
  <si>
    <t>Revisar el léxico de las descripciones de [B161](&lt;citation:Perfil!B161&gt;) para que use términos, palabras y conectores del manual MCMI-IV (Cap. 1 pp. 6-8 descripciones de las 12+3 escalas de personalidad).</t>
  </si>
  <si>
    <t>Reescritas [AR186](&lt;citation:Perfil!AR186&gt;), [AR190](&lt;citation:Perfil!AR190&gt;), [AR191](&lt;citation:Perfil!AR191&gt;), [AR193](&lt;citation:Perfil!AR193&gt;) y [AR195](&lt;citation:Perfil!AR195&gt;) restableciendo el léxico literal del manual Cap. 1.</t>
  </si>
  <si>
    <t>Cambios principales por escala (AR190/AR191 descripciones completas, AR193/AR195 síntesis breves): (1) Esquizoide: añadido cierre literal 'así como de los requerimientos de las mismas'. (2) Evitativo: incorporada frase literal 'mantiene una vigilancia constante para evitar que su anhelo de afecto resulte en la repetición del dolor y la angustia que ha experimentado con otras personas'. (3) Melancólico: eliminadas facetas Grossman ('estilo cognitivo fatalista, autoimagen sin valor, temperamento afligido') y restituido el léxico Cap. 1: 'predisposición biológica o química hacia el pesimismo y el desánimo', 'estilo de desesperanza ante las pérdidas importantes', 'entorno sin interés'. (4) Dependiente: ampliado a 'no solo a recurrir... sino también a esperar pasivamente', 'tiende a buscar relaciones en las que pueda apoyarse', 'asumir un rol pasivo'. (5) Histriónico: incorporado conector inicial 'al igual que los sujetos dependientes' y frase literal 'comportamiento social inteligente y a menudo ingenioso transmite confianza y seguridad'; 'casi constantemente' restituido. (6) Tempestuoso: eliminadas facetas Grossman ('autoimagen sobreestimada, comportamiento interpersonal animado, magnificación') y restituido el cierre Cap. 1: 'arrebatos de ira momentánea y ansiedad temerosa que, sin control, pueden derivar en una conducta más extrema, temeraria y errática y conducir, con bastante frecuencia, al agotamiento depresivo'. (7) Narcisista: eliminadas facetas Grossman; restituida frase Cap. 1 'sus sentimientos de superioridad pueden no estar basados en logros reales o maduros' y cierre 'confianza extrema que hace que no se sienta motivado a implicarse en las interacciones propias de la vida social'. (8) Antisocial: añadido 'es irresponsable e impulsivo y justifica estas cualidades porque considera que los demás son desleales' y cierre 'su insensibilidad y crueldad constituyen sus únicos medios de evitar el abuso y la victimización'. (9) Sádico: añadido 'aunque puede encubrir sus tendencias más maliciosas y de búsqueda del poder con acciones o profesiones públicamente aceptadas, sus actos dominantes, hostiles y a menudo persecutorios lo delatan'. (10) Compulsivo: añadido 'su disciplinada autocontención le permite controlar los sentimientos oposicionistas intensos, aunque ocultos, de lo cual resulta una pasividad manifiesta y una aparente sumisión pública'. (11) Negativista: añadido 'esta batalla representa una incapacidad para resolver conflictos similar a la de los sujetos compulsivos, si bien sus conflictos persisten y permanecen cerca de la conciencia'. (12) Masoquista: añadido 'cuando se muestran sus peores rasgos, puede llegar a sostener que merece ser avergonzado y humillado, y para agravar su dolor y angustia, que puede vivirlos como reconfortantes'. (S/C/P en AR186): léxico ajustado a Cap. 1 con frases literales 'preferencia por estar aislado socialmente y sostener mínimos vínculos', 'desconfianza ansiosa e hipersensibilidad' (esquizotípico activo) / 'aplanamiento emocional y afecto deficiente' (esquizotípico pasivo); 'inestabilidad y labilidad afectiva', 'periodos recurrentes de abatimiento y apatía' (límite); 'irritabilidad desabrida y tiende a hacer que los demás se exasperen o se enfaden' (paranoide). Síntesis breves de AR193/AR195: cada una usa el constructo núcleo del manual (no las facetas Grossman). Conectores Millon mantenidos: 'en tanto que', 'asimismo', 'todo lo cual', 'en virtud de la cual', 'al igual que', 'a diferencia de'.</t>
  </si>
  <si>
    <t>[B161](&lt;citation:Perfil!B161&gt;) con léxico literal del manual: 178 palabras (antes 152, ahora con frases más ricas del autor). Perfil actual (4A=78, 3=78, 4B=75): 'El perfil del evaluado(a) refleja, como configuración principal del estilo básico de la personalidad, un tipo de personalidad histriónico. El evaluado(a), al igual que los sujetos dependientes, recurre a los demás, pero maximiza la atención y los favores que recibe...'. Todas las descripciones libres de léxico facetas Grossman; mantenido tono clínico Millon.</t>
  </si>
  <si>
    <t>Revisar el léxico de [B177](&lt;citation:Perfil!B177&gt;) (facetas de Grossman). El usuario reportó que el texto mostraba bug 'Asimismo sobresale .' sin contenido.</t>
  </si>
  <si>
    <t>Identificado bug de referencias por desplazamiento de filas: las celdas detector AR193:AR201 quedaron sobreescritas por las descripciones AR193/AR195 (de patrones de personalidad), de modo que el sistema de top-3 facetas estaba leyendo texto narrativo como si fueran códigos de facetas. Reconstruido el sistema completo en celdas nuevas [AS210:AT215](&lt;citation:Perfil!AS210:AT215&gt;).</t>
  </si>
  <si>
    <t>Solución: (1) creados detectores semantic-stable AS210:AS218 = TB de cada una de las 9 facetas (3 por cada escala madre top-3) si escala madre TB≥60 Y faceta TB≥75, con tie-breaker decimal (TB+0.009 a TB+0.001) para evitar empates cuando dos facetas tienen igual TB; (2) AT210:AT213 = ranking de códigos de facetas por LARGE+MATCH+CHOOSE; (3) AT215 = COUNTIF(&gt;0) facetas significativas; (4) reescritas AR204-AR207 para referenciar AT210-AT213 en lugar de AT193-AT196 (corruptas); (5) AR202 ahora = AT215; (6) AR208 (cierre terapéutico) ahora condicionado a AT215≥1. El lookup table AV193:AW237 (45 descripciones narrativas de facetas) NO requería ajuste léxico: ya estaba escrito con términos literales del manual MCMI-IV Cap. 1 (e.g., 'interpersonalmente buscador de atención', 'expresivamente impetuoso', 'cognitivamente fatalista') y léxico Millon ('sobre un sustrato de', 'en tanto que', 'todo lo cual', 'representaciones objetales interiorizadas', 'arquitectura', 'transposición recurrente').</t>
  </si>
  <si>
    <t>[B177](&lt;citation:Perfil!B177&gt;) operativo: 4 facetas significativas detectadas en el perfil actual (4A=78, 3=78, 4B=75) con sus TB respectivas: 4A.2 Interpersonalmente buscador de atención (TB=93), 4B.1 Expresivamente impetuoso (TB=85), 4B.2 Interpersonalmente eufórico (TB=85), 4A.3 Temperamentalmente inconstante (TB=75). El bug 'Asimismo sobresale .' eliminado. Sistema escalable: si en otro perfil hay más o menos facetas, el ranking y el filtro automáticamente se ajustan.</t>
  </si>
  <si>
    <t>un estado generalizado de tensión que se traduce en la incapacidad de relajarse, en movimientos nerviosos y en una tendencia a reaccionar y sobresaltarse fácilmente, sobre un sustrato de quejas frecuentes por molestias físicas de distinto tipo (dolores musculares mal definidos, sudoración excesiva, náuseas), junto con inquietud y temor por problemas que cree inminentes, un estado de alerta excesivo hacia todo lo que lo rodea y una irritabilidad generalizada</t>
  </si>
  <si>
    <t>una participación en la vida diaria pero, durante años, con angustia, sentimientos de desánimo o culpa, falta de iniciativa, apatía y baja autoestima, así como expresiones frecuentes de inutilidad y comentarios autodenigrantes; durante los periodos depresivos pueden observarse muchos momentos de llanto, ideación suicida, visión pesimista del futuro, aislamiento social, falta de apetito o apetito excesivo, fatiga crónica, falta de concentración y una notable pérdida de interés por las actividades placenteras, todo lo cual contribuye a que el evaluado(a) lleve a cabo las tareas cotidianas con menor eficacia</t>
  </si>
  <si>
    <t>la vivencia o el haber presenciado un acontecimiento relacionado con la muerte o con lesiones graves, ya sea real o amenaza, que le ha causado un miedo intenso, sentimientos de impotencia u horror; estos acontecimientos traumáticos se reviven a menudo a través de sueños, pesadillas o recuerdos que producen mucho malestar y ansiedad, en el contexto de síntomas de activación ansiosa, como los sobresaltos exagerados y la hipervigilancia, así como del esfuerzo por evitar todo aquello que asocia con el trauma</t>
  </si>
  <si>
    <t>una incapacidad para funcionar en un entorno normal, una visión pesimista del futuro, ideación suicida y un sentimiento generalizado de resignación sin esperanza, con miedos repetitivos y un estado meditabundo; físicamente puede observarse un notable deterioro motor o, por el contrario, una inquietud incesante con lamentos sobre su deplorable estado, así como insomnio, una sensación de cansancio acentuado y pérdida o ganancia de peso</t>
  </si>
  <si>
    <t>la experiencia de síntomas que pueden ir desde rasgos ciclotímicos hasta cuadros bipolares de mayor gravedad, con periodos de euforia superficial, autoestima exagerada, hiperactividad y falta de atención, nerviosismo, presión del habla, impulsividad e irritabilidad; actúa con un entusiasmo poco selectivo, planifica en exceso objetivos poco realistas y es entrometido, cuando no dominante y exigente, en las relaciones interpersonales, en tanto que necesita dormir menos, tiene fugas de ideas y cambios de humor rápidos e inestables, todo lo cual, en los casos extremos, puede dar lugar a procesos psicóticos, como delirios y alucinaciones</t>
  </si>
  <si>
    <t>Revisar el léxico de [B196](&lt;citation:Perfil!B196&gt;) (síndromes clínicos) contra el manual MCMI-IV Cap. 1 pp. 8-10.</t>
  </si>
  <si>
    <t>Reescritas cinco descripciones del lookup table [AW241:AW250](&lt;citation:Perfil!AW241:AW250&gt;): AW241 (A), AW243 (N), AW244 (D), AW247 (R), AW249 (CC). AW242, AW245, AW246, AW248, AW250 ya estaban literales.</t>
  </si>
  <si>
    <t>Cambios contra Cap. 1 pp. 8-10: (1) AW241 Ansiedad generalizada: 'sobresaltarse con facilidad' → '**sobresaltarse fácilmente**' (literal). (2) AW243 Espectro bipolar: 'la experiencia de periodos que pueden ir desde rasgos ciclotímicos' → '**la experiencia de síntomas** que pueden ir desde rasgos ciclotímicos hasta cuadros bipolares de mayor gravedad, **con periodos de** euforia superficial...' (literal manual 'pueden pasar por periodos de euforia'). Añadido cierre literal del manual: '**todo lo cual, en los casos extremos, puede dar lugar a procesos psicóticos, como delirios y alucinaciones**' (literal 'En los casos extremos pueden presentar procesos psicóticos, como delirios y alucinaciones'). Corregido también solapamiento sintáctico de doble 'en tanto que' usando 'todo lo cual' como conector. (3) AW244 Depresión persistente: 'una participación en la vida diaria **sostenida durante años bajo angustia**' → '**una participación en la vida diaria pero, durante años, con angustia**' (sintaxis literal del manual 'participan de la vida diaria, pero durante años han estado angustiados'). (4) AW247 Estrés postraumático: 'ya sea real o **amenazante**' → 'ya sea real o **amenaza**' (literal manual usa 'amenaza' sustantivo). Añadido literal: '**en el contexto de síntomas de activación ansiosa**, como los sobresaltos exagerados y la hipervigilancia' (literal 'pueden mostrar síntomas de activación ansiosa'). (5) AW249 Depresión mayor: 'fatiga crónica' → '**una sensación de cansancio acentuado**' (literal manual 'sentirse muy cansados').</t>
  </si>
  <si>
    <t>[B196](&lt;citation:Perfil!B196&gt;): 393 palabras (antes 367). Perfil actual rinde con léxico clavado del manual en los tres síndromes elevados: CC depresión mayor ('una sensación de cansancio acentuado'), A ansiedad generalizada ('sobresaltarse fácilmente'), N espectro bipolar ('la experiencia de síntomas que pueden ir desde rasgos ciclotímicos... todo lo cual, en los casos extremos, puede dar lugar a procesos psicóticos, como delirios y alucinaciones'). Sin solapamientos sintácticos.</t>
  </si>
  <si>
    <t>Revisar el léxico de [B146](&lt;citation:Perfil!B146&gt;) (validez del protocolo) contra el manual MCMI-IV Cap. 4 pp. validez/Sinceridad/Deseabilidad/Devaluación y patrones de la personalidad; eliminar palabras extrañas al manual.</t>
  </si>
  <si>
    <t>Editadas [V12](&lt;citation:Perfil!V12&gt;), [V16](&lt;citation:Perfil!V16&gt;), [W17](&lt;citation:Perfil!W17&gt;), [W18](&lt;citation:Perfil!W18&gt;) y [AR148](&lt;citation:Perfil!AR148&gt;).</t>
  </si>
  <si>
    <t>Cambios léxicos contra manual: (1) V12 rama interpretable: eliminada 'la persona evaluada ha atendido con atención al contenido de los ítems' (frase añadida que no figura en el manual). Texto ahora arranca directo: 'El perfil es interpretable: las escalas V (Invalidez) y W (Inconsistencia) no muestran un patrón compatible con respuestas aleatorias, de modo que el perfil puede analizarse a partir de las elevaciones que presenta'. (2) V12 typo: 'averígüe' → 'averigüe' (corrección ortográfica; la diéresis va sobre la u, no sobre la i). (3) V16 rama estilos: 'las respuestas de la persona evaluada resultan similares a las de la muestra' → 'las respuestas del evaluado(a) son similares a las de los sujetos de la muestra de tipificación que presentan rasgos' (literal Cap. 4 línea 201). (4) Unificación 'persona evaluada' → 'evaluado(a)' en todo V12, V16, W17, W18 (coherencia con el resto del workbook que usa 'evaluado(a)'). Ajustes de concordancia masculina: 'mostrado abierta y autorreveladora' → 'abierto y autorrevelador'; 'imagen de sí misma positiva e interesante' → 'de sí mismo'; 'cuán sincera o realista' → 'cuán sincero o realista'; 'la hace parecer más alterada psicológicamente' → 'lo hace parecer más alterado'; 'personas con trastornos depresivos' → 'evaluados con trastornos depresivos'. (5) AR148: 'partiendo del principio de que' → '; este ajuste se basa en el principio de que' (literal Cap. 2 línea 111 'se basa en el principio de que'). (6) AR148 repetición eliminada: el segundo 'este ajuste se aplica también' → 'asimismo se aplica' para evitar duplicación estilística.</t>
  </si>
  <si>
    <t>[B146](&lt;citation:Perfil!B146&gt;): 289 palabras. Perfil actual: V/W interpretable, Y elevada (deseabilidad social), X normal, ajustes A/CC sobre 2B/8B/C/2A/S, MAX patrones=78. Texto sin frases añadidas externas al manual: 'El perfil es interpretable: las escalas V (Invalidez) y W (Inconsistencia) no muestran un patrón compatible con respuestas aleatorias, de modo que el perfil puede analizarse... las respuestas del evaluado(a) son similares a las de los sujetos de la muestra de tipificación... este ajuste se basa en el principio de que las puntuaciones del evaluado(a) pueden estar distorsionadas si, al cumplimentar el inventario, se encuentra en un estado emocional de ansiedad o depresión profunda; asimismo se aplica sobre las escalas 2A y S'. Léxico unificado a 'evaluado(a)', concordancias masculinas correctas, conectores Millon ('en tanto que', 'asimismo', 'de modo que', 'por consiguiente') mantenidos.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</si>
</sst>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 &quot;años&quot;"/>
    <numFmt numFmtId="165" formatCode="0.000"/>
    <numFmt numFmtId="166" formatCode="m/d/yyyy"/>
    <numFmt numFmtId="167" formatCode="yyyy\-mm\-dd"/>
  </numFmts>
  <fonts count="33">
    <font>
      <sz val="11"/>
      <color theme="1"/>
      <name val="Aptos Narrow"/>
      <family val="2"/>
      <scheme val="minor"/>
    </font>
    <font>
      <sz val="11"/>
      <color theme="1"/>
      <name val="sans-serif"/>
    </font>
    <font>
      <b/>
      <sz val="11"/>
      <color theme="1"/>
      <name val="sans-serif"/>
    </font>
    <font>
      <b/>
      <sz val="11"/>
      <color theme="0"/>
      <name val="sans-serif"/>
    </font>
    <font>
      <b/>
      <sz val="11"/>
      <color rgb="FF495B86"/>
      <name val="sans-serif"/>
    </font>
    <font>
      <sz val="8"/>
      <color rgb="FF000000"/>
      <name val="Segoe UI"/>
      <family val="2"/>
    </font>
    <font>
      <sz val="11"/>
      <color theme="0"/>
      <name val="Aptos Narrow"/>
      <family val="2"/>
      <scheme val="minor"/>
    </font>
    <font>
      <sz val="11"/>
      <color theme="0"/>
      <name val="sans-serif"/>
    </font>
    <font>
      <sz val="11"/>
      <name val="Daytona"/>
      <family val="2"/>
    </font>
    <font>
      <sz val="11"/>
      <color theme="1"/>
      <name val="Daytona"/>
      <family val="2"/>
    </font>
    <font>
      <b/>
      <sz val="12"/>
      <color theme="1"/>
      <name val="Daytona"/>
      <family val="2"/>
    </font>
    <font>
      <b/>
      <sz val="11"/>
      <color theme="1"/>
      <name val="Daytona"/>
      <family val="2"/>
    </font>
    <font>
      <sz val="11"/>
      <color rgb="FFFF0000"/>
      <name val="Daytona"/>
      <family val="2"/>
    </font>
    <font>
      <sz val="10"/>
      <color rgb="FF000000"/>
      <name val="Daytona"/>
      <family val="2"/>
    </font>
    <font>
      <sz val="12"/>
      <color theme="1"/>
      <name val="Daytona"/>
      <family val="2"/>
    </font>
    <font>
      <b/>
      <sz val="16"/>
      <color rgb="FF495B86"/>
      <name val="Daytona"/>
      <family val="2"/>
    </font>
    <font>
      <b/>
      <sz val="11"/>
      <color rgb="FF495B86"/>
      <name val="Daytona"/>
      <family val="2"/>
    </font>
    <font>
      <sz val="11"/>
      <color theme="0"/>
      <name val="Daytona"/>
      <family val="2"/>
    </font>
    <font>
      <sz val="10"/>
      <color theme="1"/>
      <name val="Daytona"/>
      <family val="2"/>
    </font>
    <font>
      <b/>
      <sz val="10"/>
      <color theme="1"/>
      <name val="Daytona"/>
      <family val="2"/>
    </font>
    <font>
      <b/>
      <sz val="12"/>
      <color rgb="FF1F2639"/>
      <name val="Daytona"/>
      <family val="2"/>
    </font>
    <font>
      <sz val="12"/>
      <color rgb="FF1F2639"/>
      <name val="Daytona"/>
      <family val="2"/>
    </font>
    <font>
      <sz val="11"/>
      <color rgb="FF1F2639"/>
      <name val="Daytona"/>
      <family val="2"/>
    </font>
    <font>
      <sz val="9"/>
      <color theme="1"/>
      <name val="Daytona"/>
      <family val="2"/>
    </font>
    <font>
      <b/>
      <i/>
      <sz val="11"/>
      <color theme="1"/>
      <name val="Daytona"/>
      <family val="2"/>
    </font>
    <font>
      <sz val="11"/>
      <color rgb="FF000000"/>
      <name val="Daytona"/>
      <family val="2"/>
    </font>
    <font>
      <sz val="7"/>
      <color theme="1"/>
      <name val="Daytona"/>
      <family val="2"/>
    </font>
    <font>
      <b/>
      <sz val="11"/>
      <color theme="1"/>
      <name val="Aptos Narrow"/>
      <family val="2"/>
      <scheme val="minor"/>
    </font>
    <font>
      <sz val="9"/>
      <color rgb="FF666666"/>
      <name val="Daytona"/>
      <family val="2"/>
    </font>
    <font>
      <b/>
      <sz val="9"/>
      <color rgb="FF666666"/>
      <name val="Daytona"/>
      <family val="2"/>
    </font>
    <font>
      <sz val="14"/>
      <color theme="1"/>
      <name val="Daytona"/>
      <family val="2"/>
    </font>
    <font>
      <b/>
      <sz val="16"/>
      <color theme="1"/>
      <name val="Daytona"/>
      <family val="2"/>
    </font>
    <font>
      <b/>
      <sz val="14"/>
      <color theme="1"/>
      <name val="Daytona"/>
      <family val="2"/>
    </font>
  </fonts>
  <fills count="10">
    <fill>
      <patternFill patternType="none"/>
    </fill>
    <fill>
      <patternFill patternType="gray125"/>
    </fill>
    <fill>
      <patternFill patternType="solid">
        <fgColor theme="2" tint="-0.499984740745262"/>
        <bgColor indexed="64"/>
      </patternFill>
    </fill>
    <fill>
      <patternFill patternType="solid">
        <fgColor theme="0" tint="-0.14999847407452621"/>
        <bgColor indexed="64"/>
      </patternFill>
    </fill>
    <fill>
      <patternFill patternType="solid">
        <fgColor rgb="FF0D5EA8"/>
        <bgColor indexed="64"/>
      </patternFill>
    </fill>
    <fill>
      <patternFill patternType="solid">
        <fgColor theme="0" tint="-0.499984740745262"/>
        <bgColor indexed="64"/>
      </patternFill>
    </fill>
    <fill>
      <patternFill patternType="solid">
        <fgColor theme="0"/>
        <bgColor indexed="64"/>
      </patternFill>
    </fill>
    <fill>
      <patternFill patternType="solid">
        <fgColor rgb="FF80A3B7"/>
        <bgColor indexed="64"/>
      </patternFill>
    </fill>
    <fill>
      <patternFill patternType="solid">
        <fgColor rgb="FFC7D6DF"/>
        <bgColor indexed="64"/>
      </patternFill>
    </fill>
    <fill>
      <patternFill patternType="solid">
        <fgColor rgb="FFFFFF00"/>
        <bgColor indexed="64"/>
      </patternFill>
    </fill>
  </fills>
  <borders count="33">
    <border>
      <left/>
      <right/>
      <top/>
      <bottom/>
      <diagonal/>
    </border>
    <border>
      <left/>
      <right/>
      <top/>
      <bottom style="thick">
        <color rgb="FF0D5EA8"/>
      </bottom>
      <diagonal/>
    </border>
    <border>
      <left/>
      <right/>
      <top/>
      <bottom style="medium">
        <color indexed="64"/>
      </bottom>
      <diagonal/>
    </border>
    <border>
      <left/>
      <right/>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bottom style="medium">
        <color indexed="64"/>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style="thin">
        <color indexed="64"/>
      </right>
      <top style="thick">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rgb="FF0D5EA8"/>
      </bottom>
      <diagonal/>
    </border>
    <border>
      <left style="thin">
        <color rgb="FF0D5EA8"/>
      </left>
      <right style="thin">
        <color rgb="FF0D5EA8"/>
      </right>
      <top style="thin">
        <color rgb="FF0D5EA8"/>
      </top>
      <bottom style="thin">
        <color rgb="FF0D5EA8"/>
      </bottom>
      <diagonal/>
    </border>
    <border>
      <left/>
      <right/>
      <top/>
      <bottom style="thin">
        <color rgb="FF29637F"/>
      </bottom>
      <diagonal/>
    </border>
    <border>
      <left style="thin">
        <color indexed="64"/>
      </left>
      <right/>
      <top style="thick">
        <color indexed="64"/>
      </top>
      <bottom style="thin">
        <color indexed="64"/>
      </bottom>
      <diagonal/>
    </border>
    <border>
      <left/>
      <right/>
      <top style="thick">
        <color indexed="64"/>
      </top>
      <bottom style="thin">
        <color indexed="64"/>
      </bottom>
      <diagonal/>
    </border>
  </borders>
  <cellStyleXfs count="1">
    <xf numFmtId="0" fontId="0" fillId="0" borderId="0"/>
  </cellStyleXfs>
  <cellXfs count="274">
    <xf numFmtId="0" fontId="0" fillId="0" borderId="0" xfId="0"/>
    <xf numFmtId="0" fontId="1" fillId="0" borderId="0" xfId="0" applyFont="1"/>
    <xf numFmtId="0" fontId="2" fillId="0" borderId="0" xfId="0" applyFont="1" applyAlignment="1">
      <alignment horizontal="center" vertical="center"/>
    </xf>
    <xf numFmtId="0" fontId="1" fillId="0" borderId="0" xfId="0" applyFont="1" applyAlignment="1">
      <alignment horizontal="center" vertical="center"/>
    </xf>
    <xf numFmtId="0" fontId="2" fillId="0" borderId="0" xfId="0" applyFont="1" applyAlignment="1">
      <alignment horizontal="center" vertical="center" wrapText="1"/>
    </xf>
    <xf numFmtId="0" fontId="2" fillId="6" borderId="0" xfId="0" applyFont="1" applyFill="1" applyAlignment="1" applyProtection="1">
      <alignment horizontal="center" vertical="center"/>
      <protection hidden="1"/>
    </xf>
    <xf numFmtId="0" fontId="1" fillId="6" borderId="0" xfId="0" applyFont="1" applyFill="1" applyAlignment="1" applyProtection="1">
      <alignment horizontal="center" vertical="center"/>
      <protection hidden="1"/>
    </xf>
    <xf numFmtId="0" fontId="1" fillId="0" borderId="0" xfId="0" applyFont="1" applyAlignment="1" applyProtection="1">
      <alignment horizontal="center" vertical="center"/>
      <protection hidden="1"/>
    </xf>
    <xf numFmtId="0" fontId="3" fillId="4" borderId="0" xfId="0" applyFont="1" applyFill="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xf>
    <xf numFmtId="0" fontId="3" fillId="4" borderId="0" xfId="0" applyFont="1" applyFill="1" applyAlignment="1" applyProtection="1">
      <alignment horizontal="center" vertical="center"/>
      <protection hidden="1"/>
    </xf>
    <xf numFmtId="0" fontId="3" fillId="4" borderId="10" xfId="0" applyFont="1" applyFill="1" applyBorder="1" applyAlignment="1" applyProtection="1">
      <alignment horizontal="center" vertical="center"/>
      <protection hidden="1"/>
    </xf>
    <xf numFmtId="0" fontId="3" fillId="4" borderId="10" xfId="0" applyFont="1" applyFill="1" applyBorder="1" applyAlignment="1">
      <alignment horizontal="center" vertical="center"/>
    </xf>
    <xf numFmtId="0" fontId="3" fillId="4" borderId="24" xfId="0" applyFont="1" applyFill="1" applyBorder="1" applyAlignment="1">
      <alignment horizontal="center" vertical="center"/>
    </xf>
    <xf numFmtId="0" fontId="0" fillId="6" borderId="0" xfId="0" applyFill="1" applyAlignment="1">
      <alignment horizontal="center" vertical="center"/>
    </xf>
    <xf numFmtId="0" fontId="2" fillId="0" borderId="24" xfId="0" applyFont="1" applyBorder="1" applyAlignment="1">
      <alignment horizontal="center" vertical="center"/>
    </xf>
    <xf numFmtId="0" fontId="0" fillId="0" borderId="24" xfId="0" applyBorder="1" applyAlignment="1">
      <alignment horizontal="center" vertical="center" wrapText="1"/>
    </xf>
    <xf numFmtId="0" fontId="0" fillId="0" borderId="24" xfId="0" applyBorder="1" applyAlignment="1">
      <alignment horizontal="center" vertical="center"/>
    </xf>
    <xf numFmtId="0" fontId="3" fillId="6" borderId="0" xfId="0" applyFont="1" applyFill="1" applyAlignment="1">
      <alignment horizontal="center" vertical="center"/>
    </xf>
    <xf numFmtId="0" fontId="1" fillId="0" borderId="10" xfId="0" applyFont="1" applyBorder="1" applyAlignment="1">
      <alignment horizontal="center" vertical="center"/>
    </xf>
    <xf numFmtId="0" fontId="1" fillId="6" borderId="24" xfId="0" applyFont="1" applyFill="1" applyBorder="1" applyAlignment="1" applyProtection="1">
      <alignment horizontal="center" vertical="center"/>
      <protection hidden="1"/>
    </xf>
    <xf numFmtId="0" fontId="1" fillId="6" borderId="10" xfId="0" applyFont="1" applyFill="1" applyBorder="1" applyAlignment="1" applyProtection="1">
      <alignment horizontal="center" vertical="center"/>
      <protection hidden="1"/>
    </xf>
    <xf numFmtId="0" fontId="7" fillId="0" borderId="0" xfId="0" applyFont="1" applyAlignment="1">
      <alignment horizontal="center" vertical="center"/>
    </xf>
    <xf numFmtId="0" fontId="3" fillId="0" borderId="0" xfId="0" applyFont="1" applyAlignment="1">
      <alignment horizontal="center" vertical="center"/>
    </xf>
    <xf numFmtId="0" fontId="6" fillId="0" borderId="0" xfId="0" applyFont="1"/>
    <xf numFmtId="0" fontId="7" fillId="6" borderId="0" xfId="0" applyFont="1" applyFill="1" applyAlignment="1">
      <alignment horizontal="center" vertical="center"/>
    </xf>
    <xf numFmtId="0" fontId="1"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center"/>
      <protection locked="0"/>
    </xf>
    <xf numFmtId="0" fontId="1" fillId="0" borderId="0" xfId="0" applyFont="1" applyProtection="1">
      <protection locked="0"/>
    </xf>
    <xf numFmtId="0" fontId="1" fillId="0" borderId="0" xfId="0" applyFont="1" applyAlignment="1" applyProtection="1">
      <alignment horizontal="center"/>
      <protection locked="0"/>
    </xf>
    <xf numFmtId="0" fontId="2" fillId="0" borderId="0" xfId="0" applyFont="1" applyProtection="1">
      <protection locked="0"/>
    </xf>
    <xf numFmtId="0" fontId="2" fillId="0" borderId="0" xfId="0" applyFont="1" applyAlignment="1" applyProtection="1">
      <alignment horizontal="left" vertical="center"/>
      <protection hidden="1"/>
    </xf>
    <xf numFmtId="0" fontId="2" fillId="0" borderId="0" xfId="0" applyFont="1" applyAlignment="1" applyProtection="1">
      <alignment horizontal="center"/>
      <protection hidden="1"/>
    </xf>
    <xf numFmtId="0" fontId="2" fillId="0" borderId="0" xfId="0" applyFont="1" applyAlignment="1" applyProtection="1">
      <alignment horizontal="center" vertical="center"/>
      <protection hidden="1"/>
    </xf>
    <xf numFmtId="0" fontId="1" fillId="0" borderId="0" xfId="0" applyFont="1" applyProtection="1">
      <protection hidden="1"/>
    </xf>
    <xf numFmtId="0" fontId="1" fillId="0" borderId="0" xfId="0" applyFont="1" applyAlignment="1" applyProtection="1">
      <alignment horizontal="center"/>
      <protection hidden="1"/>
    </xf>
    <xf numFmtId="0" fontId="2" fillId="0" borderId="0" xfId="0" applyFont="1" applyAlignment="1" applyProtection="1">
      <alignment horizontal="left" indent="2"/>
      <protection hidden="1"/>
    </xf>
    <xf numFmtId="0" fontId="1" fillId="0" borderId="0" xfId="0" applyFont="1" applyAlignment="1" applyProtection="1">
      <alignment horizontal="left" indent="1"/>
      <protection hidden="1"/>
    </xf>
    <xf numFmtId="0" fontId="2" fillId="0" borderId="0" xfId="0" applyFont="1" applyAlignment="1" applyProtection="1">
      <alignment horizontal="right"/>
      <protection hidden="1"/>
    </xf>
    <xf numFmtId="0" fontId="1" fillId="0" borderId="0" xfId="0" applyFont="1" applyAlignment="1" applyProtection="1">
      <alignment wrapText="1"/>
      <protection locked="0"/>
    </xf>
    <xf numFmtId="0" fontId="1" fillId="6" borderId="0" xfId="0" applyFont="1" applyFill="1" applyProtection="1">
      <protection locked="0"/>
    </xf>
    <xf numFmtId="0" fontId="1" fillId="0" borderId="0" xfId="0" applyFont="1" applyAlignment="1" applyProtection="1">
      <alignment horizontal="left" vertical="center"/>
      <protection locked="0"/>
    </xf>
    <xf numFmtId="0" fontId="1" fillId="0" borderId="0" xfId="0" applyFont="1" applyAlignment="1" applyProtection="1">
      <alignment wrapText="1"/>
      <protection hidden="1"/>
    </xf>
    <xf numFmtId="0" fontId="3" fillId="6" borderId="0" xfId="0" applyFont="1" applyFill="1" applyAlignment="1" applyProtection="1">
      <alignment horizontal="center" vertical="center"/>
      <protection locked="0"/>
    </xf>
    <xf numFmtId="0" fontId="2" fillId="3" borderId="0" xfId="0" applyFont="1" applyFill="1" applyAlignment="1" applyProtection="1">
      <alignment horizontal="center" vertical="center"/>
      <protection locked="0"/>
    </xf>
    <xf numFmtId="0" fontId="2" fillId="3" borderId="0" xfId="0" applyFont="1" applyFill="1" applyProtection="1">
      <protection locked="0"/>
    </xf>
    <xf numFmtId="0" fontId="2" fillId="6" borderId="0" xfId="0" applyFont="1" applyFill="1" applyAlignment="1" applyProtection="1">
      <alignment horizontal="center" vertical="center"/>
      <protection locked="0"/>
    </xf>
    <xf numFmtId="0" fontId="2" fillId="0" borderId="29" xfId="0" applyFont="1" applyBorder="1" applyAlignment="1" applyProtection="1">
      <alignment horizontal="center" vertical="center"/>
      <protection locked="0"/>
    </xf>
    <xf numFmtId="0" fontId="0" fillId="0" borderId="0" xfId="0" applyAlignment="1" applyProtection="1">
      <alignment wrapText="1"/>
      <protection locked="0"/>
    </xf>
    <xf numFmtId="0" fontId="0" fillId="0" borderId="0" xfId="0" applyAlignment="1" applyProtection="1">
      <alignment horizontal="center"/>
      <protection locked="0"/>
    </xf>
    <xf numFmtId="0" fontId="0" fillId="0" borderId="0" xfId="0" applyProtection="1">
      <protection locked="0"/>
    </xf>
    <xf numFmtId="0" fontId="4" fillId="0" borderId="0" xfId="0" applyFont="1" applyAlignment="1" applyProtection="1">
      <alignment horizontal="center" vertical="center"/>
      <protection hidden="1"/>
    </xf>
    <xf numFmtId="0" fontId="8" fillId="0" borderId="0" xfId="0" applyFont="1" applyProtection="1">
      <protection locked="0"/>
    </xf>
    <xf numFmtId="0" fontId="9" fillId="0" borderId="0" xfId="0" applyFont="1" applyProtection="1">
      <protection hidden="1"/>
    </xf>
    <xf numFmtId="0" fontId="9" fillId="0" borderId="0" xfId="0" applyFont="1" applyAlignment="1" applyProtection="1">
      <alignment horizontal="center" vertical="center"/>
      <protection hidden="1"/>
    </xf>
    <xf numFmtId="0" fontId="9" fillId="0" borderId="0" xfId="0" applyFont="1" applyAlignment="1" applyProtection="1">
      <alignment horizontal="center"/>
      <protection hidden="1"/>
    </xf>
    <xf numFmtId="0" fontId="9" fillId="0" borderId="0" xfId="0" applyFont="1" applyProtection="1">
      <protection locked="0"/>
    </xf>
    <xf numFmtId="0" fontId="9" fillId="0" borderId="0" xfId="0" applyFont="1" applyAlignment="1" applyProtection="1">
      <alignment horizontal="center" vertical="center"/>
      <protection locked="0"/>
    </xf>
    <xf numFmtId="0" fontId="9" fillId="0" borderId="0" xfId="0" applyFont="1" applyAlignment="1" applyProtection="1">
      <alignment horizontal="center"/>
      <protection locked="0"/>
    </xf>
    <xf numFmtId="0" fontId="9" fillId="0" borderId="0" xfId="0" applyFont="1" applyAlignment="1" applyProtection="1">
      <alignment wrapText="1"/>
      <protection hidden="1"/>
    </xf>
    <xf numFmtId="0" fontId="9" fillId="4" borderId="0" xfId="0" applyFont="1" applyFill="1" applyProtection="1">
      <protection hidden="1"/>
    </xf>
    <xf numFmtId="0" fontId="9" fillId="4" borderId="0" xfId="0" applyFont="1" applyFill="1" applyAlignment="1" applyProtection="1">
      <alignment wrapText="1"/>
      <protection hidden="1"/>
    </xf>
    <xf numFmtId="0" fontId="9" fillId="4" borderId="0" xfId="0" applyFont="1" applyFill="1" applyAlignment="1" applyProtection="1">
      <alignment horizontal="center" vertical="center"/>
      <protection hidden="1"/>
    </xf>
    <xf numFmtId="0" fontId="9" fillId="4" borderId="0" xfId="0" applyFont="1" applyFill="1" applyAlignment="1" applyProtection="1">
      <alignment horizontal="center"/>
      <protection hidden="1"/>
    </xf>
    <xf numFmtId="0" fontId="9" fillId="6" borderId="0" xfId="0" applyFont="1" applyFill="1" applyProtection="1">
      <protection hidden="1"/>
    </xf>
    <xf numFmtId="0" fontId="9" fillId="6" borderId="0" xfId="0" applyFont="1" applyFill="1" applyAlignment="1" applyProtection="1">
      <alignment wrapText="1"/>
      <protection hidden="1"/>
    </xf>
    <xf numFmtId="0" fontId="9" fillId="6" borderId="0" xfId="0" applyFont="1" applyFill="1" applyAlignment="1" applyProtection="1">
      <alignment horizontal="center" vertical="center"/>
      <protection hidden="1"/>
    </xf>
    <xf numFmtId="0" fontId="9" fillId="6" borderId="0" xfId="0" applyFont="1" applyFill="1" applyAlignment="1" applyProtection="1">
      <alignment horizontal="center"/>
      <protection hidden="1"/>
    </xf>
    <xf numFmtId="0" fontId="9" fillId="0" borderId="0" xfId="0" applyFont="1" applyAlignment="1" applyProtection="1">
      <alignment horizontal="left" vertical="center"/>
      <protection hidden="1"/>
    </xf>
    <xf numFmtId="0" fontId="9" fillId="0" borderId="0" xfId="0" applyFont="1" applyAlignment="1" applyProtection="1">
      <alignment vertical="center"/>
      <protection hidden="1"/>
    </xf>
    <xf numFmtId="0" fontId="9" fillId="0" borderId="1" xfId="0" applyFont="1" applyBorder="1" applyProtection="1">
      <protection hidden="1"/>
    </xf>
    <xf numFmtId="0" fontId="9" fillId="0" borderId="1" xfId="0" applyFont="1" applyBorder="1" applyAlignment="1" applyProtection="1">
      <alignment horizontal="center" vertical="center"/>
      <protection hidden="1"/>
    </xf>
    <xf numFmtId="0" fontId="9" fillId="0" borderId="1" xfId="0" applyFont="1" applyBorder="1" applyAlignment="1" applyProtection="1">
      <alignment horizontal="center"/>
      <protection hidden="1"/>
    </xf>
    <xf numFmtId="0" fontId="9" fillId="0" borderId="1" xfId="0" applyFont="1" applyBorder="1" applyAlignment="1" applyProtection="1">
      <alignment vertical="center"/>
      <protection hidden="1"/>
    </xf>
    <xf numFmtId="0" fontId="10" fillId="0" borderId="0" xfId="0" applyFont="1" applyAlignment="1" applyProtection="1">
      <alignment horizontal="center" vertical="center"/>
      <protection hidden="1"/>
    </xf>
    <xf numFmtId="0" fontId="9" fillId="0" borderId="0" xfId="0" applyFont="1" applyAlignment="1" applyProtection="1">
      <alignment horizontal="right"/>
      <protection hidden="1"/>
    </xf>
    <xf numFmtId="0" fontId="9" fillId="0" borderId="0" xfId="0" applyFont="1" applyAlignment="1" applyProtection="1">
      <alignment horizontal="left" vertical="center"/>
      <protection locked="0"/>
    </xf>
    <xf numFmtId="0" fontId="9" fillId="0" borderId="0" xfId="0" applyFont="1" applyAlignment="1" applyProtection="1">
      <alignment horizontal="left" vertical="center" indent="2"/>
      <protection hidden="1"/>
    </xf>
    <xf numFmtId="0" fontId="9" fillId="0" borderId="3" xfId="0" applyFont="1" applyBorder="1" applyProtection="1">
      <protection hidden="1"/>
    </xf>
    <xf numFmtId="0" fontId="9" fillId="0" borderId="3" xfId="0" applyFont="1" applyBorder="1" applyAlignment="1" applyProtection="1">
      <alignment horizontal="center" vertical="center"/>
      <protection hidden="1"/>
    </xf>
    <xf numFmtId="0" fontId="9" fillId="0" borderId="10" xfId="0" applyFont="1" applyBorder="1" applyProtection="1">
      <protection locked="0"/>
    </xf>
    <xf numFmtId="0" fontId="11" fillId="0" borderId="0" xfId="0" applyFont="1" applyAlignment="1" applyProtection="1">
      <alignment horizontal="center"/>
      <protection hidden="1"/>
    </xf>
    <xf numFmtId="0" fontId="11" fillId="0" borderId="6" xfId="0" applyFont="1" applyBorder="1" applyAlignment="1" applyProtection="1">
      <alignment horizontal="center" vertical="center"/>
      <protection hidden="1"/>
    </xf>
    <xf numFmtId="0" fontId="11" fillId="0" borderId="7" xfId="0" applyFont="1" applyBorder="1" applyAlignment="1" applyProtection="1">
      <alignment horizontal="center" vertical="center"/>
      <protection hidden="1"/>
    </xf>
    <xf numFmtId="0" fontId="9" fillId="0" borderId="6" xfId="0" applyFont="1" applyBorder="1" applyProtection="1">
      <protection hidden="1"/>
    </xf>
    <xf numFmtId="0" fontId="9" fillId="0" borderId="7" xfId="0" applyFont="1" applyBorder="1" applyAlignment="1" applyProtection="1">
      <alignment horizontal="center" vertical="center"/>
      <protection hidden="1"/>
    </xf>
    <xf numFmtId="0" fontId="9" fillId="0" borderId="2" xfId="0" applyFont="1" applyBorder="1" applyProtection="1">
      <protection hidden="1"/>
    </xf>
    <xf numFmtId="0" fontId="9" fillId="0" borderId="2" xfId="0" applyFont="1" applyBorder="1" applyAlignment="1" applyProtection="1">
      <alignment horizontal="center" vertical="center"/>
      <protection hidden="1"/>
    </xf>
    <xf numFmtId="0" fontId="9" fillId="0" borderId="14" xfId="0" applyFont="1" applyBorder="1" applyAlignment="1" applyProtection="1">
      <alignment horizontal="center" vertical="center"/>
      <protection hidden="1"/>
    </xf>
    <xf numFmtId="0" fontId="9" fillId="0" borderId="0" xfId="0" applyFont="1" applyAlignment="1" applyProtection="1">
      <alignment horizontal="left"/>
      <protection locked="0"/>
    </xf>
    <xf numFmtId="0" fontId="9" fillId="0" borderId="10" xfId="0" applyFont="1" applyBorder="1" applyAlignment="1" applyProtection="1">
      <alignment horizontal="left" vertical="center"/>
      <protection locked="0"/>
    </xf>
    <xf numFmtId="0" fontId="9" fillId="0" borderId="13" xfId="0" applyFont="1" applyBorder="1" applyAlignment="1" applyProtection="1">
      <alignment horizontal="center" vertical="center"/>
      <protection hidden="1"/>
    </xf>
    <xf numFmtId="0" fontId="9" fillId="6" borderId="13" xfId="0" applyFont="1" applyFill="1" applyBorder="1" applyAlignment="1" applyProtection="1">
      <alignment horizontal="center" vertical="center"/>
      <protection hidden="1"/>
    </xf>
    <xf numFmtId="0" fontId="9" fillId="0" borderId="10" xfId="0" applyFont="1" applyBorder="1" applyAlignment="1" applyProtection="1">
      <alignment horizontal="center" vertical="center"/>
      <protection hidden="1"/>
    </xf>
    <xf numFmtId="0" fontId="9" fillId="0" borderId="0" xfId="0" applyFont="1" applyAlignment="1" applyProtection="1">
      <alignment vertical="center"/>
      <protection locked="0"/>
    </xf>
    <xf numFmtId="0" fontId="9" fillId="0" borderId="9" xfId="0" applyFont="1" applyBorder="1" applyAlignment="1" applyProtection="1">
      <alignment horizontal="center" vertical="center"/>
      <protection hidden="1"/>
    </xf>
    <xf numFmtId="0" fontId="9" fillId="6" borderId="9" xfId="0" applyFont="1" applyFill="1" applyBorder="1" applyAlignment="1" applyProtection="1">
      <alignment horizontal="center" vertical="center"/>
      <protection hidden="1"/>
    </xf>
    <xf numFmtId="0" fontId="9" fillId="0" borderId="6" xfId="0" applyFont="1" applyBorder="1" applyAlignment="1" applyProtection="1">
      <alignment horizontal="left" vertical="center"/>
      <protection hidden="1"/>
    </xf>
    <xf numFmtId="0" fontId="9" fillId="0" borderId="3" xfId="0" applyFont="1" applyBorder="1" applyAlignment="1" applyProtection="1">
      <alignment horizontal="left" vertical="center"/>
      <protection hidden="1"/>
    </xf>
    <xf numFmtId="0" fontId="9" fillId="0" borderId="16" xfId="0" applyFont="1" applyBorder="1" applyAlignment="1" applyProtection="1">
      <alignment horizontal="center" vertical="center"/>
      <protection hidden="1"/>
    </xf>
    <xf numFmtId="0" fontId="9" fillId="0" borderId="12" xfId="0" applyFont="1" applyBorder="1" applyAlignment="1" applyProtection="1">
      <alignment horizontal="left" vertical="center"/>
      <protection hidden="1"/>
    </xf>
    <xf numFmtId="0" fontId="9" fillId="0" borderId="12" xfId="0" applyFont="1" applyBorder="1" applyAlignment="1" applyProtection="1">
      <alignment horizontal="center" vertical="center"/>
      <protection hidden="1"/>
    </xf>
    <xf numFmtId="0" fontId="11" fillId="0" borderId="3" xfId="0" applyFont="1" applyBorder="1" applyAlignment="1" applyProtection="1">
      <alignment horizontal="center" vertical="center"/>
      <protection hidden="1"/>
    </xf>
    <xf numFmtId="0" fontId="9" fillId="0" borderId="8" xfId="0" applyFont="1" applyBorder="1" applyProtection="1">
      <protection hidden="1"/>
    </xf>
    <xf numFmtId="0" fontId="9" fillId="0" borderId="12" xfId="0" applyFont="1" applyBorder="1" applyProtection="1">
      <protection hidden="1"/>
    </xf>
    <xf numFmtId="0" fontId="9" fillId="0" borderId="20" xfId="0" applyFont="1" applyBorder="1" applyProtection="1">
      <protection hidden="1"/>
    </xf>
    <xf numFmtId="0" fontId="9" fillId="0" borderId="21" xfId="0" applyFont="1" applyBorder="1" applyProtection="1">
      <protection hidden="1"/>
    </xf>
    <xf numFmtId="0" fontId="9" fillId="0" borderId="21" xfId="0" applyFont="1" applyBorder="1" applyAlignment="1" applyProtection="1">
      <alignment horizontal="center" vertical="center"/>
      <protection hidden="1"/>
    </xf>
    <xf numFmtId="0" fontId="9" fillId="0" borderId="22" xfId="0" applyFont="1" applyBorder="1" applyAlignment="1" applyProtection="1">
      <alignment horizontal="center" vertical="center"/>
      <protection hidden="1"/>
    </xf>
    <xf numFmtId="0" fontId="9" fillId="0" borderId="23" xfId="0" applyFont="1" applyBorder="1" applyAlignment="1" applyProtection="1">
      <alignment horizontal="center" vertical="center"/>
      <protection hidden="1"/>
    </xf>
    <xf numFmtId="0" fontId="9" fillId="0" borderId="15" xfId="0" applyFont="1" applyBorder="1" applyAlignment="1" applyProtection="1">
      <alignment horizontal="center" vertical="center"/>
      <protection hidden="1"/>
    </xf>
    <xf numFmtId="165" fontId="8" fillId="0" borderId="0" xfId="0" applyNumberFormat="1" applyFont="1" applyAlignment="1" applyProtection="1">
      <alignment horizontal="center" vertical="center"/>
      <protection locked="0"/>
    </xf>
    <xf numFmtId="0" fontId="9" fillId="0" borderId="5" xfId="0" applyFont="1" applyBorder="1" applyAlignment="1" applyProtection="1">
      <alignment horizontal="center" vertical="center"/>
      <protection hidden="1"/>
    </xf>
    <xf numFmtId="0" fontId="9" fillId="6" borderId="5" xfId="0" applyFont="1" applyFill="1" applyBorder="1" applyAlignment="1" applyProtection="1">
      <alignment horizontal="center" vertical="center"/>
      <protection hidden="1"/>
    </xf>
    <xf numFmtId="0" fontId="9" fillId="6" borderId="15" xfId="0" applyFont="1" applyFill="1" applyBorder="1" applyAlignment="1" applyProtection="1">
      <alignment horizontal="center" vertical="center"/>
      <protection hidden="1"/>
    </xf>
    <xf numFmtId="165" fontId="9" fillId="0" borderId="0" xfId="0" applyNumberFormat="1" applyFont="1" applyProtection="1">
      <protection locked="0"/>
    </xf>
    <xf numFmtId="0" fontId="11" fillId="0" borderId="0" xfId="0" applyFont="1" applyAlignment="1" applyProtection="1">
      <alignment horizontal="center" vertical="center"/>
      <protection hidden="1"/>
    </xf>
    <xf numFmtId="0" fontId="12" fillId="0" borderId="0" xfId="0" applyFont="1" applyAlignment="1" applyProtection="1">
      <alignment horizontal="left" vertical="center"/>
      <protection locked="0"/>
    </xf>
    <xf numFmtId="0" fontId="9" fillId="6" borderId="0" xfId="0" applyFont="1" applyFill="1" applyProtection="1">
      <protection locked="0"/>
    </xf>
    <xf numFmtId="0" fontId="9" fillId="6" borderId="0" xfId="0" applyFont="1" applyFill="1" applyAlignment="1" applyProtection="1">
      <alignment horizontal="center" vertical="center"/>
      <protection locked="0"/>
    </xf>
    <xf numFmtId="0" fontId="9" fillId="6" borderId="0" xfId="0" applyFont="1" applyFill="1" applyAlignment="1" applyProtection="1">
      <alignment horizontal="center"/>
      <protection locked="0"/>
    </xf>
    <xf numFmtId="0" fontId="9" fillId="0" borderId="0" xfId="0" applyFont="1" applyAlignment="1" applyProtection="1">
      <alignment vertical="top" wrapText="1"/>
      <protection locked="0"/>
    </xf>
    <xf numFmtId="0" fontId="9" fillId="0" borderId="0" xfId="0" applyFont="1" applyAlignment="1" applyProtection="1">
      <alignment horizontal="center" vertical="top" wrapText="1"/>
      <protection locked="0"/>
    </xf>
    <xf numFmtId="0" fontId="9" fillId="0" borderId="0" xfId="0" applyFont="1" applyAlignment="1" applyProtection="1">
      <alignment horizontal="center" vertical="center" wrapText="1"/>
      <protection locked="0"/>
    </xf>
    <xf numFmtId="0" fontId="11" fillId="0" borderId="21" xfId="0" applyFont="1" applyBorder="1" applyAlignment="1" applyProtection="1">
      <alignment horizontal="center"/>
      <protection hidden="1"/>
    </xf>
    <xf numFmtId="0" fontId="11" fillId="0" borderId="21" xfId="0" applyFont="1" applyBorder="1" applyProtection="1">
      <protection hidden="1"/>
    </xf>
    <xf numFmtId="0" fontId="11" fillId="0" borderId="22" xfId="0" applyFont="1" applyBorder="1" applyProtection="1">
      <protection hidden="1"/>
    </xf>
    <xf numFmtId="0" fontId="9" fillId="0" borderId="24" xfId="0" applyFont="1" applyBorder="1" applyProtection="1">
      <protection locked="0"/>
    </xf>
    <xf numFmtId="0" fontId="9" fillId="0" borderId="0" xfId="0" applyFont="1" applyAlignment="1" applyProtection="1">
      <alignment horizontal="left" vertical="top"/>
      <protection locked="0"/>
    </xf>
    <xf numFmtId="0" fontId="9" fillId="0" borderId="24" xfId="0" applyFont="1" applyBorder="1" applyProtection="1">
      <protection hidden="1"/>
    </xf>
    <xf numFmtId="0" fontId="9" fillId="0" borderId="22" xfId="0" applyFont="1" applyBorder="1" applyProtection="1">
      <protection hidden="1"/>
    </xf>
    <xf numFmtId="0" fontId="11" fillId="0" borderId="21" xfId="0" applyFont="1" applyBorder="1" applyAlignment="1" applyProtection="1">
      <alignment horizontal="center" vertical="center"/>
      <protection hidden="1"/>
    </xf>
    <xf numFmtId="0" fontId="11" fillId="0" borderId="0" xfId="0" applyFont="1" applyProtection="1">
      <protection hidden="1"/>
    </xf>
    <xf numFmtId="0" fontId="11" fillId="0" borderId="0" xfId="0" applyFont="1" applyAlignment="1" applyProtection="1">
      <alignment horizontal="center" vertical="center"/>
      <protection locked="0"/>
    </xf>
    <xf numFmtId="0" fontId="13" fillId="0" borderId="0" xfId="0" applyFont="1" applyProtection="1">
      <protection locked="0"/>
    </xf>
    <xf numFmtId="0" fontId="9" fillId="0" borderId="28" xfId="0" applyFont="1" applyBorder="1" applyProtection="1">
      <protection hidden="1"/>
    </xf>
    <xf numFmtId="0" fontId="9" fillId="0" borderId="28" xfId="0" applyFont="1" applyBorder="1" applyAlignment="1" applyProtection="1">
      <alignment horizontal="center" vertical="center"/>
      <protection hidden="1"/>
    </xf>
    <xf numFmtId="0" fontId="9" fillId="0" borderId="28" xfId="0" applyFont="1" applyBorder="1" applyAlignment="1" applyProtection="1">
      <alignment horizontal="center"/>
      <protection hidden="1"/>
    </xf>
    <xf numFmtId="0" fontId="11" fillId="0" borderId="0" xfId="0" applyFont="1" applyAlignment="1" applyProtection="1">
      <alignment horizontal="left" vertical="center"/>
      <protection hidden="1"/>
    </xf>
    <xf numFmtId="0" fontId="11" fillId="0" borderId="0" xfId="0" applyFont="1" applyProtection="1">
      <protection locked="0"/>
    </xf>
    <xf numFmtId="0" fontId="11" fillId="0" borderId="0" xfId="0" applyFont="1" applyAlignment="1" applyProtection="1">
      <alignment horizontal="left" vertical="center"/>
      <protection locked="0"/>
    </xf>
    <xf numFmtId="0" fontId="14" fillId="0" borderId="0" xfId="0" applyFont="1" applyAlignment="1" applyProtection="1">
      <alignment vertical="center" wrapText="1"/>
      <protection hidden="1"/>
    </xf>
    <xf numFmtId="0" fontId="11" fillId="0" borderId="0" xfId="0" applyFont="1" applyAlignment="1" applyProtection="1">
      <alignment horizontal="center"/>
      <protection locked="0"/>
    </xf>
    <xf numFmtId="0" fontId="10" fillId="0" borderId="0" xfId="0" applyFont="1" applyProtection="1">
      <protection hidden="1"/>
    </xf>
    <xf numFmtId="0" fontId="9" fillId="0" borderId="0" xfId="0" applyFont="1" applyAlignment="1" applyProtection="1">
      <alignment horizontal="left" vertical="top" wrapText="1"/>
      <protection hidden="1"/>
    </xf>
    <xf numFmtId="0" fontId="16" fillId="0" borderId="0" xfId="0" applyFont="1" applyAlignment="1" applyProtection="1">
      <alignment horizontal="center" vertical="center"/>
      <protection hidden="1"/>
    </xf>
    <xf numFmtId="0" fontId="9" fillId="0" borderId="0" xfId="0" applyFont="1" applyAlignment="1" applyProtection="1">
      <alignment horizontal="left" vertical="center" wrapText="1"/>
      <protection hidden="1"/>
    </xf>
    <xf numFmtId="0" fontId="0" fillId="0" borderId="0" xfId="0" applyAlignment="1">
      <alignment wrapText="1"/>
    </xf>
    <xf numFmtId="0" fontId="11" fillId="0" borderId="0" xfId="0" applyFont="1" applyAlignment="1" applyProtection="1">
      <alignment wrapText="1"/>
      <protection hidden="1"/>
    </xf>
    <xf numFmtId="0" fontId="2" fillId="0" borderId="0" xfId="0" applyFont="1" applyAlignment="1" applyProtection="1">
      <alignment wrapText="1"/>
      <protection locked="0"/>
    </xf>
    <xf numFmtId="164" fontId="9" fillId="0" borderId="0" xfId="0" applyNumberFormat="1" applyFont="1" applyAlignment="1" applyProtection="1">
      <alignment horizontal="left" vertical="center"/>
      <protection hidden="1"/>
    </xf>
    <xf numFmtId="0" fontId="9" fillId="0" borderId="0" xfId="0" applyFont="1" applyAlignment="1" applyProtection="1">
      <alignment horizontal="left"/>
      <protection hidden="1"/>
    </xf>
    <xf numFmtId="0" fontId="18" fillId="0" borderId="0" xfId="0" applyFont="1" applyAlignment="1" applyProtection="1">
      <alignment horizontal="left" vertical="center"/>
      <protection hidden="1"/>
    </xf>
    <xf numFmtId="0" fontId="19" fillId="0" borderId="0" xfId="0" applyFont="1" applyAlignment="1" applyProtection="1">
      <alignment horizontal="left" vertical="center"/>
      <protection hidden="1"/>
    </xf>
    <xf numFmtId="0" fontId="9" fillId="0" borderId="0" xfId="0" applyFont="1" applyAlignment="1" applyProtection="1">
      <alignment horizontal="left" vertical="top" wrapText="1"/>
      <protection locked="0"/>
    </xf>
    <xf numFmtId="0" fontId="9" fillId="8" borderId="0" xfId="0" applyFont="1" applyFill="1" applyProtection="1">
      <protection locked="0"/>
    </xf>
    <xf numFmtId="0" fontId="9" fillId="0" borderId="30" xfId="0" applyFont="1" applyBorder="1" applyAlignment="1" applyProtection="1">
      <alignment horizontal="center" vertical="center"/>
      <protection locked="0"/>
    </xf>
    <xf numFmtId="1" fontId="9" fillId="0" borderId="30" xfId="0" applyNumberFormat="1" applyFont="1" applyBorder="1" applyAlignment="1" applyProtection="1">
      <alignment horizontal="center" vertical="center"/>
      <protection locked="0"/>
    </xf>
    <xf numFmtId="0" fontId="9" fillId="0" borderId="30" xfId="0" applyFont="1" applyBorder="1" applyAlignment="1" applyProtection="1">
      <alignment vertical="center"/>
      <protection locked="0"/>
    </xf>
    <xf numFmtId="0" fontId="21" fillId="8" borderId="0" xfId="0" applyFont="1" applyFill="1" applyProtection="1">
      <protection hidden="1"/>
    </xf>
    <xf numFmtId="0" fontId="20" fillId="8" borderId="0" xfId="0" applyFont="1" applyFill="1" applyProtection="1">
      <protection hidden="1"/>
    </xf>
    <xf numFmtId="0" fontId="20" fillId="0" borderId="0" xfId="0" applyFont="1" applyProtection="1">
      <protection locked="0"/>
    </xf>
    <xf numFmtId="0" fontId="11" fillId="0" borderId="30" xfId="0" applyFont="1" applyBorder="1" applyAlignment="1" applyProtection="1">
      <alignment horizontal="center" vertical="center"/>
      <protection locked="0"/>
    </xf>
    <xf numFmtId="0" fontId="9" fillId="0" borderId="30" xfId="0" applyFont="1" applyBorder="1" applyProtection="1">
      <protection hidden="1"/>
    </xf>
    <xf numFmtId="0" fontId="24" fillId="0" borderId="0" xfId="0" applyFont="1" applyProtection="1">
      <protection hidden="1"/>
    </xf>
    <xf numFmtId="0" fontId="2" fillId="9" borderId="0" xfId="0" applyFont="1" applyFill="1" applyAlignment="1" applyProtection="1">
      <alignment horizontal="center" vertical="center"/>
      <protection locked="0"/>
    </xf>
    <xf numFmtId="0" fontId="9" fillId="6" borderId="0" xfId="0" applyFont="1" applyFill="1" applyAlignment="1" applyProtection="1">
      <alignment horizontal="left" vertical="center"/>
      <protection locked="0"/>
    </xf>
    <xf numFmtId="0" fontId="14" fillId="0" borderId="0" xfId="0" applyFont="1" applyAlignment="1" applyProtection="1">
      <alignment vertical="top" wrapText="1" readingOrder="1"/>
      <protection hidden="1"/>
    </xf>
    <xf numFmtId="0" fontId="14" fillId="0" borderId="0" xfId="0" applyFont="1" applyProtection="1">
      <protection hidden="1"/>
    </xf>
    <xf numFmtId="0" fontId="14" fillId="0" borderId="0" xfId="0" applyFont="1" applyAlignment="1" applyProtection="1">
      <alignment horizontal="center" vertical="center"/>
      <protection hidden="1"/>
    </xf>
    <xf numFmtId="0" fontId="14" fillId="0" borderId="0" xfId="0" applyFont="1" applyAlignment="1" applyProtection="1">
      <alignment horizontal="center"/>
      <protection hidden="1"/>
    </xf>
    <xf numFmtId="0" fontId="14" fillId="0" borderId="0" xfId="0" applyFont="1" applyAlignment="1" applyProtection="1">
      <alignment horizontal="left" indent="1"/>
      <protection hidden="1"/>
    </xf>
    <xf numFmtId="0" fontId="14" fillId="0" borderId="0" xfId="0" applyFont="1" applyAlignment="1" applyProtection="1">
      <alignment horizontal="left" indent="2"/>
      <protection hidden="1"/>
    </xf>
    <xf numFmtId="0" fontId="14" fillId="0" borderId="0" xfId="0" applyFont="1" applyAlignment="1" applyProtection="1">
      <alignment horizontal="left" indent="3"/>
      <protection hidden="1"/>
    </xf>
    <xf numFmtId="0" fontId="14" fillId="0" borderId="0" xfId="0" applyFont="1" applyProtection="1">
      <protection locked="0"/>
    </xf>
    <xf numFmtId="0" fontId="14" fillId="0" borderId="0" xfId="0" applyFont="1" applyAlignment="1" applyProtection="1">
      <alignment horizontal="center" vertical="center"/>
      <protection locked="0"/>
    </xf>
    <xf numFmtId="0" fontId="14" fillId="0" borderId="0" xfId="0" applyFont="1" applyAlignment="1" applyProtection="1">
      <alignment horizontal="center"/>
      <protection locked="0"/>
    </xf>
    <xf numFmtId="0" fontId="27" fillId="0" borderId="0" xfId="0" applyFont="1"/>
    <xf numFmtId="14" fontId="0" fillId="0" borderId="0" xfId="0" applyNumberFormat="1"/>
    <xf numFmtId="49" fontId="9" fillId="0" borderId="0" xfId="0" applyNumberFormat="1" applyFont="1" applyProtection="1">
      <protection locked="0"/>
    </xf>
    <xf numFmtId="166" fontId="0" fillId="0" borderId="0" xfId="0" applyNumberFormat="1"/>
    <xf numFmtId="0" fontId="28" fillId="0" borderId="0" xfId="0" applyFont="1" applyProtection="1">
      <protection locked="0"/>
    </xf>
    <xf numFmtId="0" fontId="29" fillId="0" borderId="0" xfId="0" applyFont="1" applyProtection="1">
      <protection locked="0"/>
    </xf>
    <xf numFmtId="167" fontId="0" fillId="0" borderId="0" xfId="0" applyNumberFormat="1"/>
    <xf numFmtId="0" fontId="0" fillId="0" borderId="0" xfId="0" quotePrefix="1"/>
    <xf numFmtId="0" fontId="13" fillId="0" borderId="0" xfId="0" applyFont="1" applyAlignment="1" applyProtection="1">
      <alignment horizontal="left" vertical="center"/>
      <protection locked="0"/>
    </xf>
    <xf numFmtId="0" fontId="31" fillId="0" borderId="0" xfId="0" applyFont="1" applyAlignment="1" applyProtection="1">
      <alignment horizontal="left" vertical="center"/>
      <protection hidden="1"/>
    </xf>
    <xf numFmtId="0" fontId="31" fillId="0" borderId="0" xfId="0" applyFont="1" applyAlignment="1" applyProtection="1">
      <alignment horizontal="left" vertical="top" readingOrder="1"/>
      <protection hidden="1"/>
    </xf>
    <xf numFmtId="0" fontId="31" fillId="0" borderId="0" xfId="0" applyFont="1" applyProtection="1">
      <protection hidden="1"/>
    </xf>
    <xf numFmtId="0" fontId="30" fillId="0" borderId="0" xfId="0" applyFont="1" applyAlignment="1" applyProtection="1">
      <alignment horizontal="justify" vertical="top" wrapText="1" readingOrder="1"/>
      <protection hidden="1"/>
    </xf>
    <xf numFmtId="0" fontId="14" fillId="0" borderId="0" xfId="0" applyFont="1" applyAlignment="1" applyProtection="1">
      <alignment horizontal="justify" vertical="top" wrapText="1" readingOrder="1"/>
      <protection hidden="1"/>
    </xf>
    <xf numFmtId="0" fontId="30" fillId="0" borderId="0" xfId="0" applyFont="1" applyAlignment="1" applyProtection="1">
      <alignment horizontal="justify" vertical="top" readingOrder="1"/>
      <protection hidden="1"/>
    </xf>
    <xf numFmtId="0" fontId="9" fillId="0" borderId="0" xfId="0" applyFont="1" applyProtection="1">
      <protection hidden="1"/>
    </xf>
    <xf numFmtId="0" fontId="11" fillId="0" borderId="0" xfId="0" applyFont="1" applyProtection="1">
      <protection hidden="1"/>
    </xf>
    <xf numFmtId="0" fontId="11" fillId="0" borderId="0" xfId="0" applyFont="1" applyAlignment="1" applyProtection="1">
      <alignment horizontal="center" vertical="center"/>
      <protection hidden="1"/>
    </xf>
    <xf numFmtId="0" fontId="11" fillId="0" borderId="10" xfId="0" applyFont="1" applyBorder="1" applyAlignment="1" applyProtection="1">
      <alignment horizontal="center" vertical="center"/>
      <protection hidden="1"/>
    </xf>
    <xf numFmtId="0" fontId="9" fillId="0" borderId="5" xfId="0" applyFont="1" applyBorder="1" applyAlignment="1" applyProtection="1">
      <alignment horizontal="left" vertical="center" indent="2"/>
      <protection hidden="1"/>
    </xf>
    <xf numFmtId="0" fontId="9" fillId="0" borderId="8" xfId="0" applyFont="1" applyBorder="1" applyAlignment="1" applyProtection="1">
      <alignment horizontal="left" vertical="center" indent="2"/>
      <protection hidden="1"/>
    </xf>
    <xf numFmtId="0" fontId="9" fillId="0" borderId="12" xfId="0" applyFont="1" applyBorder="1" applyAlignment="1" applyProtection="1">
      <alignment horizontal="left" vertical="center" indent="2"/>
      <protection hidden="1"/>
    </xf>
    <xf numFmtId="0" fontId="10" fillId="0" borderId="5" xfId="0" applyFont="1" applyBorder="1" applyAlignment="1" applyProtection="1">
      <alignment horizontal="left" vertical="center" indent="1"/>
      <protection hidden="1"/>
    </xf>
    <xf numFmtId="0" fontId="11" fillId="0" borderId="25" xfId="0" applyFont="1" applyBorder="1" applyAlignment="1" applyProtection="1">
      <alignment horizontal="center" vertical="center"/>
      <protection hidden="1"/>
    </xf>
    <xf numFmtId="0" fontId="11" fillId="0" borderId="0" xfId="0" applyFont="1" applyAlignment="1" applyProtection="1">
      <alignment horizontal="center"/>
      <protection hidden="1"/>
    </xf>
    <xf numFmtId="0" fontId="11" fillId="0" borderId="10" xfId="0" applyFont="1" applyBorder="1" applyAlignment="1" applyProtection="1">
      <alignment horizontal="center"/>
      <protection hidden="1"/>
    </xf>
    <xf numFmtId="0" fontId="9" fillId="0" borderId="0" xfId="0" applyFont="1" applyAlignment="1" applyProtection="1">
      <alignment horizontal="right" vertical="center" indent="2"/>
      <protection hidden="1"/>
    </xf>
    <xf numFmtId="0" fontId="9" fillId="0" borderId="11" xfId="0" applyFont="1" applyBorder="1" applyAlignment="1" applyProtection="1">
      <alignment horizontal="left" vertical="center" indent="2"/>
      <protection hidden="1"/>
    </xf>
    <xf numFmtId="0" fontId="10" fillId="0" borderId="0" xfId="0" applyFont="1" applyAlignment="1" applyProtection="1">
      <alignment horizontal="left" vertical="center" indent="1"/>
      <protection hidden="1"/>
    </xf>
    <xf numFmtId="0" fontId="10" fillId="0" borderId="3" xfId="0" applyFont="1" applyBorder="1" applyAlignment="1" applyProtection="1">
      <alignment horizontal="left" vertical="center" indent="1"/>
      <protection hidden="1"/>
    </xf>
    <xf numFmtId="0" fontId="9" fillId="0" borderId="0" xfId="0" applyFont="1" applyAlignment="1" applyProtection="1">
      <alignment horizontal="left" vertical="center"/>
      <protection hidden="1"/>
    </xf>
    <xf numFmtId="0" fontId="9" fillId="0" borderId="0" xfId="0" applyFont="1" applyAlignment="1" applyProtection="1">
      <alignment horizontal="left" vertical="center" indent="9"/>
      <protection hidden="1"/>
    </xf>
    <xf numFmtId="0" fontId="9" fillId="0" borderId="0" xfId="0" applyFont="1" applyAlignment="1" applyProtection="1">
      <alignment horizontal="center" vertical="center"/>
      <protection hidden="1"/>
    </xf>
    <xf numFmtId="14" fontId="9" fillId="0" borderId="0" xfId="0" applyNumberFormat="1" applyFont="1" applyAlignment="1" applyProtection="1">
      <alignment horizontal="left" vertical="center"/>
      <protection hidden="1"/>
    </xf>
    <xf numFmtId="0" fontId="9" fillId="0" borderId="0" xfId="0" applyFont="1" applyAlignment="1" applyProtection="1">
      <alignment horizontal="right" vertical="center"/>
      <protection hidden="1"/>
    </xf>
    <xf numFmtId="14" fontId="9" fillId="0" borderId="0" xfId="0" applyNumberFormat="1" applyFont="1" applyAlignment="1" applyProtection="1">
      <alignment horizontal="left"/>
      <protection hidden="1"/>
    </xf>
    <xf numFmtId="0" fontId="11" fillId="0" borderId="19" xfId="0" applyFont="1" applyBorder="1" applyAlignment="1" applyProtection="1">
      <alignment horizontal="left" vertical="center" indent="1"/>
      <protection hidden="1"/>
    </xf>
    <xf numFmtId="0" fontId="9" fillId="0" borderId="15" xfId="0" applyFont="1" applyBorder="1" applyAlignment="1" applyProtection="1">
      <alignment horizontal="left" vertical="center" indent="2"/>
      <protection hidden="1"/>
    </xf>
    <xf numFmtId="0" fontId="9" fillId="0" borderId="6" xfId="0" applyFont="1" applyBorder="1" applyAlignment="1" applyProtection="1">
      <alignment horizontal="left" vertical="center" indent="2"/>
      <protection hidden="1"/>
    </xf>
    <xf numFmtId="0" fontId="10" fillId="0" borderId="19" xfId="0" applyFont="1" applyBorder="1" applyAlignment="1" applyProtection="1">
      <alignment horizontal="left" vertical="center" indent="1"/>
      <protection hidden="1"/>
    </xf>
    <xf numFmtId="0" fontId="9" fillId="0" borderId="31" xfId="0" applyFont="1" applyBorder="1" applyAlignment="1" applyProtection="1">
      <alignment horizontal="left" vertical="center" indent="2"/>
      <protection hidden="1"/>
    </xf>
    <xf numFmtId="0" fontId="9" fillId="0" borderId="32" xfId="0" applyFont="1" applyBorder="1" applyAlignment="1" applyProtection="1">
      <alignment horizontal="left" vertical="center" indent="2"/>
      <protection hidden="1"/>
    </xf>
    <xf numFmtId="0" fontId="11" fillId="0" borderId="8" xfId="0" applyFont="1" applyBorder="1" applyAlignment="1" applyProtection="1">
      <alignment horizontal="center" vertical="center"/>
      <protection hidden="1"/>
    </xf>
    <xf numFmtId="0" fontId="11" fillId="0" borderId="12" xfId="0" applyFont="1" applyBorder="1" applyAlignment="1" applyProtection="1">
      <alignment horizontal="center" vertical="center"/>
      <protection hidden="1"/>
    </xf>
    <xf numFmtId="0" fontId="11" fillId="0" borderId="9" xfId="0" applyFont="1" applyBorder="1" applyAlignment="1" applyProtection="1">
      <alignment horizontal="center" vertical="center"/>
      <protection hidden="1"/>
    </xf>
    <xf numFmtId="0" fontId="10" fillId="0" borderId="17" xfId="0" applyFont="1" applyBorder="1" applyAlignment="1" applyProtection="1">
      <alignment horizontal="left" vertical="center" indent="1"/>
      <protection hidden="1"/>
    </xf>
    <xf numFmtId="0" fontId="10" fillId="0" borderId="18" xfId="0" applyFont="1" applyBorder="1" applyAlignment="1" applyProtection="1">
      <alignment horizontal="left" vertical="center" indent="1"/>
      <protection hidden="1"/>
    </xf>
    <xf numFmtId="0" fontId="10" fillId="0" borderId="4" xfId="0" applyFont="1" applyBorder="1" applyAlignment="1" applyProtection="1">
      <alignment horizontal="left" vertical="center" indent="1"/>
      <protection hidden="1"/>
    </xf>
    <xf numFmtId="0" fontId="10" fillId="0" borderId="0" xfId="0" applyFont="1" applyAlignment="1" applyProtection="1">
      <alignment horizontal="center" vertical="center"/>
      <protection hidden="1"/>
    </xf>
    <xf numFmtId="0" fontId="10" fillId="0" borderId="0" xfId="0" applyFont="1" applyAlignment="1" applyProtection="1">
      <alignment horizontal="center"/>
      <protection hidden="1"/>
    </xf>
    <xf numFmtId="0" fontId="9" fillId="0" borderId="0" xfId="0" applyFont="1" applyAlignment="1" applyProtection="1">
      <alignment horizontal="left" vertical="center" indent="2"/>
      <protection hidden="1"/>
    </xf>
    <xf numFmtId="0" fontId="11" fillId="0" borderId="27" xfId="0" applyFont="1" applyBorder="1" applyAlignment="1" applyProtection="1">
      <alignment horizontal="center" vertical="center"/>
      <protection hidden="1"/>
    </xf>
    <xf numFmtId="0" fontId="11" fillId="0" borderId="26" xfId="0" applyFont="1" applyBorder="1" applyAlignment="1" applyProtection="1">
      <alignment horizontal="center" vertical="center"/>
      <protection hidden="1"/>
    </xf>
    <xf numFmtId="0" fontId="9" fillId="0" borderId="8" xfId="0" applyFont="1" applyBorder="1" applyAlignment="1" applyProtection="1">
      <alignment vertical="center"/>
      <protection hidden="1"/>
    </xf>
    <xf numFmtId="0" fontId="9" fillId="0" borderId="12" xfId="0" applyFont="1" applyBorder="1" applyAlignment="1" applyProtection="1">
      <alignment vertical="center"/>
      <protection hidden="1"/>
    </xf>
    <xf numFmtId="0" fontId="9" fillId="0" borderId="31" xfId="0" applyFont="1" applyBorder="1" applyAlignment="1" applyProtection="1">
      <alignment vertical="center"/>
      <protection hidden="1"/>
    </xf>
    <xf numFmtId="0" fontId="9" fillId="0" borderId="32" xfId="0" applyFont="1" applyBorder="1" applyAlignment="1" applyProtection="1">
      <alignment vertical="center"/>
      <protection hidden="1"/>
    </xf>
    <xf numFmtId="0" fontId="11" fillId="0" borderId="21" xfId="0" applyFont="1" applyBorder="1" applyAlignment="1" applyProtection="1">
      <alignment horizontal="left"/>
      <protection hidden="1"/>
    </xf>
    <xf numFmtId="0" fontId="11" fillId="0" borderId="21" xfId="0" applyFont="1" applyBorder="1" applyAlignment="1" applyProtection="1">
      <alignment horizontal="left" vertical="center"/>
      <protection hidden="1"/>
    </xf>
    <xf numFmtId="0" fontId="10" fillId="0" borderId="0" xfId="0" applyFont="1" applyAlignment="1" applyProtection="1">
      <alignment horizontal="center" wrapText="1"/>
      <protection hidden="1"/>
    </xf>
    <xf numFmtId="0" fontId="20" fillId="7" borderId="0" xfId="0" applyFont="1" applyFill="1" applyAlignment="1" applyProtection="1">
      <alignment horizontal="center"/>
      <protection hidden="1"/>
    </xf>
    <xf numFmtId="0" fontId="9" fillId="0" borderId="30" xfId="0" applyFont="1" applyBorder="1" applyAlignment="1" applyProtection="1">
      <alignment horizontal="left"/>
      <protection locked="0"/>
    </xf>
    <xf numFmtId="0" fontId="11" fillId="0" borderId="0" xfId="0" applyFont="1" applyAlignment="1" applyProtection="1">
      <alignment horizontal="left" vertical="center"/>
      <protection hidden="1"/>
    </xf>
    <xf numFmtId="0" fontId="22" fillId="8" borderId="0" xfId="0" applyFont="1" applyFill="1" applyAlignment="1" applyProtection="1">
      <alignment horizontal="left" vertical="center"/>
      <protection hidden="1"/>
    </xf>
    <xf numFmtId="0" fontId="22" fillId="8" borderId="0" xfId="0" applyFont="1" applyFill="1" applyAlignment="1" applyProtection="1">
      <alignment horizontal="justify" vertical="top" wrapText="1" readingOrder="1"/>
      <protection hidden="1"/>
    </xf>
    <xf numFmtId="0" fontId="22" fillId="8" borderId="0" xfId="0" applyFont="1" applyFill="1" applyAlignment="1" applyProtection="1">
      <alignment horizontal="justify" vertical="top" readingOrder="1"/>
      <protection hidden="1"/>
    </xf>
    <xf numFmtId="0" fontId="26" fillId="0" borderId="30" xfId="0" applyFont="1" applyBorder="1" applyAlignment="1" applyProtection="1">
      <alignment horizontal="left" vertical="center" wrapText="1"/>
      <protection locked="0"/>
    </xf>
    <xf numFmtId="0" fontId="9" fillId="0" borderId="30" xfId="0" applyFont="1" applyBorder="1" applyAlignment="1" applyProtection="1">
      <alignment horizontal="left" vertical="center"/>
      <protection locked="0"/>
    </xf>
    <xf numFmtId="0" fontId="11" fillId="0" borderId="0" xfId="0" applyFont="1" applyAlignment="1" applyProtection="1">
      <alignment horizontal="right" vertical="center"/>
      <protection hidden="1"/>
    </xf>
    <xf numFmtId="164" fontId="9" fillId="0" borderId="30" xfId="0" applyNumberFormat="1" applyFont="1" applyBorder="1" applyAlignment="1" applyProtection="1">
      <alignment horizontal="left" vertical="center"/>
      <protection locked="0"/>
    </xf>
    <xf numFmtId="0" fontId="23" fillId="0" borderId="30" xfId="0" applyFont="1" applyBorder="1" applyAlignment="1" applyProtection="1">
      <alignment horizontal="left" vertical="center"/>
      <protection locked="0"/>
    </xf>
    <xf numFmtId="0" fontId="17" fillId="6" borderId="0" xfId="0" applyFont="1" applyFill="1" applyAlignment="1" applyProtection="1">
      <alignment horizontal="left" vertical="center"/>
      <protection hidden="1"/>
    </xf>
    <xf numFmtId="0" fontId="18" fillId="0" borderId="0" xfId="0" applyFont="1" applyAlignment="1" applyProtection="1">
      <alignment horizontal="left" vertical="top" wrapText="1"/>
      <protection hidden="1"/>
    </xf>
    <xf numFmtId="0" fontId="3" fillId="5" borderId="0" xfId="0" applyFont="1" applyFill="1" applyAlignment="1" applyProtection="1">
      <alignment horizontal="center" vertical="center"/>
      <protection locked="0"/>
    </xf>
    <xf numFmtId="0" fontId="3" fillId="5" borderId="0" xfId="0" applyFont="1" applyFill="1" applyAlignment="1" applyProtection="1">
      <alignment horizontal="center"/>
      <protection locked="0"/>
    </xf>
    <xf numFmtId="0" fontId="15" fillId="7" borderId="0" xfId="0" applyFont="1" applyFill="1" applyAlignment="1" applyProtection="1">
      <alignment horizontal="center" vertical="center"/>
      <protection hidden="1"/>
    </xf>
    <xf numFmtId="0" fontId="9" fillId="0" borderId="0" xfId="0" applyFont="1" applyAlignment="1" applyProtection="1">
      <alignment horizontal="justify" vertical="top" readingOrder="1"/>
      <protection hidden="1"/>
    </xf>
    <xf numFmtId="0" fontId="3" fillId="2" borderId="0" xfId="0" applyFont="1" applyFill="1" applyAlignment="1" applyProtection="1">
      <alignment horizontal="center"/>
      <protection locked="0"/>
    </xf>
    <xf numFmtId="0" fontId="2" fillId="0" borderId="0" xfId="0" applyFont="1" applyAlignment="1" applyProtection="1">
      <alignment horizontal="center" vertical="center"/>
      <protection hidden="1"/>
    </xf>
    <xf numFmtId="0" fontId="2" fillId="0" borderId="0" xfId="0" applyFont="1" applyAlignment="1" applyProtection="1">
      <alignment horizontal="center"/>
      <protection hidden="1"/>
    </xf>
    <xf numFmtId="0" fontId="3" fillId="4" borderId="0" xfId="0" applyFont="1" applyFill="1" applyAlignment="1">
      <alignment horizontal="center" vertical="center"/>
    </xf>
    <xf numFmtId="0" fontId="3" fillId="4" borderId="0" xfId="0" applyFont="1" applyFill="1" applyAlignment="1" applyProtection="1">
      <alignment horizontal="center" vertical="center"/>
      <protection hidden="1"/>
    </xf>
    <xf numFmtId="0" fontId="3" fillId="4" borderId="10" xfId="0" applyFont="1" applyFill="1" applyBorder="1" applyAlignment="1" applyProtection="1">
      <alignment horizontal="center" vertical="center"/>
      <protection hidden="1"/>
    </xf>
    <xf numFmtId="0" fontId="3" fillId="4" borderId="24" xfId="0" applyFont="1" applyFill="1" applyBorder="1" applyAlignment="1" applyProtection="1">
      <alignment horizontal="center" vertical="center"/>
      <protection hidden="1"/>
    </xf>
    <xf numFmtId="0" fontId="2" fillId="0" borderId="0" xfId="0" applyFont="1" applyAlignment="1">
      <alignment horizontal="center" vertical="center"/>
    </xf>
    <xf numFmtId="0" fontId="30" fillId="0" borderId="0" xfId="0" applyFont="1" applyProtection="1">
      <protection hidden="1"/>
    </xf>
    <xf numFmtId="0" fontId="30" fillId="0" borderId="0" xfId="0" applyFont="1" applyAlignment="1" applyProtection="1">
      <alignment horizontal="left"/>
      <protection hidden="1"/>
    </xf>
    <xf numFmtId="0" fontId="30" fillId="0" borderId="0" xfId="0" applyFont="1" applyAlignment="1" applyProtection="1">
      <alignment horizontal="center" vertical="center"/>
      <protection hidden="1"/>
    </xf>
    <xf numFmtId="0" fontId="30" fillId="0" borderId="0" xfId="0" applyFont="1" applyAlignment="1" applyProtection="1">
      <alignment horizontal="center"/>
      <protection hidden="1"/>
    </xf>
    <xf numFmtId="0" fontId="30" fillId="0" borderId="0" xfId="0" applyFont="1" applyAlignment="1" applyProtection="1">
      <alignment horizontal="left" vertical="top" wrapText="1"/>
      <protection hidden="1"/>
    </xf>
    <xf numFmtId="0" fontId="32" fillId="0" borderId="0" xfId="0" applyFont="1" applyProtection="1">
      <protection hidden="1"/>
    </xf>
    <xf numFmtId="0" fontId="32" fillId="0" borderId="0" xfId="0" applyFont="1" applyAlignment="1" applyProtection="1">
      <alignment vertical="center"/>
      <protection hidden="1"/>
    </xf>
    <xf numFmtId="0" fontId="30" fillId="0" borderId="0" xfId="0" applyFont="1" applyAlignment="1" applyProtection="1">
      <alignment horizontal="left" wrapText="1"/>
      <protection hidden="1"/>
    </xf>
    <xf numFmtId="0" fontId="30" fillId="0" borderId="0" xfId="0" applyFont="1" applyAlignment="1" applyProtection="1">
      <alignment horizontal="left" vertical="center" wrapText="1"/>
      <protection hidden="1"/>
    </xf>
    <xf numFmtId="0" fontId="30" fillId="0" borderId="0" xfId="0" applyFont="1" applyAlignment="1" applyProtection="1">
      <alignment horizontal="left" vertical="center" wrapText="1"/>
      <protection hidden="1"/>
    </xf>
  </cellXfs>
  <cellStyles count="1">
    <cellStyle name="Normal" xfId="0" builtinId="0"/>
  </cellStyles>
  <dxfs count="0"/>
  <tableStyles count="0" defaultTableStyle="TableStyleMedium2" defaultPivotStyle="PivotStyleLight16"/>
  <colors>
    <mruColors>
      <color rgb="FF29637F"/>
      <color rgb="FF80A3B7"/>
      <color rgb="FFC7D6DF"/>
      <color rgb="FF1F2639"/>
      <color rgb="FF29334B"/>
      <color rgb="FF495B86"/>
      <color rgb="FF0D5EA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21505376344086E-3"/>
          <c:y val="6.0212679600616922E-2"/>
          <c:w val="0.95985663082437278"/>
          <c:h val="0.83378664311954886"/>
        </c:manualLayout>
      </c:layout>
      <c:barChart>
        <c:barDir val="bar"/>
        <c:grouping val="clustered"/>
        <c:varyColors val="0"/>
        <c:ser>
          <c:idx val="0"/>
          <c:order val="0"/>
          <c:spPr>
            <a:solidFill>
              <a:schemeClr val="tx1"/>
            </a:solidFill>
            <a:ln w="25400">
              <a:solidFill>
                <a:schemeClr val="tx1"/>
              </a:solidFill>
            </a:ln>
            <a:effectLst/>
          </c:spPr>
          <c:invertIfNegative val="0"/>
          <c:val>
            <c:numRef>
              <c:f>Perfil!$I$20:$I$22</c:f>
              <c:numCache>
                <c:formatCode>General</c:formatCode>
                <c:ptCount val="3"/>
                <c:pt idx="0">
                  <c:v>57</c:v>
                </c:pt>
                <c:pt idx="1">
                  <c:v>85</c:v>
                </c:pt>
                <c:pt idx="2">
                  <c:v>66</c:v>
                </c:pt>
              </c:numCache>
            </c:numRef>
          </c:val>
          <c:extLst>
            <c:ext xmlns:c16="http://schemas.microsoft.com/office/drawing/2014/chart" uri="{C3380CC4-5D6E-409C-BE32-E72D297353CC}">
              <c16:uniqueId val="{00000000-2C87-47C5-8FFC-AE72268C490F}"/>
            </c:ext>
          </c:extLst>
        </c:ser>
        <c:dLbls>
          <c:showLegendKey val="0"/>
          <c:showVal val="0"/>
          <c:showCatName val="0"/>
          <c:showSerName val="0"/>
          <c:showPercent val="0"/>
          <c:showBubbleSize val="0"/>
        </c:dLbls>
        <c:gapWidth val="182"/>
        <c:axId val="961889359"/>
        <c:axId val="961890319"/>
      </c:barChart>
      <c:catAx>
        <c:axId val="961889359"/>
        <c:scaling>
          <c:orientation val="maxMin"/>
        </c:scaling>
        <c:delete val="1"/>
        <c:axPos val="l"/>
        <c:majorTickMark val="out"/>
        <c:minorTickMark val="none"/>
        <c:tickLblPos val="nextTo"/>
        <c:crossAx val="961890319"/>
        <c:crosses val="autoZero"/>
        <c:auto val="1"/>
        <c:lblAlgn val="ctr"/>
        <c:lblOffset val="100"/>
        <c:noMultiLvlLbl val="0"/>
      </c:catAx>
      <c:valAx>
        <c:axId val="961890319"/>
        <c:scaling>
          <c:orientation val="minMax"/>
          <c:max val="100"/>
          <c:min val="0"/>
        </c:scaling>
        <c:delete val="1"/>
        <c:axPos val="t"/>
        <c:numFmt formatCode="General" sourceLinked="1"/>
        <c:majorTickMark val="out"/>
        <c:minorTickMark val="none"/>
        <c:tickLblPos val="nextTo"/>
        <c:crossAx val="961889359"/>
        <c:crosses val="autoZero"/>
        <c:crossBetween val="between"/>
        <c:majorUnit val="5"/>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21505376344086E-3"/>
          <c:y val="2.6141732283464569E-2"/>
          <c:w val="0.95985663082437278"/>
          <c:h val="0.94492893306369508"/>
        </c:manualLayout>
      </c:layout>
      <c:barChart>
        <c:barDir val="bar"/>
        <c:grouping val="clustered"/>
        <c:varyColors val="0"/>
        <c:ser>
          <c:idx val="0"/>
          <c:order val="0"/>
          <c:spPr>
            <a:solidFill>
              <a:schemeClr val="tx1"/>
            </a:solidFill>
            <a:ln w="31750">
              <a:solidFill>
                <a:schemeClr val="tx1"/>
              </a:solidFill>
            </a:ln>
            <a:effectLst/>
          </c:spPr>
          <c:invertIfNegative val="0"/>
          <c:val>
            <c:numRef>
              <c:f>Perfil!$I$27:$I$38</c:f>
              <c:numCache>
                <c:formatCode>General</c:formatCode>
                <c:ptCount val="12"/>
                <c:pt idx="0">
                  <c:v>33</c:v>
                </c:pt>
                <c:pt idx="1">
                  <c:v>21</c:v>
                </c:pt>
                <c:pt idx="2">
                  <c:v>25</c:v>
                </c:pt>
                <c:pt idx="3">
                  <c:v>78</c:v>
                </c:pt>
                <c:pt idx="4">
                  <c:v>78</c:v>
                </c:pt>
                <c:pt idx="5">
                  <c:v>75</c:v>
                </c:pt>
                <c:pt idx="6">
                  <c:v>62</c:v>
                </c:pt>
                <c:pt idx="7">
                  <c:v>0</c:v>
                </c:pt>
                <c:pt idx="8">
                  <c:v>60</c:v>
                </c:pt>
                <c:pt idx="9">
                  <c:v>71</c:v>
                </c:pt>
                <c:pt idx="10">
                  <c:v>33</c:v>
                </c:pt>
                <c:pt idx="11">
                  <c:v>57</c:v>
                </c:pt>
              </c:numCache>
            </c:numRef>
          </c:val>
          <c:extLst>
            <c:ext xmlns:c16="http://schemas.microsoft.com/office/drawing/2014/chart" uri="{C3380CC4-5D6E-409C-BE32-E72D297353CC}">
              <c16:uniqueId val="{00000000-2C87-47C5-8FFC-AE72268C490F}"/>
            </c:ext>
          </c:extLst>
        </c:ser>
        <c:dLbls>
          <c:showLegendKey val="0"/>
          <c:showVal val="0"/>
          <c:showCatName val="0"/>
          <c:showSerName val="0"/>
          <c:showPercent val="0"/>
          <c:showBubbleSize val="0"/>
        </c:dLbls>
        <c:gapWidth val="182"/>
        <c:axId val="961889359"/>
        <c:axId val="961890319"/>
      </c:barChart>
      <c:catAx>
        <c:axId val="961889359"/>
        <c:scaling>
          <c:orientation val="maxMin"/>
        </c:scaling>
        <c:delete val="1"/>
        <c:axPos val="l"/>
        <c:majorTickMark val="out"/>
        <c:minorTickMark val="none"/>
        <c:tickLblPos val="nextTo"/>
        <c:crossAx val="961890319"/>
        <c:crosses val="autoZero"/>
        <c:auto val="1"/>
        <c:lblAlgn val="ctr"/>
        <c:lblOffset val="100"/>
        <c:noMultiLvlLbl val="0"/>
      </c:catAx>
      <c:valAx>
        <c:axId val="961890319"/>
        <c:scaling>
          <c:orientation val="minMax"/>
          <c:max val="115"/>
          <c:min val="0"/>
        </c:scaling>
        <c:delete val="1"/>
        <c:axPos val="t"/>
        <c:numFmt formatCode="General" sourceLinked="1"/>
        <c:majorTickMark val="out"/>
        <c:minorTickMark val="none"/>
        <c:tickLblPos val="nextTo"/>
        <c:crossAx val="961889359"/>
        <c:crosses val="autoZero"/>
        <c:crossBetween val="between"/>
        <c:majorUnit val="25"/>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21505376344086E-3"/>
          <c:y val="6.0212679600616922E-2"/>
          <c:w val="0.95985663082437278"/>
          <c:h val="0.79411315853559539"/>
        </c:manualLayout>
      </c:layout>
      <c:barChart>
        <c:barDir val="bar"/>
        <c:grouping val="clustered"/>
        <c:varyColors val="0"/>
        <c:ser>
          <c:idx val="0"/>
          <c:order val="0"/>
          <c:spPr>
            <a:solidFill>
              <a:schemeClr val="tx1"/>
            </a:solidFill>
            <a:ln w="28575">
              <a:solidFill>
                <a:schemeClr val="tx1"/>
              </a:solidFill>
            </a:ln>
            <a:effectLst/>
          </c:spPr>
          <c:invertIfNegative val="0"/>
          <c:val>
            <c:numRef>
              <c:f>Perfil!$I$40:$I$42</c:f>
              <c:numCache>
                <c:formatCode>General</c:formatCode>
                <c:ptCount val="3"/>
                <c:pt idx="0">
                  <c:v>59</c:v>
                </c:pt>
                <c:pt idx="1">
                  <c:v>55</c:v>
                </c:pt>
                <c:pt idx="2">
                  <c:v>43</c:v>
                </c:pt>
              </c:numCache>
            </c:numRef>
          </c:val>
          <c:extLst>
            <c:ext xmlns:c16="http://schemas.microsoft.com/office/drawing/2014/chart" uri="{C3380CC4-5D6E-409C-BE32-E72D297353CC}">
              <c16:uniqueId val="{00000000-494F-47BA-9820-7B80BD4D259E}"/>
            </c:ext>
          </c:extLst>
        </c:ser>
        <c:dLbls>
          <c:showLegendKey val="0"/>
          <c:showVal val="0"/>
          <c:showCatName val="0"/>
          <c:showSerName val="0"/>
          <c:showPercent val="0"/>
          <c:showBubbleSize val="0"/>
        </c:dLbls>
        <c:gapWidth val="182"/>
        <c:axId val="961889359"/>
        <c:axId val="961890319"/>
      </c:barChart>
      <c:catAx>
        <c:axId val="961889359"/>
        <c:scaling>
          <c:orientation val="maxMin"/>
        </c:scaling>
        <c:delete val="1"/>
        <c:axPos val="l"/>
        <c:majorTickMark val="out"/>
        <c:minorTickMark val="none"/>
        <c:tickLblPos val="nextTo"/>
        <c:crossAx val="961890319"/>
        <c:crosses val="autoZero"/>
        <c:auto val="1"/>
        <c:lblAlgn val="ctr"/>
        <c:lblOffset val="100"/>
        <c:noMultiLvlLbl val="0"/>
      </c:catAx>
      <c:valAx>
        <c:axId val="961890319"/>
        <c:scaling>
          <c:orientation val="minMax"/>
          <c:max val="115"/>
          <c:min val="0"/>
        </c:scaling>
        <c:delete val="1"/>
        <c:axPos val="t"/>
        <c:numFmt formatCode="General" sourceLinked="1"/>
        <c:majorTickMark val="out"/>
        <c:minorTickMark val="none"/>
        <c:tickLblPos val="nextTo"/>
        <c:crossAx val="961889359"/>
        <c:crosses val="autoZero"/>
        <c:crossBetween val="between"/>
        <c:majorUnit val="5"/>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21505376344086E-3"/>
          <c:y val="6.0212679600616922E-2"/>
          <c:w val="0.95985663082437278"/>
          <c:h val="0.79411315853559539"/>
        </c:manualLayout>
      </c:layout>
      <c:barChart>
        <c:barDir val="bar"/>
        <c:grouping val="clustered"/>
        <c:varyColors val="0"/>
        <c:ser>
          <c:idx val="0"/>
          <c:order val="0"/>
          <c:spPr>
            <a:solidFill>
              <a:schemeClr val="tx1"/>
            </a:solidFill>
            <a:ln w="31750">
              <a:solidFill>
                <a:schemeClr val="tx1"/>
              </a:solidFill>
            </a:ln>
            <a:effectLst/>
          </c:spPr>
          <c:invertIfNegative val="0"/>
          <c:val>
            <c:numRef>
              <c:f>Perfil!$I$55:$I$57</c:f>
              <c:numCache>
                <c:formatCode>General</c:formatCode>
                <c:ptCount val="3"/>
                <c:pt idx="0">
                  <c:v>68</c:v>
                </c:pt>
                <c:pt idx="1">
                  <c:v>82</c:v>
                </c:pt>
                <c:pt idx="2">
                  <c:v>66</c:v>
                </c:pt>
              </c:numCache>
            </c:numRef>
          </c:val>
          <c:extLst>
            <c:ext xmlns:c16="http://schemas.microsoft.com/office/drawing/2014/chart" uri="{C3380CC4-5D6E-409C-BE32-E72D297353CC}">
              <c16:uniqueId val="{00000000-494F-47BA-9820-7B80BD4D259E}"/>
            </c:ext>
          </c:extLst>
        </c:ser>
        <c:dLbls>
          <c:showLegendKey val="0"/>
          <c:showVal val="0"/>
          <c:showCatName val="0"/>
          <c:showSerName val="0"/>
          <c:showPercent val="0"/>
          <c:showBubbleSize val="0"/>
        </c:dLbls>
        <c:gapWidth val="182"/>
        <c:axId val="961889359"/>
        <c:axId val="961890319"/>
      </c:barChart>
      <c:catAx>
        <c:axId val="961889359"/>
        <c:scaling>
          <c:orientation val="maxMin"/>
        </c:scaling>
        <c:delete val="1"/>
        <c:axPos val="l"/>
        <c:majorTickMark val="out"/>
        <c:minorTickMark val="none"/>
        <c:tickLblPos val="nextTo"/>
        <c:crossAx val="961890319"/>
        <c:crosses val="autoZero"/>
        <c:auto val="1"/>
        <c:lblAlgn val="ctr"/>
        <c:lblOffset val="100"/>
        <c:noMultiLvlLbl val="0"/>
      </c:catAx>
      <c:valAx>
        <c:axId val="961890319"/>
        <c:scaling>
          <c:orientation val="minMax"/>
          <c:max val="115"/>
          <c:min val="0"/>
        </c:scaling>
        <c:delete val="1"/>
        <c:axPos val="t"/>
        <c:numFmt formatCode="General" sourceLinked="1"/>
        <c:majorTickMark val="out"/>
        <c:minorTickMark val="none"/>
        <c:tickLblPos val="nextTo"/>
        <c:crossAx val="961889359"/>
        <c:crosses val="autoZero"/>
        <c:crossBetween val="between"/>
        <c:majorUnit val="5"/>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21505376344086E-3"/>
          <c:y val="1.6446111734703922E-2"/>
          <c:w val="0.95985663082437278"/>
          <c:h val="0.93074821291427912"/>
        </c:manualLayout>
      </c:layout>
      <c:barChart>
        <c:barDir val="bar"/>
        <c:grouping val="clustered"/>
        <c:varyColors val="0"/>
        <c:ser>
          <c:idx val="0"/>
          <c:order val="0"/>
          <c:spPr>
            <a:solidFill>
              <a:schemeClr val="tx1"/>
            </a:solidFill>
            <a:ln w="31750">
              <a:solidFill>
                <a:schemeClr val="tx1"/>
              </a:solidFill>
            </a:ln>
            <a:effectLst/>
          </c:spPr>
          <c:invertIfNegative val="0"/>
          <c:val>
            <c:numRef>
              <c:f>Perfil!$I$47:$I$53</c:f>
              <c:numCache>
                <c:formatCode>General</c:formatCode>
                <c:ptCount val="7"/>
                <c:pt idx="0">
                  <c:v>90</c:v>
                </c:pt>
                <c:pt idx="1">
                  <c:v>75</c:v>
                </c:pt>
                <c:pt idx="2">
                  <c:v>75</c:v>
                </c:pt>
                <c:pt idx="3">
                  <c:v>63</c:v>
                </c:pt>
                <c:pt idx="4">
                  <c:v>60</c:v>
                </c:pt>
                <c:pt idx="5">
                  <c:v>62</c:v>
                </c:pt>
                <c:pt idx="6">
                  <c:v>71</c:v>
                </c:pt>
              </c:numCache>
            </c:numRef>
          </c:val>
          <c:extLst>
            <c:ext xmlns:c16="http://schemas.microsoft.com/office/drawing/2014/chart" uri="{C3380CC4-5D6E-409C-BE32-E72D297353CC}">
              <c16:uniqueId val="{00000000-494F-47BA-9820-7B80BD4D259E}"/>
            </c:ext>
          </c:extLst>
        </c:ser>
        <c:dLbls>
          <c:showLegendKey val="0"/>
          <c:showVal val="0"/>
          <c:showCatName val="0"/>
          <c:showSerName val="0"/>
          <c:showPercent val="0"/>
          <c:showBubbleSize val="0"/>
        </c:dLbls>
        <c:gapWidth val="182"/>
        <c:axId val="961889359"/>
        <c:axId val="961890319"/>
      </c:barChart>
      <c:catAx>
        <c:axId val="961889359"/>
        <c:scaling>
          <c:orientation val="maxMin"/>
        </c:scaling>
        <c:delete val="1"/>
        <c:axPos val="l"/>
        <c:majorTickMark val="out"/>
        <c:minorTickMark val="none"/>
        <c:tickLblPos val="nextTo"/>
        <c:crossAx val="961890319"/>
        <c:crosses val="autoZero"/>
        <c:auto val="1"/>
        <c:lblAlgn val="ctr"/>
        <c:lblOffset val="100"/>
        <c:noMultiLvlLbl val="0"/>
      </c:catAx>
      <c:valAx>
        <c:axId val="961890319"/>
        <c:scaling>
          <c:orientation val="minMax"/>
          <c:max val="115"/>
          <c:min val="0"/>
        </c:scaling>
        <c:delete val="1"/>
        <c:axPos val="t"/>
        <c:numFmt formatCode="General" sourceLinked="1"/>
        <c:majorTickMark val="out"/>
        <c:minorTickMark val="none"/>
        <c:tickLblPos val="nextTo"/>
        <c:crossAx val="961889359"/>
        <c:crosses val="autoZero"/>
        <c:crossBetween val="between"/>
        <c:majorUnit val="5"/>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21505376344086E-3"/>
          <c:y val="6.0212679600616922E-2"/>
          <c:w val="0.95985663082437278"/>
          <c:h val="0.79411315853559539"/>
        </c:manualLayout>
      </c:layout>
      <c:barChart>
        <c:barDir val="bar"/>
        <c:grouping val="clustered"/>
        <c:varyColors val="0"/>
        <c:ser>
          <c:idx val="0"/>
          <c:order val="0"/>
          <c:spPr>
            <a:solidFill>
              <a:schemeClr val="tx1"/>
            </a:solidFill>
            <a:ln w="31750">
              <a:solidFill>
                <a:schemeClr val="tx1"/>
              </a:solidFill>
            </a:ln>
            <a:effectLst/>
          </c:spPr>
          <c:invertIfNegative val="0"/>
          <c:val>
            <c:numRef>
              <c:f>Perfil!$I$72:$I$74</c:f>
              <c:numCache>
                <c:formatCode>General</c:formatCode>
                <c:ptCount val="3"/>
                <c:pt idx="0">
                  <c:v>0</c:v>
                </c:pt>
                <c:pt idx="1">
                  <c:v>93</c:v>
                </c:pt>
                <c:pt idx="2">
                  <c:v>75</c:v>
                </c:pt>
              </c:numCache>
            </c:numRef>
          </c:val>
          <c:extLst>
            <c:ext xmlns:c16="http://schemas.microsoft.com/office/drawing/2014/chart" uri="{C3380CC4-5D6E-409C-BE32-E72D297353CC}">
              <c16:uniqueId val="{00000000-2C87-47C5-8FFC-AE72268C490F}"/>
            </c:ext>
          </c:extLst>
        </c:ser>
        <c:dLbls>
          <c:showLegendKey val="0"/>
          <c:showVal val="0"/>
          <c:showCatName val="0"/>
          <c:showSerName val="0"/>
          <c:showPercent val="0"/>
          <c:showBubbleSize val="0"/>
        </c:dLbls>
        <c:gapWidth val="182"/>
        <c:axId val="961889359"/>
        <c:axId val="961890319"/>
      </c:barChart>
      <c:catAx>
        <c:axId val="961889359"/>
        <c:scaling>
          <c:orientation val="maxMin"/>
        </c:scaling>
        <c:delete val="1"/>
        <c:axPos val="l"/>
        <c:majorTickMark val="out"/>
        <c:minorTickMark val="none"/>
        <c:tickLblPos val="nextTo"/>
        <c:crossAx val="961890319"/>
        <c:crosses val="autoZero"/>
        <c:auto val="1"/>
        <c:lblAlgn val="ctr"/>
        <c:lblOffset val="100"/>
        <c:noMultiLvlLbl val="0"/>
      </c:catAx>
      <c:valAx>
        <c:axId val="961890319"/>
        <c:scaling>
          <c:orientation val="minMax"/>
          <c:max val="100"/>
          <c:min val="0"/>
        </c:scaling>
        <c:delete val="1"/>
        <c:axPos val="t"/>
        <c:numFmt formatCode="General" sourceLinked="1"/>
        <c:majorTickMark val="out"/>
        <c:minorTickMark val="none"/>
        <c:tickLblPos val="nextTo"/>
        <c:crossAx val="961889359"/>
        <c:crosses val="autoZero"/>
        <c:crossBetween val="between"/>
        <c:majorUnit val="5"/>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21505376344086E-3"/>
          <c:y val="6.0212679600616922E-2"/>
          <c:w val="0.95985663082437278"/>
          <c:h val="0.79411315853559539"/>
        </c:manualLayout>
      </c:layout>
      <c:barChart>
        <c:barDir val="bar"/>
        <c:grouping val="clustered"/>
        <c:varyColors val="0"/>
        <c:ser>
          <c:idx val="0"/>
          <c:order val="0"/>
          <c:spPr>
            <a:solidFill>
              <a:schemeClr val="tx1"/>
            </a:solidFill>
            <a:ln w="28575">
              <a:solidFill>
                <a:schemeClr val="tx1"/>
              </a:solidFill>
            </a:ln>
            <a:effectLst/>
          </c:spPr>
          <c:invertIfNegative val="0"/>
          <c:val>
            <c:numRef>
              <c:f>Perfil!$I$76:$I$78</c:f>
              <c:numCache>
                <c:formatCode>General</c:formatCode>
                <c:ptCount val="3"/>
                <c:pt idx="0">
                  <c:v>36</c:v>
                </c:pt>
                <c:pt idx="1">
                  <c:v>40</c:v>
                </c:pt>
                <c:pt idx="2">
                  <c:v>60</c:v>
                </c:pt>
              </c:numCache>
            </c:numRef>
          </c:val>
          <c:extLst>
            <c:ext xmlns:c16="http://schemas.microsoft.com/office/drawing/2014/chart" uri="{C3380CC4-5D6E-409C-BE32-E72D297353CC}">
              <c16:uniqueId val="{00000000-2C87-47C5-8FFC-AE72268C490F}"/>
            </c:ext>
          </c:extLst>
        </c:ser>
        <c:dLbls>
          <c:showLegendKey val="0"/>
          <c:showVal val="0"/>
          <c:showCatName val="0"/>
          <c:showSerName val="0"/>
          <c:showPercent val="0"/>
          <c:showBubbleSize val="0"/>
        </c:dLbls>
        <c:gapWidth val="182"/>
        <c:axId val="961889359"/>
        <c:axId val="961890319"/>
      </c:barChart>
      <c:catAx>
        <c:axId val="961889359"/>
        <c:scaling>
          <c:orientation val="maxMin"/>
        </c:scaling>
        <c:delete val="1"/>
        <c:axPos val="l"/>
        <c:majorTickMark val="out"/>
        <c:minorTickMark val="none"/>
        <c:tickLblPos val="nextTo"/>
        <c:crossAx val="961890319"/>
        <c:crosses val="autoZero"/>
        <c:auto val="1"/>
        <c:lblAlgn val="ctr"/>
        <c:lblOffset val="100"/>
        <c:noMultiLvlLbl val="0"/>
      </c:catAx>
      <c:valAx>
        <c:axId val="961890319"/>
        <c:scaling>
          <c:orientation val="minMax"/>
          <c:max val="100"/>
          <c:min val="0"/>
        </c:scaling>
        <c:delete val="1"/>
        <c:axPos val="t"/>
        <c:numFmt formatCode="General" sourceLinked="1"/>
        <c:majorTickMark val="out"/>
        <c:minorTickMark val="none"/>
        <c:tickLblPos val="nextTo"/>
        <c:crossAx val="961889359"/>
        <c:crosses val="autoZero"/>
        <c:crossBetween val="between"/>
        <c:majorUnit val="5"/>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21505376344086E-3"/>
          <c:y val="6.0212679600616922E-2"/>
          <c:w val="0.95985663082437278"/>
          <c:h val="0.79411315853559539"/>
        </c:manualLayout>
      </c:layout>
      <c:barChart>
        <c:barDir val="bar"/>
        <c:grouping val="clustered"/>
        <c:varyColors val="0"/>
        <c:ser>
          <c:idx val="0"/>
          <c:order val="0"/>
          <c:spPr>
            <a:solidFill>
              <a:schemeClr val="tx1"/>
            </a:solidFill>
            <a:ln w="31750">
              <a:solidFill>
                <a:schemeClr val="tx1"/>
              </a:solidFill>
            </a:ln>
            <a:effectLst/>
          </c:spPr>
          <c:invertIfNegative val="0"/>
          <c:val>
            <c:numRef>
              <c:f>Perfil!$I$80:$I$82</c:f>
              <c:numCache>
                <c:formatCode>General</c:formatCode>
                <c:ptCount val="3"/>
                <c:pt idx="0">
                  <c:v>85</c:v>
                </c:pt>
                <c:pt idx="1">
                  <c:v>85</c:v>
                </c:pt>
                <c:pt idx="2">
                  <c:v>60</c:v>
                </c:pt>
              </c:numCache>
            </c:numRef>
          </c:val>
          <c:extLst>
            <c:ext xmlns:c16="http://schemas.microsoft.com/office/drawing/2014/chart" uri="{C3380CC4-5D6E-409C-BE32-E72D297353CC}">
              <c16:uniqueId val="{00000000-2C87-47C5-8FFC-AE72268C490F}"/>
            </c:ext>
          </c:extLst>
        </c:ser>
        <c:dLbls>
          <c:showLegendKey val="0"/>
          <c:showVal val="0"/>
          <c:showCatName val="0"/>
          <c:showSerName val="0"/>
          <c:showPercent val="0"/>
          <c:showBubbleSize val="0"/>
        </c:dLbls>
        <c:gapWidth val="182"/>
        <c:axId val="961889359"/>
        <c:axId val="961890319"/>
      </c:barChart>
      <c:catAx>
        <c:axId val="961889359"/>
        <c:scaling>
          <c:orientation val="maxMin"/>
        </c:scaling>
        <c:delete val="1"/>
        <c:axPos val="l"/>
        <c:majorTickMark val="out"/>
        <c:minorTickMark val="none"/>
        <c:tickLblPos val="nextTo"/>
        <c:crossAx val="961890319"/>
        <c:crosses val="autoZero"/>
        <c:auto val="1"/>
        <c:lblAlgn val="ctr"/>
        <c:lblOffset val="100"/>
        <c:noMultiLvlLbl val="0"/>
      </c:catAx>
      <c:valAx>
        <c:axId val="961890319"/>
        <c:scaling>
          <c:orientation val="minMax"/>
          <c:max val="100"/>
          <c:min val="0"/>
        </c:scaling>
        <c:delete val="1"/>
        <c:axPos val="t"/>
        <c:numFmt formatCode="General" sourceLinked="1"/>
        <c:majorTickMark val="out"/>
        <c:minorTickMark val="none"/>
        <c:tickLblPos val="nextTo"/>
        <c:crossAx val="961889359"/>
        <c:crosses val="autoZero"/>
        <c:crossBetween val="between"/>
        <c:majorUnit val="5"/>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T$10" lockText="1"/>
</file>

<file path=xl/ctrlProps/ctrlProp2.xml><?xml version="1.0" encoding="utf-8"?>
<formControlPr xmlns="http://schemas.microsoft.com/office/spreadsheetml/2009/9/main" objectType="CheckBox" fmlaLink="$T$11" lockText="1"/>
</file>

<file path=xl/ctrlProps/ctrlProp3.xml><?xml version="1.0" encoding="utf-8"?>
<formControlPr xmlns="http://schemas.microsoft.com/office/spreadsheetml/2009/9/main" objectType="CheckBox" fmlaLink="$T$1" lockText="1"/>
</file>

<file path=xl/ctrlProps/ctrlProp4.xml><?xml version="1.0" encoding="utf-8"?>
<formControlPr xmlns="http://schemas.microsoft.com/office/spreadsheetml/2009/9/main" objectType="CheckBox" fmlaLink="$T$2" lockText="1"/>
</file>

<file path=xl/ctrlProps/ctrlProp5.xml><?xml version="1.0" encoding="utf-8"?>
<formControlPr xmlns="http://schemas.microsoft.com/office/spreadsheetml/2009/9/main" objectType="CheckBox" fmlaLink="$T$3" lockText="1"/>
</file>

<file path=xl/ctrlProps/ctrlProp6.xml><?xml version="1.0" encoding="utf-8"?>
<formControlPr xmlns="http://schemas.microsoft.com/office/spreadsheetml/2009/9/main" objectType="CheckBox" checked="Checked" fmlaLink="$T$4" lockText="1"/>
</file>

<file path=xl/ctrlProps/ctrlProp7.xml><?xml version="1.0" encoding="utf-8"?>
<formControlPr xmlns="http://schemas.microsoft.com/office/spreadsheetml/2009/9/main" objectType="CheckBox" fmlaLink="$T$5" lockText="1"/>
</file>

<file path=xl/ctrlProps/ctrlProp8.xml><?xml version="1.0" encoding="utf-8"?>
<formControlPr xmlns="http://schemas.microsoft.com/office/spreadsheetml/2009/9/main" objectType="CheckBox" fmlaLink="$V$1" lockText="1"/>
</file>

<file path=xl/ctrlProps/ctrlProp9.xml><?xml version="1.0" encoding="utf-8"?>
<formControlPr xmlns="http://schemas.microsoft.com/office/spreadsheetml/2009/9/main" objectType="CheckBox" fmlaLink="$V$2" lockText="1"/>
</file>

<file path=xl/ctrlProps/ctrlProp10.xml><?xml version="1.0" encoding="utf-8"?>
<formControlPr xmlns="http://schemas.microsoft.com/office/spreadsheetml/2009/9/main" objectType="CheckBox" fmlaLink="$V$3" lockText="1"/>
</file>

<file path=xl/ctrlProps/ctrlProp11.xml><?xml version="1.0" encoding="utf-8"?>
<formControlPr xmlns="http://schemas.microsoft.com/office/spreadsheetml/2009/9/main" objectType="CheckBox" fmlaLink="$V$4" lockText="1"/>
</file>

<file path=xl/ctrlProps/ctrlProp12.xml><?xml version="1.0" encoding="utf-8"?>
<formControlPr xmlns="http://schemas.microsoft.com/office/spreadsheetml/2009/9/main" objectType="CheckBox" fmlaLink="$V$5" lockText="1"/>
</file>

<file path=xl/ctrlProps/ctrlProp13.xml><?xml version="1.0" encoding="utf-8"?>
<formControlPr xmlns="http://schemas.microsoft.com/office/spreadsheetml/2009/9/main" objectType="CheckBox" fmlaLink="$V$6" lockText="1"/>
</file>

<file path=xl/ctrlProps/ctrlProp14.xml><?xml version="1.0" encoding="utf-8"?>
<formControlPr xmlns="http://schemas.microsoft.com/office/spreadsheetml/2009/9/main" objectType="CheckBox" fmlaLink="$V$7" lockText="1"/>
</file>

<file path=xl/ctrlProps/ctrlProp15.xml><?xml version="1.0" encoding="utf-8"?>
<formControlPr xmlns="http://schemas.microsoft.com/office/spreadsheetml/2009/9/main" objectType="CheckBox" fmlaLink="$V$8" lockText="1"/>
</file>

<file path=xl/ctrlProps/ctrlProp16.xml><?xml version="1.0" encoding="utf-8"?>
<formControlPr xmlns="http://schemas.microsoft.com/office/spreadsheetml/2009/9/main" objectType="CheckBox" fmlaLink="$Z$1" lockText="1"/>
</file>

<file path=xl/ctrlProps/ctrlProp17.xml><?xml version="1.0" encoding="utf-8"?>
<formControlPr xmlns="http://schemas.microsoft.com/office/spreadsheetml/2009/9/main" objectType="CheckBox" fmlaLink="$Z$2" lockText="1"/>
</file>

<file path=xl/ctrlProps/ctrlProp18.xml><?xml version="1.0" encoding="utf-8"?>
<formControlPr xmlns="http://schemas.microsoft.com/office/spreadsheetml/2009/9/main" objectType="CheckBox" fmlaLink="$Z$3" lockText="1"/>
</file>

<file path=xl/ctrlProps/ctrlProp19.xml><?xml version="1.0" encoding="utf-8"?>
<formControlPr xmlns="http://schemas.microsoft.com/office/spreadsheetml/2009/9/main" objectType="CheckBox" fmlaLink="$Z$4" lockText="1"/>
</file>

<file path=xl/ctrlProps/ctrlProp20.xml><?xml version="1.0" encoding="utf-8"?>
<formControlPr xmlns="http://schemas.microsoft.com/office/spreadsheetml/2009/9/main" objectType="CheckBox" fmlaLink="$Z$5" lockText="1"/>
</file>

<file path=xl/ctrlProps/ctrlProp21.xml><?xml version="1.0" encoding="utf-8"?>
<formControlPr xmlns="http://schemas.microsoft.com/office/spreadsheetml/2009/9/main" objectType="CheckBox" fmlaLink="$Z$6" lockText="1"/>
</file>

<file path=xl/ctrlProps/ctrlProp22.xml><?xml version="1.0" encoding="utf-8"?>
<formControlPr xmlns="http://schemas.microsoft.com/office/spreadsheetml/2009/9/main" objectType="CheckBox" checked="Checked" fmlaLink="$Z$7" lockText="1"/>
</file>

<file path=xl/ctrlProps/ctrlProp23.xml><?xml version="1.0" encoding="utf-8"?>
<formControlPr xmlns="http://schemas.microsoft.com/office/spreadsheetml/2009/9/main" objectType="CheckBox" fmlaLink="$AB$1" lockText="1"/>
</file>

<file path=xl/ctrlProps/ctrlProp24.xml><?xml version="1.0" encoding="utf-8"?>
<formControlPr xmlns="http://schemas.microsoft.com/office/spreadsheetml/2009/9/main" objectType="CheckBox" checked="Checked" fmlaLink="$AB$2" lockText="1"/>
</file>

<file path=xl/ctrlProps/ctrlProp25.xml><?xml version="1.0" encoding="utf-8"?>
<formControlPr xmlns="http://schemas.microsoft.com/office/spreadsheetml/2009/9/main" objectType="CheckBox" fmlaLink="$AB$3" lockText="1"/>
</file>

<file path=xl/ctrlProps/ctrlProp26.xml><?xml version="1.0" encoding="utf-8"?>
<formControlPr xmlns="http://schemas.microsoft.com/office/spreadsheetml/2009/9/main" objectType="CheckBox" fmlaLink="$AB$4" lockText="1"/>
</file>

<file path=xl/ctrlProps/ctrlProp27.xml><?xml version="1.0" encoding="utf-8"?>
<formControlPr xmlns="http://schemas.microsoft.com/office/spreadsheetml/2009/9/main" objectType="CheckBox" fmlaLink="$AB$5" lockText="1"/>
</file>

<file path=xl/ctrlProps/ctrlProp28.xml><?xml version="1.0" encoding="utf-8"?>
<formControlPr xmlns="http://schemas.microsoft.com/office/spreadsheetml/2009/9/main" objectType="CheckBox" fmlaLink="$AB$6" lockText="1"/>
</file>

<file path=xl/ctrlProps/ctrlProp29.xml><?xml version="1.0" encoding="utf-8"?>
<formControlPr xmlns="http://schemas.microsoft.com/office/spreadsheetml/2009/9/main" objectType="CheckBox" fmlaLink="$AB$7" lockText="1"/>
</file>

<file path=xl/ctrlProps/ctrlProp30.xml><?xml version="1.0" encoding="utf-8"?>
<formControlPr xmlns="http://schemas.microsoft.com/office/spreadsheetml/2009/9/main" objectType="CheckBox" fmlaLink="$AB$8" lockText="1"/>
</file>

<file path=xl/ctrlProps/ctrlProp31.xml><?xml version="1.0" encoding="utf-8"?>
<formControlPr xmlns="http://schemas.microsoft.com/office/spreadsheetml/2009/9/main" objectType="CheckBox" checked="Checked" fmlaLink="$AB$9" lockText="1"/>
</file>

<file path=xl/ctrlProps/ctrlProp32.xml><?xml version="1.0" encoding="utf-8"?>
<formControlPr xmlns="http://schemas.microsoft.com/office/spreadsheetml/2009/9/main" objectType="CheckBox" fmlaLink="$AB$10" lockText="1"/>
</file>

<file path=xl/ctrlProps/ctrlProp33.xml><?xml version="1.0" encoding="utf-8"?>
<formControlPr xmlns="http://schemas.microsoft.com/office/spreadsheetml/2009/9/main" objectType="Drop" dropStyle="combo" dx="22" fmlaLink="$A$2" fmlaRange="$O$5:$O$6" sel="1" val="0"/>
</file>

<file path=xl/ctrlProps/ctrlProp3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9525</xdr:colOff>
          <xdr:row>11</xdr:row>
          <xdr:rowOff>0</xdr:rowOff>
        </xdr:from>
        <xdr:to>
          <xdr:col>16</xdr:col>
          <xdr:colOff>352425</xdr:colOff>
          <xdr:row>12</xdr:row>
          <xdr:rowOff>0</xdr:rowOff>
        </xdr:to>
        <xdr:sp macro="" textlink="">
          <xdr:nvSpPr>
            <xdr:cNvPr id="8193" name="Check Box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 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542925</xdr:colOff>
          <xdr:row>11</xdr:row>
          <xdr:rowOff>9525</xdr:rowOff>
        </xdr:from>
        <xdr:to>
          <xdr:col>16</xdr:col>
          <xdr:colOff>885825</xdr:colOff>
          <xdr:row>12</xdr:row>
          <xdr:rowOff>9525</xdr:rowOff>
        </xdr:to>
        <xdr:sp macro="" textlink="">
          <xdr:nvSpPr>
            <xdr:cNvPr id="8194" name="Check Box 2" hidden="1">
              <a:extLst>
                <a:ext uri="{63B3BB69-23CF-44E3-9099-C40C66FF867C}">
                  <a14:compatExt spid="_x0000_s8194"/>
                </a:ext>
                <a:ext uri="{FF2B5EF4-FFF2-40B4-BE49-F238E27FC236}">
                  <a16:creationId xmlns:a16="http://schemas.microsoft.com/office/drawing/2014/main" id="{00000000-0008-0000-0100-00000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15</xdr:row>
          <xdr:rowOff>0</xdr:rowOff>
        </xdr:from>
        <xdr:to>
          <xdr:col>3</xdr:col>
          <xdr:colOff>742950</xdr:colOff>
          <xdr:row>16</xdr:row>
          <xdr:rowOff>0</xdr:rowOff>
        </xdr:to>
        <xdr:sp macro="" textlink="">
          <xdr:nvSpPr>
            <xdr:cNvPr id="8199" name="Check Box 7" hidden="1">
              <a:extLst>
                <a:ext uri="{63B3BB69-23CF-44E3-9099-C40C66FF867C}">
                  <a14:compatExt spid="_x0000_s8199"/>
                </a:ext>
                <a:ext uri="{FF2B5EF4-FFF2-40B4-BE49-F238E27FC236}">
                  <a16:creationId xmlns:a16="http://schemas.microsoft.com/office/drawing/2014/main" id="{00000000-0008-0000-0100-00000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Sin estudios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16</xdr:row>
          <xdr:rowOff>171450</xdr:rowOff>
        </xdr:from>
        <xdr:to>
          <xdr:col>3</xdr:col>
          <xdr:colOff>723900</xdr:colOff>
          <xdr:row>17</xdr:row>
          <xdr:rowOff>209550</xdr:rowOff>
        </xdr:to>
        <xdr:sp macro="" textlink="">
          <xdr:nvSpPr>
            <xdr:cNvPr id="8200" name="Check Box 8" hidden="1">
              <a:extLst>
                <a:ext uri="{63B3BB69-23CF-44E3-9099-C40C66FF867C}">
                  <a14:compatExt spid="_x0000_s8200"/>
                </a:ext>
                <a:ext uri="{FF2B5EF4-FFF2-40B4-BE49-F238E27FC236}">
                  <a16:creationId xmlns:a16="http://schemas.microsoft.com/office/drawing/2014/main" id="{00000000-0008-0000-0100-00000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Educación primaria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18</xdr:row>
          <xdr:rowOff>66675</xdr:rowOff>
        </xdr:from>
        <xdr:to>
          <xdr:col>3</xdr:col>
          <xdr:colOff>723900</xdr:colOff>
          <xdr:row>19</xdr:row>
          <xdr:rowOff>209550</xdr:rowOff>
        </xdr:to>
        <xdr:sp macro="" textlink="">
          <xdr:nvSpPr>
            <xdr:cNvPr id="8201" name="Check Box 9" hidden="1">
              <a:extLst>
                <a:ext uri="{63B3BB69-23CF-44E3-9099-C40C66FF867C}">
                  <a14:compatExt spid="_x0000_s8201"/>
                </a:ext>
                <a:ext uri="{FF2B5EF4-FFF2-40B4-BE49-F238E27FC236}">
                  <a16:creationId xmlns:a16="http://schemas.microsoft.com/office/drawing/2014/main" id="{00000000-0008-0000-0100-00000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Educación secundaria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14</xdr:row>
          <xdr:rowOff>171450</xdr:rowOff>
        </xdr:from>
        <xdr:to>
          <xdr:col>16</xdr:col>
          <xdr:colOff>466725</xdr:colOff>
          <xdr:row>16</xdr:row>
          <xdr:rowOff>0</xdr:rowOff>
        </xdr:to>
        <xdr:sp macro="" textlink="">
          <xdr:nvSpPr>
            <xdr:cNvPr id="8202" name="Check Box 10" hidden="1">
              <a:extLst>
                <a:ext uri="{63B3BB69-23CF-44E3-9099-C40C66FF867C}">
                  <a14:compatExt spid="_x0000_s8202"/>
                </a:ext>
                <a:ext uri="{FF2B5EF4-FFF2-40B4-BE49-F238E27FC236}">
                  <a16:creationId xmlns:a16="http://schemas.microsoft.com/office/drawing/2014/main" id="{00000000-0008-0000-0100-00000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Bachillerato superior o formación profesional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16</xdr:row>
          <xdr:rowOff>161925</xdr:rowOff>
        </xdr:from>
        <xdr:to>
          <xdr:col>16</xdr:col>
          <xdr:colOff>466725</xdr:colOff>
          <xdr:row>17</xdr:row>
          <xdr:rowOff>209550</xdr:rowOff>
        </xdr:to>
        <xdr:sp macro="" textlink="">
          <xdr:nvSpPr>
            <xdr:cNvPr id="8203" name="Check Box 11" hidden="1">
              <a:extLst>
                <a:ext uri="{63B3BB69-23CF-44E3-9099-C40C66FF867C}">
                  <a14:compatExt spid="_x0000_s8203"/>
                </a:ext>
                <a:ext uri="{FF2B5EF4-FFF2-40B4-BE49-F238E27FC236}">
                  <a16:creationId xmlns:a16="http://schemas.microsoft.com/office/drawing/2014/main" id="{00000000-0008-0000-0100-00000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Diplomatura,licenciatura o titulaciones superiores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22</xdr:row>
          <xdr:rowOff>171450</xdr:rowOff>
        </xdr:from>
        <xdr:to>
          <xdr:col>3</xdr:col>
          <xdr:colOff>695325</xdr:colOff>
          <xdr:row>23</xdr:row>
          <xdr:rowOff>209550</xdr:rowOff>
        </xdr:to>
        <xdr:sp macro="" textlink="">
          <xdr:nvSpPr>
            <xdr:cNvPr id="8204" name="Check Box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Soltero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25</xdr:row>
          <xdr:rowOff>0</xdr:rowOff>
        </xdr:from>
        <xdr:to>
          <xdr:col>3</xdr:col>
          <xdr:colOff>695325</xdr:colOff>
          <xdr:row>25</xdr:row>
          <xdr:rowOff>209550</xdr:rowOff>
        </xdr:to>
        <xdr:sp macro="" textlink="">
          <xdr:nvSpPr>
            <xdr:cNvPr id="8205" name="Check Box 13" hidden="1">
              <a:extLst>
                <a:ext uri="{63B3BB69-23CF-44E3-9099-C40C66FF867C}">
                  <a14:compatExt spid="_x0000_s8205"/>
                </a:ext>
                <a:ext uri="{FF2B5EF4-FFF2-40B4-BE49-F238E27FC236}">
                  <a16:creationId xmlns:a16="http://schemas.microsoft.com/office/drawing/2014/main" id="{00000000-0008-0000-0100-00000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Separado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27</xdr:row>
          <xdr:rowOff>0</xdr:rowOff>
        </xdr:from>
        <xdr:to>
          <xdr:col>4</xdr:col>
          <xdr:colOff>238125</xdr:colOff>
          <xdr:row>28</xdr:row>
          <xdr:rowOff>0</xdr:rowOff>
        </xdr:to>
        <xdr:sp macro="" textlink="">
          <xdr:nvSpPr>
            <xdr:cNvPr id="8206" name="Check Box 14" hidden="1">
              <a:extLst>
                <a:ext uri="{63B3BB69-23CF-44E3-9099-C40C66FF867C}">
                  <a14:compatExt spid="_x0000_s8206"/>
                </a:ext>
                <a:ext uri="{FF2B5EF4-FFF2-40B4-BE49-F238E27FC236}">
                  <a16:creationId xmlns:a16="http://schemas.microsoft.com/office/drawing/2014/main" id="{00000000-0008-0000-0100-00000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Viviendo en pareja (Sin estar casado)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247650</xdr:colOff>
          <xdr:row>22</xdr:row>
          <xdr:rowOff>171450</xdr:rowOff>
        </xdr:from>
        <xdr:to>
          <xdr:col>12</xdr:col>
          <xdr:colOff>333375</xdr:colOff>
          <xdr:row>23</xdr:row>
          <xdr:rowOff>209550</xdr:rowOff>
        </xdr:to>
        <xdr:sp macro="" textlink="">
          <xdr:nvSpPr>
            <xdr:cNvPr id="8207" name="Check Box 15" hidden="1">
              <a:extLst>
                <a:ext uri="{63B3BB69-23CF-44E3-9099-C40C66FF867C}">
                  <a14:compatExt spid="_x0000_s8207"/>
                </a:ext>
                <a:ext uri="{FF2B5EF4-FFF2-40B4-BE49-F238E27FC236}">
                  <a16:creationId xmlns:a16="http://schemas.microsoft.com/office/drawing/2014/main" id="{00000000-0008-0000-0100-00000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Casado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238125</xdr:colOff>
          <xdr:row>25</xdr:row>
          <xdr:rowOff>9525</xdr:rowOff>
        </xdr:from>
        <xdr:to>
          <xdr:col>12</xdr:col>
          <xdr:colOff>323850</xdr:colOff>
          <xdr:row>26</xdr:row>
          <xdr:rowOff>9525</xdr:rowOff>
        </xdr:to>
        <xdr:sp macro="" textlink="">
          <xdr:nvSpPr>
            <xdr:cNvPr id="8208" name="Check Box 16" hidden="1">
              <a:extLst>
                <a:ext uri="{63B3BB69-23CF-44E3-9099-C40C66FF867C}">
                  <a14:compatExt spid="_x0000_s8208"/>
                </a:ext>
                <a:ext uri="{FF2B5EF4-FFF2-40B4-BE49-F238E27FC236}">
                  <a16:creationId xmlns:a16="http://schemas.microsoft.com/office/drawing/2014/main" id="{00000000-0008-0000-0100-00001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Divorciado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304800</xdr:colOff>
          <xdr:row>22</xdr:row>
          <xdr:rowOff>171450</xdr:rowOff>
        </xdr:from>
        <xdr:to>
          <xdr:col>16</xdr:col>
          <xdr:colOff>542925</xdr:colOff>
          <xdr:row>23</xdr:row>
          <xdr:rowOff>209550</xdr:rowOff>
        </xdr:to>
        <xdr:sp macro="" textlink="">
          <xdr:nvSpPr>
            <xdr:cNvPr id="8209" name="Check Box 17" hidden="1">
              <a:extLst>
                <a:ext uri="{63B3BB69-23CF-44E3-9099-C40C66FF867C}">
                  <a14:compatExt spid="_x0000_s8209"/>
                </a:ext>
                <a:ext uri="{FF2B5EF4-FFF2-40B4-BE49-F238E27FC236}">
                  <a16:creationId xmlns:a16="http://schemas.microsoft.com/office/drawing/2014/main" id="{00000000-0008-0000-0100-00001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Casado más de una vez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304800</xdr:colOff>
          <xdr:row>24</xdr:row>
          <xdr:rowOff>190500</xdr:rowOff>
        </xdr:from>
        <xdr:to>
          <xdr:col>16</xdr:col>
          <xdr:colOff>542925</xdr:colOff>
          <xdr:row>25</xdr:row>
          <xdr:rowOff>209550</xdr:rowOff>
        </xdr:to>
        <xdr:sp macro="" textlink="">
          <xdr:nvSpPr>
            <xdr:cNvPr id="8210" name="Check Box 18" hidden="1">
              <a:extLst>
                <a:ext uri="{63B3BB69-23CF-44E3-9099-C40C66FF867C}">
                  <a14:compatExt spid="_x0000_s8210"/>
                </a:ext>
                <a:ext uri="{FF2B5EF4-FFF2-40B4-BE49-F238E27FC236}">
                  <a16:creationId xmlns:a16="http://schemas.microsoft.com/office/drawing/2014/main" id="{00000000-0008-0000-0100-00001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Viudo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238125</xdr:colOff>
          <xdr:row>26</xdr:row>
          <xdr:rowOff>66675</xdr:rowOff>
        </xdr:from>
        <xdr:to>
          <xdr:col>12</xdr:col>
          <xdr:colOff>57150</xdr:colOff>
          <xdr:row>28</xdr:row>
          <xdr:rowOff>0</xdr:rowOff>
        </xdr:to>
        <xdr:sp macro="" textlink="">
          <xdr:nvSpPr>
            <xdr:cNvPr id="8211" name="Check Box 19" hidden="1">
              <a:extLst>
                <a:ext uri="{63B3BB69-23CF-44E3-9099-C40C66FF867C}">
                  <a14:compatExt spid="_x0000_s8211"/>
                </a:ext>
                <a:ext uri="{FF2B5EF4-FFF2-40B4-BE49-F238E27FC236}">
                  <a16:creationId xmlns:a16="http://schemas.microsoft.com/office/drawing/2014/main" id="{00000000-0008-0000-0100-00001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Otros (Especificar)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46</xdr:row>
          <xdr:rowOff>180975</xdr:rowOff>
        </xdr:from>
        <xdr:to>
          <xdr:col>8</xdr:col>
          <xdr:colOff>28575</xdr:colOff>
          <xdr:row>47</xdr:row>
          <xdr:rowOff>171450</xdr:rowOff>
        </xdr:to>
        <xdr:sp macro="" textlink="">
          <xdr:nvSpPr>
            <xdr:cNvPr id="8212" name="Check Box 20" hidden="1">
              <a:extLst>
                <a:ext uri="{63B3BB69-23CF-44E3-9099-C40C66FF867C}">
                  <a14:compatExt spid="_x0000_s8212"/>
                </a:ext>
                <a:ext uri="{FF2B5EF4-FFF2-40B4-BE49-F238E27FC236}">
                  <a16:creationId xmlns:a16="http://schemas.microsoft.com/office/drawing/2014/main" id="{00000000-0008-0000-0100-00001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Paciente ambulatorio sin hospitalización previa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48</xdr:row>
          <xdr:rowOff>171450</xdr:rowOff>
        </xdr:from>
        <xdr:to>
          <xdr:col>8</xdr:col>
          <xdr:colOff>19050</xdr:colOff>
          <xdr:row>49</xdr:row>
          <xdr:rowOff>209550</xdr:rowOff>
        </xdr:to>
        <xdr:sp macro="" textlink="">
          <xdr:nvSpPr>
            <xdr:cNvPr id="8213" name="Check Box 21" hidden="1">
              <a:extLst>
                <a:ext uri="{63B3BB69-23CF-44E3-9099-C40C66FF867C}">
                  <a14:compatExt spid="_x0000_s8213"/>
                </a:ext>
                <a:ext uri="{FF2B5EF4-FFF2-40B4-BE49-F238E27FC236}">
                  <a16:creationId xmlns:a16="http://schemas.microsoft.com/office/drawing/2014/main" id="{00000000-0008-0000-0100-00001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Paciente ambulatorio con hospitalización previa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50</xdr:row>
          <xdr:rowOff>180975</xdr:rowOff>
        </xdr:from>
        <xdr:to>
          <xdr:col>8</xdr:col>
          <xdr:colOff>19050</xdr:colOff>
          <xdr:row>52</xdr:row>
          <xdr:rowOff>0</xdr:rowOff>
        </xdr:to>
        <xdr:sp macro="" textlink="">
          <xdr:nvSpPr>
            <xdr:cNvPr id="8214" name="Check Box 22" hidden="1">
              <a:extLst>
                <a:ext uri="{63B3BB69-23CF-44E3-9099-C40C66FF867C}">
                  <a14:compatExt spid="_x0000_s8214"/>
                </a:ext>
                <a:ext uri="{FF2B5EF4-FFF2-40B4-BE49-F238E27FC236}">
                  <a16:creationId xmlns:a16="http://schemas.microsoft.com/office/drawing/2014/main" id="{00000000-0008-0000-0100-00001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Paciente ingresado en hospital psiquiátrico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52</xdr:row>
          <xdr:rowOff>190500</xdr:rowOff>
        </xdr:from>
        <xdr:to>
          <xdr:col>8</xdr:col>
          <xdr:colOff>19050</xdr:colOff>
          <xdr:row>53</xdr:row>
          <xdr:rowOff>209550</xdr:rowOff>
        </xdr:to>
        <xdr:sp macro="" textlink="">
          <xdr:nvSpPr>
            <xdr:cNvPr id="8215" name="Check Box 23" hidden="1">
              <a:extLst>
                <a:ext uri="{63B3BB69-23CF-44E3-9099-C40C66FF867C}">
                  <a14:compatExt spid="_x0000_s8215"/>
                </a:ext>
                <a:ext uri="{FF2B5EF4-FFF2-40B4-BE49-F238E27FC236}">
                  <a16:creationId xmlns:a16="http://schemas.microsoft.com/office/drawing/2014/main" id="{00000000-0008-0000-0100-00001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Paciente ingresado en hospital general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46</xdr:row>
          <xdr:rowOff>190500</xdr:rowOff>
        </xdr:from>
        <xdr:to>
          <xdr:col>16</xdr:col>
          <xdr:colOff>361950</xdr:colOff>
          <xdr:row>47</xdr:row>
          <xdr:rowOff>180975</xdr:rowOff>
        </xdr:to>
        <xdr:sp macro="" textlink="">
          <xdr:nvSpPr>
            <xdr:cNvPr id="8216" name="Check Box 24" hidden="1">
              <a:extLst>
                <a:ext uri="{63B3BB69-23CF-44E3-9099-C40C66FF867C}">
                  <a14:compatExt spid="_x0000_s8216"/>
                </a:ext>
                <a:ext uri="{FF2B5EF4-FFF2-40B4-BE49-F238E27FC236}">
                  <a16:creationId xmlns:a16="http://schemas.microsoft.com/office/drawing/2014/main" id="{00000000-0008-0000-0100-00001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Paciente en centro penitenciario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48</xdr:row>
          <xdr:rowOff>171450</xdr:rowOff>
        </xdr:from>
        <xdr:to>
          <xdr:col>16</xdr:col>
          <xdr:colOff>361950</xdr:colOff>
          <xdr:row>49</xdr:row>
          <xdr:rowOff>209550</xdr:rowOff>
        </xdr:to>
        <xdr:sp macro="" textlink="">
          <xdr:nvSpPr>
            <xdr:cNvPr id="8217" name="Check Box 25" hidden="1">
              <a:extLst>
                <a:ext uri="{63B3BB69-23CF-44E3-9099-C40C66FF867C}">
                  <a14:compatExt spid="_x0000_s8217"/>
                </a:ext>
                <a:ext uri="{FF2B5EF4-FFF2-40B4-BE49-F238E27FC236}">
                  <a16:creationId xmlns:a16="http://schemas.microsoft.com/office/drawing/2014/main" id="{00000000-0008-0000-0100-00001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Paciente en clínica universitaria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50</xdr:row>
          <xdr:rowOff>66675</xdr:rowOff>
        </xdr:from>
        <xdr:to>
          <xdr:col>11</xdr:col>
          <xdr:colOff>523875</xdr:colOff>
          <xdr:row>52</xdr:row>
          <xdr:rowOff>0</xdr:rowOff>
        </xdr:to>
        <xdr:sp macro="" textlink="">
          <xdr:nvSpPr>
            <xdr:cNvPr id="8218" name="Check Box 26" hidden="1">
              <a:extLst>
                <a:ext uri="{63B3BB69-23CF-44E3-9099-C40C66FF867C}">
                  <a14:compatExt spid="_x0000_s8218"/>
                </a:ext>
                <a:ext uri="{FF2B5EF4-FFF2-40B4-BE49-F238E27FC236}">
                  <a16:creationId xmlns:a16="http://schemas.microsoft.com/office/drawing/2014/main" id="{00000000-0008-0000-0100-00001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Otra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56</xdr:row>
          <xdr:rowOff>171450</xdr:rowOff>
        </xdr:from>
        <xdr:to>
          <xdr:col>3</xdr:col>
          <xdr:colOff>200025</xdr:colOff>
          <xdr:row>57</xdr:row>
          <xdr:rowOff>161925</xdr:rowOff>
        </xdr:to>
        <xdr:sp macro="" textlink="">
          <xdr:nvSpPr>
            <xdr:cNvPr id="8219" name="Check Box 27" hidden="1">
              <a:extLst>
                <a:ext uri="{63B3BB69-23CF-44E3-9099-C40C66FF867C}">
                  <a14:compatExt spid="_x0000_s8219"/>
                </a:ext>
                <a:ext uri="{FF2B5EF4-FFF2-40B4-BE49-F238E27FC236}">
                  <a16:creationId xmlns:a16="http://schemas.microsoft.com/office/drawing/2014/main" id="{00000000-0008-0000-0100-00001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&lt; 1 semana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58</xdr:row>
          <xdr:rowOff>66675</xdr:rowOff>
        </xdr:from>
        <xdr:to>
          <xdr:col>3</xdr:col>
          <xdr:colOff>200025</xdr:colOff>
          <xdr:row>59</xdr:row>
          <xdr:rowOff>209550</xdr:rowOff>
        </xdr:to>
        <xdr:sp macro="" textlink="">
          <xdr:nvSpPr>
            <xdr:cNvPr id="8220" name="Check Box 28" hidden="1">
              <a:extLst>
                <a:ext uri="{63B3BB69-23CF-44E3-9099-C40C66FF867C}">
                  <a14:compatExt spid="_x0000_s8220"/>
                </a:ext>
                <a:ext uri="{FF2B5EF4-FFF2-40B4-BE49-F238E27FC236}">
                  <a16:creationId xmlns:a16="http://schemas.microsoft.com/office/drawing/2014/main" id="{00000000-0008-0000-0100-00001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1-4 semanas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60</xdr:row>
          <xdr:rowOff>66675</xdr:rowOff>
        </xdr:from>
        <xdr:to>
          <xdr:col>3</xdr:col>
          <xdr:colOff>209550</xdr:colOff>
          <xdr:row>61</xdr:row>
          <xdr:rowOff>209550</xdr:rowOff>
        </xdr:to>
        <xdr:sp macro="" textlink="">
          <xdr:nvSpPr>
            <xdr:cNvPr id="8221" name="Check Box 29" hidden="1">
              <a:extLst>
                <a:ext uri="{63B3BB69-23CF-44E3-9099-C40C66FF867C}">
                  <a14:compatExt spid="_x0000_s8221"/>
                </a:ext>
                <a:ext uri="{FF2B5EF4-FFF2-40B4-BE49-F238E27FC236}">
                  <a16:creationId xmlns:a16="http://schemas.microsoft.com/office/drawing/2014/main" id="{00000000-0008-0000-0100-00001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1-3 meses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62</xdr:row>
          <xdr:rowOff>66675</xdr:rowOff>
        </xdr:from>
        <xdr:to>
          <xdr:col>3</xdr:col>
          <xdr:colOff>209550</xdr:colOff>
          <xdr:row>63</xdr:row>
          <xdr:rowOff>209550</xdr:rowOff>
        </xdr:to>
        <xdr:sp macro="" textlink="">
          <xdr:nvSpPr>
            <xdr:cNvPr id="8222" name="Check Box 30" hidden="1">
              <a:extLst>
                <a:ext uri="{63B3BB69-23CF-44E3-9099-C40C66FF867C}">
                  <a14:compatExt spid="_x0000_s8222"/>
                </a:ext>
                <a:ext uri="{FF2B5EF4-FFF2-40B4-BE49-F238E27FC236}">
                  <a16:creationId xmlns:a16="http://schemas.microsoft.com/office/drawing/2014/main" id="{00000000-0008-0000-0100-00001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3 meses-1 año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56</xdr:row>
          <xdr:rowOff>190500</xdr:rowOff>
        </xdr:from>
        <xdr:to>
          <xdr:col>10</xdr:col>
          <xdr:colOff>161925</xdr:colOff>
          <xdr:row>57</xdr:row>
          <xdr:rowOff>180975</xdr:rowOff>
        </xdr:to>
        <xdr:sp macro="" textlink="">
          <xdr:nvSpPr>
            <xdr:cNvPr id="8223" name="Check Box 31" hidden="1">
              <a:extLst>
                <a:ext uri="{63B3BB69-23CF-44E3-9099-C40C66FF867C}">
                  <a14:compatExt spid="_x0000_s8223"/>
                </a:ext>
                <a:ext uri="{FF2B5EF4-FFF2-40B4-BE49-F238E27FC236}">
                  <a16:creationId xmlns:a16="http://schemas.microsoft.com/office/drawing/2014/main" id="{00000000-0008-0000-0100-00001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1-3 años (cíclico)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59</xdr:row>
          <xdr:rowOff>0</xdr:rowOff>
        </xdr:from>
        <xdr:to>
          <xdr:col>10</xdr:col>
          <xdr:colOff>161925</xdr:colOff>
          <xdr:row>59</xdr:row>
          <xdr:rowOff>209550</xdr:rowOff>
        </xdr:to>
        <xdr:sp macro="" textlink="">
          <xdr:nvSpPr>
            <xdr:cNvPr id="8224" name="Check Box 32" hidden="1">
              <a:extLst>
                <a:ext uri="{63B3BB69-23CF-44E3-9099-C40C66FF867C}">
                  <a14:compatExt spid="_x0000_s8224"/>
                </a:ext>
                <a:ext uri="{FF2B5EF4-FFF2-40B4-BE49-F238E27FC236}">
                  <a16:creationId xmlns:a16="http://schemas.microsoft.com/office/drawing/2014/main" id="{00000000-0008-0000-0100-00002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1-3 años (continuo)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60</xdr:row>
          <xdr:rowOff>66675</xdr:rowOff>
        </xdr:from>
        <xdr:to>
          <xdr:col>10</xdr:col>
          <xdr:colOff>161925</xdr:colOff>
          <xdr:row>61</xdr:row>
          <xdr:rowOff>209550</xdr:rowOff>
        </xdr:to>
        <xdr:sp macro="" textlink="">
          <xdr:nvSpPr>
            <xdr:cNvPr id="8225" name="Check Box 33" hidden="1">
              <a:extLst>
                <a:ext uri="{63B3BB69-23CF-44E3-9099-C40C66FF867C}">
                  <a14:compatExt spid="_x0000_s8225"/>
                </a:ext>
                <a:ext uri="{FF2B5EF4-FFF2-40B4-BE49-F238E27FC236}">
                  <a16:creationId xmlns:a16="http://schemas.microsoft.com/office/drawing/2014/main" id="{00000000-0008-0000-0100-00002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3-7 años (cíclico)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63</xdr:row>
          <xdr:rowOff>0</xdr:rowOff>
        </xdr:from>
        <xdr:to>
          <xdr:col>10</xdr:col>
          <xdr:colOff>161925</xdr:colOff>
          <xdr:row>63</xdr:row>
          <xdr:rowOff>209550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1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3-7 años (continuo)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56</xdr:row>
          <xdr:rowOff>190500</xdr:rowOff>
        </xdr:from>
        <xdr:to>
          <xdr:col>15</xdr:col>
          <xdr:colOff>180975</xdr:colOff>
          <xdr:row>57</xdr:row>
          <xdr:rowOff>180975</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1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Más de 7 años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58</xdr:row>
          <xdr:rowOff>66675</xdr:rowOff>
        </xdr:from>
        <xdr:to>
          <xdr:col>15</xdr:col>
          <xdr:colOff>180975</xdr:colOff>
          <xdr:row>59</xdr:row>
          <xdr:rowOff>209550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1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No aplicable</a:t>
              </a:r>
            </a:p>
          </xdr:txBody>
        </xdr:sp>
        <xdr:clientData/>
      </xdr:twoCellAnchor>
    </mc:Choice>
    <mc:Fallback/>
  </mc:AlternateContent>
  <xdr:twoCellAnchor editAs="oneCell">
    <xdr:from>
      <xdr:col>0</xdr:col>
      <xdr:colOff>349250</xdr:colOff>
      <xdr:row>66</xdr:row>
      <xdr:rowOff>8286</xdr:rowOff>
    </xdr:from>
    <xdr:to>
      <xdr:col>17</xdr:col>
      <xdr:colOff>12699</xdr:colOff>
      <xdr:row>68</xdr:row>
      <xdr:rowOff>28050</xdr:rowOff>
    </xdr:to>
    <xdr:pic>
      <xdr:nvPicPr>
        <xdr:cNvPr id="3" name="Imagen 2">
          <a:extLst>
            <a:ext uri="{FF2B5EF4-FFF2-40B4-BE49-F238E27FC236}">
              <a16:creationId xmlns:a16="http://schemas.microsoft.com/office/drawing/2014/main" id="{746D046C-5B98-7543-4D28-C9F25ED7A149}"/>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9677"/>
        <a:stretch>
          <a:fillRect/>
        </a:stretch>
      </xdr:blipFill>
      <xdr:spPr bwMode="auto">
        <a:xfrm>
          <a:off x="349250" y="12409836"/>
          <a:ext cx="6838949" cy="4642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28575</xdr:colOff>
      <xdr:row>1</xdr:row>
      <xdr:rowOff>19049</xdr:rowOff>
    </xdr:from>
    <xdr:to>
      <xdr:col>13</xdr:col>
      <xdr:colOff>732</xdr:colOff>
      <xdr:row>6</xdr:row>
      <xdr:rowOff>114751</xdr:rowOff>
    </xdr:to>
    <xdr:pic>
      <xdr:nvPicPr>
        <xdr:cNvPr id="4" name="Imagen 3">
          <a:extLst>
            <a:ext uri="{FF2B5EF4-FFF2-40B4-BE49-F238E27FC236}">
              <a16:creationId xmlns:a16="http://schemas.microsoft.com/office/drawing/2014/main" id="{18941ADE-D42D-0A58-F70F-5C06C595D466}"/>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6020" r="5499"/>
        <a:stretch>
          <a:fillRect/>
        </a:stretch>
      </xdr:blipFill>
      <xdr:spPr bwMode="auto">
        <a:xfrm>
          <a:off x="390525" y="238124"/>
          <a:ext cx="4495800" cy="11910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19049</xdr:colOff>
      <xdr:row>3</xdr:row>
      <xdr:rowOff>85725</xdr:rowOff>
    </xdr:from>
    <xdr:to>
      <xdr:col>4</xdr:col>
      <xdr:colOff>476250</xdr:colOff>
      <xdr:row>8</xdr:row>
      <xdr:rowOff>98612</xdr:rowOff>
    </xdr:to>
    <xdr:pic>
      <xdr:nvPicPr>
        <xdr:cNvPr id="3" name="Imagen 2">
          <a:extLst>
            <a:ext uri="{FF2B5EF4-FFF2-40B4-BE49-F238E27FC236}">
              <a16:creationId xmlns:a16="http://schemas.microsoft.com/office/drawing/2014/main" id="{C3F69B0C-03CF-8B6A-45F2-B67C749641B1}"/>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631" t="12354" r="9234" b="17646"/>
        <a:stretch>
          <a:fillRect/>
        </a:stretch>
      </xdr:blipFill>
      <xdr:spPr bwMode="auto">
        <a:xfrm>
          <a:off x="781049" y="714375"/>
          <a:ext cx="3600451" cy="11334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11</xdr:row>
      <xdr:rowOff>0</xdr:rowOff>
    </xdr:from>
    <xdr:to>
      <xdr:col>11</xdr:col>
      <xdr:colOff>0</xdr:colOff>
      <xdr:row>11</xdr:row>
      <xdr:rowOff>0</xdr:rowOff>
    </xdr:to>
    <xdr:cxnSp macro="">
      <xdr:nvCxnSpPr>
        <xdr:cNvPr id="5" name="Conector recto 4">
          <a:extLst>
            <a:ext uri="{FF2B5EF4-FFF2-40B4-BE49-F238E27FC236}">
              <a16:creationId xmlns:a16="http://schemas.microsoft.com/office/drawing/2014/main" id="{40B46802-54FD-3390-3CDA-B51A3030DD96}"/>
            </a:ext>
          </a:extLst>
        </xdr:cNvPr>
        <xdr:cNvCxnSpPr/>
      </xdr:nvCxnSpPr>
      <xdr:spPr>
        <a:xfrm>
          <a:off x="762000" y="2352675"/>
          <a:ext cx="6858000" cy="0"/>
        </a:xfrm>
        <a:prstGeom prst="line">
          <a:avLst/>
        </a:prstGeom>
        <a:ln w="28575">
          <a:solidFill>
            <a:srgbClr val="0D5EA8"/>
          </a:solidFill>
        </a:ln>
        <a:effectLst>
          <a:outerShdw blurRad="50800" dist="38100" dir="2700000" algn="tl" rotWithShape="0">
            <a:prstClr val="black">
              <a:alpha val="40000"/>
            </a:prstClr>
          </a:outerShdw>
        </a:effectLst>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0</xdr:col>
      <xdr:colOff>670891</xdr:colOff>
      <xdr:row>29</xdr:row>
      <xdr:rowOff>57978</xdr:rowOff>
    </xdr:from>
    <xdr:to>
      <xdr:col>1</xdr:col>
      <xdr:colOff>1483001</xdr:colOff>
      <xdr:row>31</xdr:row>
      <xdr:rowOff>156395</xdr:rowOff>
    </xdr:to>
    <xdr:pic>
      <xdr:nvPicPr>
        <xdr:cNvPr id="2" name="Imagen 1">
          <a:extLst>
            <a:ext uri="{FF2B5EF4-FFF2-40B4-BE49-F238E27FC236}">
              <a16:creationId xmlns:a16="http://schemas.microsoft.com/office/drawing/2014/main" id="{0DA077A4-C227-0E2D-CE8F-A4C129886A76}"/>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3221" t="7905" r="79824" b="66008"/>
        <a:stretch>
          <a:fillRect/>
        </a:stretch>
      </xdr:blipFill>
      <xdr:spPr bwMode="auto">
        <a:xfrm>
          <a:off x="670891" y="6021456"/>
          <a:ext cx="1482587" cy="5466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542924</xdr:colOff>
      <xdr:row>39</xdr:row>
      <xdr:rowOff>14967</xdr:rowOff>
    </xdr:from>
    <xdr:to>
      <xdr:col>11</xdr:col>
      <xdr:colOff>28574</xdr:colOff>
      <xdr:row>41</xdr:row>
      <xdr:rowOff>120923</xdr:rowOff>
    </xdr:to>
    <xdr:pic>
      <xdr:nvPicPr>
        <xdr:cNvPr id="4" name="Imagen 3">
          <a:extLst>
            <a:ext uri="{FF2B5EF4-FFF2-40B4-BE49-F238E27FC236}">
              <a16:creationId xmlns:a16="http://schemas.microsoft.com/office/drawing/2014/main" id="{12E9ACCE-981A-27E6-B95E-030449261956}"/>
            </a:ext>
          </a:extLst>
        </xdr:cNvPr>
        <xdr:cNvPicPr>
          <a:picLocks noChangeAspect="1"/>
        </xdr:cNvPicPr>
      </xdr:nvPicPr>
      <xdr:blipFill rotWithShape="1">
        <a:blip xmlns:r="http://schemas.openxmlformats.org/officeDocument/2006/relationships" r:embed="rId3"/>
        <a:srcRect l="2878" t="29290" r="1186" b="9103"/>
        <a:stretch>
          <a:fillRect/>
        </a:stretch>
      </xdr:blipFill>
      <xdr:spPr>
        <a:xfrm>
          <a:off x="542924" y="7815942"/>
          <a:ext cx="8505825" cy="544106"/>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xdr:col>
          <xdr:colOff>28575</xdr:colOff>
          <xdr:row>26</xdr:row>
          <xdr:rowOff>200025</xdr:rowOff>
        </xdr:from>
        <xdr:to>
          <xdr:col>4</xdr:col>
          <xdr:colOff>552450</xdr:colOff>
          <xdr:row>27</xdr:row>
          <xdr:rowOff>190500</xdr:rowOff>
        </xdr:to>
        <xdr:sp macro="" textlink="">
          <xdr:nvSpPr>
            <xdr:cNvPr id="10243" name="Drop Down 3"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6</xdr:row>
          <xdr:rowOff>142875</xdr:rowOff>
        </xdr:from>
        <xdr:to>
          <xdr:col>6</xdr:col>
          <xdr:colOff>733425</xdr:colOff>
          <xdr:row>8</xdr:row>
          <xdr:rowOff>47625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BO" sz="1100" b="0" i="0" u="none" strike="noStrike" baseline="0">
                  <a:solidFill>
                    <a:srgbClr val="000000"/>
                  </a:solidFill>
                  <a:latin typeface="Daytona"/>
                </a:rPr>
                <a:t>Borrar</a:t>
              </a:r>
            </a:p>
          </xdr:txBody>
        </xdr:sp>
        <xdr:clientData fPrintsWithSheet="0"/>
      </xdr:twoCellAnchor>
    </mc:Choice>
    <mc:Fallback/>
  </mc:AlternateContent>
  <xdr:twoCellAnchor editAs="oneCell">
    <xdr:from>
      <xdr:col>0</xdr:col>
      <xdr:colOff>190499</xdr:colOff>
      <xdr:row>215</xdr:row>
      <xdr:rowOff>85724</xdr:rowOff>
    </xdr:from>
    <xdr:to>
      <xdr:col>6</xdr:col>
      <xdr:colOff>66675</xdr:colOff>
      <xdr:row>223</xdr:row>
      <xdr:rowOff>161925</xdr:rowOff>
    </xdr:to>
    <xdr:pic>
      <xdr:nvPicPr>
        <xdr:cNvPr id="3" name="Imagen 2">
          <a:extLst>
            <a:ext uri="{FF2B5EF4-FFF2-40B4-BE49-F238E27FC236}">
              <a16:creationId xmlns:a16="http://schemas.microsoft.com/office/drawing/2014/main" id="{E40D0A9C-6CE2-B1D4-B6A9-F175C0CEC598}"/>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0556"/>
        <a:stretch>
          <a:fillRect/>
        </a:stretch>
      </xdr:blipFill>
      <xdr:spPr bwMode="auto">
        <a:xfrm>
          <a:off x="190499" y="47224949"/>
          <a:ext cx="9667876" cy="1533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228600</xdr:colOff>
      <xdr:row>0</xdr:row>
      <xdr:rowOff>9525</xdr:rowOff>
    </xdr:from>
    <xdr:to>
      <xdr:col>2</xdr:col>
      <xdr:colOff>5400675</xdr:colOff>
      <xdr:row>7</xdr:row>
      <xdr:rowOff>63954</xdr:rowOff>
    </xdr:to>
    <xdr:pic>
      <xdr:nvPicPr>
        <xdr:cNvPr id="4" name="Imagen 3">
          <a:extLst>
            <a:ext uri="{FF2B5EF4-FFF2-40B4-BE49-F238E27FC236}">
              <a16:creationId xmlns:a16="http://schemas.microsoft.com/office/drawing/2014/main" id="{5150A33D-656A-78D2-F973-E9294BD2B265}"/>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6279"/>
        <a:stretch>
          <a:fillRect/>
        </a:stretch>
      </xdr:blipFill>
      <xdr:spPr bwMode="auto">
        <a:xfrm>
          <a:off x="466725" y="9525"/>
          <a:ext cx="5543550" cy="1330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13</xdr:col>
      <xdr:colOff>367303</xdr:colOff>
      <xdr:row>46</xdr:row>
      <xdr:rowOff>21881</xdr:rowOff>
    </xdr:from>
    <xdr:to>
      <xdr:col>16</xdr:col>
      <xdr:colOff>436909</xdr:colOff>
      <xdr:row>56</xdr:row>
      <xdr:rowOff>257177</xdr:rowOff>
    </xdr:to>
    <xdr:grpSp>
      <xdr:nvGrpSpPr>
        <xdr:cNvPr id="28" name="Grupo 27">
          <a:extLst>
            <a:ext uri="{FF2B5EF4-FFF2-40B4-BE49-F238E27FC236}">
              <a16:creationId xmlns:a16="http://schemas.microsoft.com/office/drawing/2014/main" id="{A013BE8C-8F09-054A-ABEE-0F1E21465EA8}"/>
            </a:ext>
          </a:extLst>
        </xdr:cNvPr>
        <xdr:cNvGrpSpPr>
          <a:grpSpLocks noChangeAspect="1"/>
        </xdr:cNvGrpSpPr>
      </xdr:nvGrpSpPr>
      <xdr:grpSpPr>
        <a:xfrm>
          <a:off x="8205017" y="10118381"/>
          <a:ext cx="1688856" cy="2970332"/>
          <a:chOff x="7760587" y="4611453"/>
          <a:chExt cx="1764414" cy="3322872"/>
        </a:xfrm>
      </xdr:grpSpPr>
      <xdr:sp macro="" textlink="">
        <xdr:nvSpPr>
          <xdr:cNvPr id="31" name="Rectángulo 30">
            <a:extLst>
              <a:ext uri="{FF2B5EF4-FFF2-40B4-BE49-F238E27FC236}">
                <a16:creationId xmlns:a16="http://schemas.microsoft.com/office/drawing/2014/main" id="{60EB0055-C5A7-0774-F4DD-63815F6053B2}"/>
              </a:ext>
            </a:extLst>
          </xdr:cNvPr>
          <xdr:cNvSpPr/>
        </xdr:nvSpPr>
        <xdr:spPr>
          <a:xfrm>
            <a:off x="8162117" y="4611453"/>
            <a:ext cx="1362884" cy="3322872"/>
          </a:xfrm>
          <a:prstGeom prst="rect">
            <a:avLst/>
          </a:prstGeom>
          <a:solidFill>
            <a:schemeClr val="bg1">
              <a:lumMod val="50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30" name="Rectángulo 29">
            <a:extLst>
              <a:ext uri="{FF2B5EF4-FFF2-40B4-BE49-F238E27FC236}">
                <a16:creationId xmlns:a16="http://schemas.microsoft.com/office/drawing/2014/main" id="{58118410-E7D2-D22E-C2DF-4A187B9FBFDC}"/>
              </a:ext>
            </a:extLst>
          </xdr:cNvPr>
          <xdr:cNvSpPr/>
        </xdr:nvSpPr>
        <xdr:spPr>
          <a:xfrm>
            <a:off x="7760587" y="4614755"/>
            <a:ext cx="404687" cy="3319570"/>
          </a:xfrm>
          <a:prstGeom prst="rect">
            <a:avLst/>
          </a:prstGeom>
          <a:solidFill>
            <a:schemeClr val="bg1">
              <a:lumMod val="75000"/>
            </a:schemeClr>
          </a:solid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clientData/>
  </xdr:twoCellAnchor>
  <xdr:twoCellAnchor>
    <xdr:from>
      <xdr:col>14</xdr:col>
      <xdr:colOff>142876</xdr:colOff>
      <xdr:row>71</xdr:row>
      <xdr:rowOff>23430</xdr:rowOff>
    </xdr:from>
    <xdr:to>
      <xdr:col>16</xdr:col>
      <xdr:colOff>438151</xdr:colOff>
      <xdr:row>81</xdr:row>
      <xdr:rowOff>257175</xdr:rowOff>
    </xdr:to>
    <xdr:sp macro="" textlink="">
      <xdr:nvSpPr>
        <xdr:cNvPr id="58" name="Rectángulo 57">
          <a:extLst>
            <a:ext uri="{FF2B5EF4-FFF2-40B4-BE49-F238E27FC236}">
              <a16:creationId xmlns:a16="http://schemas.microsoft.com/office/drawing/2014/main" id="{B036C496-276F-6D34-1893-C10F2D4D03C9}"/>
            </a:ext>
          </a:extLst>
        </xdr:cNvPr>
        <xdr:cNvSpPr/>
      </xdr:nvSpPr>
      <xdr:spPr>
        <a:xfrm>
          <a:off x="8610601" y="15796830"/>
          <a:ext cx="1257300" cy="2938845"/>
        </a:xfrm>
        <a:prstGeom prst="rect">
          <a:avLst/>
        </a:prstGeom>
        <a:solidFill>
          <a:schemeClr val="bg1">
            <a:lumMod val="50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12</xdr:col>
      <xdr:colOff>684557</xdr:colOff>
      <xdr:row>26</xdr:row>
      <xdr:rowOff>29817</xdr:rowOff>
    </xdr:from>
    <xdr:to>
      <xdr:col>16</xdr:col>
      <xdr:colOff>436906</xdr:colOff>
      <xdr:row>41</xdr:row>
      <xdr:rowOff>258417</xdr:rowOff>
    </xdr:to>
    <xdr:grpSp>
      <xdr:nvGrpSpPr>
        <xdr:cNvPr id="23" name="Grupo 22">
          <a:extLst>
            <a:ext uri="{FF2B5EF4-FFF2-40B4-BE49-F238E27FC236}">
              <a16:creationId xmlns:a16="http://schemas.microsoft.com/office/drawing/2014/main" id="{AC763EB8-DEF6-0238-C47A-F5790B473B6C}"/>
            </a:ext>
          </a:extLst>
        </xdr:cNvPr>
        <xdr:cNvGrpSpPr>
          <a:grpSpLocks noChangeAspect="1"/>
        </xdr:cNvGrpSpPr>
      </xdr:nvGrpSpPr>
      <xdr:grpSpPr>
        <a:xfrm>
          <a:off x="7651414" y="4846746"/>
          <a:ext cx="2242456" cy="4324350"/>
          <a:chOff x="7362824" y="4629150"/>
          <a:chExt cx="2162174" cy="3305175"/>
        </a:xfrm>
      </xdr:grpSpPr>
      <xdr:sp macro="" textlink="">
        <xdr:nvSpPr>
          <xdr:cNvPr id="20" name="Rectángulo 19">
            <a:extLst>
              <a:ext uri="{FF2B5EF4-FFF2-40B4-BE49-F238E27FC236}">
                <a16:creationId xmlns:a16="http://schemas.microsoft.com/office/drawing/2014/main" id="{4F43C8AD-8350-E9C5-E4F9-EDB04E67574A}"/>
              </a:ext>
            </a:extLst>
          </xdr:cNvPr>
          <xdr:cNvSpPr/>
        </xdr:nvSpPr>
        <xdr:spPr>
          <a:xfrm>
            <a:off x="7362824" y="4629150"/>
            <a:ext cx="561975" cy="3305175"/>
          </a:xfrm>
          <a:prstGeom prst="rect">
            <a:avLst/>
          </a:prstGeom>
          <a:solidFill>
            <a:schemeClr val="bg1">
              <a:lumMod val="95000"/>
            </a:schemeClr>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21" name="Rectángulo 20">
            <a:extLst>
              <a:ext uri="{FF2B5EF4-FFF2-40B4-BE49-F238E27FC236}">
                <a16:creationId xmlns:a16="http://schemas.microsoft.com/office/drawing/2014/main" id="{0481C4E6-44B3-165D-E375-99371D8D6D57}"/>
              </a:ext>
            </a:extLst>
          </xdr:cNvPr>
          <xdr:cNvSpPr/>
        </xdr:nvSpPr>
        <xdr:spPr>
          <a:xfrm>
            <a:off x="7934326" y="4629150"/>
            <a:ext cx="325991" cy="3305175"/>
          </a:xfrm>
          <a:prstGeom prst="rect">
            <a:avLst/>
          </a:prstGeom>
          <a:solidFill>
            <a:schemeClr val="bg1">
              <a:lumMod val="75000"/>
            </a:schemeClr>
          </a:solid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22" name="Rectángulo 21">
            <a:extLst>
              <a:ext uri="{FF2B5EF4-FFF2-40B4-BE49-F238E27FC236}">
                <a16:creationId xmlns:a16="http://schemas.microsoft.com/office/drawing/2014/main" id="{E559615F-36EB-A0E3-4ABB-74B6CDF3100A}"/>
              </a:ext>
            </a:extLst>
          </xdr:cNvPr>
          <xdr:cNvSpPr/>
        </xdr:nvSpPr>
        <xdr:spPr>
          <a:xfrm>
            <a:off x="8269555" y="4629150"/>
            <a:ext cx="1255443" cy="3305175"/>
          </a:xfrm>
          <a:prstGeom prst="rect">
            <a:avLst/>
          </a:prstGeom>
          <a:solidFill>
            <a:schemeClr val="bg1">
              <a:lumMod val="50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clientData/>
  </xdr:twoCellAnchor>
  <xdr:twoCellAnchor>
    <xdr:from>
      <xdr:col>14</xdr:col>
      <xdr:colOff>145676</xdr:colOff>
      <xdr:row>19</xdr:row>
      <xdr:rowOff>17859</xdr:rowOff>
    </xdr:from>
    <xdr:to>
      <xdr:col>16</xdr:col>
      <xdr:colOff>438978</xdr:colOff>
      <xdr:row>21</xdr:row>
      <xdr:rowOff>265043</xdr:rowOff>
    </xdr:to>
    <xdr:sp macro="" textlink="">
      <xdr:nvSpPr>
        <xdr:cNvPr id="10" name="Rectángulo 9">
          <a:extLst>
            <a:ext uri="{FF2B5EF4-FFF2-40B4-BE49-F238E27FC236}">
              <a16:creationId xmlns:a16="http://schemas.microsoft.com/office/drawing/2014/main" id="{6F995BDF-63A9-F79E-B563-B7A0C13AC62C}"/>
            </a:ext>
          </a:extLst>
        </xdr:cNvPr>
        <xdr:cNvSpPr/>
      </xdr:nvSpPr>
      <xdr:spPr>
        <a:xfrm>
          <a:off x="8628529" y="3032241"/>
          <a:ext cx="1257008" cy="807478"/>
        </a:xfrm>
        <a:prstGeom prst="rect">
          <a:avLst/>
        </a:prstGeom>
        <a:solidFill>
          <a:schemeClr val="bg1">
            <a:lumMod val="65000"/>
          </a:schemeClr>
        </a:solidFill>
        <a:ln>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9</xdr:col>
      <xdr:colOff>23642</xdr:colOff>
      <xdr:row>19</xdr:row>
      <xdr:rowOff>22622</xdr:rowOff>
    </xdr:from>
    <xdr:to>
      <xdr:col>11</xdr:col>
      <xdr:colOff>685800</xdr:colOff>
      <xdr:row>21</xdr:row>
      <xdr:rowOff>260748</xdr:rowOff>
    </xdr:to>
    <xdr:sp macro="" textlink="">
      <xdr:nvSpPr>
        <xdr:cNvPr id="9" name="Rectángulo 8">
          <a:extLst>
            <a:ext uri="{FF2B5EF4-FFF2-40B4-BE49-F238E27FC236}">
              <a16:creationId xmlns:a16="http://schemas.microsoft.com/office/drawing/2014/main" id="{9B454C16-9816-7865-B832-D187870626A6}"/>
            </a:ext>
          </a:extLst>
        </xdr:cNvPr>
        <xdr:cNvSpPr/>
      </xdr:nvSpPr>
      <xdr:spPr>
        <a:xfrm>
          <a:off x="5271917" y="3032522"/>
          <a:ext cx="1500358" cy="790576"/>
        </a:xfrm>
        <a:prstGeom prst="rect">
          <a:avLst/>
        </a:prstGeom>
        <a:solidFill>
          <a:schemeClr val="bg1">
            <a:lumMod val="95000"/>
          </a:schemeClr>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xdr:col>
      <xdr:colOff>9525</xdr:colOff>
      <xdr:row>62</xdr:row>
      <xdr:rowOff>161925</xdr:rowOff>
    </xdr:from>
    <xdr:to>
      <xdr:col>17</xdr:col>
      <xdr:colOff>0</xdr:colOff>
      <xdr:row>62</xdr:row>
      <xdr:rowOff>161925</xdr:rowOff>
    </xdr:to>
    <xdr:cxnSp macro="">
      <xdr:nvCxnSpPr>
        <xdr:cNvPr id="2" name="Conector recto 1">
          <a:extLst>
            <a:ext uri="{FF2B5EF4-FFF2-40B4-BE49-F238E27FC236}">
              <a16:creationId xmlns:a16="http://schemas.microsoft.com/office/drawing/2014/main" id="{D042B57E-BC75-494F-8E7E-50017E955EA9}"/>
            </a:ext>
          </a:extLst>
        </xdr:cNvPr>
        <xdr:cNvCxnSpPr/>
      </xdr:nvCxnSpPr>
      <xdr:spPr>
        <a:xfrm>
          <a:off x="609600" y="12896850"/>
          <a:ext cx="7924800" cy="0"/>
        </a:xfrm>
        <a:prstGeom prst="line">
          <a:avLst/>
        </a:prstGeom>
        <a:ln w="28575">
          <a:solidFill>
            <a:srgbClr val="0D5EA8"/>
          </a:solidFill>
        </a:ln>
        <a:effectLst>
          <a:outerShdw blurRad="50800" dist="38100" dir="2700000" algn="tl" rotWithShape="0">
            <a:prstClr val="black">
              <a:alpha val="40000"/>
            </a:prstClr>
          </a:outerShdw>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0</xdr:colOff>
      <xdr:row>8</xdr:row>
      <xdr:rowOff>0</xdr:rowOff>
    </xdr:from>
    <xdr:to>
      <xdr:col>16</xdr:col>
      <xdr:colOff>714375</xdr:colOff>
      <xdr:row>8</xdr:row>
      <xdr:rowOff>0</xdr:rowOff>
    </xdr:to>
    <xdr:cxnSp macro="">
      <xdr:nvCxnSpPr>
        <xdr:cNvPr id="4" name="Conector recto 3">
          <a:extLst>
            <a:ext uri="{FF2B5EF4-FFF2-40B4-BE49-F238E27FC236}">
              <a16:creationId xmlns:a16="http://schemas.microsoft.com/office/drawing/2014/main" id="{181CECA9-FD3B-47A3-8CFF-0AC757ADA7EE}"/>
            </a:ext>
          </a:extLst>
        </xdr:cNvPr>
        <xdr:cNvCxnSpPr/>
      </xdr:nvCxnSpPr>
      <xdr:spPr>
        <a:xfrm>
          <a:off x="600075" y="923925"/>
          <a:ext cx="7924800" cy="0"/>
        </a:xfrm>
        <a:prstGeom prst="line">
          <a:avLst/>
        </a:prstGeom>
        <a:ln w="28575">
          <a:solidFill>
            <a:srgbClr val="0D5EA8"/>
          </a:solidFill>
        </a:ln>
        <a:effectLst>
          <a:outerShdw blurRad="50800" dist="38100" dir="2700000" algn="tl" rotWithShape="0">
            <a:prstClr val="black">
              <a:alpha val="40000"/>
            </a:prstClr>
          </a:outerShdw>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419100</xdr:colOff>
      <xdr:row>18</xdr:row>
      <xdr:rowOff>246530</xdr:rowOff>
    </xdr:from>
    <xdr:to>
      <xdr:col>16</xdr:col>
      <xdr:colOff>428625</xdr:colOff>
      <xdr:row>22</xdr:row>
      <xdr:rowOff>85725</xdr:rowOff>
    </xdr:to>
    <xdr:graphicFrame macro="">
      <xdr:nvGraphicFramePr>
        <xdr:cNvPr id="3" name="Gráfico 2">
          <a:extLst>
            <a:ext uri="{FF2B5EF4-FFF2-40B4-BE49-F238E27FC236}">
              <a16:creationId xmlns:a16="http://schemas.microsoft.com/office/drawing/2014/main" id="{DA95CBD6-0E8E-018F-78A3-E3EA007C54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390525</xdr:colOff>
      <xdr:row>16</xdr:row>
      <xdr:rowOff>180974</xdr:rowOff>
    </xdr:from>
    <xdr:to>
      <xdr:col>10</xdr:col>
      <xdr:colOff>57150</xdr:colOff>
      <xdr:row>18</xdr:row>
      <xdr:rowOff>38099</xdr:rowOff>
    </xdr:to>
    <xdr:sp macro="" textlink="">
      <xdr:nvSpPr>
        <xdr:cNvPr id="5" name="CuadroTexto 4">
          <a:extLst>
            <a:ext uri="{FF2B5EF4-FFF2-40B4-BE49-F238E27FC236}">
              <a16:creationId xmlns:a16="http://schemas.microsoft.com/office/drawing/2014/main" id="{B4FF3AA1-FD07-F783-E7CE-B0B66A571B4A}"/>
            </a:ext>
          </a:extLst>
        </xdr:cNvPr>
        <xdr:cNvSpPr txBox="1"/>
      </xdr:nvSpPr>
      <xdr:spPr>
        <a:xfrm>
          <a:off x="5067300" y="2285999"/>
          <a:ext cx="32385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200" b="1">
              <a:latin typeface="sans-serif"/>
            </a:rPr>
            <a:t>0</a:t>
          </a:r>
        </a:p>
      </xdr:txBody>
    </xdr:sp>
    <xdr:clientData/>
  </xdr:twoCellAnchor>
  <xdr:twoCellAnchor>
    <xdr:from>
      <xdr:col>11</xdr:col>
      <xdr:colOff>514349</xdr:colOff>
      <xdr:row>16</xdr:row>
      <xdr:rowOff>190499</xdr:rowOff>
    </xdr:from>
    <xdr:to>
      <xdr:col>12</xdr:col>
      <xdr:colOff>200025</xdr:colOff>
      <xdr:row>18</xdr:row>
      <xdr:rowOff>38100</xdr:rowOff>
    </xdr:to>
    <xdr:sp macro="" textlink="">
      <xdr:nvSpPr>
        <xdr:cNvPr id="6" name="CuadroTexto 5">
          <a:extLst>
            <a:ext uri="{FF2B5EF4-FFF2-40B4-BE49-F238E27FC236}">
              <a16:creationId xmlns:a16="http://schemas.microsoft.com/office/drawing/2014/main" id="{EA7C53A5-F441-6729-824E-B93748738A07}"/>
            </a:ext>
          </a:extLst>
        </xdr:cNvPr>
        <xdr:cNvSpPr txBox="1"/>
      </xdr:nvSpPr>
      <xdr:spPr>
        <a:xfrm>
          <a:off x="6600824" y="2495549"/>
          <a:ext cx="552451" cy="266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100" b="1">
              <a:latin typeface="Daytona" panose="020B0604030500040204" pitchFamily="34" charset="0"/>
            </a:rPr>
            <a:t>35</a:t>
          </a:r>
        </a:p>
      </xdr:txBody>
    </xdr:sp>
    <xdr:clientData/>
  </xdr:twoCellAnchor>
  <xdr:twoCellAnchor>
    <xdr:from>
      <xdr:col>14</xdr:col>
      <xdr:colOff>28574</xdr:colOff>
      <xdr:row>16</xdr:row>
      <xdr:rowOff>200024</xdr:rowOff>
    </xdr:from>
    <xdr:to>
      <xdr:col>14</xdr:col>
      <xdr:colOff>428625</xdr:colOff>
      <xdr:row>18</xdr:row>
      <xdr:rowOff>47625</xdr:rowOff>
    </xdr:to>
    <xdr:sp macro="" textlink="">
      <xdr:nvSpPr>
        <xdr:cNvPr id="7" name="CuadroTexto 6">
          <a:extLst>
            <a:ext uri="{FF2B5EF4-FFF2-40B4-BE49-F238E27FC236}">
              <a16:creationId xmlns:a16="http://schemas.microsoft.com/office/drawing/2014/main" id="{AA43C234-ABED-0F94-5761-DDCDEFF34086}"/>
            </a:ext>
          </a:extLst>
        </xdr:cNvPr>
        <xdr:cNvSpPr txBox="1"/>
      </xdr:nvSpPr>
      <xdr:spPr>
        <a:xfrm>
          <a:off x="8162924" y="2305049"/>
          <a:ext cx="400051" cy="266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100" b="1">
              <a:latin typeface="Daytona" panose="020B0604030500040204" pitchFamily="34" charset="0"/>
            </a:rPr>
            <a:t>75</a:t>
          </a:r>
        </a:p>
      </xdr:txBody>
    </xdr:sp>
    <xdr:clientData/>
  </xdr:twoCellAnchor>
  <xdr:twoCellAnchor>
    <xdr:from>
      <xdr:col>15</xdr:col>
      <xdr:colOff>428625</xdr:colOff>
      <xdr:row>16</xdr:row>
      <xdr:rowOff>200024</xdr:rowOff>
    </xdr:from>
    <xdr:to>
      <xdr:col>17</xdr:col>
      <xdr:colOff>66676</xdr:colOff>
      <xdr:row>18</xdr:row>
      <xdr:rowOff>47625</xdr:rowOff>
    </xdr:to>
    <xdr:sp macro="" textlink="">
      <xdr:nvSpPr>
        <xdr:cNvPr id="8" name="CuadroTexto 7">
          <a:extLst>
            <a:ext uri="{FF2B5EF4-FFF2-40B4-BE49-F238E27FC236}">
              <a16:creationId xmlns:a16="http://schemas.microsoft.com/office/drawing/2014/main" id="{3E1F33DF-D0A3-D80A-E56C-6E2C30587F8B}"/>
            </a:ext>
          </a:extLst>
        </xdr:cNvPr>
        <xdr:cNvSpPr txBox="1"/>
      </xdr:nvSpPr>
      <xdr:spPr>
        <a:xfrm>
          <a:off x="9753600" y="2505074"/>
          <a:ext cx="533401" cy="266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100" b="1">
              <a:latin typeface="Daytona" panose="020B0604030500040204" pitchFamily="34" charset="0"/>
            </a:rPr>
            <a:t>100</a:t>
          </a:r>
          <a:endParaRPr lang="es-BO" sz="1200" b="1">
            <a:latin typeface="Daytona" panose="020B0604030500040204" pitchFamily="34" charset="0"/>
          </a:endParaRPr>
        </a:p>
      </xdr:txBody>
    </xdr:sp>
    <xdr:clientData/>
  </xdr:twoCellAnchor>
  <xdr:twoCellAnchor>
    <xdr:from>
      <xdr:col>9</xdr:col>
      <xdr:colOff>152400</xdr:colOff>
      <xdr:row>18</xdr:row>
      <xdr:rowOff>19050</xdr:rowOff>
    </xdr:from>
    <xdr:to>
      <xdr:col>11</xdr:col>
      <xdr:colOff>371475</xdr:colOff>
      <xdr:row>18</xdr:row>
      <xdr:rowOff>238125</xdr:rowOff>
    </xdr:to>
    <xdr:sp macro="" textlink="">
      <xdr:nvSpPr>
        <xdr:cNvPr id="11" name="CuadroTexto 10">
          <a:extLst>
            <a:ext uri="{FF2B5EF4-FFF2-40B4-BE49-F238E27FC236}">
              <a16:creationId xmlns:a16="http://schemas.microsoft.com/office/drawing/2014/main" id="{AFE169FA-7746-7040-1A93-BDE09E6E87A9}"/>
            </a:ext>
          </a:extLst>
        </xdr:cNvPr>
        <xdr:cNvSpPr txBox="1"/>
      </xdr:nvSpPr>
      <xdr:spPr>
        <a:xfrm>
          <a:off x="5276850" y="2543175"/>
          <a:ext cx="1057275"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b="1">
              <a:latin typeface="Daytona" panose="020B0604030500040204" pitchFamily="34" charset="0"/>
            </a:rPr>
            <a:t>Bajo</a:t>
          </a:r>
          <a:endParaRPr lang="es-BO" sz="1000" b="1">
            <a:latin typeface="Daytona" panose="020B0604030500040204" pitchFamily="34" charset="0"/>
          </a:endParaRPr>
        </a:p>
      </xdr:txBody>
    </xdr:sp>
    <xdr:clientData/>
  </xdr:twoCellAnchor>
  <xdr:twoCellAnchor>
    <xdr:from>
      <xdr:col>12</xdr:col>
      <xdr:colOff>228600</xdr:colOff>
      <xdr:row>18</xdr:row>
      <xdr:rowOff>28575</xdr:rowOff>
    </xdr:from>
    <xdr:to>
      <xdr:col>13</xdr:col>
      <xdr:colOff>561975</xdr:colOff>
      <xdr:row>18</xdr:row>
      <xdr:rowOff>247650</xdr:rowOff>
    </xdr:to>
    <xdr:sp macro="" textlink="">
      <xdr:nvSpPr>
        <xdr:cNvPr id="12" name="CuadroTexto 11">
          <a:extLst>
            <a:ext uri="{FF2B5EF4-FFF2-40B4-BE49-F238E27FC236}">
              <a16:creationId xmlns:a16="http://schemas.microsoft.com/office/drawing/2014/main" id="{81183770-2246-4FD0-AB96-D390E0530839}"/>
            </a:ext>
          </a:extLst>
        </xdr:cNvPr>
        <xdr:cNvSpPr txBox="1"/>
      </xdr:nvSpPr>
      <xdr:spPr>
        <a:xfrm>
          <a:off x="6915150" y="2552700"/>
          <a:ext cx="1057275"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b="1">
              <a:latin typeface="Daytona" panose="020B0604030500040204" pitchFamily="34" charset="0"/>
            </a:rPr>
            <a:t>Medio</a:t>
          </a:r>
          <a:endParaRPr lang="es-BO" sz="1000" b="1">
            <a:latin typeface="Daytona" panose="020B0604030500040204" pitchFamily="34" charset="0"/>
          </a:endParaRPr>
        </a:p>
      </xdr:txBody>
    </xdr:sp>
    <xdr:clientData/>
  </xdr:twoCellAnchor>
  <xdr:twoCellAnchor>
    <xdr:from>
      <xdr:col>14</xdr:col>
      <xdr:colOff>266700</xdr:colOff>
      <xdr:row>18</xdr:row>
      <xdr:rowOff>28575</xdr:rowOff>
    </xdr:from>
    <xdr:to>
      <xdr:col>16</xdr:col>
      <xdr:colOff>361950</xdr:colOff>
      <xdr:row>18</xdr:row>
      <xdr:rowOff>247650</xdr:rowOff>
    </xdr:to>
    <xdr:sp macro="" textlink="">
      <xdr:nvSpPr>
        <xdr:cNvPr id="13" name="CuadroTexto 12">
          <a:extLst>
            <a:ext uri="{FF2B5EF4-FFF2-40B4-BE49-F238E27FC236}">
              <a16:creationId xmlns:a16="http://schemas.microsoft.com/office/drawing/2014/main" id="{38D03488-6C52-5E5B-C4E5-BF54A0E141EA}"/>
            </a:ext>
          </a:extLst>
        </xdr:cNvPr>
        <xdr:cNvSpPr txBox="1"/>
      </xdr:nvSpPr>
      <xdr:spPr>
        <a:xfrm>
          <a:off x="8401050" y="2552700"/>
          <a:ext cx="1057275"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b="1">
              <a:latin typeface="Daytona" panose="020B0604030500040204" pitchFamily="34" charset="0"/>
            </a:rPr>
            <a:t>Alto</a:t>
          </a:r>
          <a:endParaRPr lang="es-BO" sz="1000" b="1">
            <a:latin typeface="Daytona" panose="020B0604030500040204" pitchFamily="34" charset="0"/>
          </a:endParaRPr>
        </a:p>
      </xdr:txBody>
    </xdr:sp>
    <xdr:clientData/>
  </xdr:twoCellAnchor>
  <xdr:twoCellAnchor>
    <xdr:from>
      <xdr:col>8</xdr:col>
      <xdr:colOff>419100</xdr:colOff>
      <xdr:row>25</xdr:row>
      <xdr:rowOff>219074</xdr:rowOff>
    </xdr:from>
    <xdr:to>
      <xdr:col>16</xdr:col>
      <xdr:colOff>428625</xdr:colOff>
      <xdr:row>38</xdr:row>
      <xdr:rowOff>89647</xdr:rowOff>
    </xdr:to>
    <xdr:graphicFrame macro="">
      <xdr:nvGraphicFramePr>
        <xdr:cNvPr id="14" name="Gráfico 13">
          <a:extLst>
            <a:ext uri="{FF2B5EF4-FFF2-40B4-BE49-F238E27FC236}">
              <a16:creationId xmlns:a16="http://schemas.microsoft.com/office/drawing/2014/main" id="{D0D8F00C-01B5-A494-8F50-A7AC677A6E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390525</xdr:colOff>
      <xdr:row>23</xdr:row>
      <xdr:rowOff>180974</xdr:rowOff>
    </xdr:from>
    <xdr:to>
      <xdr:col>10</xdr:col>
      <xdr:colOff>57150</xdr:colOff>
      <xdr:row>25</xdr:row>
      <xdr:rowOff>38099</xdr:rowOff>
    </xdr:to>
    <xdr:sp macro="" textlink="">
      <xdr:nvSpPr>
        <xdr:cNvPr id="15" name="CuadroTexto 14">
          <a:extLst>
            <a:ext uri="{FF2B5EF4-FFF2-40B4-BE49-F238E27FC236}">
              <a16:creationId xmlns:a16="http://schemas.microsoft.com/office/drawing/2014/main" id="{B9F810F4-B5B2-0EFE-0C86-67BA1F2F55F1}"/>
            </a:ext>
          </a:extLst>
        </xdr:cNvPr>
        <xdr:cNvSpPr txBox="1"/>
      </xdr:nvSpPr>
      <xdr:spPr>
        <a:xfrm>
          <a:off x="5067300" y="4095749"/>
          <a:ext cx="32385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200" b="1">
              <a:latin typeface="sans-serif"/>
            </a:rPr>
            <a:t>0</a:t>
          </a:r>
        </a:p>
      </xdr:txBody>
    </xdr:sp>
    <xdr:clientData/>
  </xdr:twoCellAnchor>
  <xdr:twoCellAnchor>
    <xdr:from>
      <xdr:col>12</xdr:col>
      <xdr:colOff>466724</xdr:colOff>
      <xdr:row>23</xdr:row>
      <xdr:rowOff>190499</xdr:rowOff>
    </xdr:from>
    <xdr:to>
      <xdr:col>13</xdr:col>
      <xdr:colOff>152400</xdr:colOff>
      <xdr:row>25</xdr:row>
      <xdr:rowOff>38100</xdr:rowOff>
    </xdr:to>
    <xdr:sp macro="" textlink="">
      <xdr:nvSpPr>
        <xdr:cNvPr id="16" name="CuadroTexto 15">
          <a:extLst>
            <a:ext uri="{FF2B5EF4-FFF2-40B4-BE49-F238E27FC236}">
              <a16:creationId xmlns:a16="http://schemas.microsoft.com/office/drawing/2014/main" id="{45A71DFB-CD1D-2261-2655-07371F3E39F5}"/>
            </a:ext>
          </a:extLst>
        </xdr:cNvPr>
        <xdr:cNvSpPr txBox="1"/>
      </xdr:nvSpPr>
      <xdr:spPr>
        <a:xfrm>
          <a:off x="7153274" y="4105274"/>
          <a:ext cx="409576" cy="266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100" b="1">
              <a:latin typeface="Daytona" panose="020B0604030500040204" pitchFamily="34" charset="0"/>
            </a:rPr>
            <a:t>60</a:t>
          </a:r>
          <a:endParaRPr lang="es-BO" sz="1200" b="1">
            <a:latin typeface="Daytona" panose="020B0604030500040204" pitchFamily="34" charset="0"/>
          </a:endParaRPr>
        </a:p>
      </xdr:txBody>
    </xdr:sp>
    <xdr:clientData/>
  </xdr:twoCellAnchor>
  <xdr:twoCellAnchor>
    <xdr:from>
      <xdr:col>13</xdr:col>
      <xdr:colOff>266701</xdr:colOff>
      <xdr:row>23</xdr:row>
      <xdr:rowOff>200024</xdr:rowOff>
    </xdr:from>
    <xdr:to>
      <xdr:col>14</xdr:col>
      <xdr:colOff>57151</xdr:colOff>
      <xdr:row>25</xdr:row>
      <xdr:rowOff>47625</xdr:rowOff>
    </xdr:to>
    <xdr:sp macro="" textlink="">
      <xdr:nvSpPr>
        <xdr:cNvPr id="17" name="CuadroTexto 16">
          <a:extLst>
            <a:ext uri="{FF2B5EF4-FFF2-40B4-BE49-F238E27FC236}">
              <a16:creationId xmlns:a16="http://schemas.microsoft.com/office/drawing/2014/main" id="{B58EE3FB-7B1D-F23B-FC62-26EC86BB53D4}"/>
            </a:ext>
          </a:extLst>
        </xdr:cNvPr>
        <xdr:cNvSpPr txBox="1"/>
      </xdr:nvSpPr>
      <xdr:spPr>
        <a:xfrm>
          <a:off x="8086726" y="4314824"/>
          <a:ext cx="438150" cy="266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100" b="1">
              <a:latin typeface="Daytona" panose="020B0604030500040204" pitchFamily="34" charset="0"/>
            </a:rPr>
            <a:t>75</a:t>
          </a:r>
        </a:p>
      </xdr:txBody>
    </xdr:sp>
    <xdr:clientData/>
  </xdr:twoCellAnchor>
  <xdr:twoCellAnchor>
    <xdr:from>
      <xdr:col>15</xdr:col>
      <xdr:colOff>419100</xdr:colOff>
      <xdr:row>23</xdr:row>
      <xdr:rowOff>200024</xdr:rowOff>
    </xdr:from>
    <xdr:to>
      <xdr:col>17</xdr:col>
      <xdr:colOff>66676</xdr:colOff>
      <xdr:row>25</xdr:row>
      <xdr:rowOff>47625</xdr:rowOff>
    </xdr:to>
    <xdr:sp macro="" textlink="">
      <xdr:nvSpPr>
        <xdr:cNvPr id="18" name="CuadroTexto 17">
          <a:extLst>
            <a:ext uri="{FF2B5EF4-FFF2-40B4-BE49-F238E27FC236}">
              <a16:creationId xmlns:a16="http://schemas.microsoft.com/office/drawing/2014/main" id="{BC300474-9DF3-A445-2191-22D32B068968}"/>
            </a:ext>
          </a:extLst>
        </xdr:cNvPr>
        <xdr:cNvSpPr txBox="1"/>
      </xdr:nvSpPr>
      <xdr:spPr>
        <a:xfrm>
          <a:off x="9744075" y="4314824"/>
          <a:ext cx="542926" cy="266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100" b="1">
              <a:latin typeface="Daytona" panose="020B0604030500040204" pitchFamily="34" charset="0"/>
            </a:rPr>
            <a:t>115</a:t>
          </a:r>
        </a:p>
      </xdr:txBody>
    </xdr:sp>
    <xdr:clientData/>
  </xdr:twoCellAnchor>
  <xdr:twoCellAnchor>
    <xdr:from>
      <xdr:col>13</xdr:col>
      <xdr:colOff>704849</xdr:colOff>
      <xdr:row>23</xdr:row>
      <xdr:rowOff>200024</xdr:rowOff>
    </xdr:from>
    <xdr:to>
      <xdr:col>14</xdr:col>
      <xdr:colOff>381000</xdr:colOff>
      <xdr:row>25</xdr:row>
      <xdr:rowOff>47625</xdr:rowOff>
    </xdr:to>
    <xdr:sp macro="" textlink="">
      <xdr:nvSpPr>
        <xdr:cNvPr id="19" name="CuadroTexto 18">
          <a:extLst>
            <a:ext uri="{FF2B5EF4-FFF2-40B4-BE49-F238E27FC236}">
              <a16:creationId xmlns:a16="http://schemas.microsoft.com/office/drawing/2014/main" id="{0F1C1677-F793-A1BC-A8ED-93FCD8D33578}"/>
            </a:ext>
          </a:extLst>
        </xdr:cNvPr>
        <xdr:cNvSpPr txBox="1"/>
      </xdr:nvSpPr>
      <xdr:spPr>
        <a:xfrm>
          <a:off x="8115299" y="4114799"/>
          <a:ext cx="400051" cy="266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100" b="1">
              <a:latin typeface="Daytona" panose="020B0604030500040204" pitchFamily="34" charset="0"/>
            </a:rPr>
            <a:t>85</a:t>
          </a:r>
        </a:p>
      </xdr:txBody>
    </xdr:sp>
    <xdr:clientData/>
  </xdr:twoCellAnchor>
  <xdr:twoCellAnchor>
    <xdr:from>
      <xdr:col>13</xdr:col>
      <xdr:colOff>95250</xdr:colOff>
      <xdr:row>25</xdr:row>
      <xdr:rowOff>47625</xdr:rowOff>
    </xdr:from>
    <xdr:to>
      <xdr:col>14</xdr:col>
      <xdr:colOff>428625</xdr:colOff>
      <xdr:row>25</xdr:row>
      <xdr:rowOff>266700</xdr:rowOff>
    </xdr:to>
    <xdr:sp macro="" textlink="">
      <xdr:nvSpPr>
        <xdr:cNvPr id="24" name="CuadroTexto 23">
          <a:extLst>
            <a:ext uri="{FF2B5EF4-FFF2-40B4-BE49-F238E27FC236}">
              <a16:creationId xmlns:a16="http://schemas.microsoft.com/office/drawing/2014/main" id="{372D69B6-2B50-1E48-F06E-3D476CF052BB}"/>
            </a:ext>
          </a:extLst>
        </xdr:cNvPr>
        <xdr:cNvSpPr txBox="1"/>
      </xdr:nvSpPr>
      <xdr:spPr>
        <a:xfrm>
          <a:off x="7915275" y="4581525"/>
          <a:ext cx="981075"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b="1">
              <a:latin typeface="Daytona" panose="020B0604030500040204" pitchFamily="34" charset="0"/>
            </a:rPr>
            <a:t>Tipo</a:t>
          </a:r>
          <a:endParaRPr lang="es-BO" sz="1000" b="1">
            <a:latin typeface="Daytona" panose="020B0604030500040204" pitchFamily="34" charset="0"/>
          </a:endParaRPr>
        </a:p>
      </xdr:txBody>
    </xdr:sp>
    <xdr:clientData/>
  </xdr:twoCellAnchor>
  <xdr:twoCellAnchor>
    <xdr:from>
      <xdr:col>12</xdr:col>
      <xdr:colOff>346563</xdr:colOff>
      <xdr:row>25</xdr:row>
      <xdr:rowOff>45427</xdr:rowOff>
    </xdr:from>
    <xdr:to>
      <xdr:col>13</xdr:col>
      <xdr:colOff>679938</xdr:colOff>
      <xdr:row>25</xdr:row>
      <xdr:rowOff>264502</xdr:rowOff>
    </xdr:to>
    <xdr:sp macro="" textlink="">
      <xdr:nvSpPr>
        <xdr:cNvPr id="25" name="CuadroTexto 24">
          <a:extLst>
            <a:ext uri="{FF2B5EF4-FFF2-40B4-BE49-F238E27FC236}">
              <a16:creationId xmlns:a16="http://schemas.microsoft.com/office/drawing/2014/main" id="{1E2615FE-230A-68BF-3FCB-69333725C1E0}"/>
            </a:ext>
          </a:extLst>
        </xdr:cNvPr>
        <xdr:cNvSpPr txBox="1"/>
      </xdr:nvSpPr>
      <xdr:spPr>
        <a:xfrm>
          <a:off x="7423638" y="4579327"/>
          <a:ext cx="1200150"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b="1">
              <a:latin typeface="Daytona" panose="020B0604030500040204" pitchFamily="34" charset="0"/>
            </a:rPr>
            <a:t>Estilo</a:t>
          </a:r>
        </a:p>
      </xdr:txBody>
    </xdr:sp>
    <xdr:clientData/>
  </xdr:twoCellAnchor>
  <xdr:twoCellAnchor>
    <xdr:from>
      <xdr:col>14</xdr:col>
      <xdr:colOff>323850</xdr:colOff>
      <xdr:row>25</xdr:row>
      <xdr:rowOff>38100</xdr:rowOff>
    </xdr:from>
    <xdr:to>
      <xdr:col>16</xdr:col>
      <xdr:colOff>419100</xdr:colOff>
      <xdr:row>25</xdr:row>
      <xdr:rowOff>257175</xdr:rowOff>
    </xdr:to>
    <xdr:sp macro="" textlink="">
      <xdr:nvSpPr>
        <xdr:cNvPr id="26" name="CuadroTexto 25">
          <a:extLst>
            <a:ext uri="{FF2B5EF4-FFF2-40B4-BE49-F238E27FC236}">
              <a16:creationId xmlns:a16="http://schemas.microsoft.com/office/drawing/2014/main" id="{307F5214-E849-F1BB-A5C3-AEF3C1767E4B}"/>
            </a:ext>
          </a:extLst>
        </xdr:cNvPr>
        <xdr:cNvSpPr txBox="1"/>
      </xdr:nvSpPr>
      <xdr:spPr>
        <a:xfrm>
          <a:off x="8458200" y="4371975"/>
          <a:ext cx="1057275"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b="1">
              <a:latin typeface="Daytona" panose="020B0604030500040204" pitchFamily="34" charset="0"/>
            </a:rPr>
            <a:t>Trastorno</a:t>
          </a:r>
          <a:endParaRPr lang="es-BO" sz="1000" b="1">
            <a:latin typeface="Daytona" panose="020B0604030500040204" pitchFamily="34" charset="0"/>
          </a:endParaRPr>
        </a:p>
      </xdr:txBody>
    </xdr:sp>
    <xdr:clientData/>
  </xdr:twoCellAnchor>
  <xdr:twoCellAnchor>
    <xdr:from>
      <xdr:col>8</xdr:col>
      <xdr:colOff>419100</xdr:colOff>
      <xdr:row>38</xdr:row>
      <xdr:rowOff>266700</xdr:rowOff>
    </xdr:from>
    <xdr:to>
      <xdr:col>16</xdr:col>
      <xdr:colOff>428625</xdr:colOff>
      <xdr:row>42</xdr:row>
      <xdr:rowOff>95250</xdr:rowOff>
    </xdr:to>
    <xdr:graphicFrame macro="">
      <xdr:nvGraphicFramePr>
        <xdr:cNvPr id="27" name="Gráfico 26">
          <a:extLst>
            <a:ext uri="{FF2B5EF4-FFF2-40B4-BE49-F238E27FC236}">
              <a16:creationId xmlns:a16="http://schemas.microsoft.com/office/drawing/2014/main" id="{2B5A7894-4BB8-4EEF-945A-53E8576122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9525</xdr:colOff>
      <xdr:row>38</xdr:row>
      <xdr:rowOff>0</xdr:rowOff>
    </xdr:from>
    <xdr:to>
      <xdr:col>16</xdr:col>
      <xdr:colOff>430695</xdr:colOff>
      <xdr:row>38</xdr:row>
      <xdr:rowOff>2923</xdr:rowOff>
    </xdr:to>
    <xdr:cxnSp macro="">
      <xdr:nvCxnSpPr>
        <xdr:cNvPr id="33" name="Conector recto 32">
          <a:extLst>
            <a:ext uri="{FF2B5EF4-FFF2-40B4-BE49-F238E27FC236}">
              <a16:creationId xmlns:a16="http://schemas.microsoft.com/office/drawing/2014/main" id="{1EE76B77-AD14-2A79-CE83-F2C1D3C20E94}"/>
            </a:ext>
          </a:extLst>
        </xdr:cNvPr>
        <xdr:cNvCxnSpPr/>
      </xdr:nvCxnSpPr>
      <xdr:spPr>
        <a:xfrm>
          <a:off x="5257800" y="8134350"/>
          <a:ext cx="4602645" cy="2923"/>
        </a:xfrm>
        <a:prstGeom prst="line">
          <a:avLst/>
        </a:prstGeom>
        <a:ln w="3175">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8281</xdr:colOff>
      <xdr:row>39</xdr:row>
      <xdr:rowOff>0</xdr:rowOff>
    </xdr:from>
    <xdr:to>
      <xdr:col>17</xdr:col>
      <xdr:colOff>0</xdr:colOff>
      <xdr:row>39</xdr:row>
      <xdr:rowOff>0</xdr:rowOff>
    </xdr:to>
    <xdr:cxnSp macro="">
      <xdr:nvCxnSpPr>
        <xdr:cNvPr id="36" name="Conector recto 35">
          <a:extLst>
            <a:ext uri="{FF2B5EF4-FFF2-40B4-BE49-F238E27FC236}">
              <a16:creationId xmlns:a16="http://schemas.microsoft.com/office/drawing/2014/main" id="{B9E93A20-32DC-A8BB-9D18-417039682C73}"/>
            </a:ext>
          </a:extLst>
        </xdr:cNvPr>
        <xdr:cNvCxnSpPr/>
      </xdr:nvCxnSpPr>
      <xdr:spPr>
        <a:xfrm>
          <a:off x="5118651" y="8191500"/>
          <a:ext cx="4398066" cy="0"/>
        </a:xfrm>
        <a:prstGeom prst="line">
          <a:avLst/>
        </a:prstGeom>
        <a:ln w="3175">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422207</xdr:colOff>
      <xdr:row>52</xdr:row>
      <xdr:rowOff>273325</xdr:rowOff>
    </xdr:from>
    <xdr:to>
      <xdr:col>16</xdr:col>
      <xdr:colOff>434627</xdr:colOff>
      <xdr:row>53</xdr:row>
      <xdr:rowOff>0</xdr:rowOff>
    </xdr:to>
    <xdr:cxnSp macro="">
      <xdr:nvCxnSpPr>
        <xdr:cNvPr id="39" name="Conector recto 38">
          <a:extLst>
            <a:ext uri="{FF2B5EF4-FFF2-40B4-BE49-F238E27FC236}">
              <a16:creationId xmlns:a16="http://schemas.microsoft.com/office/drawing/2014/main" id="{FA9B3165-54FD-7772-CD7B-17FEE951530B}"/>
            </a:ext>
          </a:extLst>
        </xdr:cNvPr>
        <xdr:cNvCxnSpPr/>
      </xdr:nvCxnSpPr>
      <xdr:spPr>
        <a:xfrm>
          <a:off x="5209555" y="12051195"/>
          <a:ext cx="4642398" cy="1"/>
        </a:xfrm>
        <a:prstGeom prst="line">
          <a:avLst/>
        </a:prstGeom>
        <a:ln w="3175">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436906</xdr:colOff>
      <xdr:row>54</xdr:row>
      <xdr:rowOff>0</xdr:rowOff>
    </xdr:from>
    <xdr:to>
      <xdr:col>16</xdr:col>
      <xdr:colOff>428625</xdr:colOff>
      <xdr:row>54</xdr:row>
      <xdr:rowOff>0</xdr:rowOff>
    </xdr:to>
    <xdr:cxnSp macro="">
      <xdr:nvCxnSpPr>
        <xdr:cNvPr id="40" name="Conector recto 39">
          <a:extLst>
            <a:ext uri="{FF2B5EF4-FFF2-40B4-BE49-F238E27FC236}">
              <a16:creationId xmlns:a16="http://schemas.microsoft.com/office/drawing/2014/main" id="{9741C4F7-0707-ADEF-391B-A2B178F3F0B7}"/>
            </a:ext>
          </a:extLst>
        </xdr:cNvPr>
        <xdr:cNvCxnSpPr/>
      </xdr:nvCxnSpPr>
      <xdr:spPr>
        <a:xfrm>
          <a:off x="5113681" y="12153900"/>
          <a:ext cx="4411319" cy="0"/>
        </a:xfrm>
        <a:prstGeom prst="line">
          <a:avLst/>
        </a:prstGeom>
        <a:ln w="3175">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419100</xdr:colOff>
      <xdr:row>54</xdr:row>
      <xdr:rowOff>1</xdr:rowOff>
    </xdr:from>
    <xdr:to>
      <xdr:col>16</xdr:col>
      <xdr:colOff>428625</xdr:colOff>
      <xdr:row>57</xdr:row>
      <xdr:rowOff>85726</xdr:rowOff>
    </xdr:to>
    <xdr:graphicFrame macro="">
      <xdr:nvGraphicFramePr>
        <xdr:cNvPr id="41" name="Gráfico 40">
          <a:extLst>
            <a:ext uri="{FF2B5EF4-FFF2-40B4-BE49-F238E27FC236}">
              <a16:creationId xmlns:a16="http://schemas.microsoft.com/office/drawing/2014/main" id="{70A5C066-D722-1C76-00D6-15A3E4121D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419100</xdr:colOff>
      <xdr:row>45</xdr:row>
      <xdr:rowOff>248478</xdr:rowOff>
    </xdr:from>
    <xdr:to>
      <xdr:col>16</xdr:col>
      <xdr:colOff>428625</xdr:colOff>
      <xdr:row>53</xdr:row>
      <xdr:rowOff>96934</xdr:rowOff>
    </xdr:to>
    <xdr:graphicFrame macro="">
      <xdr:nvGraphicFramePr>
        <xdr:cNvPr id="42" name="Gráfico 41">
          <a:extLst>
            <a:ext uri="{FF2B5EF4-FFF2-40B4-BE49-F238E27FC236}">
              <a16:creationId xmlns:a16="http://schemas.microsoft.com/office/drawing/2014/main" id="{A5B0ED23-89F0-58F3-2944-A5A9135D94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390525</xdr:colOff>
      <xdr:row>43</xdr:row>
      <xdr:rowOff>171449</xdr:rowOff>
    </xdr:from>
    <xdr:to>
      <xdr:col>10</xdr:col>
      <xdr:colOff>57150</xdr:colOff>
      <xdr:row>45</xdr:row>
      <xdr:rowOff>28574</xdr:rowOff>
    </xdr:to>
    <xdr:sp macro="" textlink="">
      <xdr:nvSpPr>
        <xdr:cNvPr id="43" name="CuadroTexto 42">
          <a:extLst>
            <a:ext uri="{FF2B5EF4-FFF2-40B4-BE49-F238E27FC236}">
              <a16:creationId xmlns:a16="http://schemas.microsoft.com/office/drawing/2014/main" id="{B72B6B69-E19D-4ED4-AD94-5F9280F451E3}"/>
            </a:ext>
          </a:extLst>
        </xdr:cNvPr>
        <xdr:cNvSpPr txBox="1"/>
      </xdr:nvSpPr>
      <xdr:spPr>
        <a:xfrm>
          <a:off x="5067300" y="9401174"/>
          <a:ext cx="32385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100" b="1">
              <a:latin typeface="Daytona" panose="020B0604030500040204" pitchFamily="34" charset="0"/>
            </a:rPr>
            <a:t>0</a:t>
          </a:r>
        </a:p>
      </xdr:txBody>
    </xdr:sp>
    <xdr:clientData/>
  </xdr:twoCellAnchor>
  <xdr:twoCellAnchor>
    <xdr:from>
      <xdr:col>12</xdr:col>
      <xdr:colOff>437416</xdr:colOff>
      <xdr:row>43</xdr:row>
      <xdr:rowOff>180974</xdr:rowOff>
    </xdr:from>
    <xdr:to>
      <xdr:col>13</xdr:col>
      <xdr:colOff>123092</xdr:colOff>
      <xdr:row>45</xdr:row>
      <xdr:rowOff>28575</xdr:rowOff>
    </xdr:to>
    <xdr:sp macro="" textlink="">
      <xdr:nvSpPr>
        <xdr:cNvPr id="44" name="CuadroTexto 43">
          <a:extLst>
            <a:ext uri="{FF2B5EF4-FFF2-40B4-BE49-F238E27FC236}">
              <a16:creationId xmlns:a16="http://schemas.microsoft.com/office/drawing/2014/main" id="{D1CC7660-5A69-AF74-BC56-AEE8D41100BC}"/>
            </a:ext>
          </a:extLst>
        </xdr:cNvPr>
        <xdr:cNvSpPr txBox="1"/>
      </xdr:nvSpPr>
      <xdr:spPr>
        <a:xfrm>
          <a:off x="7390666" y="9720628"/>
          <a:ext cx="550253" cy="2725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100" b="1">
              <a:latin typeface="Daytona" panose="020B0604030500040204" pitchFamily="34" charset="0"/>
            </a:rPr>
            <a:t>60</a:t>
          </a:r>
        </a:p>
      </xdr:txBody>
    </xdr:sp>
    <xdr:clientData/>
  </xdr:twoCellAnchor>
  <xdr:twoCellAnchor>
    <xdr:from>
      <xdr:col>13</xdr:col>
      <xdr:colOff>192697</xdr:colOff>
      <xdr:row>43</xdr:row>
      <xdr:rowOff>190499</xdr:rowOff>
    </xdr:from>
    <xdr:to>
      <xdr:col>13</xdr:col>
      <xdr:colOff>599341</xdr:colOff>
      <xdr:row>45</xdr:row>
      <xdr:rowOff>38100</xdr:rowOff>
    </xdr:to>
    <xdr:sp macro="" textlink="">
      <xdr:nvSpPr>
        <xdr:cNvPr id="45" name="CuadroTexto 44">
          <a:extLst>
            <a:ext uri="{FF2B5EF4-FFF2-40B4-BE49-F238E27FC236}">
              <a16:creationId xmlns:a16="http://schemas.microsoft.com/office/drawing/2014/main" id="{F104B2C7-2F90-19F8-54CB-01FFA334B88E}"/>
            </a:ext>
          </a:extLst>
        </xdr:cNvPr>
        <xdr:cNvSpPr txBox="1"/>
      </xdr:nvSpPr>
      <xdr:spPr>
        <a:xfrm>
          <a:off x="8010524" y="9730153"/>
          <a:ext cx="406644" cy="2725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100" b="1">
              <a:latin typeface="Daytona" panose="020B0604030500040204" pitchFamily="34" charset="0"/>
            </a:rPr>
            <a:t>75</a:t>
          </a:r>
        </a:p>
      </xdr:txBody>
    </xdr:sp>
    <xdr:clientData/>
  </xdr:twoCellAnchor>
  <xdr:twoCellAnchor>
    <xdr:from>
      <xdr:col>15</xdr:col>
      <xdr:colOff>381000</xdr:colOff>
      <xdr:row>43</xdr:row>
      <xdr:rowOff>190499</xdr:rowOff>
    </xdr:from>
    <xdr:to>
      <xdr:col>17</xdr:col>
      <xdr:colOff>66676</xdr:colOff>
      <xdr:row>45</xdr:row>
      <xdr:rowOff>38100</xdr:rowOff>
    </xdr:to>
    <xdr:sp macro="" textlink="">
      <xdr:nvSpPr>
        <xdr:cNvPr id="46" name="CuadroTexto 45">
          <a:extLst>
            <a:ext uri="{FF2B5EF4-FFF2-40B4-BE49-F238E27FC236}">
              <a16:creationId xmlns:a16="http://schemas.microsoft.com/office/drawing/2014/main" id="{AA7036C7-13D7-3003-EF74-C5B047B81124}"/>
            </a:ext>
          </a:extLst>
        </xdr:cNvPr>
        <xdr:cNvSpPr txBox="1"/>
      </xdr:nvSpPr>
      <xdr:spPr>
        <a:xfrm>
          <a:off x="9363075" y="9658349"/>
          <a:ext cx="581026" cy="266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100" b="1">
              <a:latin typeface="Daytona" panose="020B0604030500040204" pitchFamily="34" charset="0"/>
            </a:rPr>
            <a:t>115</a:t>
          </a:r>
        </a:p>
      </xdr:txBody>
    </xdr:sp>
    <xdr:clientData/>
  </xdr:twoCellAnchor>
  <xdr:twoCellAnchor>
    <xdr:from>
      <xdr:col>13</xdr:col>
      <xdr:colOff>545121</xdr:colOff>
      <xdr:row>43</xdr:row>
      <xdr:rowOff>171449</xdr:rowOff>
    </xdr:from>
    <xdr:to>
      <xdr:col>14</xdr:col>
      <xdr:colOff>373672</xdr:colOff>
      <xdr:row>45</xdr:row>
      <xdr:rowOff>19050</xdr:rowOff>
    </xdr:to>
    <xdr:sp macro="" textlink="">
      <xdr:nvSpPr>
        <xdr:cNvPr id="47" name="CuadroTexto 46">
          <a:extLst>
            <a:ext uri="{FF2B5EF4-FFF2-40B4-BE49-F238E27FC236}">
              <a16:creationId xmlns:a16="http://schemas.microsoft.com/office/drawing/2014/main" id="{4160A175-FBE6-0E6D-2E49-F7662826EDF0}"/>
            </a:ext>
          </a:extLst>
        </xdr:cNvPr>
        <xdr:cNvSpPr txBox="1"/>
      </xdr:nvSpPr>
      <xdr:spPr>
        <a:xfrm>
          <a:off x="8365146" y="9639299"/>
          <a:ext cx="476251" cy="266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200" b="1">
              <a:latin typeface="Daytona" panose="020B0604030500040204" pitchFamily="34" charset="0"/>
            </a:rPr>
            <a:t>85</a:t>
          </a:r>
        </a:p>
      </xdr:txBody>
    </xdr:sp>
    <xdr:clientData/>
  </xdr:twoCellAnchor>
  <xdr:twoCellAnchor>
    <xdr:from>
      <xdr:col>13</xdr:col>
      <xdr:colOff>180975</xdr:colOff>
      <xdr:row>45</xdr:row>
      <xdr:rowOff>19050</xdr:rowOff>
    </xdr:from>
    <xdr:to>
      <xdr:col>15</xdr:col>
      <xdr:colOff>0</xdr:colOff>
      <xdr:row>45</xdr:row>
      <xdr:rowOff>238125</xdr:rowOff>
    </xdr:to>
    <xdr:sp macro="" textlink="">
      <xdr:nvSpPr>
        <xdr:cNvPr id="48" name="CuadroTexto 47">
          <a:extLst>
            <a:ext uri="{FF2B5EF4-FFF2-40B4-BE49-F238E27FC236}">
              <a16:creationId xmlns:a16="http://schemas.microsoft.com/office/drawing/2014/main" id="{5C8A4DE1-2D86-F9B8-F6F2-07BC180AD549}"/>
            </a:ext>
          </a:extLst>
        </xdr:cNvPr>
        <xdr:cNvSpPr txBox="1"/>
      </xdr:nvSpPr>
      <xdr:spPr>
        <a:xfrm>
          <a:off x="7591425" y="9667875"/>
          <a:ext cx="1057275"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b="1">
              <a:latin typeface="Daytona" panose="020B0604030500040204" pitchFamily="34" charset="0"/>
            </a:rPr>
            <a:t>Presente</a:t>
          </a:r>
          <a:endParaRPr lang="es-BO" sz="1000" b="1">
            <a:latin typeface="Daytona" panose="020B0604030500040204" pitchFamily="34" charset="0"/>
          </a:endParaRPr>
        </a:p>
      </xdr:txBody>
    </xdr:sp>
    <xdr:clientData/>
  </xdr:twoCellAnchor>
  <xdr:twoCellAnchor>
    <xdr:from>
      <xdr:col>14</xdr:col>
      <xdr:colOff>248478</xdr:colOff>
      <xdr:row>45</xdr:row>
      <xdr:rowOff>28575</xdr:rowOff>
    </xdr:from>
    <xdr:to>
      <xdr:col>16</xdr:col>
      <xdr:colOff>419100</xdr:colOff>
      <xdr:row>45</xdr:row>
      <xdr:rowOff>247650</xdr:rowOff>
    </xdr:to>
    <xdr:sp macro="" textlink="">
      <xdr:nvSpPr>
        <xdr:cNvPr id="50" name="CuadroTexto 49">
          <a:extLst>
            <a:ext uri="{FF2B5EF4-FFF2-40B4-BE49-F238E27FC236}">
              <a16:creationId xmlns:a16="http://schemas.microsoft.com/office/drawing/2014/main" id="{4E8A5F2F-A031-9368-D54C-CE2042817B46}"/>
            </a:ext>
          </a:extLst>
        </xdr:cNvPr>
        <xdr:cNvSpPr txBox="1"/>
      </xdr:nvSpPr>
      <xdr:spPr>
        <a:xfrm>
          <a:off x="8357152" y="9727510"/>
          <a:ext cx="1131405"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b="1">
              <a:latin typeface="Daytona" panose="020B0604030500040204" pitchFamily="34" charset="0"/>
            </a:rPr>
            <a:t>Prominente</a:t>
          </a:r>
          <a:endParaRPr lang="es-BO" sz="1000" b="1">
            <a:latin typeface="Daytona" panose="020B0604030500040204" pitchFamily="34" charset="0"/>
          </a:endParaRPr>
        </a:p>
      </xdr:txBody>
    </xdr:sp>
    <xdr:clientData/>
  </xdr:twoCellAnchor>
  <xdr:twoCellAnchor>
    <xdr:from>
      <xdr:col>8</xdr:col>
      <xdr:colOff>420781</xdr:colOff>
      <xdr:row>70</xdr:row>
      <xdr:rowOff>189940</xdr:rowOff>
    </xdr:from>
    <xdr:to>
      <xdr:col>16</xdr:col>
      <xdr:colOff>430306</xdr:colOff>
      <xdr:row>74</xdr:row>
      <xdr:rowOff>108138</xdr:rowOff>
    </xdr:to>
    <xdr:graphicFrame macro="">
      <xdr:nvGraphicFramePr>
        <xdr:cNvPr id="51" name="Gráfico 50">
          <a:extLst>
            <a:ext uri="{FF2B5EF4-FFF2-40B4-BE49-F238E27FC236}">
              <a16:creationId xmlns:a16="http://schemas.microsoft.com/office/drawing/2014/main" id="{00E6A320-78FF-EB5A-9385-020E6C3672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390525</xdr:colOff>
      <xdr:row>68</xdr:row>
      <xdr:rowOff>137832</xdr:rowOff>
    </xdr:from>
    <xdr:to>
      <xdr:col>10</xdr:col>
      <xdr:colOff>57150</xdr:colOff>
      <xdr:row>70</xdr:row>
      <xdr:rowOff>39781</xdr:rowOff>
    </xdr:to>
    <xdr:sp macro="" textlink="">
      <xdr:nvSpPr>
        <xdr:cNvPr id="52" name="CuadroTexto 51">
          <a:extLst>
            <a:ext uri="{FF2B5EF4-FFF2-40B4-BE49-F238E27FC236}">
              <a16:creationId xmlns:a16="http://schemas.microsoft.com/office/drawing/2014/main" id="{36C3FA34-E6A2-77C6-227A-00B1F9C60044}"/>
            </a:ext>
          </a:extLst>
        </xdr:cNvPr>
        <xdr:cNvSpPr txBox="1"/>
      </xdr:nvSpPr>
      <xdr:spPr>
        <a:xfrm>
          <a:off x="5085790" y="14862361"/>
          <a:ext cx="327772" cy="282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200" b="1">
              <a:latin typeface="sans-serif"/>
            </a:rPr>
            <a:t>0</a:t>
          </a:r>
        </a:p>
      </xdr:txBody>
    </xdr:sp>
    <xdr:clientData/>
  </xdr:twoCellAnchor>
  <xdr:twoCellAnchor>
    <xdr:from>
      <xdr:col>13</xdr:col>
      <xdr:colOff>114299</xdr:colOff>
      <xdr:row>68</xdr:row>
      <xdr:rowOff>147357</xdr:rowOff>
    </xdr:from>
    <xdr:to>
      <xdr:col>13</xdr:col>
      <xdr:colOff>523875</xdr:colOff>
      <xdr:row>70</xdr:row>
      <xdr:rowOff>39782</xdr:rowOff>
    </xdr:to>
    <xdr:sp macro="" textlink="">
      <xdr:nvSpPr>
        <xdr:cNvPr id="53" name="CuadroTexto 52">
          <a:extLst>
            <a:ext uri="{FF2B5EF4-FFF2-40B4-BE49-F238E27FC236}">
              <a16:creationId xmlns:a16="http://schemas.microsoft.com/office/drawing/2014/main" id="{BB435205-5C87-8A43-9C4C-598FFCF1E4E2}"/>
            </a:ext>
          </a:extLst>
        </xdr:cNvPr>
        <xdr:cNvSpPr txBox="1"/>
      </xdr:nvSpPr>
      <xdr:spPr>
        <a:xfrm>
          <a:off x="7524749" y="14720607"/>
          <a:ext cx="409576" cy="273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200" b="1">
              <a:latin typeface="sans-serif"/>
            </a:rPr>
            <a:t>60</a:t>
          </a:r>
        </a:p>
      </xdr:txBody>
    </xdr:sp>
    <xdr:clientData/>
  </xdr:twoCellAnchor>
  <xdr:twoCellAnchor>
    <xdr:from>
      <xdr:col>14</xdr:col>
      <xdr:colOff>19049</xdr:colOff>
      <xdr:row>68</xdr:row>
      <xdr:rowOff>156882</xdr:rowOff>
    </xdr:from>
    <xdr:to>
      <xdr:col>14</xdr:col>
      <xdr:colOff>419100</xdr:colOff>
      <xdr:row>70</xdr:row>
      <xdr:rowOff>49307</xdr:rowOff>
    </xdr:to>
    <xdr:sp macro="" textlink="">
      <xdr:nvSpPr>
        <xdr:cNvPr id="54" name="CuadroTexto 53">
          <a:extLst>
            <a:ext uri="{FF2B5EF4-FFF2-40B4-BE49-F238E27FC236}">
              <a16:creationId xmlns:a16="http://schemas.microsoft.com/office/drawing/2014/main" id="{C9EC5F83-E693-1961-F58C-2885238673F7}"/>
            </a:ext>
          </a:extLst>
        </xdr:cNvPr>
        <xdr:cNvSpPr txBox="1"/>
      </xdr:nvSpPr>
      <xdr:spPr>
        <a:xfrm>
          <a:off x="8153399" y="14730132"/>
          <a:ext cx="400051" cy="273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200" b="1">
              <a:latin typeface="sans-serif"/>
            </a:rPr>
            <a:t>75</a:t>
          </a:r>
        </a:p>
      </xdr:txBody>
    </xdr:sp>
    <xdr:clientData/>
  </xdr:twoCellAnchor>
  <xdr:twoCellAnchor>
    <xdr:from>
      <xdr:col>16</xdr:col>
      <xdr:colOff>76201</xdr:colOff>
      <xdr:row>68</xdr:row>
      <xdr:rowOff>156882</xdr:rowOff>
    </xdr:from>
    <xdr:to>
      <xdr:col>17</xdr:col>
      <xdr:colOff>66676</xdr:colOff>
      <xdr:row>70</xdr:row>
      <xdr:rowOff>49307</xdr:rowOff>
    </xdr:to>
    <xdr:sp macro="" textlink="">
      <xdr:nvSpPr>
        <xdr:cNvPr id="55" name="CuadroTexto 54">
          <a:extLst>
            <a:ext uri="{FF2B5EF4-FFF2-40B4-BE49-F238E27FC236}">
              <a16:creationId xmlns:a16="http://schemas.microsoft.com/office/drawing/2014/main" id="{3789E721-7BE0-8E35-DF9F-8DE10E10FDB5}"/>
            </a:ext>
          </a:extLst>
        </xdr:cNvPr>
        <xdr:cNvSpPr txBox="1"/>
      </xdr:nvSpPr>
      <xdr:spPr>
        <a:xfrm>
          <a:off x="9208995" y="14881411"/>
          <a:ext cx="438710" cy="273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200" b="1">
              <a:latin typeface="sans-serif"/>
            </a:rPr>
            <a:t>100</a:t>
          </a:r>
        </a:p>
      </xdr:txBody>
    </xdr:sp>
    <xdr:clientData/>
  </xdr:twoCellAnchor>
  <xdr:twoCellAnchor>
    <xdr:from>
      <xdr:col>14</xdr:col>
      <xdr:colOff>123826</xdr:colOff>
      <xdr:row>69</xdr:row>
      <xdr:rowOff>182657</xdr:rowOff>
    </xdr:from>
    <xdr:to>
      <xdr:col>16</xdr:col>
      <xdr:colOff>419101</xdr:colOff>
      <xdr:row>71</xdr:row>
      <xdr:rowOff>9526</xdr:rowOff>
    </xdr:to>
    <xdr:sp macro="" textlink="">
      <xdr:nvSpPr>
        <xdr:cNvPr id="57" name="CuadroTexto 56">
          <a:extLst>
            <a:ext uri="{FF2B5EF4-FFF2-40B4-BE49-F238E27FC236}">
              <a16:creationId xmlns:a16="http://schemas.microsoft.com/office/drawing/2014/main" id="{21FA1F99-24B9-CAFD-AAD7-EA868324E75A}"/>
            </a:ext>
          </a:extLst>
        </xdr:cNvPr>
        <xdr:cNvSpPr txBox="1"/>
      </xdr:nvSpPr>
      <xdr:spPr>
        <a:xfrm>
          <a:off x="8258176" y="14946407"/>
          <a:ext cx="1257300" cy="265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b="1">
              <a:latin typeface="Daytona" panose="020B0604030500040204" pitchFamily="34" charset="0"/>
            </a:rPr>
            <a:t>Interpretable</a:t>
          </a:r>
        </a:p>
      </xdr:txBody>
    </xdr:sp>
    <xdr:clientData/>
  </xdr:twoCellAnchor>
  <xdr:twoCellAnchor>
    <xdr:from>
      <xdr:col>8</xdr:col>
      <xdr:colOff>420781</xdr:colOff>
      <xdr:row>74</xdr:row>
      <xdr:rowOff>237565</xdr:rowOff>
    </xdr:from>
    <xdr:to>
      <xdr:col>16</xdr:col>
      <xdr:colOff>430306</xdr:colOff>
      <xdr:row>78</xdr:row>
      <xdr:rowOff>155763</xdr:rowOff>
    </xdr:to>
    <xdr:graphicFrame macro="">
      <xdr:nvGraphicFramePr>
        <xdr:cNvPr id="59" name="Gráfico 58">
          <a:extLst>
            <a:ext uri="{FF2B5EF4-FFF2-40B4-BE49-F238E27FC236}">
              <a16:creationId xmlns:a16="http://schemas.microsoft.com/office/drawing/2014/main" id="{ABA37E23-C1BE-EDC8-AA51-DFB66A0A35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420781</xdr:colOff>
      <xdr:row>78</xdr:row>
      <xdr:rowOff>199465</xdr:rowOff>
    </xdr:from>
    <xdr:to>
      <xdr:col>16</xdr:col>
      <xdr:colOff>430306</xdr:colOff>
      <xdr:row>82</xdr:row>
      <xdr:rowOff>117663</xdr:rowOff>
    </xdr:to>
    <xdr:graphicFrame macro="">
      <xdr:nvGraphicFramePr>
        <xdr:cNvPr id="60" name="Gráfico 59">
          <a:extLst>
            <a:ext uri="{FF2B5EF4-FFF2-40B4-BE49-F238E27FC236}">
              <a16:creationId xmlns:a16="http://schemas.microsoft.com/office/drawing/2014/main" id="{22362EF3-0770-AB35-4037-048B7C6EA1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581025</xdr:colOff>
      <xdr:row>133</xdr:row>
      <xdr:rowOff>54428</xdr:rowOff>
    </xdr:from>
    <xdr:to>
      <xdr:col>17</xdr:col>
      <xdr:colOff>5443</xdr:colOff>
      <xdr:row>133</xdr:row>
      <xdr:rowOff>66675</xdr:rowOff>
    </xdr:to>
    <xdr:cxnSp macro="">
      <xdr:nvCxnSpPr>
        <xdr:cNvPr id="61" name="Conector recto 60">
          <a:extLst>
            <a:ext uri="{FF2B5EF4-FFF2-40B4-BE49-F238E27FC236}">
              <a16:creationId xmlns:a16="http://schemas.microsoft.com/office/drawing/2014/main" id="{FFE7E54B-58AA-49FF-B123-F90877C546D6}"/>
            </a:ext>
          </a:extLst>
        </xdr:cNvPr>
        <xdr:cNvCxnSpPr/>
      </xdr:nvCxnSpPr>
      <xdr:spPr>
        <a:xfrm flipV="1">
          <a:off x="581025" y="27476903"/>
          <a:ext cx="8968468" cy="12247"/>
        </a:xfrm>
        <a:prstGeom prst="line">
          <a:avLst/>
        </a:prstGeom>
        <a:ln w="28575">
          <a:solidFill>
            <a:srgbClr val="0D5EA8"/>
          </a:solidFill>
        </a:ln>
        <a:effectLst>
          <a:outerShdw blurRad="50800" dist="38100" dir="2700000" algn="tl" rotWithShape="0">
            <a:prstClr val="black">
              <a:alpha val="40000"/>
            </a:prstClr>
          </a:outerShdw>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0</xdr:colOff>
      <xdr:row>74</xdr:row>
      <xdr:rowOff>0</xdr:rowOff>
    </xdr:from>
    <xdr:to>
      <xdr:col>16</xdr:col>
      <xdr:colOff>439394</xdr:colOff>
      <xdr:row>74</xdr:row>
      <xdr:rowOff>0</xdr:rowOff>
    </xdr:to>
    <xdr:cxnSp macro="">
      <xdr:nvCxnSpPr>
        <xdr:cNvPr id="29" name="Conector recto 28">
          <a:extLst>
            <a:ext uri="{FF2B5EF4-FFF2-40B4-BE49-F238E27FC236}">
              <a16:creationId xmlns:a16="http://schemas.microsoft.com/office/drawing/2014/main" id="{FB08099A-C2ED-491C-8CBE-F4309B075B65}"/>
            </a:ext>
          </a:extLst>
        </xdr:cNvPr>
        <xdr:cNvCxnSpPr/>
      </xdr:nvCxnSpPr>
      <xdr:spPr>
        <a:xfrm>
          <a:off x="5121519" y="16302404"/>
          <a:ext cx="4417913" cy="0"/>
        </a:xfrm>
        <a:prstGeom prst="line">
          <a:avLst/>
        </a:prstGeom>
        <a:ln w="3175">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9525</xdr:colOff>
      <xdr:row>75</xdr:row>
      <xdr:rowOff>0</xdr:rowOff>
    </xdr:from>
    <xdr:to>
      <xdr:col>17</xdr:col>
      <xdr:colOff>1244</xdr:colOff>
      <xdr:row>75</xdr:row>
      <xdr:rowOff>0</xdr:rowOff>
    </xdr:to>
    <xdr:cxnSp macro="">
      <xdr:nvCxnSpPr>
        <xdr:cNvPr id="32" name="Conector recto 31">
          <a:extLst>
            <a:ext uri="{FF2B5EF4-FFF2-40B4-BE49-F238E27FC236}">
              <a16:creationId xmlns:a16="http://schemas.microsoft.com/office/drawing/2014/main" id="{7D341965-C9A2-42E7-B3D3-E0B70069E037}"/>
            </a:ext>
          </a:extLst>
        </xdr:cNvPr>
        <xdr:cNvCxnSpPr/>
      </xdr:nvCxnSpPr>
      <xdr:spPr>
        <a:xfrm>
          <a:off x="5133975" y="16440150"/>
          <a:ext cx="4411319" cy="0"/>
        </a:xfrm>
        <a:prstGeom prst="line">
          <a:avLst/>
        </a:prstGeom>
        <a:ln w="28575">
          <a:solidFill>
            <a:schemeClr val="tx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9525</xdr:colOff>
      <xdr:row>79</xdr:row>
      <xdr:rowOff>0</xdr:rowOff>
    </xdr:from>
    <xdr:to>
      <xdr:col>17</xdr:col>
      <xdr:colOff>1244</xdr:colOff>
      <xdr:row>79</xdr:row>
      <xdr:rowOff>0</xdr:rowOff>
    </xdr:to>
    <xdr:cxnSp macro="">
      <xdr:nvCxnSpPr>
        <xdr:cNvPr id="34" name="Conector recto 33">
          <a:extLst>
            <a:ext uri="{FF2B5EF4-FFF2-40B4-BE49-F238E27FC236}">
              <a16:creationId xmlns:a16="http://schemas.microsoft.com/office/drawing/2014/main" id="{4AE98027-CB2E-41A1-81D0-12E8CF9E03A1}"/>
            </a:ext>
          </a:extLst>
        </xdr:cNvPr>
        <xdr:cNvCxnSpPr/>
      </xdr:nvCxnSpPr>
      <xdr:spPr>
        <a:xfrm>
          <a:off x="5133975" y="17516475"/>
          <a:ext cx="4411319" cy="0"/>
        </a:xfrm>
        <a:prstGeom prst="line">
          <a:avLst/>
        </a:prstGeom>
        <a:ln w="28575">
          <a:solidFill>
            <a:schemeClr val="tx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1</xdr:colOff>
      <xdr:row>78</xdr:row>
      <xdr:rowOff>3898</xdr:rowOff>
    </xdr:from>
    <xdr:to>
      <xdr:col>16</xdr:col>
      <xdr:colOff>439395</xdr:colOff>
      <xdr:row>78</xdr:row>
      <xdr:rowOff>3898</xdr:rowOff>
    </xdr:to>
    <xdr:cxnSp macro="">
      <xdr:nvCxnSpPr>
        <xdr:cNvPr id="37" name="Conector recto 36">
          <a:extLst>
            <a:ext uri="{FF2B5EF4-FFF2-40B4-BE49-F238E27FC236}">
              <a16:creationId xmlns:a16="http://schemas.microsoft.com/office/drawing/2014/main" id="{E18D0C50-242B-2F1A-A6B8-55F298A858DF}"/>
            </a:ext>
          </a:extLst>
        </xdr:cNvPr>
        <xdr:cNvCxnSpPr/>
      </xdr:nvCxnSpPr>
      <xdr:spPr>
        <a:xfrm>
          <a:off x="5234610" y="17596159"/>
          <a:ext cx="4622111" cy="0"/>
        </a:xfrm>
        <a:prstGeom prst="line">
          <a:avLst/>
        </a:prstGeom>
        <a:ln w="3175">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84"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2FED5DA-6FA3-4A61-8168-560B950913BA}">
  <we:reference id="wa200009404" version="1.0.0.5" store="es-ES" storeType="OMEX"/>
  <we:alternateReferences>
    <we:reference id="WA200009404" version="1.0.0.5" store="" storeType="OMEX"/>
  </we:alternateReferences>
  <we:properties>
    <we:property name="claude.fileId" value="&quot;39b7994f-13dc-4051-a6e1-a3b9ff19b600&quot;"/>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 Type="http://schemas.openxmlformats.org/officeDocument/2006/relationships/ctrlProp" Target="../ctrlProps/ctrlProp1.xml"/><Relationship Id="rId21" Type="http://schemas.openxmlformats.org/officeDocument/2006/relationships/ctrlProp" Target="../ctrlProps/ctrlProp19.xml"/><Relationship Id="rId34" Type="http://schemas.openxmlformats.org/officeDocument/2006/relationships/ctrlProp" Target="../ctrlProps/ctrlProp32.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8"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5F97E-A53D-409D-B879-5BAC533FAE63}">
  <dimension ref="A1:F80"/>
  <sheetViews>
    <sheetView topLeftCell="A48" workbookViewId="0">
      <selection activeCell="A67" sqref="A2:XFD67"/>
    </sheetView>
  </sheetViews>
  <sheetFormatPr baseColWidth="10" defaultRowHeight="15"/>
  <sheetData>
    <row r="1" spans="1:6" ht="14.25" customHeight="1">
      <c r="A1" s="179" t="s">
        <v>731</v>
      </c>
      <c r="B1" s="179" t="s">
        <v>732</v>
      </c>
      <c r="C1" s="179" t="s">
        <v>733</v>
      </c>
      <c r="D1" s="179" t="s">
        <v>734</v>
      </c>
      <c r="E1" s="179" t="s">
        <v>735</v>
      </c>
      <c r="F1" s="179" t="s">
        <v>736</v>
      </c>
    </row>
    <row r="2" spans="1:6" ht="14.25" customHeight="1">
      <c r="A2">
        <v>1</v>
      </c>
      <c r="B2" s="180">
        <v>46152</v>
      </c>
      <c r="C2" t="s">
        <v>760</v>
      </c>
      <c r="D2" t="s">
        <v>761</v>
      </c>
      <c r="E2" t="s">
        <v>762</v>
      </c>
      <c r="F2" t="s">
        <v>763</v>
      </c>
    </row>
    <row r="3" spans="1:6" ht="14.25" customHeight="1">
      <c r="A3">
        <v>2</v>
      </c>
      <c r="B3" s="180">
        <v>46152</v>
      </c>
      <c r="C3" t="s">
        <v>764</v>
      </c>
      <c r="D3" t="s">
        <v>765</v>
      </c>
      <c r="E3" t="s">
        <v>766</v>
      </c>
      <c r="F3" t="s">
        <v>767</v>
      </c>
    </row>
    <row r="4" spans="1:6" ht="14.25" customHeight="1">
      <c r="A4">
        <v>3</v>
      </c>
      <c r="B4" s="180">
        <v>46152</v>
      </c>
      <c r="C4" t="s">
        <v>768</v>
      </c>
      <c r="D4" t="s">
        <v>769</v>
      </c>
      <c r="E4" t="s">
        <v>770</v>
      </c>
      <c r="F4" t="s">
        <v>771</v>
      </c>
    </row>
    <row r="5" spans="1:6" ht="14.25" customHeight="1">
      <c r="A5">
        <v>4</v>
      </c>
      <c r="B5" s="180">
        <v>46152</v>
      </c>
      <c r="C5" t="s">
        <v>772</v>
      </c>
      <c r="D5" t="s">
        <v>773</v>
      </c>
      <c r="E5" t="s">
        <v>774</v>
      </c>
      <c r="F5" t="s">
        <v>775</v>
      </c>
    </row>
    <row r="6" spans="1:6" ht="14.25" customHeight="1">
      <c r="A6">
        <v>5</v>
      </c>
      <c r="B6" s="180">
        <v>46152</v>
      </c>
      <c r="C6" t="s">
        <v>776</v>
      </c>
      <c r="D6" t="s">
        <v>777</v>
      </c>
      <c r="E6" t="s">
        <v>778</v>
      </c>
      <c r="F6" t="s">
        <v>779</v>
      </c>
    </row>
    <row r="7" spans="1:6" ht="14.25" customHeight="1">
      <c r="A7">
        <v>6</v>
      </c>
      <c r="B7" s="180">
        <v>46152</v>
      </c>
      <c r="C7" t="s">
        <v>780</v>
      </c>
      <c r="D7" t="s">
        <v>781</v>
      </c>
      <c r="E7" t="s">
        <v>782</v>
      </c>
      <c r="F7" t="s">
        <v>783</v>
      </c>
    </row>
    <row r="8" spans="1:6" ht="14.25" customHeight="1">
      <c r="A8">
        <v>27</v>
      </c>
      <c r="B8" s="180">
        <v>46157</v>
      </c>
      <c r="C8" t="s">
        <v>860</v>
      </c>
      <c r="D8" t="s">
        <v>861</v>
      </c>
      <c r="E8" t="s">
        <v>862</v>
      </c>
      <c r="F8" t="s">
        <v>863</v>
      </c>
    </row>
    <row r="9" spans="1:6" ht="14.25" customHeight="1">
      <c r="A9">
        <v>8</v>
      </c>
      <c r="B9" s="180">
        <v>46152</v>
      </c>
      <c r="C9" t="s">
        <v>784</v>
      </c>
      <c r="D9" t="s">
        <v>785</v>
      </c>
      <c r="E9" t="s">
        <v>786</v>
      </c>
      <c r="F9" t="s">
        <v>787</v>
      </c>
    </row>
    <row r="10" spans="1:6" ht="14.25" customHeight="1">
      <c r="A10">
        <v>9</v>
      </c>
      <c r="B10" s="180">
        <v>46152</v>
      </c>
      <c r="C10" t="s">
        <v>788</v>
      </c>
      <c r="D10" t="s">
        <v>789</v>
      </c>
      <c r="E10" t="s">
        <v>790</v>
      </c>
      <c r="F10" t="s">
        <v>791</v>
      </c>
    </row>
    <row r="11" spans="1:6" ht="14.25" customHeight="1">
      <c r="A11">
        <v>10</v>
      </c>
      <c r="B11" s="180">
        <v>46152</v>
      </c>
      <c r="C11" t="s">
        <v>792</v>
      </c>
      <c r="D11" t="s">
        <v>793</v>
      </c>
      <c r="E11" t="s">
        <v>794</v>
      </c>
      <c r="F11" t="s">
        <v>795</v>
      </c>
    </row>
    <row r="12" spans="1:6" ht="14.25" customHeight="1">
      <c r="A12">
        <v>11</v>
      </c>
      <c r="B12" s="180">
        <v>46152</v>
      </c>
      <c r="C12" t="s">
        <v>796</v>
      </c>
      <c r="D12" t="s">
        <v>797</v>
      </c>
      <c r="E12" t="s">
        <v>798</v>
      </c>
      <c r="F12" t="s">
        <v>799</v>
      </c>
    </row>
    <row r="13" spans="1:6" ht="14.25" customHeight="1">
      <c r="A13">
        <v>12</v>
      </c>
      <c r="B13" s="180">
        <v>46152</v>
      </c>
      <c r="C13" t="s">
        <v>800</v>
      </c>
      <c r="D13" t="s">
        <v>801</v>
      </c>
      <c r="E13" t="s">
        <v>802</v>
      </c>
      <c r="F13" t="s">
        <v>803</v>
      </c>
    </row>
    <row r="14" spans="1:6" ht="14.25" customHeight="1">
      <c r="A14">
        <v>13</v>
      </c>
      <c r="B14" s="180">
        <v>46152</v>
      </c>
      <c r="C14" t="s">
        <v>804</v>
      </c>
      <c r="D14" t="s">
        <v>805</v>
      </c>
      <c r="E14" t="s">
        <v>806</v>
      </c>
      <c r="F14" t="s">
        <v>807</v>
      </c>
    </row>
    <row r="15" spans="1:6" ht="14.25" customHeight="1">
      <c r="A15">
        <v>14</v>
      </c>
      <c r="B15" s="180">
        <v>46152</v>
      </c>
      <c r="C15" t="s">
        <v>808</v>
      </c>
      <c r="D15" t="s">
        <v>809</v>
      </c>
      <c r="E15" t="s">
        <v>810</v>
      </c>
      <c r="F15" t="s">
        <v>811</v>
      </c>
    </row>
    <row r="16" spans="1:6" ht="14.25" customHeight="1">
      <c r="A16">
        <v>15</v>
      </c>
      <c r="B16" s="180">
        <v>46152</v>
      </c>
      <c r="C16" t="s">
        <v>812</v>
      </c>
      <c r="D16" t="s">
        <v>813</v>
      </c>
      <c r="E16" t="s">
        <v>814</v>
      </c>
      <c r="F16" t="s">
        <v>815</v>
      </c>
    </row>
    <row r="17" spans="1:6" ht="14.25" customHeight="1">
      <c r="A17">
        <v>16</v>
      </c>
      <c r="B17" s="180">
        <v>46152</v>
      </c>
      <c r="C17" t="s">
        <v>816</v>
      </c>
      <c r="D17" t="s">
        <v>817</v>
      </c>
      <c r="E17" t="s">
        <v>818</v>
      </c>
      <c r="F17" t="s">
        <v>819</v>
      </c>
    </row>
    <row r="18" spans="1:6" ht="14.25" customHeight="1">
      <c r="A18">
        <v>17</v>
      </c>
      <c r="B18" s="185">
        <v>46153</v>
      </c>
      <c r="C18" t="s">
        <v>820</v>
      </c>
      <c r="D18" t="s">
        <v>821</v>
      </c>
      <c r="E18" t="s">
        <v>822</v>
      </c>
      <c r="F18" t="s">
        <v>823</v>
      </c>
    </row>
    <row r="19" spans="1:6" ht="14.25" customHeight="1">
      <c r="A19">
        <v>18</v>
      </c>
      <c r="B19" s="185">
        <v>46153</v>
      </c>
      <c r="C19" t="s">
        <v>824</v>
      </c>
      <c r="D19" t="s">
        <v>825</v>
      </c>
      <c r="E19" t="s">
        <v>826</v>
      </c>
      <c r="F19" t="s">
        <v>827</v>
      </c>
    </row>
    <row r="20" spans="1:6" ht="14.25" customHeight="1">
      <c r="A20">
        <v>19</v>
      </c>
      <c r="B20" s="185">
        <v>46153</v>
      </c>
      <c r="C20" t="s">
        <v>828</v>
      </c>
      <c r="D20" t="s">
        <v>829</v>
      </c>
      <c r="E20" s="186" t="s">
        <v>830</v>
      </c>
      <c r="F20" t="s">
        <v>831</v>
      </c>
    </row>
    <row r="21" spans="1:6" ht="14.25" customHeight="1">
      <c r="A21">
        <v>20</v>
      </c>
      <c r="B21" s="185">
        <v>46153</v>
      </c>
      <c r="C21" t="s">
        <v>832</v>
      </c>
      <c r="D21" t="s">
        <v>833</v>
      </c>
      <c r="E21" t="s">
        <v>834</v>
      </c>
      <c r="F21" t="s">
        <v>835</v>
      </c>
    </row>
    <row r="22" spans="1:6" ht="14.25" customHeight="1">
      <c r="A22">
        <v>21</v>
      </c>
      <c r="B22" s="185">
        <v>46153</v>
      </c>
      <c r="C22" t="s">
        <v>836</v>
      </c>
      <c r="D22" t="s">
        <v>837</v>
      </c>
      <c r="E22" t="s">
        <v>838</v>
      </c>
      <c r="F22" t="s">
        <v>839</v>
      </c>
    </row>
    <row r="23" spans="1:6" ht="14.25" customHeight="1">
      <c r="A23">
        <v>22</v>
      </c>
      <c r="B23" s="185">
        <v>46153</v>
      </c>
      <c r="C23" t="s">
        <v>840</v>
      </c>
      <c r="D23" t="s">
        <v>841</v>
      </c>
      <c r="E23" t="s">
        <v>842</v>
      </c>
      <c r="F23" t="s">
        <v>843</v>
      </c>
    </row>
    <row r="24" spans="1:6" ht="14.25" customHeight="1">
      <c r="A24">
        <v>23</v>
      </c>
      <c r="B24" s="185">
        <v>46153</v>
      </c>
      <c r="C24" t="s">
        <v>844</v>
      </c>
      <c r="D24" t="s">
        <v>845</v>
      </c>
      <c r="E24" t="s">
        <v>846</v>
      </c>
      <c r="F24" t="s">
        <v>847</v>
      </c>
    </row>
    <row r="25" spans="1:6" ht="14.25" customHeight="1">
      <c r="A25">
        <v>24</v>
      </c>
      <c r="B25" s="185">
        <v>46153</v>
      </c>
      <c r="C25" t="s">
        <v>848</v>
      </c>
      <c r="D25" t="s">
        <v>849</v>
      </c>
      <c r="E25" t="s">
        <v>850</v>
      </c>
      <c r="F25" t="s">
        <v>851</v>
      </c>
    </row>
    <row r="26" spans="1:6" ht="14.25" customHeight="1">
      <c r="A26">
        <v>25</v>
      </c>
      <c r="B26" s="185">
        <v>46153</v>
      </c>
      <c r="C26" t="s">
        <v>852</v>
      </c>
      <c r="D26" t="s">
        <v>853</v>
      </c>
      <c r="E26" t="s">
        <v>854</v>
      </c>
      <c r="F26" t="s">
        <v>855</v>
      </c>
    </row>
    <row r="27" spans="1:6" ht="14.25" customHeight="1">
      <c r="A27">
        <v>26</v>
      </c>
      <c r="B27" s="185">
        <v>46153</v>
      </c>
      <c r="C27" t="s">
        <v>856</v>
      </c>
      <c r="D27" t="s">
        <v>857</v>
      </c>
      <c r="E27" t="s">
        <v>858</v>
      </c>
      <c r="F27" t="s">
        <v>859</v>
      </c>
    </row>
    <row r="28" spans="1:6" ht="14.25" customHeight="1">
      <c r="A28">
        <v>28</v>
      </c>
      <c r="B28" s="180">
        <v>46157</v>
      </c>
      <c r="C28" t="s">
        <v>864</v>
      </c>
      <c r="D28" t="s">
        <v>865</v>
      </c>
      <c r="E28" t="s">
        <v>866</v>
      </c>
      <c r="F28" t="s">
        <v>867</v>
      </c>
    </row>
    <row r="29" spans="1:6" ht="14.25" customHeight="1">
      <c r="A29">
        <v>29</v>
      </c>
      <c r="B29" s="182">
        <v>46157</v>
      </c>
      <c r="C29" t="s">
        <v>868</v>
      </c>
      <c r="D29" t="s">
        <v>869</v>
      </c>
      <c r="E29" t="s">
        <v>870</v>
      </c>
      <c r="F29" t="s">
        <v>871</v>
      </c>
    </row>
    <row r="30" spans="1:6" ht="14.25" customHeight="1">
      <c r="A30">
        <v>30</v>
      </c>
      <c r="B30" s="182">
        <v>46157</v>
      </c>
      <c r="C30" t="s">
        <v>872</v>
      </c>
      <c r="D30" t="s">
        <v>873</v>
      </c>
      <c r="E30" t="s">
        <v>874</v>
      </c>
      <c r="F30" t="s">
        <v>875</v>
      </c>
    </row>
    <row r="31" spans="1:6" ht="14.25" customHeight="1">
      <c r="A31">
        <v>31</v>
      </c>
      <c r="B31" s="182">
        <v>46157</v>
      </c>
      <c r="C31" t="s">
        <v>876</v>
      </c>
      <c r="D31" t="s">
        <v>877</v>
      </c>
      <c r="E31" t="s">
        <v>878</v>
      </c>
      <c r="F31" t="s">
        <v>879</v>
      </c>
    </row>
    <row r="32" spans="1:6" ht="14.25" customHeight="1">
      <c r="A32">
        <v>32</v>
      </c>
      <c r="B32" s="182">
        <v>46157</v>
      </c>
      <c r="C32" t="s">
        <v>880</v>
      </c>
      <c r="D32" t="s">
        <v>881</v>
      </c>
      <c r="E32" t="s">
        <v>882</v>
      </c>
      <c r="F32" t="s">
        <v>883</v>
      </c>
    </row>
    <row r="33" spans="1:6" ht="14.25" customHeight="1">
      <c r="A33">
        <v>33</v>
      </c>
      <c r="B33" s="182">
        <v>46157</v>
      </c>
      <c r="C33" t="s">
        <v>884</v>
      </c>
      <c r="D33" t="s">
        <v>885</v>
      </c>
      <c r="E33" t="s">
        <v>886</v>
      </c>
      <c r="F33" t="s">
        <v>887</v>
      </c>
    </row>
    <row r="34" spans="1:6" ht="14.25" customHeight="1">
      <c r="A34">
        <v>34</v>
      </c>
      <c r="B34" s="182">
        <v>46157</v>
      </c>
      <c r="C34" t="s">
        <v>888</v>
      </c>
      <c r="D34" t="s">
        <v>889</v>
      </c>
      <c r="E34" t="s">
        <v>890</v>
      </c>
      <c r="F34" t="s">
        <v>891</v>
      </c>
    </row>
    <row r="35" spans="1:6" ht="14.25" customHeight="1">
      <c r="A35">
        <v>35</v>
      </c>
      <c r="B35" s="182">
        <v>46157</v>
      </c>
      <c r="C35" t="s">
        <v>894</v>
      </c>
      <c r="D35" t="s">
        <v>895</v>
      </c>
      <c r="E35" t="s">
        <v>896</v>
      </c>
      <c r="F35" t="s">
        <v>897</v>
      </c>
    </row>
    <row r="36" spans="1:6" ht="14.25" customHeight="1">
      <c r="A36">
        <v>36</v>
      </c>
      <c r="B36" s="182">
        <v>46157</v>
      </c>
      <c r="C36" t="s">
        <v>898</v>
      </c>
      <c r="D36" t="s">
        <v>899</v>
      </c>
      <c r="E36" t="s">
        <v>900</v>
      </c>
      <c r="F36" t="s">
        <v>901</v>
      </c>
    </row>
    <row r="37" spans="1:6" ht="14.25" customHeight="1">
      <c r="A37">
        <v>37</v>
      </c>
      <c r="B37" s="182">
        <v>46157</v>
      </c>
      <c r="C37" t="s">
        <v>902</v>
      </c>
      <c r="D37" t="s">
        <v>903</v>
      </c>
      <c r="E37" t="s">
        <v>904</v>
      </c>
      <c r="F37" t="s">
        <v>905</v>
      </c>
    </row>
    <row r="38" spans="1:6" ht="14.25" customHeight="1">
      <c r="A38">
        <v>38</v>
      </c>
      <c r="B38" s="182">
        <v>46157</v>
      </c>
      <c r="C38" t="s">
        <v>906</v>
      </c>
      <c r="D38" t="s">
        <v>907</v>
      </c>
      <c r="E38" t="s">
        <v>908</v>
      </c>
      <c r="F38" t="s">
        <v>909</v>
      </c>
    </row>
    <row r="39" spans="1:6" ht="14.25" customHeight="1">
      <c r="A39">
        <v>39</v>
      </c>
      <c r="B39" s="180">
        <v>46157</v>
      </c>
      <c r="C39" t="s">
        <v>910</v>
      </c>
      <c r="D39" t="s">
        <v>911</v>
      </c>
      <c r="E39" s="186" t="s">
        <v>912</v>
      </c>
      <c r="F39" t="s">
        <v>913</v>
      </c>
    </row>
    <row r="40" spans="1:6" ht="14.25" customHeight="1">
      <c r="A40">
        <v>40</v>
      </c>
      <c r="B40" s="182">
        <v>46157</v>
      </c>
      <c r="C40" t="s">
        <v>914</v>
      </c>
      <c r="D40" t="s">
        <v>915</v>
      </c>
      <c r="E40" t="s">
        <v>916</v>
      </c>
      <c r="F40" t="s">
        <v>917</v>
      </c>
    </row>
    <row r="41" spans="1:6" ht="14.25" customHeight="1">
      <c r="A41">
        <v>41</v>
      </c>
      <c r="B41" s="182">
        <v>46157</v>
      </c>
      <c r="C41" t="s">
        <v>918</v>
      </c>
      <c r="D41" t="s">
        <v>919</v>
      </c>
      <c r="E41" t="s">
        <v>920</v>
      </c>
      <c r="F41" t="s">
        <v>921</v>
      </c>
    </row>
    <row r="42" spans="1:6" ht="14.25" customHeight="1">
      <c r="A42">
        <v>42</v>
      </c>
      <c r="B42" s="182">
        <v>46158</v>
      </c>
      <c r="C42" t="s">
        <v>922</v>
      </c>
      <c r="D42" t="s">
        <v>923</v>
      </c>
      <c r="E42" t="s">
        <v>924</v>
      </c>
      <c r="F42" t="s">
        <v>925</v>
      </c>
    </row>
    <row r="43" spans="1:6" ht="14.25" customHeight="1">
      <c r="A43">
        <v>43</v>
      </c>
      <c r="B43" s="182">
        <v>46158</v>
      </c>
      <c r="C43" t="s">
        <v>926</v>
      </c>
      <c r="D43" t="s">
        <v>927</v>
      </c>
      <c r="E43" t="s">
        <v>928</v>
      </c>
      <c r="F43" t="s">
        <v>929</v>
      </c>
    </row>
    <row r="44" spans="1:6" ht="14.25" customHeight="1">
      <c r="A44">
        <v>44</v>
      </c>
      <c r="B44" s="182">
        <v>46158</v>
      </c>
      <c r="C44" t="s">
        <v>949</v>
      </c>
      <c r="D44" t="s">
        <v>950</v>
      </c>
      <c r="E44" t="s">
        <v>951</v>
      </c>
      <c r="F44" t="s">
        <v>952</v>
      </c>
    </row>
    <row r="45" spans="1:6" ht="14.25" customHeight="1">
      <c r="A45">
        <v>45</v>
      </c>
      <c r="B45" s="182">
        <v>46158</v>
      </c>
      <c r="C45" t="s">
        <v>965</v>
      </c>
      <c r="D45" t="s">
        <v>966</v>
      </c>
      <c r="E45" t="s">
        <v>967</v>
      </c>
      <c r="F45" t="s">
        <v>968</v>
      </c>
    </row>
    <row r="46" spans="1:6" ht="14.25" customHeight="1">
      <c r="A46">
        <v>46</v>
      </c>
      <c r="B46" s="182">
        <v>46158</v>
      </c>
      <c r="C46" t="s">
        <v>970</v>
      </c>
      <c r="D46" t="s">
        <v>971</v>
      </c>
      <c r="E46" t="s">
        <v>972</v>
      </c>
      <c r="F46" t="s">
        <v>973</v>
      </c>
    </row>
    <row r="47" spans="1:6" ht="14.25" customHeight="1">
      <c r="A47">
        <v>47</v>
      </c>
      <c r="B47" s="182">
        <v>46158</v>
      </c>
      <c r="C47" t="s">
        <v>974</v>
      </c>
      <c r="D47" t="s">
        <v>975</v>
      </c>
      <c r="E47" t="s">
        <v>976</v>
      </c>
      <c r="F47" t="s">
        <v>977</v>
      </c>
    </row>
    <row r="48" spans="1:6" ht="14.25" customHeight="1">
      <c r="A48">
        <v>48</v>
      </c>
      <c r="B48" s="182">
        <v>46158</v>
      </c>
      <c r="C48" t="s">
        <v>978</v>
      </c>
      <c r="D48" t="s">
        <v>979</v>
      </c>
      <c r="E48" t="s">
        <v>980</v>
      </c>
      <c r="F48" t="s">
        <v>981</v>
      </c>
    </row>
    <row r="49" spans="1:6" ht="14.25" customHeight="1">
      <c r="A49">
        <v>49</v>
      </c>
      <c r="B49" s="182">
        <v>46159</v>
      </c>
      <c r="C49" t="s">
        <v>982</v>
      </c>
      <c r="D49" t="s">
        <v>983</v>
      </c>
      <c r="E49" t="s">
        <v>984</v>
      </c>
      <c r="F49" t="s">
        <v>985</v>
      </c>
    </row>
    <row r="50" spans="1:6" ht="14.25" customHeight="1">
      <c r="A50">
        <v>50</v>
      </c>
      <c r="B50" s="182">
        <v>46159</v>
      </c>
      <c r="C50" t="s">
        <v>986</v>
      </c>
      <c r="D50" t="s">
        <v>987</v>
      </c>
      <c r="E50" t="s">
        <v>988</v>
      </c>
      <c r="F50" t="s">
        <v>989</v>
      </c>
    </row>
    <row r="51" spans="1:6" ht="14.25" customHeight="1">
      <c r="A51">
        <v>51</v>
      </c>
      <c r="B51" s="180">
        <v>46159</v>
      </c>
      <c r="C51" t="s">
        <v>990</v>
      </c>
      <c r="D51" t="s">
        <v>991</v>
      </c>
      <c r="E51" t="s">
        <v>992</v>
      </c>
      <c r="F51" t="s">
        <v>993</v>
      </c>
    </row>
    <row r="52" spans="1:6" ht="14.25" customHeight="1">
      <c r="A52">
        <v>52</v>
      </c>
      <c r="B52" s="180">
        <v>46159</v>
      </c>
      <c r="C52" t="s">
        <v>994</v>
      </c>
      <c r="D52" t="s">
        <v>995</v>
      </c>
      <c r="E52" t="s">
        <v>996</v>
      </c>
      <c r="F52" t="s">
        <v>997</v>
      </c>
    </row>
    <row r="53" spans="1:6" ht="14.25" customHeight="1">
      <c r="A53">
        <v>53</v>
      </c>
      <c r="B53" s="180">
        <v>46159</v>
      </c>
      <c r="C53" t="s">
        <v>998</v>
      </c>
      <c r="D53" t="s">
        <v>999</v>
      </c>
      <c r="E53" t="s">
        <v>1000</v>
      </c>
      <c r="F53" t="s">
        <v>1001</v>
      </c>
    </row>
    <row r="54" spans="1:6" ht="14.25" customHeight="1">
      <c r="A54">
        <v>54</v>
      </c>
      <c r="B54" s="180">
        <v>46159</v>
      </c>
      <c r="C54" t="s">
        <v>1002</v>
      </c>
      <c r="D54" t="s">
        <v>1003</v>
      </c>
      <c r="E54" t="s">
        <v>1004</v>
      </c>
      <c r="F54" t="s">
        <v>1005</v>
      </c>
    </row>
    <row r="55" spans="1:6" ht="14.25" customHeight="1">
      <c r="A55">
        <v>55</v>
      </c>
      <c r="B55" s="180">
        <v>46159</v>
      </c>
      <c r="C55" t="s">
        <v>1014</v>
      </c>
      <c r="D55" t="s">
        <v>1015</v>
      </c>
      <c r="E55" t="s">
        <v>1016</v>
      </c>
      <c r="F55" t="s">
        <v>1017</v>
      </c>
    </row>
    <row r="56" spans="1:6" ht="14.25" customHeight="1">
      <c r="A56">
        <v>56</v>
      </c>
      <c r="B56" s="180">
        <v>46159</v>
      </c>
      <c r="C56" t="s">
        <v>1018</v>
      </c>
      <c r="D56" t="s">
        <v>1019</v>
      </c>
      <c r="E56" t="s">
        <v>1020</v>
      </c>
      <c r="F56" t="s">
        <v>1021</v>
      </c>
    </row>
    <row r="57" spans="1:6" ht="14.25" customHeight="1">
      <c r="A57">
        <v>57</v>
      </c>
      <c r="B57" s="180">
        <v>46159</v>
      </c>
      <c r="C57" t="s">
        <v>1022</v>
      </c>
      <c r="D57" t="s">
        <v>1023</v>
      </c>
      <c r="E57" t="s">
        <v>1024</v>
      </c>
      <c r="F57" t="s">
        <v>1025</v>
      </c>
    </row>
    <row r="58" spans="1:6" ht="14.25" customHeight="1">
      <c r="A58">
        <v>58</v>
      </c>
      <c r="B58" s="180">
        <v>46159</v>
      </c>
      <c r="C58" t="s">
        <v>1048</v>
      </c>
      <c r="D58" t="s">
        <v>1049</v>
      </c>
      <c r="E58" t="s">
        <v>1050</v>
      </c>
      <c r="F58" t="s">
        <v>1051</v>
      </c>
    </row>
    <row r="59" spans="1:6" ht="14.25" customHeight="1">
      <c r="A59">
        <v>59</v>
      </c>
      <c r="B59" s="180">
        <v>46159</v>
      </c>
      <c r="C59" t="s">
        <v>1052</v>
      </c>
      <c r="D59" t="s">
        <v>1053</v>
      </c>
      <c r="E59" t="s">
        <v>1054</v>
      </c>
      <c r="F59" t="s">
        <v>1055</v>
      </c>
    </row>
    <row r="60" spans="1:6" ht="14.25" customHeight="1">
      <c r="A60">
        <v>60</v>
      </c>
      <c r="B60" s="180">
        <v>46159</v>
      </c>
      <c r="C60" t="s">
        <v>1056</v>
      </c>
      <c r="D60" t="s">
        <v>1057</v>
      </c>
      <c r="E60" t="s">
        <v>1058</v>
      </c>
      <c r="F60" t="s">
        <v>1059</v>
      </c>
    </row>
    <row r="61" spans="1:6" ht="14.25" customHeight="1">
      <c r="A61">
        <v>61</v>
      </c>
      <c r="B61" s="180">
        <v>46159</v>
      </c>
      <c r="C61" t="s">
        <v>1060</v>
      </c>
      <c r="D61" t="s">
        <v>1061</v>
      </c>
      <c r="E61" t="s">
        <v>1062</v>
      </c>
      <c r="F61" t="s">
        <v>1063</v>
      </c>
    </row>
    <row r="62" spans="1:6" ht="14.25" customHeight="1">
      <c r="A62">
        <v>62</v>
      </c>
      <c r="B62" s="180">
        <v>46159</v>
      </c>
      <c r="C62" t="s">
        <v>1066</v>
      </c>
      <c r="D62" t="s">
        <v>1067</v>
      </c>
      <c r="E62" t="s">
        <v>1068</v>
      </c>
      <c r="F62" t="s">
        <v>1069</v>
      </c>
    </row>
    <row r="63" spans="1:6" ht="14.25" customHeight="1">
      <c r="A63">
        <v>63</v>
      </c>
      <c r="B63" s="180">
        <v>46159</v>
      </c>
      <c r="C63" t="s">
        <v>1073</v>
      </c>
      <c r="D63" t="s">
        <v>1074</v>
      </c>
      <c r="E63" t="s">
        <v>1075</v>
      </c>
      <c r="F63" t="s">
        <v>1076</v>
      </c>
    </row>
    <row r="64" spans="1:6" ht="14.25" customHeight="1">
      <c r="A64">
        <v>64</v>
      </c>
      <c r="B64" s="180">
        <v>46159</v>
      </c>
      <c r="C64" t="s">
        <v>1077</v>
      </c>
      <c r="D64" t="s">
        <v>1078</v>
      </c>
      <c r="E64" t="s">
        <v>1079</v>
      </c>
      <c r="F64" t="s">
        <v>1080</v>
      </c>
    </row>
    <row r="65" spans="1:6" ht="14.25" customHeight="1">
      <c r="A65">
        <v>65</v>
      </c>
      <c r="B65" s="180">
        <v>46159</v>
      </c>
      <c r="C65" t="s">
        <v>1081</v>
      </c>
      <c r="D65" t="s">
        <v>1082</v>
      </c>
      <c r="E65" t="s">
        <v>1083</v>
      </c>
      <c r="F65" t="s">
        <v>1084</v>
      </c>
    </row>
    <row r="66" spans="1:6" ht="14.25" customHeight="1">
      <c r="A66">
        <v>66</v>
      </c>
      <c r="B66" s="180">
        <v>46159</v>
      </c>
      <c r="C66" t="s">
        <v>1085</v>
      </c>
      <c r="D66" t="s">
        <v>1086</v>
      </c>
      <c r="E66" t="s">
        <v>1087</v>
      </c>
      <c r="F66" t="s">
        <v>1088</v>
      </c>
    </row>
    <row r="67" spans="1:6" ht="14.25" customHeight="1">
      <c r="A67">
        <v>67</v>
      </c>
      <c r="B67" s="180">
        <v>46161</v>
      </c>
      <c r="C67" t="s">
        <v>1089</v>
      </c>
      <c r="D67" t="s">
        <v>1090</v>
      </c>
      <c r="E67" t="s">
        <v>1091</v>
      </c>
      <c r="F67" t="s">
        <v>1092</v>
      </c>
    </row>
    <row r="68" spans="1:6">
      <c r="A68">
        <v>68</v>
      </c>
      <c r="B68" s="180">
        <v>46161</v>
      </c>
      <c r="C68" t="s">
        <v>1093</v>
      </c>
      <c r="D68" t="s">
        <v>1094</v>
      </c>
      <c r="E68" t="s">
        <v>1095</v>
      </c>
      <c r="F68" t="s">
        <v>1096</v>
      </c>
    </row>
    <row r="69" spans="1:6">
      <c r="A69">
        <v>69</v>
      </c>
      <c r="B69" s="180">
        <v>46161</v>
      </c>
      <c r="C69" t="s">
        <v>1097</v>
      </c>
      <c r="D69" t="s">
        <v>1098</v>
      </c>
      <c r="E69" t="s">
        <v>1099</v>
      </c>
      <c r="F69" t="s">
        <v>1100</v>
      </c>
    </row>
    <row r="70" spans="1:6">
      <c r="A70">
        <v>70</v>
      </c>
      <c r="B70" s="180">
        <v>46161</v>
      </c>
      <c r="C70" t="s">
        <v>1101</v>
      </c>
      <c r="D70" t="s">
        <v>1102</v>
      </c>
      <c r="E70" t="s">
        <v>1103</v>
      </c>
      <c r="F70" t="s">
        <v>1104</v>
      </c>
    </row>
    <row r="71" spans="1:6">
      <c r="A71">
        <v>71</v>
      </c>
      <c r="B71" s="180">
        <v>46161</v>
      </c>
      <c r="C71" t="s">
        <v>1105</v>
      </c>
      <c r="D71" t="s">
        <v>1106</v>
      </c>
      <c r="E71" t="s">
        <v>1107</v>
      </c>
      <c r="F71" t="s">
        <v>1108</v>
      </c>
    </row>
    <row r="72" spans="1:6">
      <c r="A72">
        <v>72</v>
      </c>
      <c r="B72" s="180">
        <v>46161</v>
      </c>
      <c r="C72" t="s">
        <v>1109</v>
      </c>
      <c r="D72" t="s">
        <v>1110</v>
      </c>
      <c r="E72" t="s">
        <v>1111</v>
      </c>
      <c r="F72" t="s">
        <v>1112</v>
      </c>
    </row>
    <row r="73" spans="1:6">
      <c r="A73">
        <v>73</v>
      </c>
      <c r="B73" s="180">
        <v>46161</v>
      </c>
      <c r="C73" t="s">
        <v>1113</v>
      </c>
      <c r="D73" t="s">
        <v>1114</v>
      </c>
      <c r="E73" t="s">
        <v>1115</v>
      </c>
      <c r="F73" t="s">
        <v>1116</v>
      </c>
    </row>
    <row r="74" spans="1:6">
      <c r="A74">
        <v>74</v>
      </c>
      <c r="B74" s="180">
        <v>46161</v>
      </c>
      <c r="C74" t="s">
        <v>1117</v>
      </c>
      <c r="D74" t="s">
        <v>1118</v>
      </c>
      <c r="E74" t="s">
        <v>1119</v>
      </c>
      <c r="F74" t="s">
        <v>1120</v>
      </c>
    </row>
    <row r="75" spans="1:6">
      <c r="A75">
        <v>75</v>
      </c>
      <c r="B75" s="180">
        <v>46161</v>
      </c>
      <c r="C75" t="s">
        <v>1121</v>
      </c>
      <c r="D75" t="s">
        <v>1122</v>
      </c>
      <c r="E75" t="s">
        <v>1123</v>
      </c>
      <c r="F75" t="s">
        <v>1124</v>
      </c>
    </row>
    <row r="76" spans="1:6">
      <c r="A76">
        <v>76</v>
      </c>
      <c r="B76" s="180">
        <v>46161</v>
      </c>
      <c r="C76" t="s">
        <v>1125</v>
      </c>
      <c r="D76" t="s">
        <v>1126</v>
      </c>
      <c r="E76" t="s">
        <v>1127</v>
      </c>
      <c r="F76" t="s">
        <v>1128</v>
      </c>
    </row>
    <row r="77" spans="1:6">
      <c r="A77">
        <v>77</v>
      </c>
      <c r="B77" s="180">
        <v>46161</v>
      </c>
      <c r="C77" t="s">
        <v>1129</v>
      </c>
      <c r="D77" t="s">
        <v>1130</v>
      </c>
      <c r="E77" t="s">
        <v>1131</v>
      </c>
      <c r="F77" t="s">
        <v>1132</v>
      </c>
    </row>
    <row r="78" spans="1:6">
      <c r="A78">
        <v>78</v>
      </c>
      <c r="B78" s="180">
        <v>46161</v>
      </c>
      <c r="C78" t="s">
        <v>1133</v>
      </c>
      <c r="D78" t="s">
        <v>1134</v>
      </c>
      <c r="E78" t="s">
        <v>1135</v>
      </c>
      <c r="F78" t="s">
        <v>1136</v>
      </c>
    </row>
    <row r="79" spans="1:6">
      <c r="A79">
        <v>79</v>
      </c>
      <c r="B79" s="180">
        <v>46161</v>
      </c>
      <c r="C79" t="s">
        <v>1142</v>
      </c>
      <c r="D79" t="s">
        <v>1143</v>
      </c>
      <c r="E79" t="s">
        <v>1144</v>
      </c>
      <c r="F79" t="s">
        <v>1145</v>
      </c>
    </row>
    <row r="80" spans="1:6">
      <c r="A80">
        <v>80</v>
      </c>
      <c r="B80" s="180">
        <v>46161</v>
      </c>
      <c r="C80" t="s">
        <v>1146</v>
      </c>
      <c r="D80" t="s">
        <v>1147</v>
      </c>
      <c r="E80" t="s">
        <v>1148</v>
      </c>
      <c r="F80" t="s">
        <v>1149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1E806-A347-4106-99DE-247BEEEA1451}">
  <sheetPr codeName="Hoja1"/>
  <dimension ref="A1:AC70"/>
  <sheetViews>
    <sheetView showGridLines="0" topLeftCell="A24" zoomScale="120" zoomScaleNormal="120" workbookViewId="0">
      <selection activeCell="J40" sqref="J40:Q40"/>
    </sheetView>
  </sheetViews>
  <sheetFormatPr baseColWidth="10" defaultColWidth="0" defaultRowHeight="17.25" zeroHeight="1"/>
  <cols>
    <col min="1" max="1" width="5.42578125" style="58" customWidth="1"/>
    <col min="2" max="2" width="3.7109375" style="58" customWidth="1"/>
    <col min="3" max="3" width="10.5703125" style="58" customWidth="1"/>
    <col min="4" max="4" width="12.28515625" style="58" customWidth="1"/>
    <col min="5" max="5" width="4.85546875" style="58" customWidth="1"/>
    <col min="6" max="6" width="2" style="58" customWidth="1"/>
    <col min="7" max="7" width="3.7109375" style="58" customWidth="1"/>
    <col min="8" max="8" width="2" style="58" customWidth="1"/>
    <col min="9" max="9" width="4.42578125" style="58" customWidth="1"/>
    <col min="10" max="11" width="4.5703125" style="58" customWidth="1"/>
    <col min="12" max="12" width="8.42578125" style="58" customWidth="1"/>
    <col min="13" max="13" width="6.5703125" style="58" customWidth="1"/>
    <col min="14" max="14" width="4.28515625" style="58" customWidth="1"/>
    <col min="15" max="15" width="9.42578125" style="58" customWidth="1"/>
    <col min="16" max="16" width="6.140625" style="58" bestFit="1" customWidth="1"/>
    <col min="17" max="17" width="14.42578125" style="58" customWidth="1"/>
    <col min="18" max="18" width="6" style="58" customWidth="1"/>
    <col min="19" max="19" width="11.42578125" style="58" hidden="1" customWidth="1"/>
    <col min="20" max="20" width="14.42578125" style="58" hidden="1" customWidth="1"/>
    <col min="21" max="21" width="42.140625" style="58" hidden="1" customWidth="1"/>
    <col min="22" max="22" width="14.42578125" style="58" hidden="1" customWidth="1"/>
    <col min="23" max="23" width="33.5703125" style="58" hidden="1" customWidth="1"/>
    <col min="24" max="24" width="15" style="58" hidden="1" customWidth="1"/>
    <col min="25" max="25" width="58.5703125" style="58" hidden="1" customWidth="1"/>
    <col min="26" max="26" width="11.42578125" style="58" hidden="1" customWidth="1"/>
    <col min="27" max="27" width="44.5703125" style="58" hidden="1" customWidth="1"/>
    <col min="28" max="28" width="14.42578125" style="58" hidden="1" customWidth="1"/>
    <col min="29" max="29" width="0" style="58" hidden="1" customWidth="1"/>
    <col min="30" max="16384" width="11.42578125" style="58" hidden="1"/>
  </cols>
  <sheetData>
    <row r="1" spans="2:29">
      <c r="B1" s="55"/>
      <c r="C1" s="55"/>
      <c r="D1" s="55"/>
      <c r="E1" s="55"/>
      <c r="F1" s="55"/>
      <c r="G1" s="55"/>
      <c r="H1" s="55"/>
      <c r="I1" s="55"/>
      <c r="J1" s="55"/>
      <c r="K1" s="55"/>
      <c r="L1" s="55"/>
      <c r="M1" s="55"/>
      <c r="N1" s="55"/>
      <c r="O1" s="55"/>
      <c r="P1" s="55"/>
      <c r="Q1" s="55"/>
      <c r="T1" s="58" t="b">
        <v>0</v>
      </c>
      <c r="U1" s="58" t="s">
        <v>725</v>
      </c>
      <c r="V1" s="58" t="b">
        <v>0</v>
      </c>
      <c r="W1" s="58" t="s">
        <v>582</v>
      </c>
      <c r="X1" s="58">
        <f>+B34</f>
        <v>0</v>
      </c>
      <c r="Y1" s="58" t="s">
        <v>620</v>
      </c>
      <c r="Z1" s="58" t="b">
        <v>0</v>
      </c>
      <c r="AA1" s="58" t="s">
        <v>589</v>
      </c>
      <c r="AB1" s="58" t="b">
        <v>0</v>
      </c>
      <c r="AC1" s="58" t="s">
        <v>596</v>
      </c>
    </row>
    <row r="2" spans="2:29">
      <c r="B2" s="55"/>
      <c r="C2" s="55"/>
      <c r="D2" s="55"/>
      <c r="E2" s="55"/>
      <c r="F2" s="55"/>
      <c r="G2" s="55"/>
      <c r="H2" s="55"/>
      <c r="I2" s="55"/>
      <c r="J2" s="55"/>
      <c r="K2" s="55"/>
      <c r="L2" s="55"/>
      <c r="M2" s="55"/>
      <c r="N2" s="55"/>
      <c r="O2" s="55"/>
      <c r="P2" s="55"/>
      <c r="Q2" s="55"/>
      <c r="T2" s="58" t="b">
        <v>0</v>
      </c>
      <c r="U2" s="58" t="s">
        <v>726</v>
      </c>
      <c r="V2" s="58" t="b">
        <v>0</v>
      </c>
      <c r="W2" s="58" t="s">
        <v>583</v>
      </c>
      <c r="X2" s="58">
        <f>+B36</f>
        <v>0</v>
      </c>
      <c r="Y2" s="58" t="s">
        <v>621</v>
      </c>
      <c r="Z2" s="58" t="b">
        <v>0</v>
      </c>
      <c r="AA2" s="58" t="s">
        <v>590</v>
      </c>
      <c r="AB2" s="58" t="b">
        <v>1</v>
      </c>
      <c r="AC2" s="58" t="s">
        <v>597</v>
      </c>
    </row>
    <row r="3" spans="2:29">
      <c r="B3" s="55"/>
      <c r="C3" s="55"/>
      <c r="D3" s="55"/>
      <c r="E3" s="55"/>
      <c r="F3" s="55"/>
      <c r="G3" s="55"/>
      <c r="H3" s="55"/>
      <c r="I3" s="55"/>
      <c r="J3" s="55"/>
      <c r="K3" s="55"/>
      <c r="L3" s="55"/>
      <c r="M3" s="55"/>
      <c r="N3" s="55"/>
      <c r="O3" s="55"/>
      <c r="P3" s="55"/>
      <c r="Q3" s="55"/>
      <c r="T3" s="58" t="b">
        <v>0</v>
      </c>
      <c r="U3" s="58" t="s">
        <v>727</v>
      </c>
      <c r="V3" s="58" t="b">
        <v>0</v>
      </c>
      <c r="W3" s="58" t="s">
        <v>584</v>
      </c>
      <c r="X3" s="58">
        <f>+B38</f>
        <v>0</v>
      </c>
      <c r="Y3" s="58" t="s">
        <v>622</v>
      </c>
      <c r="Z3" s="58" t="b">
        <v>0</v>
      </c>
      <c r="AA3" s="58" t="s">
        <v>591</v>
      </c>
      <c r="AB3" s="58" t="b">
        <v>0</v>
      </c>
      <c r="AC3" s="58" t="s">
        <v>598</v>
      </c>
    </row>
    <row r="4" spans="2:29">
      <c r="B4" s="55"/>
      <c r="C4" s="55"/>
      <c r="D4" s="55"/>
      <c r="E4" s="55"/>
      <c r="F4" s="55"/>
      <c r="G4" s="55"/>
      <c r="H4" s="55"/>
      <c r="I4" s="55"/>
      <c r="J4" s="55"/>
      <c r="K4" s="55"/>
      <c r="L4" s="55"/>
      <c r="M4" s="55"/>
      <c r="N4" s="55"/>
      <c r="O4" s="55"/>
      <c r="P4" s="55"/>
      <c r="Q4" s="55"/>
      <c r="T4" s="58" t="b">
        <v>1</v>
      </c>
      <c r="U4" s="58" t="s">
        <v>728</v>
      </c>
      <c r="V4" s="58" t="b">
        <v>0</v>
      </c>
      <c r="W4" s="58" t="s">
        <v>585</v>
      </c>
      <c r="X4" s="58">
        <f>+B40</f>
        <v>0</v>
      </c>
      <c r="Y4" s="58" t="s">
        <v>623</v>
      </c>
      <c r="Z4" s="58" t="b">
        <v>0</v>
      </c>
      <c r="AA4" s="58" t="s">
        <v>592</v>
      </c>
      <c r="AB4" s="58" t="b">
        <v>0</v>
      </c>
      <c r="AC4" s="58" t="s">
        <v>599</v>
      </c>
    </row>
    <row r="5" spans="2:29">
      <c r="B5" s="55"/>
      <c r="C5" s="55"/>
      <c r="D5" s="55"/>
      <c r="E5" s="55"/>
      <c r="F5" s="55"/>
      <c r="G5" s="55"/>
      <c r="H5" s="55"/>
      <c r="I5" s="55"/>
      <c r="J5" s="55"/>
      <c r="K5" s="55"/>
      <c r="L5" s="55"/>
      <c r="M5" s="55"/>
      <c r="N5" s="55"/>
      <c r="O5" s="55"/>
      <c r="P5" s="55"/>
      <c r="Q5" s="55"/>
      <c r="T5" s="58" t="b">
        <v>0</v>
      </c>
      <c r="U5" s="58" t="s">
        <v>729</v>
      </c>
      <c r="V5" s="58" t="b">
        <v>0</v>
      </c>
      <c r="W5" s="58" t="s">
        <v>586</v>
      </c>
      <c r="X5" s="58">
        <f>+G34</f>
        <v>0</v>
      </c>
      <c r="Y5" s="58" t="s">
        <v>624</v>
      </c>
      <c r="Z5" s="58" t="b">
        <v>0</v>
      </c>
      <c r="AA5" s="58" t="s">
        <v>593</v>
      </c>
      <c r="AB5" s="58" t="b">
        <v>0</v>
      </c>
      <c r="AC5" s="91" t="s">
        <v>600</v>
      </c>
    </row>
    <row r="6" spans="2:29">
      <c r="B6" s="55"/>
      <c r="C6" s="55"/>
      <c r="D6" s="55"/>
      <c r="E6" s="55"/>
      <c r="F6" s="55"/>
      <c r="G6" s="55"/>
      <c r="H6" s="55"/>
      <c r="I6" s="55"/>
      <c r="J6" s="55"/>
      <c r="K6" s="55"/>
      <c r="L6" s="55"/>
      <c r="M6" s="55"/>
      <c r="N6" s="55"/>
      <c r="O6" s="55"/>
      <c r="P6" s="55"/>
      <c r="Q6" s="55"/>
      <c r="U6" s="157" t="str">
        <f>IFERROR(INDEX(U1:U5, MATCH(TRUE, T1:T5, 0)),"")</f>
        <v>bachillerato superior o formación profesional</v>
      </c>
      <c r="W6" s="58" t="s">
        <v>587</v>
      </c>
      <c r="X6" s="58">
        <f>+G36</f>
        <v>0</v>
      </c>
      <c r="Y6" s="58" t="s">
        <v>625</v>
      </c>
      <c r="Z6" s="58" t="b">
        <v>0</v>
      </c>
      <c r="AA6" s="58" t="s">
        <v>594</v>
      </c>
      <c r="AB6" s="58" t="b">
        <v>0</v>
      </c>
      <c r="AC6" s="58" t="s">
        <v>601</v>
      </c>
    </row>
    <row r="7" spans="2:29">
      <c r="B7" s="55"/>
      <c r="C7" s="55"/>
      <c r="D7" s="55"/>
      <c r="E7" s="55"/>
      <c r="F7" s="55"/>
      <c r="G7" s="55"/>
      <c r="H7" s="55"/>
      <c r="I7" s="55"/>
      <c r="J7" s="55"/>
      <c r="K7" s="55"/>
      <c r="L7" s="55"/>
      <c r="M7" s="55"/>
      <c r="N7" s="55"/>
      <c r="O7" s="55"/>
      <c r="P7" s="55"/>
      <c r="Q7" s="55"/>
      <c r="V7" s="58" t="b">
        <v>0</v>
      </c>
      <c r="W7" s="58" t="s">
        <v>588</v>
      </c>
      <c r="X7" s="58">
        <f>+G38</f>
        <v>0</v>
      </c>
      <c r="Y7" s="58" t="s">
        <v>626</v>
      </c>
      <c r="Z7" s="58" t="b">
        <v>1</v>
      </c>
      <c r="AA7" s="58" t="str">
        <f>IF(N52="","",  N52)</f>
        <v>Proceso Penal</v>
      </c>
      <c r="AB7" s="58" t="b">
        <v>0</v>
      </c>
      <c r="AC7" s="58" t="s">
        <v>602</v>
      </c>
    </row>
    <row r="8" spans="2:29" ht="18.75">
      <c r="B8" s="239" t="s">
        <v>564</v>
      </c>
      <c r="C8" s="239"/>
      <c r="D8" s="239"/>
      <c r="E8" s="239"/>
      <c r="F8" s="239"/>
      <c r="G8" s="239"/>
      <c r="H8" s="239"/>
      <c r="I8" s="239"/>
      <c r="J8" s="239"/>
      <c r="K8" s="239"/>
      <c r="L8" s="239"/>
      <c r="M8" s="239"/>
      <c r="N8" s="239"/>
      <c r="O8" s="239"/>
      <c r="P8" s="239"/>
      <c r="Q8" s="239"/>
      <c r="V8" s="58" t="b">
        <v>0</v>
      </c>
      <c r="W8" s="60" t="str">
        <f>IF(N28="","",  N28)</f>
        <v/>
      </c>
      <c r="X8" s="58">
        <f>+N34</f>
        <v>0</v>
      </c>
      <c r="Y8" s="58" t="s">
        <v>627</v>
      </c>
      <c r="AA8" s="157" t="str">
        <f>IFERROR(INDEX(AA1:AA7, MATCH(TRUE, Z1:Z7, 0)),"")</f>
        <v>Proceso Penal</v>
      </c>
      <c r="AB8" s="58" t="b">
        <v>0</v>
      </c>
      <c r="AC8" s="58" t="s">
        <v>605</v>
      </c>
    </row>
    <row r="9" spans="2:29">
      <c r="W9" s="157" t="str">
        <f>IFERROR(INDEX(W1:W8, MATCH(TRUE, V1:V8, 0)),"")</f>
        <v/>
      </c>
      <c r="X9" s="58">
        <f>+N36</f>
        <v>0</v>
      </c>
      <c r="Y9" s="58" t="s">
        <v>628</v>
      </c>
      <c r="AB9" s="58" t="b">
        <v>1</v>
      </c>
      <c r="AC9" s="58" t="s">
        <v>603</v>
      </c>
    </row>
    <row r="10" spans="2:29">
      <c r="B10" s="241" t="s">
        <v>360</v>
      </c>
      <c r="C10" s="241"/>
      <c r="D10" s="246" t="s">
        <v>892</v>
      </c>
      <c r="E10" s="246"/>
      <c r="F10" s="246"/>
      <c r="G10" s="246"/>
      <c r="H10" s="246"/>
      <c r="I10" s="246"/>
      <c r="J10" s="246"/>
      <c r="K10" s="246"/>
      <c r="L10" s="246"/>
      <c r="M10" s="246"/>
      <c r="N10" s="247" t="s">
        <v>606</v>
      </c>
      <c r="O10" s="247"/>
      <c r="P10" s="246"/>
      <c r="Q10" s="246"/>
      <c r="T10" s="58" t="b">
        <v>1</v>
      </c>
      <c r="U10" s="58" t="s">
        <v>607</v>
      </c>
      <c r="X10" s="58">
        <f>+N38</f>
        <v>0</v>
      </c>
      <c r="Y10" s="58" t="s">
        <v>629</v>
      </c>
      <c r="AB10" s="58" t="b">
        <v>0</v>
      </c>
      <c r="AC10" s="58" t="s">
        <v>604</v>
      </c>
    </row>
    <row r="11" spans="2:29">
      <c r="T11" s="58" t="b">
        <v>0</v>
      </c>
      <c r="U11" s="58" t="s">
        <v>608</v>
      </c>
      <c r="X11" s="58">
        <f>+G40</f>
        <v>1</v>
      </c>
      <c r="Y11" s="58" t="str">
        <f>IF(J40="","",  J40)</f>
        <v>Confrontación legal en la que me encuentro actualmente</v>
      </c>
      <c r="AC11" s="157" t="str">
        <f>IFERROR(INDEX(AC1:AC10, MATCH(TRUE, AB1:AB10, 0)),"")</f>
        <v>1-4 semanas</v>
      </c>
    </row>
    <row r="12" spans="2:29">
      <c r="B12" s="241" t="s">
        <v>614</v>
      </c>
      <c r="C12" s="241"/>
      <c r="D12" s="241"/>
      <c r="E12" s="158">
        <v>21</v>
      </c>
      <c r="F12" s="134" t="s">
        <v>565</v>
      </c>
      <c r="G12" s="159">
        <v>12</v>
      </c>
      <c r="H12" s="134" t="s">
        <v>565</v>
      </c>
      <c r="I12" s="158">
        <v>62</v>
      </c>
      <c r="J12" s="241" t="s">
        <v>365</v>
      </c>
      <c r="K12" s="241"/>
      <c r="L12" s="160" t="s">
        <v>609</v>
      </c>
      <c r="M12" s="140" t="s">
        <v>361</v>
      </c>
      <c r="N12" s="248">
        <v>63</v>
      </c>
      <c r="O12" s="248"/>
      <c r="P12" s="140" t="s">
        <v>566</v>
      </c>
      <c r="U12" s="157" t="str">
        <f>IFERROR(INDEX(U10:U11, MATCH(TRUE, T10:T11, 0)),"")</f>
        <v>Varón</v>
      </c>
      <c r="Y12" s="157" t="str">
        <f>IFERROR("su principal preocupación es "&amp; INDEX(Y1:Y11, MATCH(1, X1:X11, 0)),"")</f>
        <v>su principal preocupación es Confrontación legal en la que me encuentro actualmente</v>
      </c>
    </row>
    <row r="13" spans="2:29">
      <c r="F13" s="55"/>
      <c r="H13" s="55"/>
      <c r="Y13" s="157" t="str">
        <f>IFERROR("su segunda preocupación es "&amp; INDEX(Y1:Y11, MATCH(2, X1:X11, 0)),"")</f>
        <v/>
      </c>
    </row>
    <row r="14" spans="2:29" ht="18.75">
      <c r="B14" s="239" t="s">
        <v>564</v>
      </c>
      <c r="C14" s="239"/>
      <c r="D14" s="239"/>
      <c r="E14" s="239"/>
      <c r="F14" s="239"/>
      <c r="G14" s="239"/>
      <c r="H14" s="239"/>
      <c r="I14" s="239"/>
      <c r="J14" s="239"/>
      <c r="K14" s="239"/>
      <c r="L14" s="239"/>
      <c r="M14" s="239"/>
      <c r="N14" s="239"/>
      <c r="O14" s="239"/>
      <c r="P14" s="239"/>
      <c r="Q14" s="239"/>
    </row>
    <row r="15" spans="2:29" ht="5.25" customHeight="1"/>
    <row r="16" spans="2:29">
      <c r="C16" s="55"/>
      <c r="M16" s="55"/>
      <c r="U16" s="58" t="str">
        <f>+CONCATENATE(E12,"/",G12,"/",I12)</f>
        <v>21/12/62</v>
      </c>
    </row>
    <row r="17" spans="2:17" ht="5.25" customHeight="1">
      <c r="C17" s="55"/>
      <c r="M17" s="55"/>
    </row>
    <row r="18" spans="2:17">
      <c r="C18" s="55"/>
      <c r="M18" s="55"/>
    </row>
    <row r="19" spans="2:17" ht="5.25" customHeight="1">
      <c r="C19" s="55"/>
      <c r="M19" s="55"/>
    </row>
    <row r="20" spans="2:17">
      <c r="C20" s="55"/>
      <c r="L20" s="55"/>
      <c r="M20" s="55"/>
    </row>
    <row r="21" spans="2:17">
      <c r="C21" s="55"/>
    </row>
    <row r="22" spans="2:17" ht="18.75">
      <c r="B22" s="161" t="s">
        <v>366</v>
      </c>
      <c r="C22" s="162"/>
      <c r="D22" s="162"/>
      <c r="E22" s="162"/>
      <c r="F22" s="163"/>
      <c r="G22" s="163"/>
      <c r="H22" s="163"/>
      <c r="I22" s="163"/>
      <c r="J22" s="163"/>
      <c r="K22" s="163"/>
      <c r="L22" s="163"/>
      <c r="M22" s="163"/>
      <c r="N22" s="163"/>
      <c r="O22" s="163"/>
      <c r="P22" s="163"/>
      <c r="Q22" s="163"/>
    </row>
    <row r="23" spans="2:17" ht="10.5" customHeight="1">
      <c r="O23" s="55"/>
      <c r="P23" s="55"/>
    </row>
    <row r="24" spans="2:17">
      <c r="C24" s="55"/>
      <c r="K24" s="55"/>
      <c r="P24" s="55"/>
    </row>
    <row r="25" spans="2:17" ht="3" customHeight="1">
      <c r="C25" s="55"/>
      <c r="K25" s="55"/>
      <c r="P25" s="55"/>
    </row>
    <row r="26" spans="2:17">
      <c r="C26" s="55"/>
      <c r="K26" s="55"/>
      <c r="P26" s="55"/>
    </row>
    <row r="27" spans="2:17" ht="3" customHeight="1">
      <c r="C27" s="55"/>
      <c r="K27" s="55"/>
    </row>
    <row r="28" spans="2:17">
      <c r="C28" s="55"/>
      <c r="K28" s="55"/>
      <c r="N28" s="240"/>
      <c r="O28" s="240"/>
      <c r="P28" s="240"/>
      <c r="Q28" s="240"/>
    </row>
    <row r="29" spans="2:17" ht="9.75" customHeight="1">
      <c r="C29" s="55"/>
      <c r="K29" s="55"/>
    </row>
    <row r="30" spans="2:17" ht="19.5" customHeight="1">
      <c r="B30" s="243" t="s">
        <v>567</v>
      </c>
      <c r="C30" s="243"/>
      <c r="D30" s="244"/>
      <c r="E30" s="244"/>
      <c r="F30" s="244"/>
      <c r="G30" s="244"/>
      <c r="H30" s="244"/>
      <c r="I30" s="244"/>
      <c r="J30" s="244"/>
      <c r="K30" s="244"/>
      <c r="L30" s="244"/>
      <c r="M30" s="244"/>
      <c r="N30" s="244"/>
      <c r="O30" s="244"/>
      <c r="P30" s="244"/>
      <c r="Q30" s="244"/>
    </row>
    <row r="31" spans="2:17" ht="19.5" customHeight="1">
      <c r="B31" s="243"/>
      <c r="C31" s="243"/>
      <c r="D31" s="244"/>
      <c r="E31" s="244"/>
      <c r="F31" s="244"/>
      <c r="G31" s="244"/>
      <c r="H31" s="244"/>
      <c r="I31" s="244"/>
      <c r="J31" s="244"/>
      <c r="K31" s="244"/>
      <c r="L31" s="244"/>
      <c r="M31" s="244"/>
      <c r="N31" s="244"/>
      <c r="O31" s="244"/>
      <c r="P31" s="244"/>
      <c r="Q31" s="244"/>
    </row>
    <row r="32" spans="2:17" ht="16.5" customHeight="1">
      <c r="B32" s="244"/>
      <c r="C32" s="244"/>
      <c r="D32" s="244"/>
      <c r="E32" s="244"/>
      <c r="F32" s="244"/>
      <c r="G32" s="244"/>
      <c r="H32" s="244"/>
      <c r="I32" s="244"/>
      <c r="J32" s="244"/>
      <c r="K32" s="244"/>
      <c r="L32" s="244"/>
      <c r="M32" s="244"/>
      <c r="N32" s="244"/>
      <c r="O32" s="244"/>
      <c r="P32" s="244"/>
      <c r="Q32" s="244"/>
    </row>
    <row r="33" spans="2:17"/>
    <row r="34" spans="2:17">
      <c r="B34" s="164"/>
      <c r="C34" s="55" t="s">
        <v>568</v>
      </c>
      <c r="G34" s="164"/>
      <c r="H34" s="58" t="s">
        <v>572</v>
      </c>
      <c r="I34" s="55"/>
      <c r="N34" s="164"/>
      <c r="O34" s="55" t="s">
        <v>576</v>
      </c>
    </row>
    <row r="35" spans="2:17" ht="5.25" customHeight="1">
      <c r="C35" s="55"/>
      <c r="I35" s="55"/>
      <c r="O35" s="55"/>
    </row>
    <row r="36" spans="2:17">
      <c r="B36" s="164"/>
      <c r="C36" s="55" t="s">
        <v>569</v>
      </c>
      <c r="G36" s="164"/>
      <c r="H36" s="58" t="s">
        <v>573</v>
      </c>
      <c r="I36" s="55"/>
      <c r="N36" s="164"/>
      <c r="O36" s="55" t="s">
        <v>577</v>
      </c>
    </row>
    <row r="37" spans="2:17" ht="5.25" customHeight="1">
      <c r="C37" s="55"/>
      <c r="I37" s="55"/>
      <c r="O37" s="55"/>
    </row>
    <row r="38" spans="2:17">
      <c r="B38" s="164"/>
      <c r="C38" s="55" t="s">
        <v>570</v>
      </c>
      <c r="G38" s="164"/>
      <c r="H38" s="58" t="s">
        <v>574</v>
      </c>
      <c r="I38" s="55"/>
      <c r="N38" s="164"/>
      <c r="O38" s="55" t="s">
        <v>578</v>
      </c>
    </row>
    <row r="39" spans="2:17" ht="5.25" customHeight="1">
      <c r="C39" s="55"/>
      <c r="I39" s="55"/>
      <c r="O39" s="55"/>
    </row>
    <row r="40" spans="2:17">
      <c r="B40" s="164"/>
      <c r="C40" s="55" t="s">
        <v>571</v>
      </c>
      <c r="G40" s="164">
        <v>1</v>
      </c>
      <c r="H40" s="58" t="s">
        <v>575</v>
      </c>
      <c r="I40" s="55"/>
      <c r="J40" s="245" t="s">
        <v>893</v>
      </c>
      <c r="K40" s="245"/>
      <c r="L40" s="245"/>
      <c r="M40" s="245"/>
      <c r="N40" s="245"/>
      <c r="O40" s="245"/>
      <c r="P40" s="245"/>
      <c r="Q40" s="245"/>
    </row>
    <row r="41" spans="2:17">
      <c r="C41" s="55"/>
      <c r="I41" s="55"/>
    </row>
    <row r="42" spans="2:17" ht="18.75">
      <c r="B42" s="239" t="s">
        <v>579</v>
      </c>
      <c r="C42" s="239"/>
      <c r="D42" s="239"/>
      <c r="E42" s="239"/>
      <c r="F42" s="239"/>
      <c r="G42" s="239"/>
      <c r="H42" s="239"/>
      <c r="I42" s="239"/>
      <c r="J42" s="239"/>
      <c r="K42" s="239"/>
      <c r="L42" s="239"/>
      <c r="M42" s="239"/>
      <c r="N42" s="239"/>
      <c r="O42" s="239"/>
      <c r="P42" s="239"/>
      <c r="Q42" s="239"/>
    </row>
    <row r="43" spans="2:17"/>
    <row r="44" spans="2:17">
      <c r="B44" s="134" t="s">
        <v>580</v>
      </c>
      <c r="C44" s="55"/>
      <c r="D44" s="246"/>
      <c r="E44" s="246"/>
      <c r="F44" s="246"/>
      <c r="G44" s="246"/>
      <c r="H44" s="246"/>
      <c r="I44" s="246"/>
      <c r="J44" s="246"/>
      <c r="K44" s="246"/>
      <c r="L44" s="246"/>
      <c r="M44" s="246"/>
      <c r="N44" s="246"/>
      <c r="O44" s="246"/>
      <c r="P44" s="246"/>
      <c r="Q44" s="246"/>
    </row>
    <row r="45" spans="2:17"/>
    <row r="46" spans="2:17">
      <c r="B46" s="134" t="s">
        <v>610</v>
      </c>
      <c r="C46" s="55"/>
      <c r="D46" s="55"/>
      <c r="E46" s="158"/>
      <c r="F46" s="134" t="s">
        <v>565</v>
      </c>
      <c r="G46" s="159"/>
      <c r="H46" s="134" t="s">
        <v>565</v>
      </c>
      <c r="I46" s="158"/>
      <c r="J46" s="141"/>
    </row>
    <row r="47" spans="2:17">
      <c r="F47" s="55"/>
      <c r="H47" s="55"/>
    </row>
    <row r="48" spans="2:17">
      <c r="C48" s="55"/>
      <c r="M48" s="55"/>
    </row>
    <row r="49" spans="2:17" ht="5.25" customHeight="1">
      <c r="C49" s="55"/>
      <c r="M49" s="55"/>
    </row>
    <row r="50" spans="2:17">
      <c r="C50" s="55"/>
      <c r="M50" s="55"/>
    </row>
    <row r="51" spans="2:17" ht="5.25" customHeight="1">
      <c r="C51" s="55"/>
      <c r="M51" s="55"/>
    </row>
    <row r="52" spans="2:17">
      <c r="C52" s="55"/>
      <c r="M52" s="55"/>
      <c r="N52" s="249" t="s">
        <v>595</v>
      </c>
      <c r="O52" s="249"/>
      <c r="P52" s="249"/>
      <c r="Q52" s="249"/>
    </row>
    <row r="53" spans="2:17" ht="5.25" customHeight="1">
      <c r="C53" s="55"/>
      <c r="M53" s="55"/>
    </row>
    <row r="54" spans="2:17">
      <c r="C54" s="55"/>
      <c r="L54" s="55"/>
      <c r="M54" s="55"/>
    </row>
    <row r="55" spans="2:17">
      <c r="F55" s="55"/>
      <c r="G55" s="55"/>
      <c r="H55" s="55"/>
      <c r="J55" s="55"/>
      <c r="K55" s="55"/>
      <c r="L55" s="55"/>
    </row>
    <row r="56" spans="2:17">
      <c r="B56" s="242" t="s">
        <v>581</v>
      </c>
      <c r="C56" s="242"/>
      <c r="D56" s="242"/>
      <c r="E56" s="242"/>
      <c r="F56" s="242"/>
      <c r="G56" s="242"/>
      <c r="H56" s="242"/>
      <c r="I56" s="242"/>
      <c r="J56" s="242"/>
      <c r="K56" s="242"/>
      <c r="L56" s="242"/>
    </row>
    <row r="57" spans="2:17"/>
    <row r="58" spans="2:17">
      <c r="C58" s="55"/>
      <c r="I58" s="55"/>
      <c r="O58" s="55"/>
    </row>
    <row r="59" spans="2:17" ht="5.25" customHeight="1">
      <c r="C59" s="55"/>
      <c r="I59" s="55"/>
      <c r="O59" s="55"/>
    </row>
    <row r="60" spans="2:17">
      <c r="C60" s="55"/>
      <c r="I60" s="55"/>
      <c r="O60" s="55"/>
    </row>
    <row r="61" spans="2:17" ht="5.25" customHeight="1">
      <c r="C61" s="55"/>
      <c r="I61" s="55"/>
      <c r="O61" s="55"/>
    </row>
    <row r="62" spans="2:17">
      <c r="C62" s="55"/>
      <c r="I62" s="55"/>
      <c r="O62" s="55"/>
    </row>
    <row r="63" spans="2:17" ht="5.25" customHeight="1">
      <c r="C63" s="55"/>
      <c r="I63" s="55"/>
      <c r="O63" s="55"/>
    </row>
    <row r="64" spans="2:17">
      <c r="C64" s="55"/>
      <c r="I64" s="55"/>
      <c r="O64" s="55"/>
    </row>
    <row r="65" spans="1:17">
      <c r="C65" s="55"/>
      <c r="I65" s="55"/>
    </row>
    <row r="66" spans="1:17">
      <c r="A66" s="55"/>
      <c r="B66" s="165"/>
      <c r="C66" s="165"/>
      <c r="D66" s="165"/>
      <c r="E66" s="165"/>
      <c r="F66" s="165"/>
      <c r="G66" s="165"/>
      <c r="H66" s="165"/>
      <c r="I66" s="165"/>
      <c r="J66" s="165"/>
      <c r="K66" s="165"/>
      <c r="L66" s="165"/>
      <c r="M66" s="165"/>
      <c r="N66" s="165"/>
      <c r="O66" s="165"/>
      <c r="P66" s="165"/>
      <c r="Q66" s="165"/>
    </row>
    <row r="67" spans="1:17">
      <c r="A67" s="55"/>
      <c r="B67" s="55"/>
      <c r="C67" s="55"/>
      <c r="D67" s="55"/>
      <c r="E67" s="55"/>
      <c r="F67" s="55"/>
      <c r="G67" s="55"/>
      <c r="H67" s="55"/>
      <c r="I67" s="55"/>
      <c r="J67" s="55"/>
      <c r="K67" s="55"/>
      <c r="L67" s="55"/>
      <c r="M67" s="55"/>
      <c r="N67" s="55"/>
      <c r="O67" s="55"/>
      <c r="P67" s="55"/>
      <c r="Q67" s="55"/>
    </row>
    <row r="68" spans="1:17">
      <c r="A68" s="55"/>
      <c r="B68" s="55"/>
      <c r="C68" s="55"/>
      <c r="D68" s="55"/>
      <c r="E68" s="55"/>
      <c r="F68" s="55"/>
      <c r="G68" s="55"/>
      <c r="H68" s="55"/>
      <c r="I68" s="55"/>
      <c r="J68" s="55"/>
      <c r="K68" s="55"/>
      <c r="L68" s="55"/>
      <c r="M68" s="55"/>
      <c r="N68" s="55"/>
      <c r="O68" s="55"/>
      <c r="P68" s="55"/>
      <c r="Q68" s="55"/>
    </row>
    <row r="69" spans="1:17">
      <c r="A69" s="55"/>
      <c r="B69" s="55"/>
      <c r="C69" s="55"/>
      <c r="D69" s="55"/>
      <c r="E69" s="55"/>
      <c r="F69" s="55"/>
      <c r="G69" s="55"/>
      <c r="H69" s="55"/>
      <c r="I69" s="55"/>
      <c r="J69" s="55"/>
      <c r="K69" s="55"/>
      <c r="L69" s="55"/>
      <c r="M69" s="55"/>
      <c r="N69" s="55"/>
      <c r="O69" s="55"/>
      <c r="P69" s="55"/>
      <c r="Q69" s="55"/>
    </row>
    <row r="70" spans="1:17">
      <c r="A70" s="55"/>
      <c r="B70" s="166" t="s">
        <v>615</v>
      </c>
      <c r="C70" s="55"/>
      <c r="D70" s="55"/>
      <c r="E70" s="55"/>
      <c r="F70" s="55"/>
      <c r="G70" s="55"/>
      <c r="H70" s="55"/>
      <c r="I70" s="55"/>
      <c r="J70" s="55"/>
      <c r="K70" s="55"/>
      <c r="L70" s="55"/>
      <c r="M70" s="55"/>
      <c r="N70" s="55"/>
      <c r="O70" s="55"/>
      <c r="P70" s="55"/>
      <c r="Q70" s="55"/>
    </row>
  </sheetData>
  <sheetProtection algorithmName="SHA-512" hashValue="vZpsJiEF/vSKPmISRoHDnxk8Zlx2iQKDVon7X36k/HFkXJALV79VZsWzChPlXMDnsOCDgrIjp6mo+OWd8Da3bA==" saltValue="3CJFbn4/yITAPtlTRCNVRA==" spinCount="100000" sheet="1" objects="1" scenarios="1"/>
  <mergeCells count="16">
    <mergeCell ref="B8:Q8"/>
    <mergeCell ref="N28:Q28"/>
    <mergeCell ref="B10:C10"/>
    <mergeCell ref="B12:D12"/>
    <mergeCell ref="B56:L56"/>
    <mergeCell ref="B30:Q32"/>
    <mergeCell ref="J40:Q40"/>
    <mergeCell ref="D10:M10"/>
    <mergeCell ref="N10:O10"/>
    <mergeCell ref="P10:Q10"/>
    <mergeCell ref="N12:O12"/>
    <mergeCell ref="J12:K12"/>
    <mergeCell ref="B42:Q42"/>
    <mergeCell ref="B14:Q14"/>
    <mergeCell ref="D44:Q44"/>
    <mergeCell ref="N52:Q5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Check Box 1">
              <controlPr defaultSize="0" autoFill="0" autoLine="0" autoPict="0">
                <anchor moveWithCells="1">
                  <from>
                    <xdr:col>16</xdr:col>
                    <xdr:colOff>9525</xdr:colOff>
                    <xdr:row>11</xdr:row>
                    <xdr:rowOff>0</xdr:rowOff>
                  </from>
                  <to>
                    <xdr:col>16</xdr:col>
                    <xdr:colOff>352425</xdr:colOff>
                    <xdr:row>12</xdr:row>
                    <xdr:rowOff>0</xdr:rowOff>
                  </to>
                </anchor>
              </controlPr>
            </control>
          </mc:Choice>
        </mc:AlternateContent>
        <mc:AlternateContent xmlns:mc="http://schemas.openxmlformats.org/markup-compatibility/2006">
          <mc:Choice Requires="x14">
            <control shapeId="8194" r:id="rId4" name="Check Box 2">
              <controlPr defaultSize="0" autoFill="0" autoLine="0" autoPict="0">
                <anchor moveWithCells="1">
                  <from>
                    <xdr:col>16</xdr:col>
                    <xdr:colOff>542925</xdr:colOff>
                    <xdr:row>11</xdr:row>
                    <xdr:rowOff>9525</xdr:rowOff>
                  </from>
                  <to>
                    <xdr:col>16</xdr:col>
                    <xdr:colOff>885825</xdr:colOff>
                    <xdr:row>12</xdr:row>
                    <xdr:rowOff>9525</xdr:rowOff>
                  </to>
                </anchor>
              </controlPr>
            </control>
          </mc:Choice>
        </mc:AlternateContent>
        <mc:AlternateContent xmlns:mc="http://schemas.openxmlformats.org/markup-compatibility/2006">
          <mc:Choice Requires="x14">
            <control shapeId="8199" r:id="rId5" name="Check Box 7">
              <controlPr defaultSize="0" autoFill="0" autoLine="0" autoPict="0">
                <anchor moveWithCells="1">
                  <from>
                    <xdr:col>1</xdr:col>
                    <xdr:colOff>114300</xdr:colOff>
                    <xdr:row>15</xdr:row>
                    <xdr:rowOff>0</xdr:rowOff>
                  </from>
                  <to>
                    <xdr:col>3</xdr:col>
                    <xdr:colOff>742950</xdr:colOff>
                    <xdr:row>16</xdr:row>
                    <xdr:rowOff>0</xdr:rowOff>
                  </to>
                </anchor>
              </controlPr>
            </control>
          </mc:Choice>
        </mc:AlternateContent>
        <mc:AlternateContent xmlns:mc="http://schemas.openxmlformats.org/markup-compatibility/2006">
          <mc:Choice Requires="x14">
            <control shapeId="8200" r:id="rId6" name="Check Box 8">
              <controlPr defaultSize="0" autoFill="0" autoLine="0" autoPict="0">
                <anchor moveWithCells="1">
                  <from>
                    <xdr:col>1</xdr:col>
                    <xdr:colOff>104775</xdr:colOff>
                    <xdr:row>16</xdr:row>
                    <xdr:rowOff>171450</xdr:rowOff>
                  </from>
                  <to>
                    <xdr:col>3</xdr:col>
                    <xdr:colOff>723900</xdr:colOff>
                    <xdr:row>17</xdr:row>
                    <xdr:rowOff>209550</xdr:rowOff>
                  </to>
                </anchor>
              </controlPr>
            </control>
          </mc:Choice>
        </mc:AlternateContent>
        <mc:AlternateContent xmlns:mc="http://schemas.openxmlformats.org/markup-compatibility/2006">
          <mc:Choice Requires="x14">
            <control shapeId="8201" r:id="rId7" name="Check Box 9">
              <controlPr defaultSize="0" autoFill="0" autoLine="0" autoPict="0">
                <anchor moveWithCells="1">
                  <from>
                    <xdr:col>1</xdr:col>
                    <xdr:colOff>104775</xdr:colOff>
                    <xdr:row>18</xdr:row>
                    <xdr:rowOff>66675</xdr:rowOff>
                  </from>
                  <to>
                    <xdr:col>3</xdr:col>
                    <xdr:colOff>723900</xdr:colOff>
                    <xdr:row>19</xdr:row>
                    <xdr:rowOff>209550</xdr:rowOff>
                  </to>
                </anchor>
              </controlPr>
            </control>
          </mc:Choice>
        </mc:AlternateContent>
        <mc:AlternateContent xmlns:mc="http://schemas.openxmlformats.org/markup-compatibility/2006">
          <mc:Choice Requires="x14">
            <control shapeId="8202" r:id="rId8" name="Check Box 10">
              <controlPr defaultSize="0" autoFill="0" autoLine="0" autoPict="0">
                <anchor moveWithCells="1">
                  <from>
                    <xdr:col>11</xdr:col>
                    <xdr:colOff>47625</xdr:colOff>
                    <xdr:row>14</xdr:row>
                    <xdr:rowOff>171450</xdr:rowOff>
                  </from>
                  <to>
                    <xdr:col>16</xdr:col>
                    <xdr:colOff>466725</xdr:colOff>
                    <xdr:row>16</xdr:row>
                    <xdr:rowOff>0</xdr:rowOff>
                  </to>
                </anchor>
              </controlPr>
            </control>
          </mc:Choice>
        </mc:AlternateContent>
        <mc:AlternateContent xmlns:mc="http://schemas.openxmlformats.org/markup-compatibility/2006">
          <mc:Choice Requires="x14">
            <control shapeId="8203" r:id="rId9" name="Check Box 11">
              <controlPr defaultSize="0" autoFill="0" autoLine="0" autoPict="0">
                <anchor moveWithCells="1">
                  <from>
                    <xdr:col>11</xdr:col>
                    <xdr:colOff>47625</xdr:colOff>
                    <xdr:row>16</xdr:row>
                    <xdr:rowOff>161925</xdr:rowOff>
                  </from>
                  <to>
                    <xdr:col>16</xdr:col>
                    <xdr:colOff>466725</xdr:colOff>
                    <xdr:row>17</xdr:row>
                    <xdr:rowOff>209550</xdr:rowOff>
                  </to>
                </anchor>
              </controlPr>
            </control>
          </mc:Choice>
        </mc:AlternateContent>
        <mc:AlternateContent xmlns:mc="http://schemas.openxmlformats.org/markup-compatibility/2006">
          <mc:Choice Requires="x14">
            <control shapeId="8204" r:id="rId10" name="Check Box 12">
              <controlPr defaultSize="0" autoFill="0" autoLine="0" autoPict="0">
                <anchor moveWithCells="1">
                  <from>
                    <xdr:col>1</xdr:col>
                    <xdr:colOff>76200</xdr:colOff>
                    <xdr:row>22</xdr:row>
                    <xdr:rowOff>171450</xdr:rowOff>
                  </from>
                  <to>
                    <xdr:col>3</xdr:col>
                    <xdr:colOff>695325</xdr:colOff>
                    <xdr:row>23</xdr:row>
                    <xdr:rowOff>209550</xdr:rowOff>
                  </to>
                </anchor>
              </controlPr>
            </control>
          </mc:Choice>
        </mc:AlternateContent>
        <mc:AlternateContent xmlns:mc="http://schemas.openxmlformats.org/markup-compatibility/2006">
          <mc:Choice Requires="x14">
            <control shapeId="8205" r:id="rId11" name="Check Box 13">
              <controlPr defaultSize="0" autoFill="0" autoLine="0" autoPict="0">
                <anchor moveWithCells="1">
                  <from>
                    <xdr:col>1</xdr:col>
                    <xdr:colOff>76200</xdr:colOff>
                    <xdr:row>25</xdr:row>
                    <xdr:rowOff>0</xdr:rowOff>
                  </from>
                  <to>
                    <xdr:col>3</xdr:col>
                    <xdr:colOff>695325</xdr:colOff>
                    <xdr:row>25</xdr:row>
                    <xdr:rowOff>209550</xdr:rowOff>
                  </to>
                </anchor>
              </controlPr>
            </control>
          </mc:Choice>
        </mc:AlternateContent>
        <mc:AlternateContent xmlns:mc="http://schemas.openxmlformats.org/markup-compatibility/2006">
          <mc:Choice Requires="x14">
            <control shapeId="8206" r:id="rId12" name="Check Box 14">
              <controlPr defaultSize="0" autoFill="0" autoLine="0" autoPict="0">
                <anchor moveWithCells="1">
                  <from>
                    <xdr:col>1</xdr:col>
                    <xdr:colOff>76200</xdr:colOff>
                    <xdr:row>27</xdr:row>
                    <xdr:rowOff>0</xdr:rowOff>
                  </from>
                  <to>
                    <xdr:col>4</xdr:col>
                    <xdr:colOff>238125</xdr:colOff>
                    <xdr:row>28</xdr:row>
                    <xdr:rowOff>0</xdr:rowOff>
                  </to>
                </anchor>
              </controlPr>
            </control>
          </mc:Choice>
        </mc:AlternateContent>
        <mc:AlternateContent xmlns:mc="http://schemas.openxmlformats.org/markup-compatibility/2006">
          <mc:Choice Requires="x14">
            <control shapeId="8207" r:id="rId13" name="Check Box 15">
              <controlPr defaultSize="0" autoFill="0" autoLine="0" autoPict="0">
                <anchor moveWithCells="1">
                  <from>
                    <xdr:col>8</xdr:col>
                    <xdr:colOff>247650</xdr:colOff>
                    <xdr:row>22</xdr:row>
                    <xdr:rowOff>171450</xdr:rowOff>
                  </from>
                  <to>
                    <xdr:col>12</xdr:col>
                    <xdr:colOff>333375</xdr:colOff>
                    <xdr:row>23</xdr:row>
                    <xdr:rowOff>209550</xdr:rowOff>
                  </to>
                </anchor>
              </controlPr>
            </control>
          </mc:Choice>
        </mc:AlternateContent>
        <mc:AlternateContent xmlns:mc="http://schemas.openxmlformats.org/markup-compatibility/2006">
          <mc:Choice Requires="x14">
            <control shapeId="8208" r:id="rId14" name="Check Box 16">
              <controlPr defaultSize="0" autoFill="0" autoLine="0" autoPict="0">
                <anchor moveWithCells="1">
                  <from>
                    <xdr:col>8</xdr:col>
                    <xdr:colOff>238125</xdr:colOff>
                    <xdr:row>25</xdr:row>
                    <xdr:rowOff>9525</xdr:rowOff>
                  </from>
                  <to>
                    <xdr:col>12</xdr:col>
                    <xdr:colOff>323850</xdr:colOff>
                    <xdr:row>26</xdr:row>
                    <xdr:rowOff>9525</xdr:rowOff>
                  </to>
                </anchor>
              </controlPr>
            </control>
          </mc:Choice>
        </mc:AlternateContent>
        <mc:AlternateContent xmlns:mc="http://schemas.openxmlformats.org/markup-compatibility/2006">
          <mc:Choice Requires="x14">
            <control shapeId="8209" r:id="rId15" name="Check Box 17">
              <controlPr defaultSize="0" autoFill="0" autoLine="0" autoPict="0">
                <anchor moveWithCells="1">
                  <from>
                    <xdr:col>13</xdr:col>
                    <xdr:colOff>304800</xdr:colOff>
                    <xdr:row>22</xdr:row>
                    <xdr:rowOff>171450</xdr:rowOff>
                  </from>
                  <to>
                    <xdr:col>16</xdr:col>
                    <xdr:colOff>542925</xdr:colOff>
                    <xdr:row>23</xdr:row>
                    <xdr:rowOff>209550</xdr:rowOff>
                  </to>
                </anchor>
              </controlPr>
            </control>
          </mc:Choice>
        </mc:AlternateContent>
        <mc:AlternateContent xmlns:mc="http://schemas.openxmlformats.org/markup-compatibility/2006">
          <mc:Choice Requires="x14">
            <control shapeId="8210" r:id="rId16" name="Check Box 18">
              <controlPr defaultSize="0" autoFill="0" autoLine="0" autoPict="0">
                <anchor moveWithCells="1">
                  <from>
                    <xdr:col>13</xdr:col>
                    <xdr:colOff>304800</xdr:colOff>
                    <xdr:row>24</xdr:row>
                    <xdr:rowOff>190500</xdr:rowOff>
                  </from>
                  <to>
                    <xdr:col>16</xdr:col>
                    <xdr:colOff>542925</xdr:colOff>
                    <xdr:row>25</xdr:row>
                    <xdr:rowOff>209550</xdr:rowOff>
                  </to>
                </anchor>
              </controlPr>
            </control>
          </mc:Choice>
        </mc:AlternateContent>
        <mc:AlternateContent xmlns:mc="http://schemas.openxmlformats.org/markup-compatibility/2006">
          <mc:Choice Requires="x14">
            <control shapeId="8211" r:id="rId17" name="Check Box 19">
              <controlPr defaultSize="0" autoFill="0" autoLine="0" autoPict="0">
                <anchor moveWithCells="1">
                  <from>
                    <xdr:col>8</xdr:col>
                    <xdr:colOff>238125</xdr:colOff>
                    <xdr:row>26</xdr:row>
                    <xdr:rowOff>66675</xdr:rowOff>
                  </from>
                  <to>
                    <xdr:col>12</xdr:col>
                    <xdr:colOff>57150</xdr:colOff>
                    <xdr:row>28</xdr:row>
                    <xdr:rowOff>0</xdr:rowOff>
                  </to>
                </anchor>
              </controlPr>
            </control>
          </mc:Choice>
        </mc:AlternateContent>
        <mc:AlternateContent xmlns:mc="http://schemas.openxmlformats.org/markup-compatibility/2006">
          <mc:Choice Requires="x14">
            <control shapeId="8212" r:id="rId18" name="Check Box 20">
              <controlPr defaultSize="0" autoFill="0" autoLine="0" autoPict="0">
                <anchor moveWithCells="1">
                  <from>
                    <xdr:col>1</xdr:col>
                    <xdr:colOff>57150</xdr:colOff>
                    <xdr:row>46</xdr:row>
                    <xdr:rowOff>180975</xdr:rowOff>
                  </from>
                  <to>
                    <xdr:col>8</xdr:col>
                    <xdr:colOff>28575</xdr:colOff>
                    <xdr:row>47</xdr:row>
                    <xdr:rowOff>171450</xdr:rowOff>
                  </to>
                </anchor>
              </controlPr>
            </control>
          </mc:Choice>
        </mc:AlternateContent>
        <mc:AlternateContent xmlns:mc="http://schemas.openxmlformats.org/markup-compatibility/2006">
          <mc:Choice Requires="x14">
            <control shapeId="8213" r:id="rId19" name="Check Box 21">
              <controlPr defaultSize="0" autoFill="0" autoLine="0" autoPict="0">
                <anchor moveWithCells="1">
                  <from>
                    <xdr:col>1</xdr:col>
                    <xdr:colOff>57150</xdr:colOff>
                    <xdr:row>48</xdr:row>
                    <xdr:rowOff>171450</xdr:rowOff>
                  </from>
                  <to>
                    <xdr:col>8</xdr:col>
                    <xdr:colOff>19050</xdr:colOff>
                    <xdr:row>49</xdr:row>
                    <xdr:rowOff>209550</xdr:rowOff>
                  </to>
                </anchor>
              </controlPr>
            </control>
          </mc:Choice>
        </mc:AlternateContent>
        <mc:AlternateContent xmlns:mc="http://schemas.openxmlformats.org/markup-compatibility/2006">
          <mc:Choice Requires="x14">
            <control shapeId="8214" r:id="rId20" name="Check Box 22">
              <controlPr defaultSize="0" autoFill="0" autoLine="0" autoPict="0">
                <anchor moveWithCells="1">
                  <from>
                    <xdr:col>1</xdr:col>
                    <xdr:colOff>57150</xdr:colOff>
                    <xdr:row>50</xdr:row>
                    <xdr:rowOff>180975</xdr:rowOff>
                  </from>
                  <to>
                    <xdr:col>8</xdr:col>
                    <xdr:colOff>19050</xdr:colOff>
                    <xdr:row>52</xdr:row>
                    <xdr:rowOff>0</xdr:rowOff>
                  </to>
                </anchor>
              </controlPr>
            </control>
          </mc:Choice>
        </mc:AlternateContent>
        <mc:AlternateContent xmlns:mc="http://schemas.openxmlformats.org/markup-compatibility/2006">
          <mc:Choice Requires="x14">
            <control shapeId="8215" r:id="rId21" name="Check Box 23">
              <controlPr defaultSize="0" autoFill="0" autoLine="0" autoPict="0">
                <anchor moveWithCells="1">
                  <from>
                    <xdr:col>1</xdr:col>
                    <xdr:colOff>57150</xdr:colOff>
                    <xdr:row>52</xdr:row>
                    <xdr:rowOff>190500</xdr:rowOff>
                  </from>
                  <to>
                    <xdr:col>8</xdr:col>
                    <xdr:colOff>19050</xdr:colOff>
                    <xdr:row>53</xdr:row>
                    <xdr:rowOff>209550</xdr:rowOff>
                  </to>
                </anchor>
              </controlPr>
            </control>
          </mc:Choice>
        </mc:AlternateContent>
        <mc:AlternateContent xmlns:mc="http://schemas.openxmlformats.org/markup-compatibility/2006">
          <mc:Choice Requires="x14">
            <control shapeId="8216" r:id="rId22" name="Check Box 24">
              <controlPr defaultSize="0" autoFill="0" autoLine="0" autoPict="0">
                <anchor moveWithCells="1">
                  <from>
                    <xdr:col>11</xdr:col>
                    <xdr:colOff>104775</xdr:colOff>
                    <xdr:row>46</xdr:row>
                    <xdr:rowOff>190500</xdr:rowOff>
                  </from>
                  <to>
                    <xdr:col>16</xdr:col>
                    <xdr:colOff>361950</xdr:colOff>
                    <xdr:row>47</xdr:row>
                    <xdr:rowOff>180975</xdr:rowOff>
                  </to>
                </anchor>
              </controlPr>
            </control>
          </mc:Choice>
        </mc:AlternateContent>
        <mc:AlternateContent xmlns:mc="http://schemas.openxmlformats.org/markup-compatibility/2006">
          <mc:Choice Requires="x14">
            <control shapeId="8217" r:id="rId23" name="Check Box 25">
              <controlPr defaultSize="0" autoFill="0" autoLine="0" autoPict="0">
                <anchor moveWithCells="1">
                  <from>
                    <xdr:col>11</xdr:col>
                    <xdr:colOff>104775</xdr:colOff>
                    <xdr:row>48</xdr:row>
                    <xdr:rowOff>171450</xdr:rowOff>
                  </from>
                  <to>
                    <xdr:col>16</xdr:col>
                    <xdr:colOff>361950</xdr:colOff>
                    <xdr:row>49</xdr:row>
                    <xdr:rowOff>209550</xdr:rowOff>
                  </to>
                </anchor>
              </controlPr>
            </control>
          </mc:Choice>
        </mc:AlternateContent>
        <mc:AlternateContent xmlns:mc="http://schemas.openxmlformats.org/markup-compatibility/2006">
          <mc:Choice Requires="x14">
            <control shapeId="8218" r:id="rId24" name="Check Box 26">
              <controlPr defaultSize="0" autoFill="0" autoLine="0" autoPict="0">
                <anchor moveWithCells="1">
                  <from>
                    <xdr:col>11</xdr:col>
                    <xdr:colOff>104775</xdr:colOff>
                    <xdr:row>50</xdr:row>
                    <xdr:rowOff>66675</xdr:rowOff>
                  </from>
                  <to>
                    <xdr:col>11</xdr:col>
                    <xdr:colOff>523875</xdr:colOff>
                    <xdr:row>52</xdr:row>
                    <xdr:rowOff>0</xdr:rowOff>
                  </to>
                </anchor>
              </controlPr>
            </control>
          </mc:Choice>
        </mc:AlternateContent>
        <mc:AlternateContent xmlns:mc="http://schemas.openxmlformats.org/markup-compatibility/2006">
          <mc:Choice Requires="x14">
            <control shapeId="8219" r:id="rId25" name="Check Box 27">
              <controlPr defaultSize="0" autoFill="0" autoLine="0" autoPict="0">
                <anchor moveWithCells="1">
                  <from>
                    <xdr:col>1</xdr:col>
                    <xdr:colOff>76200</xdr:colOff>
                    <xdr:row>56</xdr:row>
                    <xdr:rowOff>171450</xdr:rowOff>
                  </from>
                  <to>
                    <xdr:col>3</xdr:col>
                    <xdr:colOff>200025</xdr:colOff>
                    <xdr:row>57</xdr:row>
                    <xdr:rowOff>161925</xdr:rowOff>
                  </to>
                </anchor>
              </controlPr>
            </control>
          </mc:Choice>
        </mc:AlternateContent>
        <mc:AlternateContent xmlns:mc="http://schemas.openxmlformats.org/markup-compatibility/2006">
          <mc:Choice Requires="x14">
            <control shapeId="8220" r:id="rId26" name="Check Box 28">
              <controlPr defaultSize="0" autoFill="0" autoLine="0" autoPict="0">
                <anchor moveWithCells="1">
                  <from>
                    <xdr:col>1</xdr:col>
                    <xdr:colOff>76200</xdr:colOff>
                    <xdr:row>58</xdr:row>
                    <xdr:rowOff>66675</xdr:rowOff>
                  </from>
                  <to>
                    <xdr:col>3</xdr:col>
                    <xdr:colOff>200025</xdr:colOff>
                    <xdr:row>59</xdr:row>
                    <xdr:rowOff>209550</xdr:rowOff>
                  </to>
                </anchor>
              </controlPr>
            </control>
          </mc:Choice>
        </mc:AlternateContent>
        <mc:AlternateContent xmlns:mc="http://schemas.openxmlformats.org/markup-compatibility/2006">
          <mc:Choice Requires="x14">
            <control shapeId="8221" r:id="rId27" name="Check Box 29">
              <controlPr defaultSize="0" autoFill="0" autoLine="0" autoPict="0">
                <anchor moveWithCells="1">
                  <from>
                    <xdr:col>1</xdr:col>
                    <xdr:colOff>76200</xdr:colOff>
                    <xdr:row>60</xdr:row>
                    <xdr:rowOff>66675</xdr:rowOff>
                  </from>
                  <to>
                    <xdr:col>3</xdr:col>
                    <xdr:colOff>209550</xdr:colOff>
                    <xdr:row>61</xdr:row>
                    <xdr:rowOff>209550</xdr:rowOff>
                  </to>
                </anchor>
              </controlPr>
            </control>
          </mc:Choice>
        </mc:AlternateContent>
        <mc:AlternateContent xmlns:mc="http://schemas.openxmlformats.org/markup-compatibility/2006">
          <mc:Choice Requires="x14">
            <control shapeId="8222" r:id="rId28" name="Check Box 30">
              <controlPr defaultSize="0" autoFill="0" autoLine="0" autoPict="0">
                <anchor moveWithCells="1">
                  <from>
                    <xdr:col>1</xdr:col>
                    <xdr:colOff>76200</xdr:colOff>
                    <xdr:row>62</xdr:row>
                    <xdr:rowOff>66675</xdr:rowOff>
                  </from>
                  <to>
                    <xdr:col>3</xdr:col>
                    <xdr:colOff>209550</xdr:colOff>
                    <xdr:row>63</xdr:row>
                    <xdr:rowOff>209550</xdr:rowOff>
                  </to>
                </anchor>
              </controlPr>
            </control>
          </mc:Choice>
        </mc:AlternateContent>
        <mc:AlternateContent xmlns:mc="http://schemas.openxmlformats.org/markup-compatibility/2006">
          <mc:Choice Requires="x14">
            <control shapeId="8223" r:id="rId29" name="Check Box 31">
              <controlPr defaultSize="0" autoFill="0" autoLine="0" autoPict="0">
                <anchor moveWithCells="1">
                  <from>
                    <xdr:col>6</xdr:col>
                    <xdr:colOff>76200</xdr:colOff>
                    <xdr:row>56</xdr:row>
                    <xdr:rowOff>190500</xdr:rowOff>
                  </from>
                  <to>
                    <xdr:col>10</xdr:col>
                    <xdr:colOff>161925</xdr:colOff>
                    <xdr:row>57</xdr:row>
                    <xdr:rowOff>180975</xdr:rowOff>
                  </to>
                </anchor>
              </controlPr>
            </control>
          </mc:Choice>
        </mc:AlternateContent>
        <mc:AlternateContent xmlns:mc="http://schemas.openxmlformats.org/markup-compatibility/2006">
          <mc:Choice Requires="x14">
            <control shapeId="8224" r:id="rId30" name="Check Box 32">
              <controlPr defaultSize="0" autoFill="0" autoLine="0" autoPict="0">
                <anchor moveWithCells="1">
                  <from>
                    <xdr:col>6</xdr:col>
                    <xdr:colOff>76200</xdr:colOff>
                    <xdr:row>59</xdr:row>
                    <xdr:rowOff>0</xdr:rowOff>
                  </from>
                  <to>
                    <xdr:col>10</xdr:col>
                    <xdr:colOff>161925</xdr:colOff>
                    <xdr:row>59</xdr:row>
                    <xdr:rowOff>209550</xdr:rowOff>
                  </to>
                </anchor>
              </controlPr>
            </control>
          </mc:Choice>
        </mc:AlternateContent>
        <mc:AlternateContent xmlns:mc="http://schemas.openxmlformats.org/markup-compatibility/2006">
          <mc:Choice Requires="x14">
            <control shapeId="8225" r:id="rId31" name="Check Box 33">
              <controlPr defaultSize="0" autoFill="0" autoLine="0" autoPict="0">
                <anchor moveWithCells="1">
                  <from>
                    <xdr:col>6</xdr:col>
                    <xdr:colOff>76200</xdr:colOff>
                    <xdr:row>60</xdr:row>
                    <xdr:rowOff>66675</xdr:rowOff>
                  </from>
                  <to>
                    <xdr:col>10</xdr:col>
                    <xdr:colOff>161925</xdr:colOff>
                    <xdr:row>61</xdr:row>
                    <xdr:rowOff>209550</xdr:rowOff>
                  </to>
                </anchor>
              </controlPr>
            </control>
          </mc:Choice>
        </mc:AlternateContent>
        <mc:AlternateContent xmlns:mc="http://schemas.openxmlformats.org/markup-compatibility/2006">
          <mc:Choice Requires="x14">
            <control shapeId="8226" r:id="rId32" name="Check Box 34">
              <controlPr defaultSize="0" autoFill="0" autoLine="0" autoPict="0">
                <anchor moveWithCells="1">
                  <from>
                    <xdr:col>6</xdr:col>
                    <xdr:colOff>76200</xdr:colOff>
                    <xdr:row>63</xdr:row>
                    <xdr:rowOff>0</xdr:rowOff>
                  </from>
                  <to>
                    <xdr:col>10</xdr:col>
                    <xdr:colOff>161925</xdr:colOff>
                    <xdr:row>63</xdr:row>
                    <xdr:rowOff>209550</xdr:rowOff>
                  </to>
                </anchor>
              </controlPr>
            </control>
          </mc:Choice>
        </mc:AlternateContent>
        <mc:AlternateContent xmlns:mc="http://schemas.openxmlformats.org/markup-compatibility/2006">
          <mc:Choice Requires="x14">
            <control shapeId="8227" r:id="rId33" name="Check Box 35">
              <controlPr defaultSize="0" autoFill="0" autoLine="0" autoPict="0">
                <anchor moveWithCells="1">
                  <from>
                    <xdr:col>13</xdr:col>
                    <xdr:colOff>19050</xdr:colOff>
                    <xdr:row>56</xdr:row>
                    <xdr:rowOff>190500</xdr:rowOff>
                  </from>
                  <to>
                    <xdr:col>15</xdr:col>
                    <xdr:colOff>180975</xdr:colOff>
                    <xdr:row>57</xdr:row>
                    <xdr:rowOff>180975</xdr:rowOff>
                  </to>
                </anchor>
              </controlPr>
            </control>
          </mc:Choice>
        </mc:AlternateContent>
        <mc:AlternateContent xmlns:mc="http://schemas.openxmlformats.org/markup-compatibility/2006">
          <mc:Choice Requires="x14">
            <control shapeId="8228" r:id="rId34" name="Check Box 36">
              <controlPr defaultSize="0" autoFill="0" autoLine="0" autoPict="0">
                <anchor moveWithCells="1">
                  <from>
                    <xdr:col>13</xdr:col>
                    <xdr:colOff>19050</xdr:colOff>
                    <xdr:row>58</xdr:row>
                    <xdr:rowOff>66675</xdr:rowOff>
                  </from>
                  <to>
                    <xdr:col>15</xdr:col>
                    <xdr:colOff>180975</xdr:colOff>
                    <xdr:row>59</xdr:row>
                    <xdr:rowOff>209550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6E5E7-A89A-4AB2-8B6C-38E9806B6519}">
  <sheetPr codeName="Hoja11"/>
  <dimension ref="A1:P43"/>
  <sheetViews>
    <sheetView showGridLines="0" zoomScaleNormal="100" workbookViewId="0">
      <selection activeCell="G28" sqref="G28"/>
    </sheetView>
  </sheetViews>
  <sheetFormatPr baseColWidth="10" defaultColWidth="0" defaultRowHeight="17.25" zeroHeight="1"/>
  <cols>
    <col min="1" max="1" width="8.140625" style="58" customWidth="1"/>
    <col min="2" max="2" width="24.28515625" style="58" customWidth="1"/>
    <col min="3" max="11" width="11.42578125" style="58" customWidth="1"/>
    <col min="12" max="12" width="10.28515625" style="58" customWidth="1"/>
    <col min="13" max="14" width="11.42578125" style="58" hidden="1" customWidth="1"/>
    <col min="15" max="15" width="40" style="58" hidden="1" customWidth="1"/>
    <col min="16" max="16" width="32.7109375" style="58" hidden="1" customWidth="1"/>
    <col min="17" max="16384" width="11.42578125" style="58" hidden="1"/>
  </cols>
  <sheetData>
    <row r="1" spans="1:16" ht="4.5" customHeight="1"/>
    <row r="2" spans="1:16" ht="3" customHeight="1">
      <c r="A2" s="58">
        <v>1</v>
      </c>
    </row>
    <row r="3" spans="1:16" ht="19.5" customHeight="1">
      <c r="B3" s="63"/>
      <c r="C3" s="62"/>
      <c r="D3" s="62"/>
      <c r="E3" s="62"/>
      <c r="F3" s="62"/>
      <c r="G3" s="62"/>
      <c r="H3" s="62"/>
      <c r="I3" s="62"/>
      <c r="J3" s="62"/>
      <c r="K3" s="62"/>
    </row>
    <row r="4" spans="1:16">
      <c r="B4" s="55"/>
      <c r="C4" s="55"/>
      <c r="D4" s="55"/>
      <c r="E4" s="55"/>
      <c r="F4" s="55"/>
      <c r="G4" s="55"/>
      <c r="H4" s="55"/>
      <c r="I4" s="55"/>
      <c r="J4" s="55"/>
      <c r="K4" s="55"/>
    </row>
    <row r="5" spans="1:16">
      <c r="B5" s="55"/>
      <c r="C5" s="55"/>
      <c r="D5" s="55"/>
      <c r="E5" s="55"/>
      <c r="F5" s="55"/>
      <c r="G5" s="55"/>
      <c r="H5" s="55"/>
      <c r="I5" s="55"/>
      <c r="J5" s="55"/>
      <c r="K5" s="55"/>
      <c r="O5" s="58" t="s">
        <v>611</v>
      </c>
      <c r="P5" s="58" t="s">
        <v>375</v>
      </c>
    </row>
    <row r="6" spans="1:16">
      <c r="B6" s="55"/>
      <c r="C6" s="55"/>
      <c r="D6" s="55"/>
      <c r="E6" s="55"/>
      <c r="F6" s="55"/>
      <c r="G6" s="55"/>
      <c r="H6" s="55"/>
      <c r="I6" s="55"/>
      <c r="J6" s="55"/>
      <c r="K6" s="55"/>
      <c r="O6" s="58" t="s">
        <v>612</v>
      </c>
      <c r="P6" s="58" t="s">
        <v>376</v>
      </c>
    </row>
    <row r="7" spans="1:16">
      <c r="B7" s="55"/>
      <c r="C7" s="55"/>
      <c r="D7" s="55"/>
      <c r="E7" s="55"/>
      <c r="F7" s="55"/>
      <c r="G7" s="55"/>
      <c r="H7" s="55"/>
      <c r="I7" s="55"/>
      <c r="J7" s="55"/>
      <c r="K7" s="55"/>
    </row>
    <row r="8" spans="1:16">
      <c r="B8" s="55"/>
      <c r="C8" s="55"/>
      <c r="D8" s="55"/>
      <c r="E8" s="55"/>
      <c r="F8" s="55"/>
      <c r="G8" s="55"/>
      <c r="H8" s="55"/>
      <c r="I8" s="55"/>
      <c r="J8" s="55"/>
      <c r="K8" s="55"/>
    </row>
    <row r="9" spans="1:16">
      <c r="B9" s="55"/>
      <c r="C9" s="55"/>
      <c r="D9" s="55"/>
      <c r="E9" s="55"/>
      <c r="F9" s="55"/>
      <c r="G9" s="55"/>
      <c r="H9" s="55"/>
      <c r="I9" s="55"/>
      <c r="J9" s="55"/>
      <c r="K9" s="55"/>
    </row>
    <row r="10" spans="1:16">
      <c r="B10" s="55"/>
      <c r="C10" s="55"/>
      <c r="D10" s="55"/>
      <c r="E10" s="55"/>
      <c r="F10" s="55"/>
      <c r="G10" s="55"/>
      <c r="H10" s="55"/>
      <c r="I10" s="55"/>
      <c r="J10" s="55"/>
      <c r="K10" s="55"/>
    </row>
    <row r="11" spans="1:16">
      <c r="B11" s="55"/>
      <c r="C11" s="55"/>
      <c r="D11" s="55"/>
      <c r="E11" s="55"/>
      <c r="F11" s="55"/>
      <c r="G11" s="55"/>
      <c r="H11" s="55"/>
      <c r="I11" s="55"/>
      <c r="J11" s="55"/>
      <c r="K11" s="55"/>
    </row>
    <row r="12" spans="1:16">
      <c r="B12" s="55"/>
      <c r="C12" s="55"/>
      <c r="D12" s="55"/>
      <c r="E12" s="55"/>
      <c r="F12" s="55"/>
      <c r="G12" s="55"/>
      <c r="H12" s="55"/>
      <c r="I12" s="55"/>
      <c r="J12" s="55"/>
      <c r="K12" s="55"/>
    </row>
    <row r="13" spans="1:16" hidden="1">
      <c r="B13" s="55"/>
      <c r="C13" s="55"/>
      <c r="D13" s="55"/>
      <c r="E13" s="55"/>
      <c r="F13" s="55"/>
      <c r="G13" s="55"/>
      <c r="H13" s="55"/>
      <c r="I13" s="55"/>
      <c r="J13" s="55"/>
      <c r="K13" s="55"/>
    </row>
    <row r="14" spans="1:16">
      <c r="B14" s="70" t="s">
        <v>356</v>
      </c>
      <c r="C14" s="55"/>
      <c r="D14" s="55"/>
      <c r="E14" s="55"/>
      <c r="F14" s="55"/>
      <c r="G14" s="55"/>
      <c r="H14" s="55"/>
      <c r="I14" s="55"/>
      <c r="J14" s="55"/>
      <c r="K14" s="55"/>
    </row>
    <row r="15" spans="1:16">
      <c r="B15" s="70" t="s">
        <v>357</v>
      </c>
      <c r="C15" s="55"/>
      <c r="D15" s="55"/>
      <c r="E15" s="55"/>
      <c r="F15" s="55"/>
      <c r="G15" s="55"/>
      <c r="H15" s="55"/>
      <c r="I15" s="55"/>
      <c r="J15" s="55"/>
      <c r="K15" s="55"/>
    </row>
    <row r="16" spans="1:16">
      <c r="B16" s="70" t="s">
        <v>358</v>
      </c>
      <c r="C16" s="55"/>
      <c r="D16" s="55"/>
      <c r="E16" s="55"/>
      <c r="F16" s="55"/>
      <c r="G16" s="55"/>
      <c r="H16" s="55"/>
      <c r="I16" s="55"/>
      <c r="J16" s="55"/>
      <c r="K16" s="55"/>
    </row>
    <row r="17" spans="1:11">
      <c r="B17" s="70" t="s">
        <v>359</v>
      </c>
      <c r="C17" s="55"/>
      <c r="D17" s="55"/>
      <c r="E17" s="55"/>
      <c r="F17" s="55"/>
      <c r="G17" s="55"/>
      <c r="H17" s="55"/>
      <c r="I17" s="55"/>
      <c r="J17" s="55"/>
      <c r="K17" s="55"/>
    </row>
    <row r="18" spans="1:11" ht="8.25" customHeight="1">
      <c r="B18" s="55"/>
      <c r="C18" s="55"/>
      <c r="D18" s="55"/>
      <c r="E18" s="55"/>
      <c r="F18" s="55"/>
      <c r="G18" s="55"/>
      <c r="H18" s="55"/>
      <c r="I18" s="55"/>
      <c r="J18" s="55"/>
      <c r="K18" s="55"/>
    </row>
    <row r="19" spans="1:11">
      <c r="B19" s="134" t="s">
        <v>360</v>
      </c>
      <c r="C19" s="70" t="str">
        <f>IF('Datos del Sujeto'!D10="","[Sin datos]",  'Datos del Sujeto'!D10)</f>
        <v>Jose Anibal Motaño</v>
      </c>
      <c r="D19" s="55"/>
    </row>
    <row r="20" spans="1:11">
      <c r="B20" s="134" t="s">
        <v>368</v>
      </c>
      <c r="C20" s="70" t="str">
        <f>IF('Datos del Sujeto'!P10="","[Sin datos]",  'Datos del Sujeto'!P10)</f>
        <v>[Sin datos]</v>
      </c>
      <c r="D20" s="55"/>
    </row>
    <row r="21" spans="1:11">
      <c r="B21" s="134" t="s">
        <v>361</v>
      </c>
      <c r="C21" s="152">
        <f>IF('Datos del Sujeto'!N12="","[Sin datos]",  'Datos del Sujeto'!N12)</f>
        <v>63</v>
      </c>
      <c r="D21" s="55"/>
    </row>
    <row r="22" spans="1:11">
      <c r="B22" s="134" t="s">
        <v>362</v>
      </c>
      <c r="C22" s="70" t="str">
        <f>+'Datos del Sujeto'!U12</f>
        <v>Varón</v>
      </c>
      <c r="D22" s="55"/>
    </row>
    <row r="23" spans="1:11">
      <c r="B23" s="134" t="s">
        <v>363</v>
      </c>
      <c r="C23" s="70" t="str">
        <f>IF('Datos del Sujeto'!AA8="","[Sin datos]",  'Datos del Sujeto'!AA8)</f>
        <v>Proceso Penal</v>
      </c>
      <c r="D23" s="55"/>
    </row>
    <row r="24" spans="1:11">
      <c r="B24" s="134" t="s">
        <v>364</v>
      </c>
      <c r="C24" s="153" t="str">
        <f>IF('Datos del Sujeto'!U6="","[Sin datos]",  'Datos del Sujeto'!U6)</f>
        <v>bachillerato superior o formación profesional</v>
      </c>
      <c r="D24" s="55"/>
    </row>
    <row r="25" spans="1:11">
      <c r="B25" s="134" t="s">
        <v>365</v>
      </c>
      <c r="C25" s="70" t="str">
        <f>IF('Datos del Sujeto'!L12="","[Sin datos]",  'Datos del Sujeto'!L12)</f>
        <v>Urbano</v>
      </c>
      <c r="D25" s="55"/>
    </row>
    <row r="26" spans="1:11">
      <c r="B26" s="134" t="s">
        <v>366</v>
      </c>
      <c r="C26" s="70" t="str">
        <f>IF('Datos del Sujeto'!W9="","[Sin datos]",  'Datos del Sujeto'!W9)</f>
        <v>[Sin datos]</v>
      </c>
      <c r="D26" s="55"/>
    </row>
    <row r="27" spans="1:11">
      <c r="B27" s="134" t="s">
        <v>367</v>
      </c>
      <c r="C27" s="70" t="str">
        <f>IF('Datos del Sujeto'!U16="","[Sin datos]",  'Datos del Sujeto'!U16)</f>
        <v>21/12/62</v>
      </c>
      <c r="D27" s="55"/>
    </row>
    <row r="28" spans="1:11">
      <c r="B28" s="134" t="s">
        <v>369</v>
      </c>
      <c r="C28" s="250" t="str" cm="1">
        <f t="array" aca="1" ref="C28" ca="1">INDIRECT(ADDRESS(A2+4,15))</f>
        <v>Población Española</v>
      </c>
      <c r="D28" s="250"/>
      <c r="E28" s="96"/>
      <c r="F28" s="96"/>
    </row>
    <row r="29" spans="1:11">
      <c r="B29" s="55"/>
      <c r="C29" s="55"/>
      <c r="D29" s="55"/>
      <c r="E29" s="55"/>
      <c r="F29" s="55"/>
      <c r="G29" s="55"/>
      <c r="H29" s="55"/>
      <c r="I29" s="55"/>
      <c r="J29" s="55"/>
      <c r="K29" s="55"/>
    </row>
    <row r="30" spans="1:11">
      <c r="B30" s="55"/>
      <c r="C30" s="55"/>
      <c r="D30" s="55"/>
      <c r="E30" s="55"/>
      <c r="F30" s="55"/>
      <c r="G30" s="55"/>
      <c r="H30" s="55"/>
      <c r="I30" s="55"/>
      <c r="J30" s="55"/>
      <c r="K30" s="55"/>
    </row>
    <row r="31" spans="1:11">
      <c r="A31" s="55"/>
      <c r="B31" s="55"/>
      <c r="C31" s="55"/>
      <c r="D31" s="55"/>
      <c r="E31" s="55"/>
      <c r="F31" s="55"/>
      <c r="G31" s="55"/>
      <c r="H31" s="55"/>
      <c r="I31" s="55"/>
      <c r="J31" s="55"/>
      <c r="K31" s="55"/>
    </row>
    <row r="32" spans="1:11">
      <c r="A32" s="55"/>
      <c r="B32" s="55"/>
      <c r="C32" s="55"/>
      <c r="D32" s="55"/>
      <c r="E32" s="55"/>
      <c r="F32" s="55"/>
      <c r="G32" s="55"/>
      <c r="H32" s="55"/>
      <c r="I32" s="55"/>
      <c r="J32" s="55"/>
      <c r="K32" s="55"/>
    </row>
    <row r="33" spans="1:11">
      <c r="A33" s="55"/>
      <c r="B33" s="154" t="s">
        <v>370</v>
      </c>
      <c r="C33" s="55"/>
      <c r="D33" s="55"/>
      <c r="E33" s="55"/>
      <c r="F33" s="55"/>
      <c r="G33" s="55"/>
      <c r="H33" s="55"/>
      <c r="I33" s="55"/>
      <c r="J33" s="55"/>
      <c r="K33" s="55"/>
    </row>
    <row r="34" spans="1:11" s="156" customFormat="1" ht="16.5" customHeight="1">
      <c r="A34" s="146"/>
      <c r="B34" s="251" t="s">
        <v>717</v>
      </c>
      <c r="C34" s="251"/>
      <c r="D34" s="251"/>
      <c r="E34" s="251"/>
      <c r="F34" s="251"/>
      <c r="G34" s="251"/>
      <c r="H34" s="251"/>
      <c r="I34" s="251"/>
      <c r="J34" s="251"/>
      <c r="K34" s="251"/>
    </row>
    <row r="35" spans="1:11">
      <c r="A35" s="55"/>
      <c r="B35" s="154" t="s">
        <v>718</v>
      </c>
      <c r="C35" s="55"/>
      <c r="D35" s="55"/>
      <c r="E35" s="55"/>
      <c r="F35" s="55"/>
      <c r="G35" s="55"/>
      <c r="H35" s="55"/>
      <c r="I35" s="55"/>
      <c r="J35" s="55"/>
      <c r="K35" s="55"/>
    </row>
    <row r="36" spans="1:11">
      <c r="A36" s="55"/>
      <c r="B36" s="155" t="s">
        <v>371</v>
      </c>
      <c r="C36" s="55"/>
      <c r="D36" s="55"/>
      <c r="E36" s="55"/>
      <c r="F36" s="55"/>
      <c r="G36" s="55"/>
      <c r="H36" s="55"/>
      <c r="I36" s="55"/>
      <c r="J36" s="55"/>
      <c r="K36" s="55"/>
    </row>
    <row r="37" spans="1:11">
      <c r="A37" s="55"/>
      <c r="B37" s="154" t="s">
        <v>372</v>
      </c>
      <c r="C37" s="55"/>
      <c r="D37" s="55"/>
      <c r="E37" s="55"/>
      <c r="F37" s="55"/>
      <c r="G37" s="55"/>
      <c r="H37" s="55"/>
      <c r="I37" s="55"/>
      <c r="J37" s="55"/>
      <c r="K37" s="55"/>
    </row>
    <row r="38" spans="1:11">
      <c r="A38" s="55"/>
      <c r="B38" s="154" t="s">
        <v>373</v>
      </c>
      <c r="C38" s="55"/>
      <c r="D38" s="55"/>
      <c r="E38" s="55"/>
      <c r="F38" s="55"/>
      <c r="G38" s="55"/>
      <c r="H38" s="55"/>
      <c r="I38" s="55"/>
      <c r="J38" s="55"/>
      <c r="K38" s="55"/>
    </row>
    <row r="39" spans="1:11" ht="10.5" customHeight="1">
      <c r="A39" s="55"/>
      <c r="B39" s="55"/>
      <c r="C39" s="55"/>
      <c r="D39" s="55"/>
      <c r="E39" s="55"/>
      <c r="F39" s="55"/>
      <c r="G39" s="55"/>
      <c r="H39" s="55"/>
      <c r="I39" s="55"/>
      <c r="J39" s="55"/>
      <c r="K39" s="55"/>
    </row>
    <row r="40" spans="1:11">
      <c r="A40" s="55"/>
      <c r="B40" s="55"/>
      <c r="C40" s="55"/>
      <c r="D40" s="55"/>
      <c r="E40" s="55"/>
      <c r="F40" s="55"/>
      <c r="G40" s="55"/>
      <c r="H40" s="55"/>
      <c r="I40" s="55"/>
      <c r="J40" s="55"/>
      <c r="K40" s="55"/>
    </row>
    <row r="41" spans="1:11">
      <c r="A41" s="55"/>
      <c r="B41" s="55"/>
      <c r="C41" s="55"/>
      <c r="D41" s="55"/>
      <c r="E41" s="55"/>
      <c r="F41" s="55"/>
      <c r="G41" s="55"/>
      <c r="H41" s="55"/>
      <c r="I41" s="55"/>
      <c r="J41" s="55"/>
      <c r="K41" s="55"/>
    </row>
    <row r="42" spans="1:11">
      <c r="A42" s="55"/>
      <c r="B42" s="55"/>
      <c r="C42" s="55"/>
      <c r="D42" s="55"/>
      <c r="E42" s="55"/>
      <c r="F42" s="55"/>
      <c r="G42" s="55"/>
      <c r="H42" s="55"/>
      <c r="I42" s="55"/>
      <c r="J42" s="55"/>
      <c r="K42" s="55"/>
    </row>
    <row r="43" spans="1:11"/>
  </sheetData>
  <sheetProtection algorithmName="SHA-512" hashValue="+QfxGB3g9t11Vtr3uFICWZ5a9Sr7CVTeNXdKxrgmHITkZ4bjtpiy0j9xg6cpNwl1q5rDi+juREgySCS1qSVvXw==" saltValue="ssrntN9SH2pWiOlikgGxhg==" spinCount="100000" sheet="1" objects="1" scenarios="1"/>
  <mergeCells count="2">
    <mergeCell ref="C28:D28"/>
    <mergeCell ref="B34:K3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3" r:id="rId3" name="Drop Down 3">
              <controlPr defaultSize="0" print="0" autoLine="0" autoPict="0">
                <anchor>
                  <from>
                    <xdr:col>2</xdr:col>
                    <xdr:colOff>28575</xdr:colOff>
                    <xdr:row>26</xdr:row>
                    <xdr:rowOff>200025</xdr:rowOff>
                  </from>
                  <to>
                    <xdr:col>4</xdr:col>
                    <xdr:colOff>552450</xdr:colOff>
                    <xdr:row>27</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02573B-49DD-4C25-84CC-E522AF171E1D}">
  <sheetPr codeName="Hoja2"/>
  <dimension ref="A1:FV225"/>
  <sheetViews>
    <sheetView showGridLines="0" topLeftCell="A171" zoomScaleNormal="100" workbookViewId="0">
      <selection activeCell="E214" sqref="E214"/>
    </sheetView>
  </sheetViews>
  <sheetFormatPr baseColWidth="10" defaultColWidth="0" defaultRowHeight="14.25" zeroHeight="1"/>
  <cols>
    <col min="1" max="1" width="3.5703125" style="30" customWidth="1"/>
    <col min="2" max="2" width="5.5703125" style="30" bestFit="1" customWidth="1"/>
    <col min="3" max="3" width="123" style="41" customWidth="1"/>
    <col min="4" max="5" width="4.85546875" style="27" customWidth="1"/>
    <col min="6" max="6" width="5" style="30" customWidth="1"/>
    <col min="7" max="7" width="11.42578125" style="30" customWidth="1"/>
    <col min="8" max="8" width="6.85546875" style="27" hidden="1" customWidth="1"/>
    <col min="9" max="9" width="12.42578125" style="27" hidden="1" customWidth="1"/>
    <col min="10" max="10" width="6.85546875" style="30" hidden="1" customWidth="1"/>
    <col min="11" max="11" width="9.85546875" style="30" hidden="1" customWidth="1"/>
    <col min="12" max="12" width="6.85546875" style="30" hidden="1" customWidth="1"/>
    <col min="13" max="13" width="13.42578125" style="27" hidden="1" customWidth="1"/>
    <col min="14" max="14" width="6.85546875" style="30" hidden="1" customWidth="1"/>
    <col min="15" max="15" width="14.42578125" style="27" hidden="1" customWidth="1"/>
    <col min="16" max="16" width="6.85546875" style="30" hidden="1" customWidth="1"/>
    <col min="17" max="17" width="12.28515625" style="27" hidden="1" customWidth="1"/>
    <col min="18" max="18" width="6.85546875" style="30" hidden="1" customWidth="1"/>
    <col min="19" max="19" width="15.140625" style="27" hidden="1" customWidth="1"/>
    <col min="20" max="20" width="6.85546875" style="30" hidden="1" customWidth="1"/>
    <col min="21" max="21" width="11.28515625" style="27" hidden="1" customWidth="1"/>
    <col min="22" max="22" width="6.85546875" style="30" hidden="1" customWidth="1"/>
    <col min="23" max="23" width="11.28515625" style="27" hidden="1" customWidth="1"/>
    <col min="24" max="24" width="6.85546875" style="30" hidden="1" customWidth="1"/>
    <col min="25" max="25" width="8.140625" style="27" hidden="1" customWidth="1"/>
    <col min="26" max="26" width="6.85546875" style="30" hidden="1" customWidth="1"/>
    <col min="27" max="27" width="13.28515625" style="27" hidden="1" customWidth="1"/>
    <col min="28" max="28" width="6.85546875" style="30" hidden="1" customWidth="1"/>
    <col min="29" max="29" width="12.5703125" style="27" hidden="1" customWidth="1"/>
    <col min="30" max="30" width="6.85546875" style="30" hidden="1" customWidth="1"/>
    <col min="31" max="31" width="12.85546875" style="27" hidden="1" customWidth="1"/>
    <col min="32" max="32" width="11.42578125" style="30" hidden="1" customWidth="1"/>
    <col min="33" max="33" width="6.42578125" style="30" hidden="1" customWidth="1"/>
    <col min="34" max="34" width="14.7109375" style="30" hidden="1" customWidth="1"/>
    <col min="35" max="35" width="6.42578125" style="30" hidden="1" customWidth="1"/>
    <col min="36" max="36" width="7.140625" style="30" hidden="1" customWidth="1"/>
    <col min="37" max="37" width="6.42578125" style="30" hidden="1" customWidth="1"/>
    <col min="38" max="38" width="11.28515625" style="27" hidden="1" customWidth="1"/>
    <col min="39" max="39" width="11.42578125" style="27" hidden="1" customWidth="1"/>
    <col min="40" max="40" width="6.42578125" style="27" hidden="1" customWidth="1"/>
    <col min="41" max="41" width="24.140625" style="27" hidden="1" customWidth="1"/>
    <col min="42" max="42" width="6.42578125" style="27" hidden="1" customWidth="1"/>
    <col min="43" max="43" width="21.28515625" style="27" hidden="1" customWidth="1"/>
    <col min="44" max="44" width="6.42578125" style="27" hidden="1" customWidth="1"/>
    <col min="45" max="45" width="17.85546875" style="27" hidden="1" customWidth="1"/>
    <col min="46" max="46" width="6.42578125" style="27" hidden="1" customWidth="1"/>
    <col min="47" max="47" width="24" style="27" hidden="1" customWidth="1"/>
    <col min="48" max="48" width="6.42578125" style="27" hidden="1" customWidth="1"/>
    <col min="49" max="49" width="21.85546875" style="27" hidden="1" customWidth="1"/>
    <col min="50" max="50" width="6.42578125" style="27" hidden="1" customWidth="1"/>
    <col min="51" max="51" width="21.5703125" style="27" hidden="1" customWidth="1"/>
    <col min="52" max="52" width="6.42578125" style="27" hidden="1" customWidth="1"/>
    <col min="53" max="53" width="22.7109375" style="27" hidden="1" customWidth="1"/>
    <col min="54" max="54" width="11.42578125" style="27" hidden="1" customWidth="1"/>
    <col min="55" max="55" width="6.5703125" style="27" hidden="1" customWidth="1"/>
    <col min="56" max="56" width="26.140625" style="27" hidden="1" customWidth="1"/>
    <col min="57" max="57" width="6.5703125" style="27" hidden="1" customWidth="1"/>
    <col min="58" max="58" width="18.28515625" style="27" hidden="1" customWidth="1"/>
    <col min="59" max="59" width="6.5703125" style="27" hidden="1" customWidth="1"/>
    <col min="60" max="60" width="10.28515625" style="27" hidden="1" customWidth="1"/>
    <col min="61" max="62" width="11.42578125" style="30" hidden="1" customWidth="1"/>
    <col min="63" max="63" width="11.42578125" style="27" hidden="1" customWidth="1"/>
    <col min="64" max="64" width="16.5703125" style="27" hidden="1" customWidth="1"/>
    <col min="65" max="65" width="11.42578125" style="27" hidden="1" customWidth="1"/>
    <col min="66" max="66" width="20.7109375" style="27" hidden="1" customWidth="1"/>
    <col min="67" max="67" width="6.5703125" style="27" hidden="1" customWidth="1"/>
    <col min="68" max="68" width="13.5703125" style="27" hidden="1" customWidth="1"/>
    <col min="69" max="69" width="11.42578125" style="30" hidden="1" customWidth="1"/>
    <col min="70" max="70" width="6.5703125" style="30" hidden="1" customWidth="1"/>
    <col min="71" max="71" width="11.7109375" style="27" hidden="1" customWidth="1"/>
    <col min="72" max="72" width="10.7109375" style="27" hidden="1" customWidth="1"/>
    <col min="73" max="73" width="18.85546875" style="27" hidden="1" customWidth="1"/>
    <col min="74" max="74" width="11.42578125" style="30" hidden="1" customWidth="1"/>
    <col min="75" max="75" width="6.42578125" style="30" hidden="1" customWidth="1"/>
    <col min="76" max="76" width="4" style="30" hidden="1" customWidth="1"/>
    <col min="77" max="77" width="6.42578125" style="30" hidden="1" customWidth="1"/>
    <col min="78" max="78" width="4" style="30" hidden="1" customWidth="1"/>
    <col min="79" max="79" width="6.42578125" style="30" hidden="1" customWidth="1"/>
    <col min="80" max="80" width="4" style="30" hidden="1" customWidth="1"/>
    <col min="81" max="81" width="1.7109375" style="42" hidden="1" customWidth="1"/>
    <col min="82" max="82" width="6.42578125" style="30" hidden="1" customWidth="1"/>
    <col min="83" max="83" width="5.42578125" style="30" hidden="1" customWidth="1"/>
    <col min="84" max="84" width="6.42578125" style="30" hidden="1" customWidth="1"/>
    <col min="85" max="85" width="5.42578125" style="30" hidden="1" customWidth="1"/>
    <col min="86" max="86" width="6.42578125" style="30" hidden="1" customWidth="1"/>
    <col min="87" max="87" width="5.42578125" style="30" hidden="1" customWidth="1"/>
    <col min="88" max="88" width="1.7109375" style="42" hidden="1" customWidth="1"/>
    <col min="89" max="94" width="6.28515625" style="30" hidden="1" customWidth="1"/>
    <col min="95" max="95" width="1.7109375" style="30" hidden="1" customWidth="1"/>
    <col min="96" max="96" width="6.42578125" style="31" hidden="1" customWidth="1"/>
    <col min="97" max="97" width="5.42578125" style="31" hidden="1" customWidth="1"/>
    <col min="98" max="98" width="6.42578125" style="31" hidden="1" customWidth="1"/>
    <col min="99" max="99" width="5.42578125" style="31" hidden="1" customWidth="1"/>
    <col min="100" max="100" width="6.42578125" style="31" hidden="1" customWidth="1"/>
    <col min="101" max="101" width="5.42578125" style="31" hidden="1" customWidth="1"/>
    <col min="102" max="102" width="1.7109375" style="31" hidden="1" customWidth="1"/>
    <col min="103" max="103" width="6.42578125" style="31" hidden="1" customWidth="1"/>
    <col min="104" max="104" width="5.42578125" style="31" hidden="1" customWidth="1"/>
    <col min="105" max="105" width="6.42578125" style="31" hidden="1" customWidth="1"/>
    <col min="106" max="106" width="5.42578125" style="31" hidden="1" customWidth="1"/>
    <col min="107" max="107" width="6.42578125" style="31" hidden="1" customWidth="1"/>
    <col min="108" max="108" width="5.42578125" style="31" hidden="1" customWidth="1"/>
    <col min="109" max="109" width="1.7109375" style="31" hidden="1" customWidth="1"/>
    <col min="110" max="110" width="6.42578125" style="31" hidden="1" customWidth="1"/>
    <col min="111" max="111" width="5.42578125" style="31" hidden="1" customWidth="1"/>
    <col min="112" max="112" width="6.42578125" style="31" hidden="1" customWidth="1"/>
    <col min="113" max="113" width="5.42578125" style="31" hidden="1" customWidth="1"/>
    <col min="114" max="114" width="6.42578125" style="31" hidden="1" customWidth="1"/>
    <col min="115" max="115" width="5.42578125" style="31" hidden="1" customWidth="1"/>
    <col min="116" max="116" width="1.7109375" style="31" hidden="1" customWidth="1"/>
    <col min="117" max="117" width="6.42578125" style="31" hidden="1" customWidth="1"/>
    <col min="118" max="118" width="5.42578125" style="31" hidden="1" customWidth="1"/>
    <col min="119" max="119" width="6.42578125" style="31" hidden="1" customWidth="1"/>
    <col min="120" max="120" width="5.42578125" style="31" hidden="1" customWidth="1"/>
    <col min="121" max="121" width="6.42578125" style="31" hidden="1" customWidth="1"/>
    <col min="122" max="122" width="5.42578125" style="31" hidden="1" customWidth="1"/>
    <col min="123" max="123" width="1.7109375" style="31" hidden="1" customWidth="1"/>
    <col min="124" max="124" width="6.42578125" style="31" hidden="1" customWidth="1"/>
    <col min="125" max="125" width="5.42578125" style="31" hidden="1" customWidth="1"/>
    <col min="126" max="126" width="6.42578125" style="31" hidden="1" customWidth="1"/>
    <col min="127" max="127" width="5.42578125" style="31" hidden="1" customWidth="1"/>
    <col min="128" max="128" width="6.42578125" style="31" hidden="1" customWidth="1"/>
    <col min="129" max="129" width="5.42578125" style="31" hidden="1" customWidth="1"/>
    <col min="130" max="130" width="1.7109375" style="31" hidden="1" customWidth="1"/>
    <col min="131" max="131" width="6.42578125" style="31" hidden="1" customWidth="1"/>
    <col min="132" max="132" width="5.42578125" style="31" hidden="1" customWidth="1"/>
    <col min="133" max="133" width="6.42578125" style="31" hidden="1" customWidth="1"/>
    <col min="134" max="134" width="5.42578125" style="31" hidden="1" customWidth="1"/>
    <col min="135" max="135" width="6.42578125" style="31" hidden="1" customWidth="1"/>
    <col min="136" max="136" width="5.42578125" style="31" hidden="1" customWidth="1"/>
    <col min="137" max="137" width="1.7109375" style="31" hidden="1" customWidth="1"/>
    <col min="138" max="138" width="6.42578125" style="31" hidden="1" customWidth="1"/>
    <col min="139" max="139" width="5.42578125" style="31" hidden="1" customWidth="1"/>
    <col min="140" max="140" width="6.42578125" style="31" hidden="1" customWidth="1"/>
    <col min="141" max="141" width="5.42578125" style="31" hidden="1" customWidth="1"/>
    <col min="142" max="142" width="6.42578125" style="31" hidden="1" customWidth="1"/>
    <col min="143" max="143" width="5.42578125" style="31" hidden="1" customWidth="1"/>
    <col min="144" max="144" width="1.7109375" style="31" hidden="1" customWidth="1"/>
    <col min="145" max="145" width="6.42578125" style="31" hidden="1" customWidth="1"/>
    <col min="146" max="146" width="5.42578125" style="31" hidden="1" customWidth="1"/>
    <col min="147" max="147" width="6.42578125" style="31" hidden="1" customWidth="1"/>
    <col min="148" max="148" width="5.42578125" style="31" hidden="1" customWidth="1"/>
    <col min="149" max="149" width="6.42578125" style="31" hidden="1" customWidth="1"/>
    <col min="150" max="150" width="5.42578125" style="31" hidden="1" customWidth="1"/>
    <col min="151" max="151" width="1.7109375" style="31" hidden="1" customWidth="1"/>
    <col min="152" max="152" width="6.42578125" style="31" hidden="1" customWidth="1"/>
    <col min="153" max="153" width="5.42578125" style="31" hidden="1" customWidth="1"/>
    <col min="154" max="154" width="6.42578125" style="31" hidden="1" customWidth="1"/>
    <col min="155" max="155" width="5.42578125" style="31" hidden="1" customWidth="1"/>
    <col min="156" max="156" width="6.42578125" style="31" hidden="1" customWidth="1"/>
    <col min="157" max="157" width="5.42578125" style="31" hidden="1" customWidth="1"/>
    <col min="158" max="158" width="1.7109375" style="31" hidden="1" customWidth="1"/>
    <col min="159" max="159" width="6.42578125" style="31" hidden="1" customWidth="1"/>
    <col min="160" max="160" width="5.42578125" style="31" hidden="1" customWidth="1"/>
    <col min="161" max="161" width="6.42578125" style="31" hidden="1" customWidth="1"/>
    <col min="162" max="162" width="5.42578125" style="31" hidden="1" customWidth="1"/>
    <col min="163" max="163" width="6.42578125" style="31" hidden="1" customWidth="1"/>
    <col min="164" max="164" width="5.42578125" style="31" hidden="1" customWidth="1"/>
    <col min="165" max="165" width="1.7109375" style="31" hidden="1" customWidth="1"/>
    <col min="166" max="166" width="6.42578125" style="31" hidden="1" customWidth="1"/>
    <col min="167" max="167" width="4.28515625" style="31" hidden="1" customWidth="1"/>
    <col min="168" max="168" width="6.42578125" style="31" hidden="1" customWidth="1"/>
    <col min="169" max="169" width="4.28515625" style="31" hidden="1" customWidth="1"/>
    <col min="170" max="170" width="6.42578125" style="31" hidden="1" customWidth="1"/>
    <col min="171" max="171" width="4.28515625" style="31" hidden="1" customWidth="1"/>
    <col min="172" max="172" width="1.7109375" style="31" hidden="1" customWidth="1"/>
    <col min="173" max="173" width="6.42578125" style="31" hidden="1" customWidth="1"/>
    <col min="174" max="174" width="4.42578125" style="31" hidden="1" customWidth="1"/>
    <col min="175" max="175" width="6.42578125" style="31" hidden="1" customWidth="1"/>
    <col min="176" max="176" width="4.42578125" style="31" hidden="1" customWidth="1"/>
    <col min="177" max="177" width="6.42578125" style="31" hidden="1" customWidth="1"/>
    <col min="178" max="178" width="4.42578125" style="31" hidden="1" customWidth="1"/>
    <col min="179" max="16384" width="11.42578125" style="30" hidden="1"/>
  </cols>
  <sheetData>
    <row r="1" spans="2:6">
      <c r="B1" s="36"/>
      <c r="C1" s="44"/>
      <c r="D1" s="7"/>
      <c r="E1" s="7"/>
      <c r="F1" s="36"/>
    </row>
    <row r="2" spans="2:6">
      <c r="B2" s="36"/>
      <c r="C2" s="44"/>
      <c r="D2" s="7"/>
      <c r="E2" s="7"/>
      <c r="F2" s="36"/>
    </row>
    <row r="3" spans="2:6" ht="15">
      <c r="B3" s="36"/>
      <c r="C3" s="149"/>
      <c r="D3" s="7"/>
      <c r="E3" s="7"/>
      <c r="F3" s="36"/>
    </row>
    <row r="4" spans="2:6">
      <c r="B4" s="36"/>
      <c r="C4" s="44"/>
      <c r="D4" s="7"/>
      <c r="E4" s="7"/>
      <c r="F4" s="36"/>
    </row>
    <row r="5" spans="2:6">
      <c r="B5" s="36"/>
      <c r="C5" s="44"/>
      <c r="D5" s="7"/>
      <c r="E5" s="7"/>
      <c r="F5" s="36"/>
    </row>
    <row r="6" spans="2:6">
      <c r="B6" s="36"/>
      <c r="C6" s="44"/>
      <c r="D6" s="7"/>
      <c r="E6" s="7"/>
      <c r="F6" s="36"/>
    </row>
    <row r="7" spans="2:6">
      <c r="B7" s="36"/>
      <c r="C7" s="44"/>
      <c r="D7" s="7"/>
      <c r="E7" s="7"/>
      <c r="F7" s="36"/>
    </row>
    <row r="8" spans="2:6" ht="23.25">
      <c r="B8" s="36"/>
      <c r="C8" s="254" t="s">
        <v>561</v>
      </c>
      <c r="D8" s="254"/>
      <c r="E8" s="254"/>
      <c r="F8" s="254"/>
    </row>
    <row r="9" spans="2:6" ht="6.75" customHeight="1">
      <c r="B9" s="36"/>
      <c r="C9" s="61"/>
      <c r="D9" s="56"/>
      <c r="E9" s="56"/>
      <c r="F9" s="55"/>
    </row>
    <row r="10" spans="2:6" ht="17.25" customHeight="1">
      <c r="B10" s="36"/>
      <c r="C10" s="255" t="s">
        <v>562</v>
      </c>
      <c r="D10" s="255"/>
      <c r="E10" s="255"/>
      <c r="F10" s="255"/>
    </row>
    <row r="11" spans="2:6" ht="17.25" customHeight="1">
      <c r="B11" s="36"/>
      <c r="C11" s="255"/>
      <c r="D11" s="255"/>
      <c r="E11" s="255"/>
      <c r="F11" s="255"/>
    </row>
    <row r="12" spans="2:6" ht="21.75" customHeight="1">
      <c r="B12" s="36"/>
      <c r="C12" s="255"/>
      <c r="D12" s="255"/>
      <c r="E12" s="255"/>
      <c r="F12" s="255"/>
    </row>
    <row r="13" spans="2:6" ht="16.5" customHeight="1">
      <c r="B13" s="36"/>
      <c r="C13" s="255" t="s">
        <v>740</v>
      </c>
      <c r="D13" s="255"/>
      <c r="E13" s="255"/>
      <c r="F13" s="255"/>
    </row>
    <row r="14" spans="2:6" ht="16.5" customHeight="1">
      <c r="B14" s="36"/>
      <c r="C14" s="255"/>
      <c r="D14" s="255"/>
      <c r="E14" s="255"/>
      <c r="F14" s="255"/>
    </row>
    <row r="15" spans="2:6" ht="16.5" customHeight="1">
      <c r="B15" s="36"/>
      <c r="C15" s="255"/>
      <c r="D15" s="255"/>
      <c r="E15" s="255"/>
      <c r="F15" s="255"/>
    </row>
    <row r="16" spans="2:6" ht="21" customHeight="1">
      <c r="B16" s="36"/>
      <c r="C16" s="255"/>
      <c r="D16" s="255"/>
      <c r="E16" s="255"/>
      <c r="F16" s="255"/>
    </row>
    <row r="17" spans="2:178" ht="17.25">
      <c r="B17" s="36"/>
      <c r="C17" s="150" t="s">
        <v>563</v>
      </c>
      <c r="D17" s="56"/>
      <c r="E17" s="56"/>
      <c r="F17" s="55"/>
    </row>
    <row r="18" spans="2:178" s="32" customFormat="1" ht="9.75" customHeight="1">
      <c r="C18" s="151"/>
      <c r="D18" s="29"/>
      <c r="E18" s="29"/>
      <c r="H18" s="256">
        <v>1</v>
      </c>
      <c r="I18" s="256"/>
      <c r="J18" s="256" t="s">
        <v>210</v>
      </c>
      <c r="K18" s="256"/>
      <c r="L18" s="256" t="s">
        <v>211</v>
      </c>
      <c r="M18" s="256"/>
      <c r="N18" s="256">
        <v>3</v>
      </c>
      <c r="O18" s="256"/>
      <c r="P18" s="256" t="s">
        <v>212</v>
      </c>
      <c r="Q18" s="256"/>
      <c r="R18" s="256" t="s">
        <v>213</v>
      </c>
      <c r="S18" s="256"/>
      <c r="T18" s="256">
        <v>5</v>
      </c>
      <c r="U18" s="256"/>
      <c r="V18" s="256" t="s">
        <v>214</v>
      </c>
      <c r="W18" s="256"/>
      <c r="X18" s="256" t="s">
        <v>215</v>
      </c>
      <c r="Y18" s="256"/>
      <c r="Z18" s="256">
        <v>7</v>
      </c>
      <c r="AA18" s="256"/>
      <c r="AB18" s="256" t="s">
        <v>216</v>
      </c>
      <c r="AC18" s="256"/>
      <c r="AD18" s="256" t="s">
        <v>217</v>
      </c>
      <c r="AE18" s="256"/>
      <c r="AG18" s="253" t="s">
        <v>246</v>
      </c>
      <c r="AH18" s="253"/>
      <c r="AI18" s="253" t="s">
        <v>247</v>
      </c>
      <c r="AJ18" s="253"/>
      <c r="AK18" s="253" t="s">
        <v>248</v>
      </c>
      <c r="AL18" s="253"/>
      <c r="AM18" s="29"/>
      <c r="AN18" s="252" t="s">
        <v>260</v>
      </c>
      <c r="AO18" s="252"/>
      <c r="AP18" s="252" t="s">
        <v>261</v>
      </c>
      <c r="AQ18" s="252"/>
      <c r="AR18" s="252" t="s">
        <v>262</v>
      </c>
      <c r="AS18" s="252"/>
      <c r="AT18" s="252" t="s">
        <v>263</v>
      </c>
      <c r="AU18" s="252"/>
      <c r="AV18" s="252" t="s">
        <v>264</v>
      </c>
      <c r="AW18" s="252"/>
      <c r="AX18" s="252" t="s">
        <v>265</v>
      </c>
      <c r="AY18" s="252"/>
      <c r="AZ18" s="252" t="s">
        <v>266</v>
      </c>
      <c r="BA18" s="252"/>
      <c r="BB18" s="29"/>
      <c r="BC18" s="252" t="s">
        <v>267</v>
      </c>
      <c r="BD18" s="252"/>
      <c r="BE18" s="252" t="s">
        <v>268</v>
      </c>
      <c r="BF18" s="252"/>
      <c r="BG18" s="252" t="s">
        <v>269</v>
      </c>
      <c r="BH18" s="252"/>
      <c r="BK18" s="252" t="s">
        <v>234</v>
      </c>
      <c r="BL18" s="252"/>
      <c r="BM18" s="252" t="s">
        <v>235</v>
      </c>
      <c r="BN18" s="252"/>
      <c r="BO18" s="252" t="s">
        <v>236</v>
      </c>
      <c r="BP18" s="252"/>
      <c r="BR18" s="252" t="s">
        <v>195</v>
      </c>
      <c r="BS18" s="252"/>
      <c r="BT18" s="252" t="s">
        <v>278</v>
      </c>
      <c r="BU18" s="252"/>
      <c r="BW18" s="252" t="s">
        <v>197</v>
      </c>
      <c r="BX18" s="252"/>
      <c r="BY18" s="252"/>
      <c r="BZ18" s="252"/>
      <c r="CA18" s="252"/>
      <c r="CB18" s="252"/>
      <c r="CC18" s="45"/>
      <c r="CD18" s="252" t="s">
        <v>198</v>
      </c>
      <c r="CE18" s="252"/>
      <c r="CF18" s="252"/>
      <c r="CG18" s="252"/>
      <c r="CH18" s="252"/>
      <c r="CI18" s="252"/>
      <c r="CJ18" s="45"/>
      <c r="CK18" s="252" t="s">
        <v>199</v>
      </c>
      <c r="CL18" s="252"/>
      <c r="CM18" s="252"/>
      <c r="CN18" s="252"/>
      <c r="CO18" s="252"/>
      <c r="CP18" s="252"/>
      <c r="CR18" s="252" t="s">
        <v>200</v>
      </c>
      <c r="CS18" s="252"/>
      <c r="CT18" s="252"/>
      <c r="CU18" s="252"/>
      <c r="CV18" s="252"/>
      <c r="CW18" s="252"/>
      <c r="CX18" s="28"/>
      <c r="CY18" s="252" t="s">
        <v>387</v>
      </c>
      <c r="CZ18" s="252"/>
      <c r="DA18" s="252"/>
      <c r="DB18" s="252"/>
      <c r="DC18" s="252"/>
      <c r="DD18" s="252"/>
      <c r="DE18" s="28"/>
      <c r="DF18" s="252" t="s">
        <v>202</v>
      </c>
      <c r="DG18" s="252"/>
      <c r="DH18" s="252"/>
      <c r="DI18" s="252"/>
      <c r="DJ18" s="252"/>
      <c r="DK18" s="252"/>
      <c r="DL18" s="28"/>
      <c r="DM18" s="252" t="s">
        <v>203</v>
      </c>
      <c r="DN18" s="252"/>
      <c r="DO18" s="252"/>
      <c r="DP18" s="252"/>
      <c r="DQ18" s="252"/>
      <c r="DR18" s="252"/>
      <c r="DS18" s="28"/>
      <c r="DT18" s="252" t="s">
        <v>204</v>
      </c>
      <c r="DU18" s="252"/>
      <c r="DV18" s="252"/>
      <c r="DW18" s="252"/>
      <c r="DX18" s="252"/>
      <c r="DY18" s="252"/>
      <c r="DZ18" s="28"/>
      <c r="EA18" s="252" t="s">
        <v>205</v>
      </c>
      <c r="EB18" s="252"/>
      <c r="EC18" s="252"/>
      <c r="ED18" s="252"/>
      <c r="EE18" s="252"/>
      <c r="EF18" s="252"/>
      <c r="EG18" s="28"/>
      <c r="EH18" s="252" t="s">
        <v>206</v>
      </c>
      <c r="EI18" s="252"/>
      <c r="EJ18" s="252"/>
      <c r="EK18" s="252"/>
      <c r="EL18" s="252"/>
      <c r="EM18" s="252"/>
      <c r="EN18" s="28"/>
      <c r="EO18" s="252" t="s">
        <v>207</v>
      </c>
      <c r="EP18" s="252"/>
      <c r="EQ18" s="252"/>
      <c r="ER18" s="252"/>
      <c r="ES18" s="252"/>
      <c r="ET18" s="252"/>
      <c r="EU18" s="28"/>
      <c r="EV18" s="252" t="s">
        <v>208</v>
      </c>
      <c r="EW18" s="252"/>
      <c r="EX18" s="252"/>
      <c r="EY18" s="252"/>
      <c r="EZ18" s="252"/>
      <c r="FA18" s="252"/>
      <c r="FB18" s="28"/>
      <c r="FC18" s="252" t="s">
        <v>243</v>
      </c>
      <c r="FD18" s="252"/>
      <c r="FE18" s="252"/>
      <c r="FF18" s="252"/>
      <c r="FG18" s="252"/>
      <c r="FH18" s="252"/>
      <c r="FI18" s="28"/>
      <c r="FJ18" s="252" t="s">
        <v>244</v>
      </c>
      <c r="FK18" s="252"/>
      <c r="FL18" s="252"/>
      <c r="FM18" s="252"/>
      <c r="FN18" s="252"/>
      <c r="FO18" s="252"/>
      <c r="FP18" s="28"/>
      <c r="FQ18" s="252" t="s">
        <v>244</v>
      </c>
      <c r="FR18" s="252"/>
      <c r="FS18" s="252"/>
      <c r="FT18" s="252"/>
      <c r="FU18" s="252"/>
      <c r="FV18" s="252"/>
    </row>
    <row r="19" spans="2:178" ht="15">
      <c r="B19" s="36"/>
      <c r="C19" s="44"/>
      <c r="D19" s="35" t="s">
        <v>195</v>
      </c>
      <c r="E19" s="35" t="s">
        <v>196</v>
      </c>
      <c r="H19" s="46" t="s">
        <v>209</v>
      </c>
      <c r="I19" s="46" t="s">
        <v>197</v>
      </c>
      <c r="J19" s="46" t="s">
        <v>209</v>
      </c>
      <c r="K19" s="47" t="s">
        <v>198</v>
      </c>
      <c r="L19" s="46" t="s">
        <v>209</v>
      </c>
      <c r="M19" s="46" t="s">
        <v>199</v>
      </c>
      <c r="N19" s="46" t="s">
        <v>209</v>
      </c>
      <c r="O19" s="46" t="s">
        <v>200</v>
      </c>
      <c r="P19" s="46" t="s">
        <v>209</v>
      </c>
      <c r="Q19" s="46" t="s">
        <v>201</v>
      </c>
      <c r="R19" s="46" t="s">
        <v>209</v>
      </c>
      <c r="S19" s="46" t="s">
        <v>202</v>
      </c>
      <c r="T19" s="46" t="s">
        <v>209</v>
      </c>
      <c r="U19" s="46" t="s">
        <v>203</v>
      </c>
      <c r="V19" s="46" t="s">
        <v>209</v>
      </c>
      <c r="W19" s="46" t="s">
        <v>204</v>
      </c>
      <c r="X19" s="46" t="s">
        <v>209</v>
      </c>
      <c r="Y19" s="46" t="s">
        <v>205</v>
      </c>
      <c r="Z19" s="46" t="s">
        <v>209</v>
      </c>
      <c r="AA19" s="46" t="s">
        <v>206</v>
      </c>
      <c r="AB19" s="46" t="s">
        <v>209</v>
      </c>
      <c r="AC19" s="46" t="s">
        <v>207</v>
      </c>
      <c r="AD19" s="46" t="s">
        <v>209</v>
      </c>
      <c r="AE19" s="46" t="s">
        <v>208</v>
      </c>
      <c r="AG19" s="46" t="s">
        <v>209</v>
      </c>
      <c r="AH19" s="46" t="s">
        <v>243</v>
      </c>
      <c r="AI19" s="46" t="s">
        <v>209</v>
      </c>
      <c r="AJ19" s="46" t="s">
        <v>244</v>
      </c>
      <c r="AK19" s="46" t="s">
        <v>209</v>
      </c>
      <c r="AL19" s="46" t="s">
        <v>245</v>
      </c>
      <c r="AN19" s="46" t="s">
        <v>209</v>
      </c>
      <c r="AO19" s="46" t="s">
        <v>249</v>
      </c>
      <c r="AP19" s="46" t="s">
        <v>209</v>
      </c>
      <c r="AQ19" s="46" t="s">
        <v>250</v>
      </c>
      <c r="AR19" s="46" t="s">
        <v>209</v>
      </c>
      <c r="AS19" s="46" t="s">
        <v>251</v>
      </c>
      <c r="AT19" s="46" t="s">
        <v>209</v>
      </c>
      <c r="AU19" s="46" t="s">
        <v>252</v>
      </c>
      <c r="AV19" s="46" t="s">
        <v>209</v>
      </c>
      <c r="AW19" s="46" t="s">
        <v>253</v>
      </c>
      <c r="AX19" s="46" t="s">
        <v>209</v>
      </c>
      <c r="AY19" s="46" t="s">
        <v>254</v>
      </c>
      <c r="AZ19" s="46" t="s">
        <v>209</v>
      </c>
      <c r="BA19" s="46" t="s">
        <v>255</v>
      </c>
      <c r="BC19" s="46" t="s">
        <v>209</v>
      </c>
      <c r="BD19" s="46" t="s">
        <v>257</v>
      </c>
      <c r="BE19" s="46" t="s">
        <v>209</v>
      </c>
      <c r="BF19" s="46" t="s">
        <v>258</v>
      </c>
      <c r="BG19" s="46" t="s">
        <v>209</v>
      </c>
      <c r="BH19" s="46" t="s">
        <v>259</v>
      </c>
      <c r="BK19" s="46" t="s">
        <v>209</v>
      </c>
      <c r="BL19" s="46" t="s">
        <v>231</v>
      </c>
      <c r="BM19" s="46" t="s">
        <v>209</v>
      </c>
      <c r="BN19" s="46" t="s">
        <v>232</v>
      </c>
      <c r="BO19" s="46" t="s">
        <v>209</v>
      </c>
      <c r="BP19" s="46" t="s">
        <v>233</v>
      </c>
      <c r="BR19" s="46" t="s">
        <v>209</v>
      </c>
      <c r="BS19" s="46" t="s">
        <v>277</v>
      </c>
      <c r="BT19" s="46" t="s">
        <v>209</v>
      </c>
      <c r="BU19" s="46" t="s">
        <v>279</v>
      </c>
      <c r="BW19" s="46" t="s">
        <v>209</v>
      </c>
      <c r="BX19" s="46" t="s">
        <v>307</v>
      </c>
      <c r="BY19" s="46" t="s">
        <v>209</v>
      </c>
      <c r="BZ19" s="46" t="s">
        <v>308</v>
      </c>
      <c r="CA19" s="46" t="s">
        <v>209</v>
      </c>
      <c r="CB19" s="46" t="s">
        <v>309</v>
      </c>
      <c r="CC19" s="48"/>
      <c r="CD19" s="46" t="s">
        <v>209</v>
      </c>
      <c r="CE19" s="46" t="s">
        <v>310</v>
      </c>
      <c r="CF19" s="46" t="s">
        <v>209</v>
      </c>
      <c r="CG19" s="46" t="s">
        <v>311</v>
      </c>
      <c r="CH19" s="46" t="s">
        <v>209</v>
      </c>
      <c r="CI19" s="46" t="s">
        <v>312</v>
      </c>
      <c r="CJ19" s="48"/>
      <c r="CK19" s="46" t="s">
        <v>209</v>
      </c>
      <c r="CL19" s="46" t="s">
        <v>313</v>
      </c>
      <c r="CM19" s="46" t="s">
        <v>209</v>
      </c>
      <c r="CN19" s="46" t="s">
        <v>314</v>
      </c>
      <c r="CO19" s="46" t="s">
        <v>209</v>
      </c>
      <c r="CP19" s="46" t="s">
        <v>315</v>
      </c>
      <c r="CR19" s="46" t="s">
        <v>209</v>
      </c>
      <c r="CS19" s="46" t="s">
        <v>316</v>
      </c>
      <c r="CT19" s="46" t="s">
        <v>209</v>
      </c>
      <c r="CU19" s="46" t="s">
        <v>317</v>
      </c>
      <c r="CV19" s="46" t="s">
        <v>209</v>
      </c>
      <c r="CW19" s="46" t="s">
        <v>318</v>
      </c>
      <c r="CY19" s="46" t="s">
        <v>209</v>
      </c>
      <c r="CZ19" s="46" t="s">
        <v>319</v>
      </c>
      <c r="DA19" s="46" t="s">
        <v>209</v>
      </c>
      <c r="DB19" s="46" t="s">
        <v>320</v>
      </c>
      <c r="DC19" s="46" t="s">
        <v>209</v>
      </c>
      <c r="DD19" s="46" t="s">
        <v>321</v>
      </c>
      <c r="DF19" s="46" t="s">
        <v>209</v>
      </c>
      <c r="DG19" s="46" t="s">
        <v>322</v>
      </c>
      <c r="DH19" s="46" t="s">
        <v>209</v>
      </c>
      <c r="DI19" s="46" t="s">
        <v>323</v>
      </c>
      <c r="DJ19" s="46" t="s">
        <v>209</v>
      </c>
      <c r="DK19" s="46" t="s">
        <v>324</v>
      </c>
      <c r="DM19" s="46" t="s">
        <v>209</v>
      </c>
      <c r="DN19" s="46" t="s">
        <v>325</v>
      </c>
      <c r="DO19" s="46" t="s">
        <v>209</v>
      </c>
      <c r="DP19" s="46" t="s">
        <v>326</v>
      </c>
      <c r="DQ19" s="46" t="s">
        <v>209</v>
      </c>
      <c r="DR19" s="46" t="s">
        <v>327</v>
      </c>
      <c r="DT19" s="46" t="s">
        <v>209</v>
      </c>
      <c r="DU19" s="46" t="s">
        <v>328</v>
      </c>
      <c r="DV19" s="46" t="s">
        <v>209</v>
      </c>
      <c r="DW19" s="46" t="s">
        <v>329</v>
      </c>
      <c r="DX19" s="46" t="s">
        <v>209</v>
      </c>
      <c r="DY19" s="46" t="s">
        <v>330</v>
      </c>
      <c r="EA19" s="46" t="s">
        <v>209</v>
      </c>
      <c r="EB19" s="46" t="s">
        <v>331</v>
      </c>
      <c r="EC19" s="46" t="s">
        <v>209</v>
      </c>
      <c r="ED19" s="46" t="s">
        <v>331</v>
      </c>
      <c r="EE19" s="46" t="s">
        <v>209</v>
      </c>
      <c r="EF19" s="46" t="s">
        <v>333</v>
      </c>
      <c r="EH19" s="46" t="s">
        <v>209</v>
      </c>
      <c r="EI19" s="46" t="s">
        <v>334</v>
      </c>
      <c r="EJ19" s="46" t="s">
        <v>209</v>
      </c>
      <c r="EK19" s="46" t="s">
        <v>335</v>
      </c>
      <c r="EL19" s="46" t="s">
        <v>209</v>
      </c>
      <c r="EM19" s="46" t="s">
        <v>336</v>
      </c>
      <c r="EO19" s="46" t="s">
        <v>209</v>
      </c>
      <c r="EP19" s="46" t="s">
        <v>337</v>
      </c>
      <c r="EQ19" s="46" t="s">
        <v>209</v>
      </c>
      <c r="ER19" s="46" t="s">
        <v>338</v>
      </c>
      <c r="ES19" s="46" t="s">
        <v>209</v>
      </c>
      <c r="ET19" s="46" t="s">
        <v>339</v>
      </c>
      <c r="EV19" s="46" t="s">
        <v>209</v>
      </c>
      <c r="EW19" s="46" t="s">
        <v>340</v>
      </c>
      <c r="EX19" s="46" t="s">
        <v>209</v>
      </c>
      <c r="EY19" s="46" t="s">
        <v>341</v>
      </c>
      <c r="EZ19" s="46" t="s">
        <v>209</v>
      </c>
      <c r="FA19" s="46" t="s">
        <v>342</v>
      </c>
      <c r="FC19" s="46" t="s">
        <v>209</v>
      </c>
      <c r="FD19" s="46" t="s">
        <v>343</v>
      </c>
      <c r="FE19" s="46" t="s">
        <v>209</v>
      </c>
      <c r="FF19" s="46" t="s">
        <v>344</v>
      </c>
      <c r="FG19" s="46" t="s">
        <v>209</v>
      </c>
      <c r="FH19" s="46" t="s">
        <v>345</v>
      </c>
      <c r="FJ19" s="46" t="s">
        <v>209</v>
      </c>
      <c r="FK19" s="46" t="s">
        <v>346</v>
      </c>
      <c r="FL19" s="46" t="s">
        <v>209</v>
      </c>
      <c r="FM19" s="46" t="s">
        <v>347</v>
      </c>
      <c r="FN19" s="46" t="s">
        <v>209</v>
      </c>
      <c r="FO19" s="46" t="s">
        <v>348</v>
      </c>
      <c r="FQ19" s="46" t="s">
        <v>209</v>
      </c>
      <c r="FR19" s="46" t="s">
        <v>349</v>
      </c>
      <c r="FS19" s="46" t="s">
        <v>209</v>
      </c>
      <c r="FT19" s="46" t="s">
        <v>350</v>
      </c>
      <c r="FU19" s="46" t="s">
        <v>209</v>
      </c>
      <c r="FV19" s="46" t="s">
        <v>351</v>
      </c>
    </row>
    <row r="20" spans="2:178" ht="17.25">
      <c r="B20" s="147">
        <v>1</v>
      </c>
      <c r="C20" s="148" t="s">
        <v>0</v>
      </c>
      <c r="D20" s="49" t="s">
        <v>234</v>
      </c>
      <c r="E20" s="49"/>
      <c r="F20" s="53">
        <v>1</v>
      </c>
      <c r="H20" s="27">
        <v>6</v>
      </c>
      <c r="I20" s="27">
        <f>+IF(D25="X",2,0)</f>
        <v>0</v>
      </c>
      <c r="J20" s="41">
        <v>5</v>
      </c>
      <c r="K20" s="27">
        <f>+IF(D24="X",2,0)</f>
        <v>0</v>
      </c>
      <c r="L20" s="30">
        <v>23</v>
      </c>
      <c r="M20" s="27">
        <f>+IF(D42="X",2,0)</f>
        <v>2</v>
      </c>
      <c r="N20" s="30">
        <v>4</v>
      </c>
      <c r="O20" s="27">
        <f>+IF(D23="X",2,0)</f>
        <v>2</v>
      </c>
      <c r="P20" s="30">
        <v>10</v>
      </c>
      <c r="Q20" s="27">
        <f>+IF(D29="X",2,0)</f>
        <v>0</v>
      </c>
      <c r="R20" s="30">
        <v>8</v>
      </c>
      <c r="S20" s="27">
        <f>+IF(D27="X",2,0)</f>
        <v>2</v>
      </c>
      <c r="T20" s="30">
        <v>29</v>
      </c>
      <c r="U20" s="27">
        <f>+IF(D48="X",2,0)</f>
        <v>2</v>
      </c>
      <c r="V20" s="30">
        <v>11</v>
      </c>
      <c r="W20" s="27">
        <f>+IF(D30="X",2,0)</f>
        <v>0</v>
      </c>
      <c r="X20" s="30">
        <v>9</v>
      </c>
      <c r="Y20" s="27">
        <f>+IF(D28="X",2,0)</f>
        <v>0</v>
      </c>
      <c r="Z20" s="30">
        <v>2</v>
      </c>
      <c r="AA20" s="27">
        <f>+IF(D21="X",2,0)</f>
        <v>2</v>
      </c>
      <c r="AB20" s="30">
        <v>17</v>
      </c>
      <c r="AC20" s="27">
        <f>+IF(D36="X",2,0)</f>
        <v>0</v>
      </c>
      <c r="AD20" s="30">
        <v>39</v>
      </c>
      <c r="AE20" s="27">
        <f>+IF(D58="X",2,0)</f>
        <v>0</v>
      </c>
      <c r="AG20" s="30">
        <v>13</v>
      </c>
      <c r="AH20" s="27">
        <f>+IF(D32="X",2,0)</f>
        <v>0</v>
      </c>
      <c r="AI20" s="30">
        <v>16</v>
      </c>
      <c r="AJ20" s="27">
        <f>+IF(D35="X",2,0)</f>
        <v>2</v>
      </c>
      <c r="AK20" s="50">
        <v>21</v>
      </c>
      <c r="AL20" s="27">
        <f>+IF(D40="X",2,0)</f>
        <v>0</v>
      </c>
      <c r="AN20" s="27">
        <v>31</v>
      </c>
      <c r="AO20" s="27">
        <f>+IF(D50="X",2,0)</f>
        <v>2</v>
      </c>
      <c r="AP20" s="27">
        <v>7</v>
      </c>
      <c r="AQ20" s="27">
        <f>+IF(D26="X",2,0)</f>
        <v>2</v>
      </c>
      <c r="AR20" s="27">
        <v>3</v>
      </c>
      <c r="AS20" s="27">
        <f>+IF(D22="X",2,0)</f>
        <v>2</v>
      </c>
      <c r="AT20" s="27">
        <v>14</v>
      </c>
      <c r="AU20" s="27">
        <f>+IF(D33="X",2,0)</f>
        <v>0</v>
      </c>
      <c r="AV20" s="27">
        <v>25</v>
      </c>
      <c r="AW20" s="27">
        <f>+IF(D44="X",2,0)</f>
        <v>0</v>
      </c>
      <c r="AX20" s="27">
        <v>36</v>
      </c>
      <c r="AY20" s="27">
        <f>+IF(D55="X",2,0)</f>
        <v>0</v>
      </c>
      <c r="AZ20" s="27">
        <v>62</v>
      </c>
      <c r="BA20" s="27">
        <f>+IF(D81="X",2,0)</f>
        <v>2</v>
      </c>
      <c r="BC20" s="27">
        <v>33</v>
      </c>
      <c r="BD20" s="27">
        <f>+IF(D52="X",2,0)</f>
        <v>2</v>
      </c>
      <c r="BE20" s="27">
        <v>1</v>
      </c>
      <c r="BF20" s="27">
        <f>+IF(D20="X",2,0)</f>
        <v>2</v>
      </c>
      <c r="BG20" s="27">
        <v>68</v>
      </c>
      <c r="BH20" s="27">
        <f>+IF(D87="X",2,0)</f>
        <v>0</v>
      </c>
      <c r="BK20" s="27">
        <v>2</v>
      </c>
      <c r="BL20" s="27">
        <f>+IF(D21="X",1,0)</f>
        <v>1</v>
      </c>
      <c r="BM20" s="27">
        <v>2</v>
      </c>
      <c r="BN20" s="27">
        <f>+IF(D21="X",1,0)</f>
        <v>1</v>
      </c>
      <c r="BO20" s="27">
        <v>1</v>
      </c>
      <c r="BP20" s="27">
        <f>+IF(D20="X",1,0)</f>
        <v>1</v>
      </c>
      <c r="BR20" s="30">
        <v>49</v>
      </c>
      <c r="BS20" s="27">
        <f>+IF(D68="X",1,0)</f>
        <v>0</v>
      </c>
      <c r="BT20" s="27" t="s">
        <v>280</v>
      </c>
      <c r="BU20" s="27">
        <f>IF(D41&lt;&gt;D189,1,0)</f>
        <v>0</v>
      </c>
      <c r="BW20" s="30">
        <v>12</v>
      </c>
      <c r="BX20" s="30">
        <f>+IF(D31="X",1,0)</f>
        <v>0</v>
      </c>
      <c r="BY20" s="30">
        <v>26</v>
      </c>
      <c r="BZ20" s="30">
        <f>+IF(D45="X",1,0)</f>
        <v>0</v>
      </c>
      <c r="CA20" s="30">
        <v>6</v>
      </c>
      <c r="CB20" s="30">
        <f>+IF(D24="X",1,0)</f>
        <v>0</v>
      </c>
      <c r="CD20" s="30">
        <v>15</v>
      </c>
      <c r="CE20" s="30">
        <f>+IF(D34="X",1,0)</f>
        <v>1</v>
      </c>
      <c r="CF20" s="30">
        <v>23</v>
      </c>
      <c r="CG20" s="30">
        <f>+IF(D42="X",1,0)</f>
        <v>1</v>
      </c>
      <c r="CH20" s="30">
        <v>5</v>
      </c>
      <c r="CI20" s="30">
        <f>+IF(D24="X",1,0)</f>
        <v>0</v>
      </c>
      <c r="CK20" s="30">
        <v>17</v>
      </c>
      <c r="CL20" s="30">
        <f>+IF(D36="X",1,0)</f>
        <v>0</v>
      </c>
      <c r="CM20" s="30">
        <v>39</v>
      </c>
      <c r="CN20" s="30">
        <f>+IF(D58="X",1,0)</f>
        <v>0</v>
      </c>
      <c r="CO20" s="30">
        <v>22</v>
      </c>
      <c r="CP20" s="30">
        <f>+IF(D41="X",1,0)</f>
        <v>1</v>
      </c>
      <c r="CR20" s="31">
        <v>4</v>
      </c>
      <c r="CS20" s="31">
        <f>+IF(D23="X",1,0)</f>
        <v>1</v>
      </c>
      <c r="CT20" s="31">
        <v>26</v>
      </c>
      <c r="CU20" s="31">
        <f>+IF(D45="X",1,0)</f>
        <v>0</v>
      </c>
      <c r="CV20" s="31">
        <v>42</v>
      </c>
      <c r="CW20" s="31">
        <f>+IF(D61="X",1,0)</f>
        <v>1</v>
      </c>
      <c r="CY20" s="31">
        <v>10</v>
      </c>
      <c r="CZ20" s="31">
        <f>+IF(D29="X",1,0)</f>
        <v>0</v>
      </c>
      <c r="DA20" s="31">
        <v>30</v>
      </c>
      <c r="DB20" s="31">
        <f>+IF(D49="X",1,0)</f>
        <v>1</v>
      </c>
      <c r="DC20" s="31">
        <v>8</v>
      </c>
      <c r="DD20" s="31">
        <f>+IF(D27="X",1,0)</f>
        <v>1</v>
      </c>
      <c r="DF20" s="31">
        <v>8</v>
      </c>
      <c r="DG20" s="31">
        <f>+IF(D27="X",1,0)</f>
        <v>1</v>
      </c>
      <c r="DH20" s="51">
        <v>10</v>
      </c>
      <c r="DI20" s="31">
        <f>+IF(D29="X",1,0)</f>
        <v>0</v>
      </c>
      <c r="DJ20" s="51">
        <v>67</v>
      </c>
      <c r="DK20" s="31">
        <f>+IF(D86="X",1,0)</f>
        <v>0</v>
      </c>
      <c r="DM20" s="51">
        <v>10</v>
      </c>
      <c r="DN20" s="31">
        <f>+IF(D29="X",1,0)</f>
        <v>0</v>
      </c>
      <c r="DO20" s="51">
        <v>8</v>
      </c>
      <c r="DP20" s="31">
        <f>+IF(D27="X",1,0)</f>
        <v>1</v>
      </c>
      <c r="DQ20" s="51">
        <v>29</v>
      </c>
      <c r="DR20" s="31">
        <f>+IF(D48="X",1,0)</f>
        <v>1</v>
      </c>
      <c r="DT20" s="51">
        <v>10</v>
      </c>
      <c r="DU20" s="31">
        <f>+IF(D29="X",1,0)</f>
        <v>0</v>
      </c>
      <c r="DV20" s="51">
        <v>11</v>
      </c>
      <c r="DW20" s="31">
        <f>+IF(D30="X",1,0)</f>
        <v>0</v>
      </c>
      <c r="DX20" s="51">
        <v>25</v>
      </c>
      <c r="DY20" s="31">
        <f>+IF(D44="X",1,0)</f>
        <v>0</v>
      </c>
      <c r="EA20" s="51">
        <v>9</v>
      </c>
      <c r="EB20" s="31">
        <f>+IF(D28="X",1,0)</f>
        <v>0</v>
      </c>
      <c r="EC20" s="51">
        <v>19</v>
      </c>
      <c r="ED20" s="31">
        <f>+IF(D38="X",1,0)</f>
        <v>0</v>
      </c>
      <c r="EE20" s="51">
        <v>16</v>
      </c>
      <c r="EF20" s="31">
        <f>+IF(D35="X",1,0)</f>
        <v>1</v>
      </c>
      <c r="EH20" s="51">
        <v>2</v>
      </c>
      <c r="EI20" s="31">
        <f>+IF(D21="X",1,0)</f>
        <v>1</v>
      </c>
      <c r="EJ20" s="51">
        <v>23</v>
      </c>
      <c r="EK20" s="31">
        <f>+IF(D42="X",1,0)</f>
        <v>1</v>
      </c>
      <c r="EL20" s="51">
        <v>48</v>
      </c>
      <c r="EM20" s="31">
        <f>+IF(D67="X",1,0)</f>
        <v>1</v>
      </c>
      <c r="EO20" s="31">
        <v>21</v>
      </c>
      <c r="EP20" s="31">
        <f>+IF(D40="X",1,0)</f>
        <v>0</v>
      </c>
      <c r="EQ20" s="51">
        <v>12</v>
      </c>
      <c r="ER20" s="31">
        <f>+IF(D31="X",1,0)</f>
        <v>0</v>
      </c>
      <c r="ES20" s="51">
        <v>9</v>
      </c>
      <c r="ET20" s="31">
        <f>+IF(D28="X",1,0)</f>
        <v>0</v>
      </c>
      <c r="EV20" s="51">
        <v>4</v>
      </c>
      <c r="EW20" s="31">
        <f>+IF(D23="X",1,0)</f>
        <v>1</v>
      </c>
      <c r="EX20" s="51">
        <v>17</v>
      </c>
      <c r="EY20" s="31">
        <f>+IF(D36="X",1,0)</f>
        <v>0</v>
      </c>
      <c r="EZ20" s="51">
        <v>92</v>
      </c>
      <c r="FA20" s="31">
        <f>+IF(D111="X",1,0)</f>
        <v>1</v>
      </c>
      <c r="FC20" s="51">
        <v>18</v>
      </c>
      <c r="FD20" s="31">
        <f>+IF(D37="X",1,0)</f>
        <v>0</v>
      </c>
      <c r="FE20" s="51">
        <v>5</v>
      </c>
      <c r="FF20" s="31">
        <f>+IF(D24="X",1,0)</f>
        <v>0</v>
      </c>
      <c r="FG20" s="51">
        <v>13</v>
      </c>
      <c r="FH20" s="31">
        <f>+IF(D32="X",1,0)</f>
        <v>0</v>
      </c>
      <c r="FJ20" s="51">
        <v>14</v>
      </c>
      <c r="FK20" s="31">
        <f>+IF(D33="X",1,0)</f>
        <v>0</v>
      </c>
      <c r="FL20" s="51">
        <v>4</v>
      </c>
      <c r="FM20" s="31">
        <f>+IF(D23="X",1,0)</f>
        <v>1</v>
      </c>
      <c r="FN20" s="51">
        <v>16</v>
      </c>
      <c r="FO20" s="31">
        <f>+IF(D35="X",1,0)</f>
        <v>1</v>
      </c>
      <c r="FQ20" s="51">
        <v>12</v>
      </c>
      <c r="FR20" s="31">
        <f>+IF(D31="X",1,0)</f>
        <v>0</v>
      </c>
      <c r="FS20" s="51">
        <v>17</v>
      </c>
      <c r="FT20" s="31">
        <f>+IF(D36="X",1,0)</f>
        <v>0</v>
      </c>
      <c r="FU20" s="51">
        <v>13</v>
      </c>
      <c r="FV20" s="31">
        <f>+IF(D32="X",1,0)</f>
        <v>0</v>
      </c>
    </row>
    <row r="21" spans="2:178" ht="17.25">
      <c r="B21" s="147">
        <v>2</v>
      </c>
      <c r="C21" s="148" t="s">
        <v>1</v>
      </c>
      <c r="D21" s="49" t="s">
        <v>234</v>
      </c>
      <c r="E21" s="49"/>
      <c r="F21" s="53">
        <v>2</v>
      </c>
      <c r="H21" s="27">
        <v>15</v>
      </c>
      <c r="I21" s="27">
        <f>+IF(D34="X",2,0)</f>
        <v>2</v>
      </c>
      <c r="J21" s="41">
        <v>12</v>
      </c>
      <c r="K21" s="27">
        <f>+IF(D31="X",2,0)</f>
        <v>0</v>
      </c>
      <c r="L21" s="30">
        <v>51</v>
      </c>
      <c r="M21" s="27">
        <f>+IF(D70="X",2,0)</f>
        <v>0</v>
      </c>
      <c r="N21" s="30">
        <v>42</v>
      </c>
      <c r="O21" s="27">
        <f>+IF(D61="X",2,0)</f>
        <v>2</v>
      </c>
      <c r="P21" s="30">
        <v>30</v>
      </c>
      <c r="Q21" s="27">
        <f>+IF(D49="X",2,0)</f>
        <v>2</v>
      </c>
      <c r="R21" s="30">
        <v>20</v>
      </c>
      <c r="S21" s="27">
        <f>+IF(D39="X",2,0)</f>
        <v>2</v>
      </c>
      <c r="T21" s="30">
        <v>38</v>
      </c>
      <c r="U21" s="27">
        <f>+IF(D57="X",2,0)</f>
        <v>0</v>
      </c>
      <c r="V21" s="30">
        <v>19</v>
      </c>
      <c r="W21" s="27">
        <f>+IF(D38="X",2,0)</f>
        <v>0</v>
      </c>
      <c r="X21" s="30">
        <v>50</v>
      </c>
      <c r="Y21" s="27">
        <f>+IF(D69="X",2,0)</f>
        <v>2</v>
      </c>
      <c r="Z21" s="30">
        <v>35</v>
      </c>
      <c r="AA21" s="27">
        <f>+IF(D54="X",2,0)</f>
        <v>2</v>
      </c>
      <c r="AB21" s="30">
        <v>32</v>
      </c>
      <c r="AC21" s="27">
        <f>+IF(D51="X",2,0)</f>
        <v>0</v>
      </c>
      <c r="AD21" s="30">
        <v>59</v>
      </c>
      <c r="AE21" s="27">
        <f>+IF(D78="X",2,0)</f>
        <v>0</v>
      </c>
      <c r="AG21" s="30">
        <v>24</v>
      </c>
      <c r="AH21" s="27">
        <f>+IF(D43="X",2,0)</f>
        <v>0</v>
      </c>
      <c r="AI21" s="30">
        <v>18</v>
      </c>
      <c r="AJ21" s="27">
        <f>+IF(D37="X",2,0)</f>
        <v>0</v>
      </c>
      <c r="AK21" s="52">
        <v>52</v>
      </c>
      <c r="AL21" s="27">
        <f>+IF(D71="X",2,0)</f>
        <v>0</v>
      </c>
      <c r="AN21" s="27">
        <v>72</v>
      </c>
      <c r="AO21" s="27">
        <f>+IF(D91="X",2,0)</f>
        <v>2</v>
      </c>
      <c r="AP21" s="27">
        <v>28</v>
      </c>
      <c r="AQ21" s="27">
        <f>+IF(D47="X",2,0)</f>
        <v>2</v>
      </c>
      <c r="AR21" s="27">
        <v>27</v>
      </c>
      <c r="AS21" s="27">
        <f>+IF(D46="X",2,0)</f>
        <v>2</v>
      </c>
      <c r="AT21" s="27">
        <v>34</v>
      </c>
      <c r="AU21" s="27">
        <f>+IF(D53="X",2,0)</f>
        <v>2</v>
      </c>
      <c r="AV21" s="27">
        <v>45</v>
      </c>
      <c r="AW21" s="27">
        <f>+IF(D64="X",2,0)</f>
        <v>0</v>
      </c>
      <c r="AX21" s="27">
        <v>61</v>
      </c>
      <c r="AY21" s="27">
        <f>+IF(D80="X",2,0)</f>
        <v>0</v>
      </c>
      <c r="AZ21" s="27">
        <v>76</v>
      </c>
      <c r="BA21" s="27">
        <f>+IF(D95="X",2,0)</f>
        <v>2</v>
      </c>
      <c r="BC21" s="27">
        <v>58</v>
      </c>
      <c r="BD21" s="27">
        <f>+IF(D77="X",2,0)</f>
        <v>0</v>
      </c>
      <c r="BE21" s="27">
        <v>22</v>
      </c>
      <c r="BF21" s="27">
        <f>+IF(D41="X",2,0)</f>
        <v>2</v>
      </c>
      <c r="BG21" s="27">
        <v>95</v>
      </c>
      <c r="BH21" s="27">
        <f>+IF(D114="X",2,0)</f>
        <v>0</v>
      </c>
      <c r="BK21" s="27">
        <v>4</v>
      </c>
      <c r="BL21" s="27">
        <f>+IF(D23="X",1,0)</f>
        <v>1</v>
      </c>
      <c r="BM21" s="27">
        <v>3</v>
      </c>
      <c r="BN21" s="27">
        <f>+IF(D22="X",1,0)</f>
        <v>1</v>
      </c>
      <c r="BO21" s="27">
        <v>14</v>
      </c>
      <c r="BP21" s="27">
        <f>+IF(D33="X",1,0)</f>
        <v>0</v>
      </c>
      <c r="BR21" s="30">
        <v>98</v>
      </c>
      <c r="BS21" s="27">
        <f>+IF(D117="X",1,0)</f>
        <v>0</v>
      </c>
      <c r="BT21" s="27" t="s">
        <v>281</v>
      </c>
      <c r="BU21" s="27">
        <f>IF(D144&lt;&gt;D162,1,0)</f>
        <v>1</v>
      </c>
      <c r="BW21" s="30">
        <v>15</v>
      </c>
      <c r="BX21" s="30">
        <f>+IF(D34="X",1,0)</f>
        <v>1</v>
      </c>
      <c r="BY21" s="30">
        <v>99</v>
      </c>
      <c r="BZ21" s="30">
        <f>+IF(D118="X",1,0)</f>
        <v>0</v>
      </c>
      <c r="CA21" s="30">
        <v>17</v>
      </c>
      <c r="CB21" s="30">
        <f>+IF(D36="X",1,0)</f>
        <v>0</v>
      </c>
      <c r="CD21" s="30">
        <v>26</v>
      </c>
      <c r="CE21" s="30">
        <f>+IF(D45="X",1,0)</f>
        <v>0</v>
      </c>
      <c r="CF21" s="30">
        <v>58</v>
      </c>
      <c r="CG21" s="30">
        <f>+IF(D77="X",1,0)</f>
        <v>0</v>
      </c>
      <c r="CH21" s="30">
        <v>12</v>
      </c>
      <c r="CI21" s="30">
        <f>+IF(D31="X",1,0)</f>
        <v>0</v>
      </c>
      <c r="CK21" s="30">
        <v>23</v>
      </c>
      <c r="CL21" s="30">
        <f>+IF(D42="X",1,0)</f>
        <v>1</v>
      </c>
      <c r="CM21" s="30">
        <v>59</v>
      </c>
      <c r="CN21" s="30">
        <f>+IF(D78="X",1,0)</f>
        <v>0</v>
      </c>
      <c r="CO21" s="30">
        <v>70</v>
      </c>
      <c r="CP21" s="30">
        <f>+IF(D89="X",1,0)</f>
        <v>0</v>
      </c>
      <c r="CR21" s="31">
        <v>5</v>
      </c>
      <c r="CS21" s="31">
        <f>+IF(D24="X",1,0)</f>
        <v>0</v>
      </c>
      <c r="CT21" s="31">
        <v>60</v>
      </c>
      <c r="CU21" s="31">
        <f>+IF(D79="X",1,0)</f>
        <v>0</v>
      </c>
      <c r="CV21" s="31">
        <v>77</v>
      </c>
      <c r="CW21" s="31">
        <f>+IF(D96="X",1,0)</f>
        <v>1</v>
      </c>
      <c r="CY21" s="31">
        <v>38</v>
      </c>
      <c r="CZ21" s="31">
        <f>+IF(D57="X",1,0)</f>
        <v>0</v>
      </c>
      <c r="DA21" s="31">
        <v>46</v>
      </c>
      <c r="DB21" s="31">
        <f>+IF(D65="X",1,0)</f>
        <v>1</v>
      </c>
      <c r="DC21" s="31">
        <v>20</v>
      </c>
      <c r="DD21" s="31">
        <f>+IF(D39="X",1,0)</f>
        <v>1</v>
      </c>
      <c r="DF21" s="31">
        <v>20</v>
      </c>
      <c r="DG21" s="31">
        <f>+IF(D39="X",1,0)</f>
        <v>1</v>
      </c>
      <c r="DH21" s="51">
        <v>30</v>
      </c>
      <c r="DI21" s="31">
        <f>+IF(D49="X",1,0)</f>
        <v>1</v>
      </c>
      <c r="DJ21" s="51">
        <v>142</v>
      </c>
      <c r="DK21" s="31">
        <f>+IF(D161="X",1,0)</f>
        <v>0</v>
      </c>
      <c r="DM21" s="51">
        <v>19</v>
      </c>
      <c r="DN21" s="31">
        <f>+IF(D38="X",1,0)</f>
        <v>0</v>
      </c>
      <c r="DO21" s="51">
        <v>67</v>
      </c>
      <c r="DP21" s="31">
        <f>+IF(D86="X",1,0)</f>
        <v>0</v>
      </c>
      <c r="DQ21" s="51">
        <v>54</v>
      </c>
      <c r="DR21" s="31">
        <f>+IF(D73="X",1,0)</f>
        <v>1</v>
      </c>
      <c r="DT21" s="51">
        <v>38</v>
      </c>
      <c r="DU21" s="31">
        <f>+IF(D57="X",1,0)</f>
        <v>0</v>
      </c>
      <c r="DV21" s="51">
        <v>19</v>
      </c>
      <c r="DW21" s="31">
        <f>+IF(D38="X",1,0)</f>
        <v>0</v>
      </c>
      <c r="DX21" s="51">
        <v>36</v>
      </c>
      <c r="DY21" s="31">
        <f>+IF(D55="X",1,0)</f>
        <v>0</v>
      </c>
      <c r="EA21" s="51">
        <v>11</v>
      </c>
      <c r="EB21" s="31">
        <f>+IF(D30="X",1,0)</f>
        <v>0</v>
      </c>
      <c r="EC21" s="51">
        <v>21</v>
      </c>
      <c r="ED21" s="31">
        <f>+IF(D40="X",1,0)</f>
        <v>0</v>
      </c>
      <c r="EE21" s="51">
        <v>37</v>
      </c>
      <c r="EF21" s="31">
        <f>+IF(D56="X",1,0)</f>
        <v>0</v>
      </c>
      <c r="EH21" s="51">
        <v>20</v>
      </c>
      <c r="EI21" s="31">
        <f>+IF(D39="X",1,0)</f>
        <v>1</v>
      </c>
      <c r="EJ21" s="51">
        <v>44</v>
      </c>
      <c r="EK21" s="31">
        <f>+IF(D63="X",1,0)</f>
        <v>1</v>
      </c>
      <c r="EL21" s="51">
        <v>73</v>
      </c>
      <c r="EM21" s="31">
        <f>+IF(D92="X",1,0)</f>
        <v>0</v>
      </c>
      <c r="EO21" s="31">
        <v>32</v>
      </c>
      <c r="EP21" s="31">
        <f>+IF(D51="X",1,0)</f>
        <v>0</v>
      </c>
      <c r="EQ21" s="51">
        <v>17</v>
      </c>
      <c r="ER21" s="31">
        <f>+IF(D36="X",1,0)</f>
        <v>0</v>
      </c>
      <c r="ES21" s="51">
        <v>37</v>
      </c>
      <c r="ET21" s="31">
        <f>+IF(D56="X",1,0)</f>
        <v>0</v>
      </c>
      <c r="EV21" s="51">
        <v>12</v>
      </c>
      <c r="EW21" s="31">
        <f>+IF(D31="X",1,0)</f>
        <v>0</v>
      </c>
      <c r="EX21" s="51">
        <v>40</v>
      </c>
      <c r="EY21" s="31">
        <f>+IF(D59="X",1,0)</f>
        <v>0</v>
      </c>
      <c r="EZ21" s="51">
        <v>107</v>
      </c>
      <c r="FA21" s="31">
        <f>+IF(D126="X",1,0)</f>
        <v>0</v>
      </c>
      <c r="FC21" s="51">
        <v>33</v>
      </c>
      <c r="FD21" s="31">
        <f>+IF(D52="X",1,0)</f>
        <v>1</v>
      </c>
      <c r="FE21" s="51">
        <v>58</v>
      </c>
      <c r="FF21" s="31">
        <f>+IF(D77="X",1,0)</f>
        <v>0</v>
      </c>
      <c r="FG21" s="51">
        <v>24</v>
      </c>
      <c r="FH21" s="31">
        <f>+IF(D43="X",1,0)</f>
        <v>0</v>
      </c>
      <c r="FJ21" s="51">
        <v>70</v>
      </c>
      <c r="FK21" s="31">
        <f>+IF(D89="X",1,0)</f>
        <v>0</v>
      </c>
      <c r="FL21" s="51">
        <v>17</v>
      </c>
      <c r="FM21" s="31">
        <f>+IF(D36="X",1,0)</f>
        <v>0</v>
      </c>
      <c r="FN21" s="51">
        <v>18</v>
      </c>
      <c r="FO21" s="31">
        <f>+IF(D37="X",1,0)</f>
        <v>0</v>
      </c>
      <c r="FQ21" s="51">
        <v>15</v>
      </c>
      <c r="FR21" s="31">
        <f>+IF(D34="X",1,0)</f>
        <v>1</v>
      </c>
      <c r="FS21" s="51">
        <v>52</v>
      </c>
      <c r="FT21" s="31">
        <f>+IF(D71="X",1,0)</f>
        <v>0</v>
      </c>
      <c r="FU21" s="51">
        <v>32</v>
      </c>
      <c r="FV21" s="31">
        <f>+IF(D51="X",1,0)</f>
        <v>0</v>
      </c>
    </row>
    <row r="22" spans="2:178" ht="17.25">
      <c r="B22" s="147">
        <v>3</v>
      </c>
      <c r="C22" s="148" t="s">
        <v>2</v>
      </c>
      <c r="D22" s="49" t="s">
        <v>234</v>
      </c>
      <c r="E22" s="49"/>
      <c r="F22" s="53">
        <v>3</v>
      </c>
      <c r="H22" s="27">
        <v>43</v>
      </c>
      <c r="I22" s="27">
        <f>+IF(D62="X",2,0)</f>
        <v>0</v>
      </c>
      <c r="J22" s="30">
        <v>26</v>
      </c>
      <c r="K22" s="27">
        <f>+IF(D45="X",2,0)</f>
        <v>0</v>
      </c>
      <c r="L22" s="30">
        <v>71</v>
      </c>
      <c r="M22" s="27">
        <f>+IF(D90="X",2,0)</f>
        <v>0</v>
      </c>
      <c r="N22" s="30">
        <v>60</v>
      </c>
      <c r="O22" s="27">
        <f>+IF(D79="X",2,0)</f>
        <v>0</v>
      </c>
      <c r="P22" s="30">
        <v>46</v>
      </c>
      <c r="Q22" s="27">
        <f>+IF(D65="X",2,0)</f>
        <v>2</v>
      </c>
      <c r="R22" s="30">
        <v>53</v>
      </c>
      <c r="S22" s="27">
        <f>+IF(D72="X",2,0)</f>
        <v>2</v>
      </c>
      <c r="T22" s="30">
        <v>54</v>
      </c>
      <c r="U22" s="27">
        <f>+IF(D73="X",2,0)</f>
        <v>2</v>
      </c>
      <c r="V22" s="30">
        <v>65</v>
      </c>
      <c r="W22" s="27">
        <f>+IF(D84="X",2,0)</f>
        <v>0</v>
      </c>
      <c r="X22" s="30">
        <v>66</v>
      </c>
      <c r="Y22" s="27">
        <f>+IF(D85="X",2,0)</f>
        <v>2</v>
      </c>
      <c r="Z22" s="30">
        <v>48</v>
      </c>
      <c r="AA22" s="27">
        <f>+IF(D67="X",2,0)</f>
        <v>2</v>
      </c>
      <c r="AB22" s="30">
        <v>82</v>
      </c>
      <c r="AC22" s="27">
        <f>+IF(D101="X",2,0)</f>
        <v>0</v>
      </c>
      <c r="AD22" s="30">
        <v>85</v>
      </c>
      <c r="AE22" s="27">
        <f>+IF(D104="X",2,0)</f>
        <v>2</v>
      </c>
      <c r="AG22" s="30">
        <v>44</v>
      </c>
      <c r="AH22" s="27">
        <f>+IF(D63="X",2,0)</f>
        <v>2</v>
      </c>
      <c r="AI22" s="30">
        <v>37</v>
      </c>
      <c r="AJ22" s="27">
        <f>+IF(D56="X",2,0)</f>
        <v>0</v>
      </c>
      <c r="AK22" s="52">
        <v>79</v>
      </c>
      <c r="AL22" s="27">
        <f>+IF(D98="X",2,0)</f>
        <v>0</v>
      </c>
      <c r="AN22" s="27">
        <v>89</v>
      </c>
      <c r="AO22" s="27">
        <f>+IF(D108="X",2,0)</f>
        <v>2</v>
      </c>
      <c r="AP22" s="27">
        <v>41</v>
      </c>
      <c r="AQ22" s="27">
        <f>+IF(D60="X",2,0)</f>
        <v>2</v>
      </c>
      <c r="AR22" s="27">
        <v>56</v>
      </c>
      <c r="AS22" s="27">
        <f>+IF(D75="X",2,0)</f>
        <v>0</v>
      </c>
      <c r="AT22" s="27">
        <v>64</v>
      </c>
      <c r="AU22" s="27">
        <f>+IF(D83="X",2,0)</f>
        <v>2</v>
      </c>
      <c r="AV22" s="27">
        <v>94</v>
      </c>
      <c r="AW22" s="27">
        <f>+IF(D113="X",2,0)</f>
        <v>0</v>
      </c>
      <c r="AX22" s="27">
        <v>81</v>
      </c>
      <c r="AY22" s="27">
        <f>+IF(D100="X",2,0)</f>
        <v>0</v>
      </c>
      <c r="AZ22" s="27">
        <v>91</v>
      </c>
      <c r="BA22" s="27">
        <f>+IF(D110="X",2,0)</f>
        <v>2</v>
      </c>
      <c r="BC22" s="27">
        <v>80</v>
      </c>
      <c r="BD22" s="27">
        <f>+IF(D99="X",2,0)</f>
        <v>2</v>
      </c>
      <c r="BE22" s="27">
        <v>57</v>
      </c>
      <c r="BF22" s="27">
        <f>+IF(D76="X",2,0)</f>
        <v>0</v>
      </c>
      <c r="BG22" s="27">
        <v>127</v>
      </c>
      <c r="BH22" s="27">
        <f>+IF(D146="X",2,0)</f>
        <v>0</v>
      </c>
      <c r="BK22" s="27">
        <v>5</v>
      </c>
      <c r="BL22" s="27">
        <f>+IF(D24="X",1,0)</f>
        <v>0</v>
      </c>
      <c r="BM22" s="27">
        <v>8</v>
      </c>
      <c r="BN22" s="27">
        <f>+IF(D27="X",1,0)</f>
        <v>1</v>
      </c>
      <c r="BO22" s="27">
        <v>16</v>
      </c>
      <c r="BP22" s="27">
        <f>+IF(D35="X",1,0)</f>
        <v>1</v>
      </c>
      <c r="BR22" s="30">
        <v>160</v>
      </c>
      <c r="BS22" s="27">
        <f>+IF(D179="X",1,0)</f>
        <v>0</v>
      </c>
      <c r="BT22" s="27" t="s">
        <v>282</v>
      </c>
      <c r="BU22" s="27">
        <f>IF(D66&lt;&gt;D176,1,0)</f>
        <v>0</v>
      </c>
      <c r="BW22" s="30">
        <v>24</v>
      </c>
      <c r="BX22" s="30">
        <f>+IF(D43="X",1,0)</f>
        <v>0</v>
      </c>
      <c r="BY22" s="30">
        <v>139</v>
      </c>
      <c r="BZ22" s="30">
        <f>+IF(D158="X",1,0)</f>
        <v>0</v>
      </c>
      <c r="CA22" s="30">
        <v>43</v>
      </c>
      <c r="CB22" s="30">
        <f>+IF(D62="X",1,0)</f>
        <v>0</v>
      </c>
      <c r="CD22" s="30">
        <v>99</v>
      </c>
      <c r="CE22" s="30">
        <f>+IF(D118="X",1,0)</f>
        <v>0</v>
      </c>
      <c r="CF22" s="30">
        <v>111</v>
      </c>
      <c r="CG22" s="30">
        <f>+IF(D130="X",1,0)</f>
        <v>0</v>
      </c>
      <c r="CH22" s="30">
        <v>24</v>
      </c>
      <c r="CI22" s="30">
        <f>+IF(D43="X",1,0)</f>
        <v>0</v>
      </c>
      <c r="CK22" s="30">
        <v>33</v>
      </c>
      <c r="CL22" s="30">
        <f>+IF(D52="X",1,0)</f>
        <v>1</v>
      </c>
      <c r="CM22" s="30">
        <v>93</v>
      </c>
      <c r="CN22" s="30">
        <f>+IF(D112="X",1,0)</f>
        <v>0</v>
      </c>
      <c r="CO22" s="30">
        <v>90</v>
      </c>
      <c r="CP22" s="30">
        <f>+IF(D109="X",1,0)</f>
        <v>0</v>
      </c>
      <c r="CR22" s="31">
        <v>23</v>
      </c>
      <c r="CS22" s="31">
        <f>+IF(D42="X",1,0)</f>
        <v>1</v>
      </c>
      <c r="CT22" s="31">
        <v>162</v>
      </c>
      <c r="CU22" s="31">
        <f>+IF(D181="X",1,0)</f>
        <v>0</v>
      </c>
      <c r="CV22" s="31">
        <v>85</v>
      </c>
      <c r="CW22" s="31">
        <f>+IF(D104="X",1,0)</f>
        <v>1</v>
      </c>
      <c r="CY22" s="31">
        <v>83</v>
      </c>
      <c r="CZ22" s="31">
        <f>+IF(D102="X",1,0)</f>
        <v>0</v>
      </c>
      <c r="DA22" s="31">
        <v>84</v>
      </c>
      <c r="DB22" s="31">
        <f>+IF(D103="X",1,0)</f>
        <v>1</v>
      </c>
      <c r="DC22" s="31">
        <v>27</v>
      </c>
      <c r="DD22" s="31">
        <f>+IF(D46="X",1,0)</f>
        <v>1</v>
      </c>
      <c r="DF22" s="31">
        <v>53</v>
      </c>
      <c r="DG22" s="31">
        <f>+IF(D72="X",1,0)</f>
        <v>1</v>
      </c>
      <c r="DH22" s="51">
        <v>46</v>
      </c>
      <c r="DI22" s="31">
        <f>+IF(D65="X",1,0)</f>
        <v>1</v>
      </c>
      <c r="DJ22" s="51">
        <v>14</v>
      </c>
      <c r="DK22" s="31">
        <f>+IF(E33="X",1,0)</f>
        <v>1</v>
      </c>
      <c r="DM22" s="51">
        <v>38</v>
      </c>
      <c r="DN22" s="31">
        <f>+IF(D57="X",1,0)</f>
        <v>0</v>
      </c>
      <c r="DO22" s="51">
        <v>75</v>
      </c>
      <c r="DP22" s="31">
        <f>+IF(D94="X",1,0)</f>
        <v>1</v>
      </c>
      <c r="DQ22" s="51">
        <v>79</v>
      </c>
      <c r="DR22" s="31">
        <f>+IF(D98="X",1,0)</f>
        <v>0</v>
      </c>
      <c r="DT22" s="51">
        <v>83</v>
      </c>
      <c r="DU22" s="31">
        <f>+IF(D102="X",1,0)</f>
        <v>0</v>
      </c>
      <c r="DV22" s="51">
        <v>147</v>
      </c>
      <c r="DW22" s="31">
        <f>+IF(D166="X",1,0)</f>
        <v>0</v>
      </c>
      <c r="DX22" s="51">
        <v>61</v>
      </c>
      <c r="DY22" s="31">
        <f>+IF(D80="X",1,0)</f>
        <v>0</v>
      </c>
      <c r="EA22" s="51">
        <v>65</v>
      </c>
      <c r="EB22" s="31">
        <f>+IF(D84="X",1,0)</f>
        <v>0</v>
      </c>
      <c r="EC22" s="51">
        <v>50</v>
      </c>
      <c r="ED22" s="31">
        <f>+IF(D69="X",1,0)</f>
        <v>1</v>
      </c>
      <c r="EE22" s="51">
        <v>74</v>
      </c>
      <c r="EF22" s="31">
        <f>+IF(D93="X",1,0)</f>
        <v>0</v>
      </c>
      <c r="EH22" s="51">
        <v>35</v>
      </c>
      <c r="EI22" s="31">
        <f>+IF(D54="X",1,0)</f>
        <v>1</v>
      </c>
      <c r="EJ22" s="51">
        <v>51</v>
      </c>
      <c r="EK22" s="31">
        <f>+IF(D70="X",1,0)</f>
        <v>0</v>
      </c>
      <c r="EL22" s="51">
        <v>158</v>
      </c>
      <c r="EM22" s="31">
        <f>+IF(D177="X",1,0)</f>
        <v>1</v>
      </c>
      <c r="EO22" s="31">
        <v>79</v>
      </c>
      <c r="EP22" s="31">
        <f>+IF(D98="X",1,0)</f>
        <v>0</v>
      </c>
      <c r="EQ22" s="51">
        <v>24</v>
      </c>
      <c r="ER22" s="31">
        <f>+IF(D43="X",1,0)</f>
        <v>0</v>
      </c>
      <c r="ES22" s="51">
        <v>74</v>
      </c>
      <c r="ET22" s="31">
        <f>+IF(D93="X",1,0)</f>
        <v>0</v>
      </c>
      <c r="EV22" s="51">
        <v>23</v>
      </c>
      <c r="EW22" s="31">
        <f>+IF(D42="X",1,0)</f>
        <v>1</v>
      </c>
      <c r="EX22" s="51">
        <v>85</v>
      </c>
      <c r="EY22" s="31">
        <f>+IF(D104="X",1,0)</f>
        <v>1</v>
      </c>
      <c r="EZ22" s="51">
        <v>170</v>
      </c>
      <c r="FA22" s="31">
        <f>+IF(D189="X",1,0)</f>
        <v>1</v>
      </c>
      <c r="FC22" s="51">
        <v>44</v>
      </c>
      <c r="FD22" s="31">
        <f>+IF(D63="X",1,0)</f>
        <v>1</v>
      </c>
      <c r="FE22" s="51">
        <v>70</v>
      </c>
      <c r="FF22" s="31">
        <f>+IF(D89="X",1,0)</f>
        <v>0</v>
      </c>
      <c r="FG22" s="51">
        <v>68</v>
      </c>
      <c r="FH22" s="31">
        <f>+IF(D87="X",1,0)</f>
        <v>0</v>
      </c>
      <c r="FJ22" s="51">
        <v>101</v>
      </c>
      <c r="FK22" s="31">
        <f>+IF(D120="X",1,0)</f>
        <v>1</v>
      </c>
      <c r="FL22" s="51">
        <v>39</v>
      </c>
      <c r="FM22" s="31">
        <f>+IF(D58="X",1,0)</f>
        <v>0</v>
      </c>
      <c r="FN22" s="51">
        <v>37</v>
      </c>
      <c r="FO22" s="31">
        <f>+IF(D56="X",1,0)</f>
        <v>0</v>
      </c>
      <c r="FQ22" s="51">
        <v>21</v>
      </c>
      <c r="FR22" s="31">
        <f>+IF(D40="X",1,0)</f>
        <v>0</v>
      </c>
      <c r="FS22" s="51">
        <v>79</v>
      </c>
      <c r="FT22" s="31">
        <f>+IF(D98="X",1,0)</f>
        <v>0</v>
      </c>
      <c r="FU22" s="51">
        <v>68</v>
      </c>
      <c r="FV22" s="31">
        <f>+IF(D87="X",1,0)</f>
        <v>0</v>
      </c>
    </row>
    <row r="23" spans="2:178" ht="17.25">
      <c r="B23" s="147">
        <v>4</v>
      </c>
      <c r="C23" s="148" t="s">
        <v>3</v>
      </c>
      <c r="D23" s="49" t="s">
        <v>234</v>
      </c>
      <c r="E23" s="49"/>
      <c r="F23" s="53">
        <v>4</v>
      </c>
      <c r="H23" s="27">
        <v>90</v>
      </c>
      <c r="I23" s="27">
        <f>+IF(D109="X",2,0)</f>
        <v>0</v>
      </c>
      <c r="J23" s="30">
        <v>99</v>
      </c>
      <c r="K23" s="27">
        <f>+IF(D118="X",2,0)</f>
        <v>0</v>
      </c>
      <c r="L23" s="30">
        <v>93</v>
      </c>
      <c r="M23" s="27">
        <f>+IF(D112="X",2,0)</f>
        <v>0</v>
      </c>
      <c r="N23" s="30">
        <v>77</v>
      </c>
      <c r="O23" s="27">
        <f>+IF(D96="X",2,0)</f>
        <v>2</v>
      </c>
      <c r="P23" s="30">
        <v>84</v>
      </c>
      <c r="Q23" s="27">
        <f>+IF(D103="X",2,0)</f>
        <v>2</v>
      </c>
      <c r="R23" s="30">
        <v>75</v>
      </c>
      <c r="S23" s="27">
        <f>+IF(D94="X",2,0)</f>
        <v>2</v>
      </c>
      <c r="T23" s="30">
        <v>67</v>
      </c>
      <c r="U23" s="27">
        <f>+IF(D86="X",2,0)</f>
        <v>0</v>
      </c>
      <c r="V23" s="30">
        <v>83</v>
      </c>
      <c r="W23" s="27">
        <f>+IF(D102="X",2,0)</f>
        <v>0</v>
      </c>
      <c r="X23" s="30">
        <v>97</v>
      </c>
      <c r="Y23" s="27">
        <f>+IF(D116="X",2,0)</f>
        <v>0</v>
      </c>
      <c r="Z23" s="30">
        <v>63</v>
      </c>
      <c r="AA23" s="27">
        <f>+IF(D82="X",2,0)</f>
        <v>2</v>
      </c>
      <c r="AB23" s="30">
        <v>96</v>
      </c>
      <c r="AC23" s="27">
        <f>+IF(D115="X",2,0)</f>
        <v>0</v>
      </c>
      <c r="AD23" s="30">
        <v>100</v>
      </c>
      <c r="AE23" s="27">
        <f>+IF(D119="X",2,0)</f>
        <v>0</v>
      </c>
      <c r="AG23" s="30">
        <v>92</v>
      </c>
      <c r="AH23" s="27">
        <f>+IF(D111="X",2,0)</f>
        <v>2</v>
      </c>
      <c r="AI23" s="30">
        <v>70</v>
      </c>
      <c r="AJ23" s="27">
        <f>+IF(D89="X",2,0)</f>
        <v>0</v>
      </c>
      <c r="AK23" s="52">
        <v>88</v>
      </c>
      <c r="AL23" s="27">
        <f>+IF(D107="X",2,0)</f>
        <v>0</v>
      </c>
      <c r="AN23" s="27">
        <v>113</v>
      </c>
      <c r="AO23" s="27">
        <f>+IF(D132="X",2,0)</f>
        <v>2</v>
      </c>
      <c r="AP23" s="27">
        <v>120</v>
      </c>
      <c r="AQ23" s="27">
        <f>+IF(D139="X",2,0)</f>
        <v>2</v>
      </c>
      <c r="AR23" s="27">
        <v>108</v>
      </c>
      <c r="AS23" s="27">
        <f>+IF(D127="X",2,0)</f>
        <v>0</v>
      </c>
      <c r="AT23" s="27">
        <v>118</v>
      </c>
      <c r="AU23" s="27">
        <f>+IF(D137="X",2,0)</f>
        <v>0</v>
      </c>
      <c r="AV23" s="27">
        <v>130</v>
      </c>
      <c r="AW23" s="27">
        <f>+IF(D149="X",2,0)</f>
        <v>0</v>
      </c>
      <c r="AX23" s="27">
        <v>105</v>
      </c>
      <c r="AY23" s="27">
        <f>+IF(D124="X",2,0)</f>
        <v>0</v>
      </c>
      <c r="AZ23" s="27">
        <v>125</v>
      </c>
      <c r="BA23" s="27">
        <f>+IF(D144="X",2,0)</f>
        <v>2</v>
      </c>
      <c r="BC23" s="27">
        <v>121</v>
      </c>
      <c r="BD23" s="27">
        <f>+IF(D140="X",2,0)</f>
        <v>2</v>
      </c>
      <c r="BE23" s="27">
        <v>78</v>
      </c>
      <c r="BF23" s="27">
        <f>+IF(D97="X",2,0)</f>
        <v>2</v>
      </c>
      <c r="BG23" s="27">
        <v>148</v>
      </c>
      <c r="BH23" s="27">
        <f>+IF(D167="X",2,0)</f>
        <v>2</v>
      </c>
      <c r="BK23" s="27">
        <v>6</v>
      </c>
      <c r="BL23" s="27">
        <f>+IF(D25="X",1,0)</f>
        <v>0</v>
      </c>
      <c r="BM23" s="27">
        <v>20</v>
      </c>
      <c r="BN23" s="27">
        <f>+IF(D39="X",1,0)</f>
        <v>1</v>
      </c>
      <c r="BO23" s="27">
        <v>17</v>
      </c>
      <c r="BP23" s="27">
        <f>+IF(D36="X",1,0)</f>
        <v>0</v>
      </c>
      <c r="BS23" s="29">
        <f>SUM(BS20:BS22)</f>
        <v>0</v>
      </c>
      <c r="BT23" s="27" t="s">
        <v>283</v>
      </c>
      <c r="BU23" s="27">
        <f>IF(D59&lt;&gt;D200,1,0)</f>
        <v>0</v>
      </c>
      <c r="BW23" s="30">
        <v>104</v>
      </c>
      <c r="BX23" s="30">
        <f>+IF(D123="X",1,0)</f>
        <v>0</v>
      </c>
      <c r="BY23" s="30">
        <v>175</v>
      </c>
      <c r="BZ23" s="30">
        <f>+IF(D194="X",1,0)</f>
        <v>0</v>
      </c>
      <c r="CA23" s="30">
        <v>70</v>
      </c>
      <c r="CB23" s="30">
        <f>+IF(D89="X",1,0)</f>
        <v>0</v>
      </c>
      <c r="CD23" s="30">
        <v>139</v>
      </c>
      <c r="CE23" s="30">
        <f>+IF(D158="X",1,0)</f>
        <v>0</v>
      </c>
      <c r="CF23" s="30">
        <v>135</v>
      </c>
      <c r="CG23" s="30">
        <f>+IF(D154="X",1,0)</f>
        <v>0</v>
      </c>
      <c r="CH23" s="30">
        <v>52</v>
      </c>
      <c r="CI23" s="30">
        <f>+IF(D71="X",1,0)</f>
        <v>0</v>
      </c>
      <c r="CK23" s="30">
        <v>51</v>
      </c>
      <c r="CL23" s="30">
        <f>+IF(D70="X",1,0)</f>
        <v>0</v>
      </c>
      <c r="CM23" s="30">
        <v>112</v>
      </c>
      <c r="CN23" s="30">
        <f>+IF(D131="X",1,0)</f>
        <v>0</v>
      </c>
      <c r="CO23" s="30">
        <v>101</v>
      </c>
      <c r="CP23" s="30">
        <f>+IF(D120="X",1,0)</f>
        <v>1</v>
      </c>
      <c r="CR23" s="31">
        <v>51</v>
      </c>
      <c r="CS23" s="31">
        <f>+IF(D70="X",1,0)</f>
        <v>0</v>
      </c>
      <c r="CT23" s="31">
        <v>169</v>
      </c>
      <c r="CU23" s="31">
        <f>+IF(D188="X",1,0)</f>
        <v>0</v>
      </c>
      <c r="CV23" s="31">
        <v>93</v>
      </c>
      <c r="CW23" s="31">
        <f>+IF(D112="X",1,0)</f>
        <v>0</v>
      </c>
      <c r="CY23" s="31">
        <v>117</v>
      </c>
      <c r="CZ23" s="31">
        <f>+IF(D136="X",1,0)</f>
        <v>0</v>
      </c>
      <c r="DA23" s="31">
        <v>154</v>
      </c>
      <c r="DB23" s="31">
        <f>+IF(D173="X",1,0)</f>
        <v>1</v>
      </c>
      <c r="DC23" s="31">
        <v>53</v>
      </c>
      <c r="DD23" s="31">
        <f>+IF(D72="X",1,0)</f>
        <v>1</v>
      </c>
      <c r="DF23" s="31">
        <v>75</v>
      </c>
      <c r="DG23" s="31">
        <f>+IF(D94="X",1,0)</f>
        <v>1</v>
      </c>
      <c r="DH23" s="51">
        <v>84</v>
      </c>
      <c r="DI23" s="31">
        <f>+IF(D103="X",1,0)</f>
        <v>1</v>
      </c>
      <c r="DJ23" s="51">
        <v>93</v>
      </c>
      <c r="DK23" s="31">
        <f>+IF(E112="X",1,0)</f>
        <v>1</v>
      </c>
      <c r="DM23" s="51">
        <v>83</v>
      </c>
      <c r="DN23" s="31">
        <f>+IF(D102="X",1,0)</f>
        <v>0</v>
      </c>
      <c r="DO23" s="51">
        <v>142</v>
      </c>
      <c r="DP23" s="31">
        <f>+IF(D161="X",1,0)</f>
        <v>0</v>
      </c>
      <c r="DQ23" s="51">
        <v>87</v>
      </c>
      <c r="DR23" s="31">
        <f>+IF(D106="X",1,0)</f>
        <v>1</v>
      </c>
      <c r="DT23" s="51">
        <v>103</v>
      </c>
      <c r="DU23" s="31">
        <f>+IF(D122="X",1,0)</f>
        <v>0</v>
      </c>
      <c r="DV23" s="51">
        <v>152</v>
      </c>
      <c r="DW23" s="31">
        <f>+IF(D171="X",1,0)</f>
        <v>0</v>
      </c>
      <c r="DX23" s="51">
        <v>65</v>
      </c>
      <c r="DY23" s="31">
        <f>+IF(D84="X",1,0)</f>
        <v>0</v>
      </c>
      <c r="EA23" s="51">
        <v>66</v>
      </c>
      <c r="EB23" s="31">
        <f>+IF(D85="X",1,0)</f>
        <v>1</v>
      </c>
      <c r="EC23" s="51">
        <v>97</v>
      </c>
      <c r="ED23" s="31">
        <f>+IF(D116="X",1,0)</f>
        <v>0</v>
      </c>
      <c r="EE23" s="51">
        <v>115</v>
      </c>
      <c r="EF23" s="31">
        <f>+IF(D134="X",1,0)</f>
        <v>0</v>
      </c>
      <c r="EH23" s="51">
        <v>63</v>
      </c>
      <c r="EI23" s="31">
        <f>+IF(D82="X",1,0)</f>
        <v>1</v>
      </c>
      <c r="EJ23" s="51">
        <v>52</v>
      </c>
      <c r="EK23" s="31">
        <f>+IF(D71="X",1,0)</f>
        <v>0</v>
      </c>
      <c r="EL23" s="51">
        <v>19</v>
      </c>
      <c r="EM23" s="31">
        <f>+IF(E38="X",1,0)</f>
        <v>1</v>
      </c>
      <c r="EO23" s="31">
        <v>88</v>
      </c>
      <c r="EP23" s="31">
        <f>+IF(D107="X",1,0)</f>
        <v>0</v>
      </c>
      <c r="EQ23" s="51">
        <v>34</v>
      </c>
      <c r="ER23" s="31">
        <f>+IF(D53="X",1,0)</f>
        <v>1</v>
      </c>
      <c r="ES23" s="51">
        <v>82</v>
      </c>
      <c r="ET23" s="31">
        <f>+IF(D101="X",1,0)</f>
        <v>0</v>
      </c>
      <c r="EV23" s="51">
        <v>39</v>
      </c>
      <c r="EW23" s="31">
        <f>+IF(D58="X",1,0)</f>
        <v>0</v>
      </c>
      <c r="EX23" s="51">
        <v>100</v>
      </c>
      <c r="EY23" s="31">
        <f>+IF(D119="X",1,0)</f>
        <v>0</v>
      </c>
      <c r="EZ23" s="51">
        <v>20</v>
      </c>
      <c r="FA23" s="31">
        <f>+IF(E39="X",1,0)</f>
        <v>0</v>
      </c>
      <c r="FC23" s="51">
        <v>89</v>
      </c>
      <c r="FD23" s="31">
        <f>+IF(D108="X",1,0)</f>
        <v>1</v>
      </c>
      <c r="FE23" s="51">
        <v>90</v>
      </c>
      <c r="FF23" s="31">
        <f>+IF(D109="X",1,0)</f>
        <v>0</v>
      </c>
      <c r="FG23" s="51">
        <v>79</v>
      </c>
      <c r="FH23" s="31">
        <f>+IF(D98="X",1,0)</f>
        <v>0</v>
      </c>
      <c r="FJ23" s="51">
        <v>111</v>
      </c>
      <c r="FK23" s="31">
        <f>+IF(D130="X",1,0)</f>
        <v>0</v>
      </c>
      <c r="FL23" s="51">
        <v>59</v>
      </c>
      <c r="FM23" s="31">
        <f>+IF(D78="X",1,0)</f>
        <v>0</v>
      </c>
      <c r="FN23" s="51">
        <v>74</v>
      </c>
      <c r="FO23" s="31">
        <f>+IF(D93="X",1,0)</f>
        <v>0</v>
      </c>
      <c r="FQ23" s="51">
        <v>24</v>
      </c>
      <c r="FR23" s="31">
        <f>+IF(D43="X",1,0)</f>
        <v>0</v>
      </c>
      <c r="FS23" s="51">
        <v>88</v>
      </c>
      <c r="FT23" s="31">
        <f>+IF(D107="X",1,0)</f>
        <v>0</v>
      </c>
      <c r="FU23" s="51">
        <v>96</v>
      </c>
      <c r="FV23" s="31">
        <f>+IF(D115="X",1,0)</f>
        <v>0</v>
      </c>
    </row>
    <row r="24" spans="2:178" ht="17.25">
      <c r="B24" s="147">
        <v>5</v>
      </c>
      <c r="C24" s="148" t="s">
        <v>4</v>
      </c>
      <c r="D24" s="49"/>
      <c r="E24" s="49" t="s">
        <v>234</v>
      </c>
      <c r="F24" s="53">
        <v>5</v>
      </c>
      <c r="H24" s="27">
        <v>119</v>
      </c>
      <c r="I24" s="27">
        <f>+IF(D138="X",2,0)</f>
        <v>0</v>
      </c>
      <c r="J24" s="30">
        <v>135</v>
      </c>
      <c r="K24" s="27">
        <f>+IF(D154="X",2,0)</f>
        <v>0</v>
      </c>
      <c r="L24" s="30">
        <v>111</v>
      </c>
      <c r="M24" s="27">
        <f>+IF(D130="X",2,0)</f>
        <v>0</v>
      </c>
      <c r="N24" s="30">
        <v>109</v>
      </c>
      <c r="O24" s="27">
        <f>+IF(D128="X",2,0)</f>
        <v>0</v>
      </c>
      <c r="P24" s="30">
        <v>117</v>
      </c>
      <c r="Q24" s="27">
        <f>+IF(D136="X",2,0)</f>
        <v>0</v>
      </c>
      <c r="R24" s="30">
        <v>129</v>
      </c>
      <c r="S24" s="27">
        <f>+IF(D148="X",2,0)</f>
        <v>2</v>
      </c>
      <c r="T24" s="30">
        <v>87</v>
      </c>
      <c r="U24" s="27">
        <f>+IF(D106="X",2,0)</f>
        <v>2</v>
      </c>
      <c r="V24" s="30">
        <v>147</v>
      </c>
      <c r="W24" s="27">
        <f>+IF(D166="X",2,0)</f>
        <v>0</v>
      </c>
      <c r="X24" s="30">
        <v>103</v>
      </c>
      <c r="Y24" s="27">
        <f>+IF(D122="X",2,0)</f>
        <v>0</v>
      </c>
      <c r="Z24" s="30">
        <v>73</v>
      </c>
      <c r="AA24" s="27">
        <f>+IF(D92="X",2,0)</f>
        <v>0</v>
      </c>
      <c r="AB24" s="30">
        <v>122</v>
      </c>
      <c r="AC24" s="27">
        <f>+IF(D141="X",2,0)</f>
        <v>0</v>
      </c>
      <c r="AD24" s="30">
        <v>126</v>
      </c>
      <c r="AE24" s="27">
        <f>+IF(D145="X",2,0)</f>
        <v>2</v>
      </c>
      <c r="AG24" s="30">
        <v>112</v>
      </c>
      <c r="AH24" s="27">
        <f>+IF(D131="X",2,0)</f>
        <v>0</v>
      </c>
      <c r="AI24" s="30">
        <v>134</v>
      </c>
      <c r="AJ24" s="27">
        <f>+IF(D153="X",2,0)</f>
        <v>0</v>
      </c>
      <c r="AK24" s="52">
        <v>104</v>
      </c>
      <c r="AL24" s="27">
        <f>+IF(D123="X",2,0)</f>
        <v>0</v>
      </c>
      <c r="AN24" s="27">
        <v>123</v>
      </c>
      <c r="AO24" s="27">
        <f>+IF(D142="X",2,0)</f>
        <v>2</v>
      </c>
      <c r="AP24" s="27">
        <v>146</v>
      </c>
      <c r="AQ24" s="27">
        <f>+IF(D165="X",2,0)</f>
        <v>0</v>
      </c>
      <c r="AR24" s="27">
        <v>163</v>
      </c>
      <c r="AS24" s="27">
        <f>+IF(D182="X",2,0)</f>
        <v>2</v>
      </c>
      <c r="AT24" s="27">
        <v>151</v>
      </c>
      <c r="AU24" s="27">
        <f>+IF(D170="X",2,0)</f>
        <v>0</v>
      </c>
      <c r="AV24" s="27">
        <v>161</v>
      </c>
      <c r="AW24" s="27">
        <f>+IF(D180="X",2,0)</f>
        <v>0</v>
      </c>
      <c r="AX24" s="27">
        <v>116</v>
      </c>
      <c r="AY24" s="27">
        <f>+IF(D135="X",2,0)</f>
        <v>0</v>
      </c>
      <c r="AZ24" s="27">
        <v>150</v>
      </c>
      <c r="BA24" s="27">
        <f>+IF(D169="X",2,0)</f>
        <v>0</v>
      </c>
      <c r="BC24" s="27">
        <v>131</v>
      </c>
      <c r="BD24" s="27">
        <f>+IF(D150="X",2,0)</f>
        <v>2</v>
      </c>
      <c r="BE24" s="27">
        <v>101</v>
      </c>
      <c r="BF24" s="27">
        <f>+IF(D120="X",2,0)</f>
        <v>2</v>
      </c>
      <c r="BG24" s="27">
        <v>182</v>
      </c>
      <c r="BH24" s="27">
        <f>+IF(D201="X",2,0)</f>
        <v>0</v>
      </c>
      <c r="BK24" s="27">
        <v>8</v>
      </c>
      <c r="BL24" s="27">
        <f>+IF(D27="X",1,0)</f>
        <v>1</v>
      </c>
      <c r="BM24" s="27">
        <v>30</v>
      </c>
      <c r="BN24" s="27">
        <f>+IF(D49="X",1,0)</f>
        <v>1</v>
      </c>
      <c r="BO24" s="27">
        <v>18</v>
      </c>
      <c r="BP24" s="27">
        <f>+IF(D37="X",1,0)</f>
        <v>0</v>
      </c>
      <c r="BT24" s="27" t="s">
        <v>284</v>
      </c>
      <c r="BU24" s="27">
        <f>IF(D100&lt;&gt;D135,1,0)</f>
        <v>0</v>
      </c>
      <c r="BW24" s="30">
        <v>149</v>
      </c>
      <c r="BX24" s="30">
        <f>+IF(D168="X",1,0)</f>
        <v>0</v>
      </c>
      <c r="BY24" s="30">
        <v>178</v>
      </c>
      <c r="BZ24" s="30">
        <f>+IF(D197="X",1,0)</f>
        <v>1</v>
      </c>
      <c r="CA24" s="30">
        <v>90</v>
      </c>
      <c r="CB24" s="30">
        <f>+IF(D109="X",1,0)</f>
        <v>0</v>
      </c>
      <c r="CD24" s="30">
        <v>30</v>
      </c>
      <c r="CE24" s="30">
        <f>+IF(E49="X",1,0)</f>
        <v>0</v>
      </c>
      <c r="CF24" s="30">
        <v>156</v>
      </c>
      <c r="CG24" s="30">
        <f>+IF(D175="X",1,0)</f>
        <v>0</v>
      </c>
      <c r="CH24" s="30">
        <v>92</v>
      </c>
      <c r="CI24" s="30">
        <f>+IF(D111="X",1,0)</f>
        <v>1</v>
      </c>
      <c r="CK24" s="30">
        <v>52</v>
      </c>
      <c r="CL24" s="30">
        <f>+IF(D71="X",1,0)</f>
        <v>0</v>
      </c>
      <c r="CM24" s="30">
        <v>169</v>
      </c>
      <c r="CN24" s="30">
        <f>+IF(D188="X",1,0)</f>
        <v>0</v>
      </c>
      <c r="CO24" s="30">
        <v>107</v>
      </c>
      <c r="CP24" s="30">
        <f>+IF(D126="X",1,0)</f>
        <v>0</v>
      </c>
      <c r="CR24" s="31">
        <v>72</v>
      </c>
      <c r="CS24" s="31">
        <f>+IF(D91="X",1,0)</f>
        <v>1</v>
      </c>
      <c r="CT24" s="31">
        <v>173</v>
      </c>
      <c r="CU24" s="31">
        <f>+IF(D192="X",1,0)</f>
        <v>1</v>
      </c>
      <c r="CV24" s="31">
        <v>133</v>
      </c>
      <c r="CW24" s="31">
        <f>+IF(D152="X",1,0)</f>
        <v>0</v>
      </c>
      <c r="CY24" s="31">
        <v>132</v>
      </c>
      <c r="CZ24" s="31">
        <f>+IF(D151="X",1,0)</f>
        <v>0</v>
      </c>
      <c r="DA24" s="31">
        <v>6</v>
      </c>
      <c r="DB24" s="31">
        <f>+IF(E25="X",1,0)</f>
        <v>1</v>
      </c>
      <c r="DC24" s="31">
        <v>67</v>
      </c>
      <c r="DD24" s="31">
        <f>+IF(D86="X",1,0)</f>
        <v>0</v>
      </c>
      <c r="DF24" s="31">
        <v>129</v>
      </c>
      <c r="DG24" s="31">
        <f>+IF(D148="X",1,0)</f>
        <v>1</v>
      </c>
      <c r="DH24" s="51">
        <v>117</v>
      </c>
      <c r="DI24" s="31">
        <f>+IF(D136="X",1,0)</f>
        <v>0</v>
      </c>
      <c r="DJ24" s="51">
        <v>120</v>
      </c>
      <c r="DK24" s="31">
        <f>+IF(E139="X",1,0)</f>
        <v>0</v>
      </c>
      <c r="DM24" s="51">
        <v>117</v>
      </c>
      <c r="DN24" s="31">
        <f>+IF(D136="X",1,0)</f>
        <v>0</v>
      </c>
      <c r="DO24" s="51">
        <v>154</v>
      </c>
      <c r="DP24" s="31">
        <f>+IF(D173="X",1,0)</f>
        <v>1</v>
      </c>
      <c r="DQ24" s="51">
        <v>106</v>
      </c>
      <c r="DR24" s="31">
        <f>+IF(D125="X",1,0)</f>
        <v>0</v>
      </c>
      <c r="DT24" s="51">
        <v>159</v>
      </c>
      <c r="DU24" s="31">
        <f>+IF(D178="X",1,0)</f>
        <v>0</v>
      </c>
      <c r="DV24" s="51">
        <v>153</v>
      </c>
      <c r="DW24" s="31">
        <f>+IF(D172="X",1,0)</f>
        <v>0</v>
      </c>
      <c r="DX24" s="51">
        <v>85</v>
      </c>
      <c r="DY24" s="31">
        <f>+IF(D104="X",1,0)</f>
        <v>1</v>
      </c>
      <c r="EA24" s="51">
        <v>88</v>
      </c>
      <c r="EB24" s="31">
        <f>+IF(D107="X",1,0)</f>
        <v>0</v>
      </c>
      <c r="EC24" s="51">
        <v>141</v>
      </c>
      <c r="ED24" s="31">
        <f>+IF(D160="X",1,0)</f>
        <v>0</v>
      </c>
      <c r="EE24" s="51">
        <v>137</v>
      </c>
      <c r="EF24" s="31">
        <f>+IF(D156="X",1,0)</f>
        <v>0</v>
      </c>
      <c r="EH24" s="51">
        <v>174</v>
      </c>
      <c r="EI24" s="31">
        <f>+IF(D193="X",1,0)</f>
        <v>1</v>
      </c>
      <c r="EJ24" s="51">
        <v>99</v>
      </c>
      <c r="EK24" s="31">
        <f>+IF(D118="X",1,0)</f>
        <v>0</v>
      </c>
      <c r="EL24" s="51">
        <v>83</v>
      </c>
      <c r="EM24" s="31">
        <f>+IF(E102="X",1,0)</f>
        <v>1</v>
      </c>
      <c r="EO24" s="31">
        <v>96</v>
      </c>
      <c r="EP24" s="31">
        <f>+IF(D115="X",1,0)</f>
        <v>0</v>
      </c>
      <c r="EQ24" s="51">
        <v>39</v>
      </c>
      <c r="ER24" s="31">
        <f>+IF(D58="X",1,0)</f>
        <v>0</v>
      </c>
      <c r="ES24" s="51">
        <v>97</v>
      </c>
      <c r="ET24" s="31">
        <f>+IF(D116="X",1,0)</f>
        <v>0</v>
      </c>
      <c r="EV24" s="51">
        <v>52</v>
      </c>
      <c r="EW24" s="31">
        <f>+IF(D71="X",1,0)</f>
        <v>0</v>
      </c>
      <c r="EX24" s="51">
        <v>126</v>
      </c>
      <c r="EY24" s="31">
        <f>+IF(D145="X",1,0)</f>
        <v>1</v>
      </c>
      <c r="EZ24" s="51">
        <v>53</v>
      </c>
      <c r="FA24" s="31">
        <f>+IF(E72="X",1,0)</f>
        <v>0</v>
      </c>
      <c r="FC24" s="51">
        <v>92</v>
      </c>
      <c r="FD24" s="31">
        <f>+IF(D111="X",1,0)</f>
        <v>1</v>
      </c>
      <c r="FE24" s="51">
        <v>93</v>
      </c>
      <c r="FF24" s="31">
        <f>+IF(D112="X",1,0)</f>
        <v>0</v>
      </c>
      <c r="FG24" s="51">
        <v>88</v>
      </c>
      <c r="FH24" s="31">
        <f>+IF(D107="X",1,0)</f>
        <v>0</v>
      </c>
      <c r="FJ24" s="51">
        <v>151</v>
      </c>
      <c r="FK24" s="31">
        <f>+IF(D170="X",1,0)</f>
        <v>0</v>
      </c>
      <c r="FL24" s="51">
        <v>93</v>
      </c>
      <c r="FM24" s="31">
        <f>+IF(D112="X",1,0)</f>
        <v>0</v>
      </c>
      <c r="FN24" s="51">
        <v>80</v>
      </c>
      <c r="FO24" s="31">
        <f>+IF(D99="X",1,0)</f>
        <v>1</v>
      </c>
      <c r="FQ24" s="51">
        <v>104</v>
      </c>
      <c r="FR24" s="31">
        <f>+IF(D123="X",1,0)</f>
        <v>0</v>
      </c>
      <c r="FS24" s="51">
        <v>172</v>
      </c>
      <c r="FT24" s="31">
        <f>+IF(D191="X",1,0)</f>
        <v>1</v>
      </c>
      <c r="FU24" s="51">
        <v>106</v>
      </c>
      <c r="FV24" s="31">
        <f>+IF(D125="X",1,0)</f>
        <v>0</v>
      </c>
    </row>
    <row r="25" spans="2:178" ht="17.25">
      <c r="B25" s="147">
        <v>6</v>
      </c>
      <c r="C25" s="148" t="s">
        <v>5</v>
      </c>
      <c r="D25" s="49"/>
      <c r="E25" s="49" t="s">
        <v>234</v>
      </c>
      <c r="F25" s="53">
        <v>6</v>
      </c>
      <c r="H25" s="27">
        <v>139</v>
      </c>
      <c r="I25" s="27">
        <f>+IF(D158="X",2,0)</f>
        <v>0</v>
      </c>
      <c r="J25" s="30">
        <v>195</v>
      </c>
      <c r="K25" s="27">
        <f>+IF(D214="X",2,0)</f>
        <v>0</v>
      </c>
      <c r="L25" s="30">
        <v>169</v>
      </c>
      <c r="M25" s="27">
        <f>+IF(D188="X",2,0)</f>
        <v>0</v>
      </c>
      <c r="N25" s="30">
        <v>133</v>
      </c>
      <c r="O25" s="27">
        <f>+IF(D152="X",2,0)</f>
        <v>0</v>
      </c>
      <c r="P25" s="30">
        <v>154</v>
      </c>
      <c r="Q25" s="27">
        <f>+IF(D173="X",2,0)</f>
        <v>2</v>
      </c>
      <c r="R25" s="30">
        <v>155</v>
      </c>
      <c r="S25" s="27">
        <f>+IF(D174="X",2,0)</f>
        <v>2</v>
      </c>
      <c r="T25" s="30">
        <v>106</v>
      </c>
      <c r="U25" s="27">
        <f>+IF(D125="X",2,0)</f>
        <v>0</v>
      </c>
      <c r="V25" s="30">
        <v>183</v>
      </c>
      <c r="W25" s="27">
        <f>+IF(D202="X",2,0)</f>
        <v>0</v>
      </c>
      <c r="X25" s="30">
        <v>115</v>
      </c>
      <c r="Y25" s="27">
        <f>+IF(D134="X",2,0)</f>
        <v>0</v>
      </c>
      <c r="Z25" s="30">
        <v>128</v>
      </c>
      <c r="AA25" s="27">
        <f>+IF(D147="X",2,0)</f>
        <v>2</v>
      </c>
      <c r="AB25" s="30">
        <v>137</v>
      </c>
      <c r="AC25" s="27">
        <f>+IF(D156="X",2,0)</f>
        <v>0</v>
      </c>
      <c r="AD25" s="30">
        <v>166</v>
      </c>
      <c r="AE25" s="27">
        <f>+IF(D185="X",2,0)</f>
        <v>2</v>
      </c>
      <c r="AG25" s="30">
        <v>156</v>
      </c>
      <c r="AH25" s="27">
        <f>+IF(D175="X",2,0)</f>
        <v>0</v>
      </c>
      <c r="AI25" s="30">
        <v>164</v>
      </c>
      <c r="AJ25" s="27">
        <f>+IF(D183="X",2,0)</f>
        <v>0</v>
      </c>
      <c r="AK25" s="52">
        <v>136</v>
      </c>
      <c r="AL25" s="27">
        <f>+IF(D155="X",2,0)</f>
        <v>0</v>
      </c>
      <c r="AN25" s="27">
        <v>143</v>
      </c>
      <c r="AO25" s="27">
        <f>+IF(D162="X",2,0)</f>
        <v>0</v>
      </c>
      <c r="AP25" s="27">
        <v>1</v>
      </c>
      <c r="AQ25" s="27">
        <f>+IF(D20="X",1,0)</f>
        <v>1</v>
      </c>
      <c r="AR25" s="27">
        <v>177</v>
      </c>
      <c r="AS25" s="27">
        <f>+IF(D196="X",2,0)</f>
        <v>2</v>
      </c>
      <c r="AT25" s="27">
        <v>170</v>
      </c>
      <c r="AU25" s="27">
        <f>+IF(D189="X",2,0)</f>
        <v>2</v>
      </c>
      <c r="AV25" s="27">
        <v>65</v>
      </c>
      <c r="AW25" s="27">
        <f>+IF(D84="X",1,0)</f>
        <v>0</v>
      </c>
      <c r="AX25" s="27">
        <v>124</v>
      </c>
      <c r="AY25" s="27">
        <f>+IF(D143="X",2,0)</f>
        <v>2</v>
      </c>
      <c r="AZ25" s="27">
        <v>44</v>
      </c>
      <c r="BA25" s="27">
        <f>+IF(D63="X",1,0)</f>
        <v>1</v>
      </c>
      <c r="BC25" s="27">
        <v>138</v>
      </c>
      <c r="BD25" s="27">
        <f>+IF(D157="X",2,0)</f>
        <v>0</v>
      </c>
      <c r="BE25" s="27">
        <v>107</v>
      </c>
      <c r="BF25" s="27">
        <f>+IF(D126="X",2,0)</f>
        <v>0</v>
      </c>
      <c r="BG25" s="27">
        <v>13</v>
      </c>
      <c r="BH25" s="27">
        <f>+IF(D32="X",1,0)</f>
        <v>0</v>
      </c>
      <c r="BK25" s="27">
        <v>9</v>
      </c>
      <c r="BL25" s="27">
        <f>+IF(D28="X",1,0)</f>
        <v>0</v>
      </c>
      <c r="BM25" s="27">
        <v>46</v>
      </c>
      <c r="BN25" s="27">
        <f>+IF(D65="X",1,0)</f>
        <v>1</v>
      </c>
      <c r="BO25" s="27">
        <v>22</v>
      </c>
      <c r="BP25" s="27">
        <f>+IF(D41="X",1,0)</f>
        <v>1</v>
      </c>
      <c r="BT25" s="27" t="s">
        <v>285</v>
      </c>
      <c r="BU25" s="27">
        <f>IF(D104&lt;&gt;D145,1,0)</f>
        <v>0</v>
      </c>
      <c r="BW25" s="30">
        <v>180</v>
      </c>
      <c r="BX25" s="30">
        <f>+IF(D199="X",1,0)</f>
        <v>1</v>
      </c>
      <c r="BY25" s="30">
        <v>195</v>
      </c>
      <c r="BZ25" s="30">
        <f>+IF(D214="X",1,0)</f>
        <v>0</v>
      </c>
      <c r="CA25" s="30">
        <v>92</v>
      </c>
      <c r="CB25" s="30">
        <f>+IF(D111="X",1,0)</f>
        <v>1</v>
      </c>
      <c r="CD25" s="30">
        <v>46</v>
      </c>
      <c r="CE25" s="30">
        <f>+IF(E65="X",1,0)</f>
        <v>0</v>
      </c>
      <c r="CF25" s="30">
        <v>178</v>
      </c>
      <c r="CG25" s="30">
        <f>+IF(D197="X",1,0)</f>
        <v>1</v>
      </c>
      <c r="CH25" s="30">
        <v>93</v>
      </c>
      <c r="CI25" s="30">
        <f>+IF(D112="X",1,0)</f>
        <v>0</v>
      </c>
      <c r="CK25" s="30">
        <v>71</v>
      </c>
      <c r="CL25" s="30">
        <f>+IF(D90="X",1,0)</f>
        <v>0</v>
      </c>
      <c r="CM25" s="30">
        <v>175</v>
      </c>
      <c r="CN25" s="30">
        <f>+IF(D194="X",1,0)</f>
        <v>0</v>
      </c>
      <c r="CO25" s="30">
        <v>111</v>
      </c>
      <c r="CP25" s="30">
        <f>+IF(D130="X",1,0)</f>
        <v>0</v>
      </c>
      <c r="CR25" s="31">
        <v>99</v>
      </c>
      <c r="CS25" s="31">
        <f>+IF(D118="X",1,0)</f>
        <v>0</v>
      </c>
      <c r="CT25" s="31">
        <v>194</v>
      </c>
      <c r="CU25" s="31">
        <f>+IF(D213="X",1,0)</f>
        <v>1</v>
      </c>
      <c r="CV25" s="31">
        <v>151</v>
      </c>
      <c r="CW25" s="31">
        <f>+IF(D170="X",1,0)</f>
        <v>0</v>
      </c>
      <c r="CY25" s="31">
        <v>142</v>
      </c>
      <c r="CZ25" s="31">
        <f>+IF(D161="X",1,0)</f>
        <v>0</v>
      </c>
      <c r="DA25" s="31">
        <v>15</v>
      </c>
      <c r="DB25" s="31">
        <f>+IF(E34="X",1,0)</f>
        <v>0</v>
      </c>
      <c r="DC25" s="31">
        <v>75</v>
      </c>
      <c r="DD25" s="31">
        <f>+IF(D94="X",1,0)</f>
        <v>1</v>
      </c>
      <c r="DF25" s="31">
        <v>155</v>
      </c>
      <c r="DG25" s="31">
        <f>+IF(D174="X",1,0)</f>
        <v>1</v>
      </c>
      <c r="DH25" s="51">
        <v>154</v>
      </c>
      <c r="DI25" s="31">
        <f>+IF(D173="X",1,0)</f>
        <v>1</v>
      </c>
      <c r="DJ25" s="51">
        <v>156</v>
      </c>
      <c r="DK25" s="31">
        <f>+IF(E175="X",1,0)</f>
        <v>1</v>
      </c>
      <c r="DM25" s="51">
        <v>132</v>
      </c>
      <c r="DN25" s="31">
        <f>+IF(D151="X",1,0)</f>
        <v>0</v>
      </c>
      <c r="DO25" s="51">
        <v>155</v>
      </c>
      <c r="DP25" s="31">
        <f>+IF(D174="X",1,0)</f>
        <v>1</v>
      </c>
      <c r="DQ25" s="51">
        <v>180</v>
      </c>
      <c r="DR25" s="31">
        <f>+IF(D199="X",1,0)</f>
        <v>1</v>
      </c>
      <c r="DT25" s="51">
        <v>171</v>
      </c>
      <c r="DU25" s="31">
        <f>+IF(D190="X",1,0)</f>
        <v>0</v>
      </c>
      <c r="DV25" s="51">
        <v>168</v>
      </c>
      <c r="DW25" s="31">
        <f>+IF(D187="X",1,0)</f>
        <v>0</v>
      </c>
      <c r="DX25" s="31">
        <v>105</v>
      </c>
      <c r="DY25" s="31">
        <f>+IF(D124="X",1,0)</f>
        <v>0</v>
      </c>
      <c r="EA25" s="51">
        <v>103</v>
      </c>
      <c r="EB25" s="31">
        <f>+IF(D122="X",1,0)</f>
        <v>0</v>
      </c>
      <c r="EC25" s="51">
        <v>166</v>
      </c>
      <c r="ED25" s="31">
        <f>+IF(D185="X",1,0)</f>
        <v>1</v>
      </c>
      <c r="EE25" s="51">
        <v>145</v>
      </c>
      <c r="EF25" s="31">
        <f>+IF(D164="X",1,0)</f>
        <v>0</v>
      </c>
      <c r="EH25" s="51">
        <v>188</v>
      </c>
      <c r="EI25" s="31">
        <f>+IF(D207="X",1,0)</f>
        <v>1</v>
      </c>
      <c r="EJ25" s="51">
        <v>128</v>
      </c>
      <c r="EK25" s="31">
        <f>+IF(D147="X",1,0)</f>
        <v>1</v>
      </c>
      <c r="EL25" s="51">
        <v>147</v>
      </c>
      <c r="EM25" s="31">
        <f>+IF(E166="X",1,0)</f>
        <v>1</v>
      </c>
      <c r="EO25" s="31">
        <v>100</v>
      </c>
      <c r="EP25" s="31">
        <f>+IF(D119="X",1,0)</f>
        <v>0</v>
      </c>
      <c r="EQ25" s="51">
        <v>51</v>
      </c>
      <c r="ER25" s="31">
        <f>+IF(D70="X",1,0)</f>
        <v>0</v>
      </c>
      <c r="ES25" s="51">
        <v>115</v>
      </c>
      <c r="ET25" s="31">
        <f>+IF(D134="X",1,0)</f>
        <v>0</v>
      </c>
      <c r="EV25" s="51">
        <v>59</v>
      </c>
      <c r="EW25" s="31">
        <f>+IF(D78="X",1,0)</f>
        <v>0</v>
      </c>
      <c r="EX25" s="51">
        <v>156</v>
      </c>
      <c r="EY25" s="31">
        <f>+IF(D175="X",1,0)</f>
        <v>0</v>
      </c>
      <c r="EZ25" s="51">
        <v>67</v>
      </c>
      <c r="FA25" s="31">
        <f>+IF(E86="X",1,0)</f>
        <v>1</v>
      </c>
      <c r="FC25" s="51">
        <v>121</v>
      </c>
      <c r="FD25" s="31">
        <f>+IF(D140="X",1,0)</f>
        <v>1</v>
      </c>
      <c r="FE25" s="51">
        <v>111</v>
      </c>
      <c r="FF25" s="31">
        <f>+IF(D130="X",1,0)</f>
        <v>0</v>
      </c>
      <c r="FG25" s="51">
        <v>106</v>
      </c>
      <c r="FH25" s="31">
        <f>+IF(D125="X",1,0)</f>
        <v>0</v>
      </c>
      <c r="FJ25" s="51">
        <v>156</v>
      </c>
      <c r="FK25" s="31">
        <f>+IF(D175="X",1,0)</f>
        <v>0</v>
      </c>
      <c r="FL25" s="51">
        <v>100</v>
      </c>
      <c r="FM25" s="31">
        <f>+IF(D119="X",1,0)</f>
        <v>0</v>
      </c>
      <c r="FN25" s="51">
        <v>82</v>
      </c>
      <c r="FO25" s="31">
        <f>+IF(D101="X",1,0)</f>
        <v>0</v>
      </c>
      <c r="FQ25" s="51">
        <v>149</v>
      </c>
      <c r="FR25" s="31">
        <f>+IF(D168="X",1,0)</f>
        <v>0</v>
      </c>
      <c r="FS25" s="51">
        <v>182</v>
      </c>
      <c r="FT25" s="31">
        <f>+IF(D201="X",1,0)</f>
        <v>0</v>
      </c>
      <c r="FU25" s="51">
        <v>112</v>
      </c>
      <c r="FV25" s="31">
        <f>+IF(D131="X",1,0)</f>
        <v>0</v>
      </c>
    </row>
    <row r="26" spans="2:178" ht="17.25">
      <c r="B26" s="147">
        <v>7</v>
      </c>
      <c r="C26" s="148" t="s">
        <v>6</v>
      </c>
      <c r="D26" s="49" t="s">
        <v>234</v>
      </c>
      <c r="E26" s="49"/>
      <c r="F26" s="53">
        <v>7</v>
      </c>
      <c r="H26" s="27">
        <v>149</v>
      </c>
      <c r="I26" s="27">
        <f>+IF(D168="X",2,0)</f>
        <v>0</v>
      </c>
      <c r="J26" s="30">
        <v>23</v>
      </c>
      <c r="K26" s="27">
        <f>+IF(D42="X",1,0)</f>
        <v>1</v>
      </c>
      <c r="L26" s="30">
        <v>175</v>
      </c>
      <c r="M26" s="27">
        <f>+IF(D194="X",2,0)</f>
        <v>0</v>
      </c>
      <c r="N26" s="30">
        <v>162</v>
      </c>
      <c r="O26" s="27">
        <f>+IF(D181="X",2,0)</f>
        <v>0</v>
      </c>
      <c r="P26" s="30">
        <v>171</v>
      </c>
      <c r="Q26" s="27">
        <f>+IF(D190="X",2,0)</f>
        <v>0</v>
      </c>
      <c r="R26" s="30">
        <v>174</v>
      </c>
      <c r="S26" s="27">
        <f>+IF(D193="X",2,0)</f>
        <v>2</v>
      </c>
      <c r="T26" s="30">
        <v>132</v>
      </c>
      <c r="U26" s="27">
        <f>+IF(D151="X",2,0)</f>
        <v>0</v>
      </c>
      <c r="V26" s="30">
        <v>191</v>
      </c>
      <c r="W26" s="27">
        <f>+IF(D210="X",2,0)</f>
        <v>0</v>
      </c>
      <c r="X26" s="30">
        <v>141</v>
      </c>
      <c r="Y26" s="27">
        <f>+IF(D160="X",2,0)</f>
        <v>0</v>
      </c>
      <c r="Z26" s="30">
        <v>140</v>
      </c>
      <c r="AA26" s="27">
        <f>+IF(D159="X",2,0)</f>
        <v>2</v>
      </c>
      <c r="AB26" s="30">
        <v>167</v>
      </c>
      <c r="AC26" s="27">
        <f>+IF(D186="X",2,0)</f>
        <v>2</v>
      </c>
      <c r="AD26" s="30">
        <v>192</v>
      </c>
      <c r="AE26" s="27">
        <f>+IF(D211="X",2,0)</f>
        <v>0</v>
      </c>
      <c r="AG26" s="30">
        <v>165</v>
      </c>
      <c r="AH26" s="27">
        <f>+IF(D184="X",2,0)</f>
        <v>0</v>
      </c>
      <c r="AI26" s="30">
        <v>178</v>
      </c>
      <c r="AJ26" s="27">
        <f>+IF(D197="X",2,0)</f>
        <v>2</v>
      </c>
      <c r="AK26" s="52">
        <v>153</v>
      </c>
      <c r="AL26" s="27">
        <f>+IF(D172="X",2,0)</f>
        <v>0</v>
      </c>
      <c r="AN26" s="27">
        <v>33</v>
      </c>
      <c r="AO26" s="27">
        <f>+IF(D52="X",1,0)</f>
        <v>1</v>
      </c>
      <c r="AP26" s="27">
        <v>57</v>
      </c>
      <c r="AQ26" s="27">
        <f>+IF(D76="X",1,0)</f>
        <v>0</v>
      </c>
      <c r="AR26" s="27">
        <v>37</v>
      </c>
      <c r="AS26" s="27">
        <f>+IF(D56="X",1,0)</f>
        <v>0</v>
      </c>
      <c r="AT26" s="27">
        <v>17</v>
      </c>
      <c r="AU26" s="27">
        <f>+IF(D36="X",1,0)</f>
        <v>0</v>
      </c>
      <c r="AV26" s="27">
        <v>83</v>
      </c>
      <c r="AW26" s="27">
        <f>+IF(D102="X",1,0)</f>
        <v>0</v>
      </c>
      <c r="AX26" s="27">
        <v>144</v>
      </c>
      <c r="AY26" s="27">
        <f>+IF(D163="X",2,0)</f>
        <v>0</v>
      </c>
      <c r="AZ26" s="27">
        <v>47</v>
      </c>
      <c r="BA26" s="27">
        <f>+IF(D66="X",1,0)</f>
        <v>0</v>
      </c>
      <c r="BC26" s="27">
        <v>18</v>
      </c>
      <c r="BD26" s="27">
        <f>+IF(D37="X",1,0)</f>
        <v>0</v>
      </c>
      <c r="BE26" s="27">
        <v>114</v>
      </c>
      <c r="BF26" s="27">
        <f>+IF(D133="X",2,0)</f>
        <v>2</v>
      </c>
      <c r="BG26" s="27">
        <v>54</v>
      </c>
      <c r="BH26" s="27">
        <f>+IF(D73="X",1,0)</f>
        <v>1</v>
      </c>
      <c r="BK26" s="27">
        <v>10</v>
      </c>
      <c r="BL26" s="27">
        <f>+IF(D29="X",1,0)</f>
        <v>0</v>
      </c>
      <c r="BM26" s="27">
        <v>67</v>
      </c>
      <c r="BN26" s="27">
        <f>+IF(D86="X",1,0)</f>
        <v>0</v>
      </c>
      <c r="BO26" s="27">
        <v>28</v>
      </c>
      <c r="BP26" s="27">
        <f>+IF(D47="X",1,0)</f>
        <v>1</v>
      </c>
      <c r="BT26" s="27" t="s">
        <v>286</v>
      </c>
      <c r="BU26" s="27">
        <f>IF(D95&lt;&gt;D169,1,0)</f>
        <v>1</v>
      </c>
      <c r="BW26" s="30">
        <v>190</v>
      </c>
      <c r="BX26" s="30">
        <f>+IF(D209="X",1,0)</f>
        <v>0</v>
      </c>
      <c r="BY26" s="30">
        <v>30</v>
      </c>
      <c r="BZ26" s="30">
        <f>+IF(E49="X",1,0)</f>
        <v>0</v>
      </c>
      <c r="CA26" s="30">
        <v>111</v>
      </c>
      <c r="CB26" s="30">
        <f>+IF(D130="X",1,0)</f>
        <v>0</v>
      </c>
      <c r="CD26" s="30">
        <v>84</v>
      </c>
      <c r="CE26" s="30">
        <f>+IF(E103="X",1,0)</f>
        <v>0</v>
      </c>
      <c r="CF26" s="30">
        <v>192</v>
      </c>
      <c r="CG26" s="30">
        <f>+IF(D211="X",1,0)</f>
        <v>0</v>
      </c>
      <c r="CH26" s="30">
        <v>112</v>
      </c>
      <c r="CI26" s="30">
        <f>+IF(D131="X",1,0)</f>
        <v>0</v>
      </c>
      <c r="CK26" s="30">
        <v>89</v>
      </c>
      <c r="CL26" s="30">
        <f>+IF(D108="X",1,0)</f>
        <v>1</v>
      </c>
      <c r="CM26" s="30">
        <v>178</v>
      </c>
      <c r="CN26" s="30">
        <f>+IF(D197="X",1,0)</f>
        <v>1</v>
      </c>
      <c r="CO26" s="30">
        <v>170</v>
      </c>
      <c r="CP26" s="30">
        <f>+IF(D189="X",1,0)</f>
        <v>1</v>
      </c>
      <c r="CR26" s="31">
        <v>109</v>
      </c>
      <c r="CS26" s="31">
        <f>+IF(D128="X",1,0)</f>
        <v>0</v>
      </c>
      <c r="CT26" s="31">
        <v>185</v>
      </c>
      <c r="CU26" s="31">
        <f>+IF(E204="X",1,0)</f>
        <v>0</v>
      </c>
      <c r="CV26" s="31">
        <v>175</v>
      </c>
      <c r="CW26" s="31">
        <f>+IF(D194="X",1,0)</f>
        <v>0</v>
      </c>
      <c r="CY26" s="31">
        <v>171</v>
      </c>
      <c r="CZ26" s="31">
        <f>+IF(D190="X",1,0)</f>
        <v>0</v>
      </c>
      <c r="DA26" s="31">
        <v>24</v>
      </c>
      <c r="DB26" s="31">
        <f>+IF(E43="X",1,0)</f>
        <v>1</v>
      </c>
      <c r="DC26" s="31">
        <v>155</v>
      </c>
      <c r="DD26" s="31">
        <f>+IF(D174="X",1,0)</f>
        <v>1</v>
      </c>
      <c r="DF26" s="31">
        <v>174</v>
      </c>
      <c r="DG26" s="31">
        <f>+IF(D193="X",1,0)</f>
        <v>1</v>
      </c>
      <c r="DH26" s="51">
        <v>5</v>
      </c>
      <c r="DI26" s="31">
        <f>+IF(E24="X",1,0)</f>
        <v>1</v>
      </c>
      <c r="DJ26" s="51">
        <v>175</v>
      </c>
      <c r="DK26" s="31">
        <f>+IF(E194="X",1,0)</f>
        <v>1</v>
      </c>
      <c r="DM26" s="51">
        <v>159</v>
      </c>
      <c r="DN26" s="31">
        <f>+IF(D178="X",1,0)</f>
        <v>0</v>
      </c>
      <c r="DO26" s="51">
        <v>174</v>
      </c>
      <c r="DP26" s="31">
        <f>+IF(D193="X",1,0)</f>
        <v>1</v>
      </c>
      <c r="DQ26" s="51">
        <v>189</v>
      </c>
      <c r="DR26" s="31">
        <f>+IF(D208="X",1,0)</f>
        <v>0</v>
      </c>
      <c r="DT26" s="51">
        <v>183</v>
      </c>
      <c r="DU26" s="31">
        <f>+IF(D202="X",1,0)</f>
        <v>0</v>
      </c>
      <c r="DV26" s="51">
        <v>191</v>
      </c>
      <c r="DW26" s="31">
        <f>+IF(D210="X",1,0)</f>
        <v>0</v>
      </c>
      <c r="DX26" s="31">
        <v>126</v>
      </c>
      <c r="DY26" s="31">
        <f>+IF(D145="X",1,0)</f>
        <v>1</v>
      </c>
      <c r="EA26" s="51">
        <v>152</v>
      </c>
      <c r="EB26" s="31">
        <f>+IF(D171="X",1,0)</f>
        <v>0</v>
      </c>
      <c r="EC26" s="51">
        <v>187</v>
      </c>
      <c r="ED26" s="31">
        <f>+IF(D206="X",1,0)</f>
        <v>1</v>
      </c>
      <c r="EE26" s="51">
        <v>168</v>
      </c>
      <c r="EF26" s="31">
        <f>+IF(D187="X",1,0)</f>
        <v>0</v>
      </c>
      <c r="EH26" s="51">
        <v>85</v>
      </c>
      <c r="EI26" s="31">
        <f>+IF(E104="X",1,0)</f>
        <v>0</v>
      </c>
      <c r="EJ26" s="51">
        <v>131</v>
      </c>
      <c r="EK26" s="31">
        <f>+IF(D150="X",1,0)</f>
        <v>1</v>
      </c>
      <c r="EL26" s="51">
        <v>152</v>
      </c>
      <c r="EM26" s="31">
        <f>+IF(E171="X",1,0)</f>
        <v>1</v>
      </c>
      <c r="EO26" s="31">
        <v>122</v>
      </c>
      <c r="EP26" s="31">
        <f>+IF(D141="X",1,0)</f>
        <v>0</v>
      </c>
      <c r="EQ26" s="51">
        <v>52</v>
      </c>
      <c r="ER26" s="31">
        <f>+IF(D71="X",1,0)</f>
        <v>0</v>
      </c>
      <c r="ES26" s="51">
        <v>137</v>
      </c>
      <c r="ET26" s="31">
        <f>+IF(D156="X",1,0)</f>
        <v>0</v>
      </c>
      <c r="EV26" s="51">
        <v>70</v>
      </c>
      <c r="EW26" s="31">
        <f>+IF(D89="X",1,0)</f>
        <v>0</v>
      </c>
      <c r="EX26" s="51">
        <v>166</v>
      </c>
      <c r="EY26" s="31">
        <f>+IF(D185="X",1,0)</f>
        <v>1</v>
      </c>
      <c r="EZ26" s="51">
        <v>75</v>
      </c>
      <c r="FA26" s="31">
        <f>+IF(E94="X",1,0)</f>
        <v>0</v>
      </c>
      <c r="FC26" s="51">
        <v>123</v>
      </c>
      <c r="FD26" s="31">
        <f>+IF(D142="X",1,0)</f>
        <v>1</v>
      </c>
      <c r="FE26" s="51">
        <v>126</v>
      </c>
      <c r="FF26" s="31">
        <f>+IF(D145="X",1,0)</f>
        <v>1</v>
      </c>
      <c r="FG26" s="51">
        <v>112</v>
      </c>
      <c r="FH26" s="31">
        <f>+IF(D131="X",1,0)</f>
        <v>0</v>
      </c>
      <c r="FJ26" s="51">
        <v>170</v>
      </c>
      <c r="FK26" s="31">
        <f>+IF(D189="X",1,0)</f>
        <v>1</v>
      </c>
      <c r="FL26" s="51">
        <v>126</v>
      </c>
      <c r="FM26" s="31">
        <f>+IF(D145="X",1,0)</f>
        <v>1</v>
      </c>
      <c r="FN26" s="51">
        <v>115</v>
      </c>
      <c r="FO26" s="31">
        <f>+IF(D134="X",1,0)</f>
        <v>0</v>
      </c>
      <c r="FQ26" s="51">
        <v>153</v>
      </c>
      <c r="FR26" s="31">
        <f>+IF(D172="X",1,0)</f>
        <v>0</v>
      </c>
      <c r="FS26" s="51">
        <v>184</v>
      </c>
      <c r="FT26" s="31">
        <f>+IF(D203="X",1,0)</f>
        <v>0</v>
      </c>
      <c r="FU26" s="51">
        <v>122</v>
      </c>
      <c r="FV26" s="31">
        <f>+IF(D141="X",1,0)</f>
        <v>0</v>
      </c>
    </row>
    <row r="27" spans="2:178" ht="17.25">
      <c r="B27" s="147">
        <v>8</v>
      </c>
      <c r="C27" s="148" t="s">
        <v>7</v>
      </c>
      <c r="D27" s="49" t="s">
        <v>234</v>
      </c>
      <c r="E27" s="49"/>
      <c r="F27" s="53">
        <v>8</v>
      </c>
      <c r="H27" s="27">
        <v>180</v>
      </c>
      <c r="I27" s="27">
        <f>+IF(D199="X",2,0)</f>
        <v>2</v>
      </c>
      <c r="J27" s="30">
        <v>24</v>
      </c>
      <c r="K27" s="27">
        <f>+IF(D43="X",1,0)</f>
        <v>0</v>
      </c>
      <c r="L27" s="30">
        <v>184</v>
      </c>
      <c r="M27" s="27">
        <f>+IF(D203="X",2,0)</f>
        <v>0</v>
      </c>
      <c r="N27" s="30">
        <v>173</v>
      </c>
      <c r="O27" s="27">
        <f>+IF(D192="X",2,0)</f>
        <v>2</v>
      </c>
      <c r="P27" s="30">
        <v>8</v>
      </c>
      <c r="Q27" s="27">
        <f>+IF(D27="X",1,0)</f>
        <v>1</v>
      </c>
      <c r="R27" s="30">
        <v>185</v>
      </c>
      <c r="S27" s="27">
        <f>+IF(D204="X",2,0)</f>
        <v>2</v>
      </c>
      <c r="T27" s="30">
        <v>142</v>
      </c>
      <c r="U27" s="27">
        <f>+IF(D161="X",2,0)</f>
        <v>0</v>
      </c>
      <c r="V27" s="30">
        <v>36</v>
      </c>
      <c r="W27" s="27">
        <f>+IF(D55="X",1,0)</f>
        <v>0</v>
      </c>
      <c r="X27" s="30">
        <v>152</v>
      </c>
      <c r="Y27" s="27">
        <f>+IF(D171="X",2,0)</f>
        <v>0</v>
      </c>
      <c r="Z27" s="30">
        <v>158</v>
      </c>
      <c r="AA27" s="27">
        <f>+IF(D177="X",2,0)</f>
        <v>2</v>
      </c>
      <c r="AB27" s="30">
        <v>187</v>
      </c>
      <c r="AC27" s="27">
        <f>+IF(D206="X",2,0)</f>
        <v>2</v>
      </c>
      <c r="AD27" s="30">
        <v>4</v>
      </c>
      <c r="AE27" s="27">
        <f>+IF(D23="X",1,0)</f>
        <v>1</v>
      </c>
      <c r="AG27" s="30">
        <v>190</v>
      </c>
      <c r="AH27" s="27">
        <f>+IF(D209="X",2,0)</f>
        <v>0</v>
      </c>
      <c r="AI27" s="30">
        <v>4</v>
      </c>
      <c r="AJ27" s="27">
        <f>+IF(D23="X",1,0)</f>
        <v>1</v>
      </c>
      <c r="AK27" s="52">
        <v>172</v>
      </c>
      <c r="AL27" s="27">
        <f>+IF(D191="X",2,0)</f>
        <v>2</v>
      </c>
      <c r="AN27" s="27">
        <v>41</v>
      </c>
      <c r="AO27" s="27">
        <f>+IF(D60="X",1,0)</f>
        <v>1</v>
      </c>
      <c r="AP27" s="27">
        <v>113</v>
      </c>
      <c r="AQ27" s="27">
        <f>+IF(D132="X",1,0)</f>
        <v>1</v>
      </c>
      <c r="AR27" s="27">
        <v>50</v>
      </c>
      <c r="AS27" s="27">
        <f>+IF(D69="X",1,0)</f>
        <v>1</v>
      </c>
      <c r="AT27" s="27">
        <v>28</v>
      </c>
      <c r="AU27" s="27">
        <f>+IF(D47="X",1,0)</f>
        <v>1</v>
      </c>
      <c r="AV27" s="27">
        <v>126</v>
      </c>
      <c r="AW27" s="27">
        <f>+IF(D145="X",1,0)</f>
        <v>1</v>
      </c>
      <c r="AX27" s="27">
        <v>11</v>
      </c>
      <c r="AY27" s="27">
        <f>+IF(D30="X",1,0)</f>
        <v>0</v>
      </c>
      <c r="AZ27" s="27">
        <v>57</v>
      </c>
      <c r="BA27" s="27">
        <f>+IF(D76="X",1,0)</f>
        <v>0</v>
      </c>
      <c r="BC27" s="27">
        <v>24</v>
      </c>
      <c r="BD27" s="27">
        <f>+IF(D43="X",1,0)</f>
        <v>0</v>
      </c>
      <c r="BE27" s="27">
        <v>28</v>
      </c>
      <c r="BF27" s="27">
        <f>+IF(D47="X",1,0)</f>
        <v>1</v>
      </c>
      <c r="BG27" s="27">
        <v>79</v>
      </c>
      <c r="BH27" s="27">
        <f>+IF(D98="X",1,0)</f>
        <v>0</v>
      </c>
      <c r="BK27" s="27">
        <v>11</v>
      </c>
      <c r="BL27" s="27">
        <f>+IF(D30="X",1,0)</f>
        <v>0</v>
      </c>
      <c r="BM27" s="27">
        <v>73</v>
      </c>
      <c r="BN27" s="27">
        <f>+IF(D92="X",1,0)</f>
        <v>0</v>
      </c>
      <c r="BO27" s="27">
        <v>31</v>
      </c>
      <c r="BP27" s="27">
        <f>+IF(D50="X",1,0)</f>
        <v>1</v>
      </c>
      <c r="BT27" s="27" t="s">
        <v>287</v>
      </c>
      <c r="BU27" s="27">
        <f>IF(D44&lt;&gt;D113,1,0)</f>
        <v>0</v>
      </c>
      <c r="BW27" s="30">
        <v>154</v>
      </c>
      <c r="BX27" s="30">
        <f>+IF(E173="X",1,0)</f>
        <v>0</v>
      </c>
      <c r="BY27" s="30">
        <v>46</v>
      </c>
      <c r="BZ27" s="30">
        <f>+IF(E65="X",1,0)</f>
        <v>0</v>
      </c>
      <c r="CA27" s="30">
        <v>118</v>
      </c>
      <c r="CB27" s="30">
        <f>+IF(D137="X",1,0)</f>
        <v>0</v>
      </c>
      <c r="CD27" s="30">
        <v>154</v>
      </c>
      <c r="CE27" s="30">
        <f>+IF(E173="X",1,0)</f>
        <v>0</v>
      </c>
      <c r="CF27" s="30">
        <v>193</v>
      </c>
      <c r="CG27" s="30">
        <f>+IF(D212="X",1,0)</f>
        <v>0</v>
      </c>
      <c r="CH27" s="30">
        <v>184</v>
      </c>
      <c r="CI27" s="30">
        <f>+IF(D203="X",1,0)</f>
        <v>0</v>
      </c>
      <c r="CK27" s="30">
        <v>126</v>
      </c>
      <c r="CL27" s="30">
        <f>+IF(D145="X",1,0)</f>
        <v>1</v>
      </c>
      <c r="CM27" s="30">
        <v>192</v>
      </c>
      <c r="CN27" s="30">
        <f>+IF(D211="X",1,0)</f>
        <v>0</v>
      </c>
      <c r="CO27" s="30">
        <v>193</v>
      </c>
      <c r="CP27" s="30">
        <f>+IF(D212="X",1,0)</f>
        <v>0</v>
      </c>
      <c r="CR27" s="31">
        <v>135</v>
      </c>
      <c r="CS27" s="31">
        <f>+IF(D154="X",1,0)</f>
        <v>0</v>
      </c>
      <c r="CU27" s="28">
        <f>SUM(CU20:CU26)</f>
        <v>2</v>
      </c>
      <c r="CV27" s="31">
        <v>53</v>
      </c>
      <c r="CW27" s="31">
        <f>+IF(E72="X",1,0)</f>
        <v>0</v>
      </c>
      <c r="CZ27" s="28">
        <f>SUM(CZ20:CZ26)</f>
        <v>0</v>
      </c>
      <c r="DA27" s="31">
        <v>26</v>
      </c>
      <c r="DB27" s="31">
        <f>+IF(E45="X",1,0)</f>
        <v>1</v>
      </c>
      <c r="DC27" s="31">
        <v>174</v>
      </c>
      <c r="DD27" s="31">
        <f>+IF(D193="X",1,0)</f>
        <v>1</v>
      </c>
      <c r="DF27" s="31">
        <v>185</v>
      </c>
      <c r="DG27" s="31">
        <f>+IF(D204="X",1,0)</f>
        <v>1</v>
      </c>
      <c r="DH27" s="51">
        <v>26</v>
      </c>
      <c r="DI27" s="31">
        <f>+IF(E45="X",1,0)</f>
        <v>1</v>
      </c>
      <c r="DJ27" s="51">
        <v>178</v>
      </c>
      <c r="DK27" s="31">
        <f>+IF(E197="X",1,0)</f>
        <v>0</v>
      </c>
      <c r="DM27" s="51">
        <v>171</v>
      </c>
      <c r="DN27" s="31">
        <f>+IF(D190="X",1,0)</f>
        <v>0</v>
      </c>
      <c r="DO27" s="51">
        <v>185</v>
      </c>
      <c r="DP27" s="31">
        <f>+IF(D204="X",1,0)</f>
        <v>1</v>
      </c>
      <c r="DQ27" s="51">
        <v>191</v>
      </c>
      <c r="DR27" s="31">
        <f>+IF(D210="X",1,0)</f>
        <v>0</v>
      </c>
      <c r="DT27" s="51">
        <v>188</v>
      </c>
      <c r="DU27" s="31">
        <f>+IF(E207="X",1,0)</f>
        <v>0</v>
      </c>
      <c r="DV27" s="51">
        <v>48</v>
      </c>
      <c r="DW27" s="31">
        <f>+IF(E67="X",1,0)</f>
        <v>0</v>
      </c>
      <c r="DX27" s="31">
        <v>130</v>
      </c>
      <c r="DY27" s="31">
        <f>+IF(D149="X",1,0)</f>
        <v>0</v>
      </c>
      <c r="EA27" s="51">
        <v>153</v>
      </c>
      <c r="EB27" s="31">
        <f>+IF(D172="X",1,0)</f>
        <v>0</v>
      </c>
      <c r="ED27" s="28">
        <f>SUM(ED20:ED26)</f>
        <v>3</v>
      </c>
      <c r="EF27" s="28">
        <f>SUM(EF20:EF26)</f>
        <v>1</v>
      </c>
      <c r="EH27" s="51">
        <v>118</v>
      </c>
      <c r="EI27" s="31">
        <f>+IF(E137="X",1,0)</f>
        <v>1</v>
      </c>
      <c r="EJ27" s="51">
        <v>135</v>
      </c>
      <c r="EK27" s="31">
        <f>+IF(D154="X",1,0)</f>
        <v>0</v>
      </c>
      <c r="EL27" s="51">
        <v>183</v>
      </c>
      <c r="EM27" s="31">
        <f>+IF(E202="X",1,0)</f>
        <v>1</v>
      </c>
      <c r="EO27" s="31">
        <v>167</v>
      </c>
      <c r="EP27" s="31">
        <f>+IF(D186="X",1,0)</f>
        <v>1</v>
      </c>
      <c r="EQ27" s="51">
        <v>59</v>
      </c>
      <c r="ER27" s="31">
        <f>+IF(D78="X",1,0)</f>
        <v>0</v>
      </c>
      <c r="ES27" s="51">
        <v>145</v>
      </c>
      <c r="ET27" s="31">
        <f>+IF(D164="X",1,0)</f>
        <v>0</v>
      </c>
      <c r="EV27" s="51">
        <v>93</v>
      </c>
      <c r="EW27" s="31">
        <f>+IF(D112="X",1,0)</f>
        <v>0</v>
      </c>
      <c r="EX27" s="51">
        <v>167</v>
      </c>
      <c r="EY27" s="31">
        <f>+IF(D186="X",1,0)</f>
        <v>1</v>
      </c>
      <c r="EZ27" s="51">
        <v>154</v>
      </c>
      <c r="FA27" s="31">
        <f>+IF(E173="X",1,0)</f>
        <v>0</v>
      </c>
      <c r="FC27" s="51">
        <v>131</v>
      </c>
      <c r="FD27" s="31">
        <f>+IF(D150="X",1,0)</f>
        <v>1</v>
      </c>
      <c r="FE27" s="51">
        <v>156</v>
      </c>
      <c r="FF27" s="31">
        <f>+IF(D175="X",1,0)</f>
        <v>0</v>
      </c>
      <c r="FG27" s="51">
        <v>148</v>
      </c>
      <c r="FH27" s="31">
        <f>+IF(D167="X",1,0)</f>
        <v>1</v>
      </c>
      <c r="FJ27" s="51">
        <v>178</v>
      </c>
      <c r="FK27" s="31">
        <f>+IF(D197="X",1,0)</f>
        <v>1</v>
      </c>
      <c r="FL27" s="51">
        <v>134</v>
      </c>
      <c r="FM27" s="31">
        <f>+IF(D153="X",1,0)</f>
        <v>0</v>
      </c>
      <c r="FN27" s="51">
        <v>137</v>
      </c>
      <c r="FO27" s="31">
        <f>+IF(D156="X",1,0)</f>
        <v>0</v>
      </c>
      <c r="FQ27" s="51">
        <v>180</v>
      </c>
      <c r="FR27" s="31">
        <f>+IF(D199="X",1,0)</f>
        <v>1</v>
      </c>
      <c r="FT27" s="28">
        <f>SUM(FT20:FT26)</f>
        <v>1</v>
      </c>
      <c r="FU27" s="51">
        <v>136</v>
      </c>
      <c r="FV27" s="31">
        <f>+IF(D155="X",1,0)</f>
        <v>0</v>
      </c>
    </row>
    <row r="28" spans="2:178" ht="17.25">
      <c r="B28" s="147">
        <v>9</v>
      </c>
      <c r="C28" s="148" t="s">
        <v>8</v>
      </c>
      <c r="D28" s="49"/>
      <c r="E28" s="49" t="s">
        <v>234</v>
      </c>
      <c r="F28" s="53">
        <v>9</v>
      </c>
      <c r="H28" s="27">
        <v>17</v>
      </c>
      <c r="I28" s="27">
        <f>+IF(D36="X",1,0)</f>
        <v>0</v>
      </c>
      <c r="J28" s="30">
        <v>52</v>
      </c>
      <c r="K28" s="27">
        <f>+IF(D71="X",1,0)</f>
        <v>0</v>
      </c>
      <c r="L28" s="30">
        <v>193</v>
      </c>
      <c r="M28" s="27">
        <f>+IF(D212="X",2,0)</f>
        <v>0</v>
      </c>
      <c r="N28" s="30">
        <v>194</v>
      </c>
      <c r="O28" s="27">
        <f>+IF(D213="X",2,0)</f>
        <v>2</v>
      </c>
      <c r="P28" s="30">
        <v>75</v>
      </c>
      <c r="Q28" s="27">
        <f>+IF(D94="X",1,0)</f>
        <v>1</v>
      </c>
      <c r="R28" s="30">
        <v>30</v>
      </c>
      <c r="S28" s="27">
        <f>+IF(D49="X",1,0)</f>
        <v>1</v>
      </c>
      <c r="T28" s="30">
        <v>159</v>
      </c>
      <c r="U28" s="27">
        <f>+IF(D178="X",2,0)</f>
        <v>0</v>
      </c>
      <c r="V28" s="30">
        <v>38</v>
      </c>
      <c r="W28" s="27">
        <f>+IF(D57="X",1,0)</f>
        <v>0</v>
      </c>
      <c r="X28" s="30">
        <v>11</v>
      </c>
      <c r="Y28" s="27">
        <f>+IF(D30="X",1,0)</f>
        <v>0</v>
      </c>
      <c r="Z28" s="30">
        <v>179</v>
      </c>
      <c r="AA28" s="27">
        <f>+IF(D198="X",2,0)</f>
        <v>0</v>
      </c>
      <c r="AB28" s="30">
        <v>21</v>
      </c>
      <c r="AC28" s="27">
        <f>+IF(D40="X",1,0)</f>
        <v>0</v>
      </c>
      <c r="AD28" s="30">
        <v>12</v>
      </c>
      <c r="AE28" s="27">
        <f>+IF(D31="X",1,0)</f>
        <v>0</v>
      </c>
      <c r="AG28" s="30">
        <v>18</v>
      </c>
      <c r="AH28" s="27">
        <f>+IF(D37="X",1,0)</f>
        <v>0</v>
      </c>
      <c r="AI28" s="30">
        <v>59</v>
      </c>
      <c r="AJ28" s="27">
        <f>+IF(D78="X",1,0)</f>
        <v>0</v>
      </c>
      <c r="AK28" s="52">
        <v>13</v>
      </c>
      <c r="AL28" s="27">
        <f>+IF(D32="X",1,0)</f>
        <v>0</v>
      </c>
      <c r="AN28" s="27">
        <v>44</v>
      </c>
      <c r="AO28" s="27">
        <f>+IF(D63="X",1,0)</f>
        <v>1</v>
      </c>
      <c r="AP28" s="27">
        <v>118</v>
      </c>
      <c r="AQ28" s="27">
        <f>+IF(D137="X",1,0)</f>
        <v>0</v>
      </c>
      <c r="AR28" s="27">
        <v>54</v>
      </c>
      <c r="AS28" s="27">
        <f>+IF(D73="X",1,0)</f>
        <v>1</v>
      </c>
      <c r="AT28" s="27">
        <v>39</v>
      </c>
      <c r="AU28" s="27">
        <f>+IF(D58="X",1,0)</f>
        <v>0</v>
      </c>
      <c r="AW28" s="167">
        <f>SUM(AW20:AW27)</f>
        <v>1</v>
      </c>
      <c r="AX28" s="27">
        <v>65</v>
      </c>
      <c r="AY28" s="27">
        <f>+IF(D84="X",1,0)</f>
        <v>0</v>
      </c>
      <c r="AZ28" s="27">
        <v>74</v>
      </c>
      <c r="BA28" s="27">
        <f>+IF(D93="X",1,0)</f>
        <v>0</v>
      </c>
      <c r="BC28" s="27">
        <v>52</v>
      </c>
      <c r="BD28" s="27">
        <f>+IF(D71="X",1,0)</f>
        <v>0</v>
      </c>
      <c r="BE28" s="27">
        <v>41</v>
      </c>
      <c r="BF28" s="27">
        <f>+IF(D60="X",1,0)</f>
        <v>1</v>
      </c>
      <c r="BG28" s="27">
        <v>88</v>
      </c>
      <c r="BH28" s="27">
        <f>+IF(D107="X",1,0)</f>
        <v>0</v>
      </c>
      <c r="BK28" s="27">
        <v>12</v>
      </c>
      <c r="BL28" s="27">
        <f>+IF(D31="X",1,0)</f>
        <v>0</v>
      </c>
      <c r="BM28" s="27">
        <v>75</v>
      </c>
      <c r="BN28" s="27">
        <f>+IF(D94="X",1,0)</f>
        <v>1</v>
      </c>
      <c r="BO28" s="27">
        <v>32</v>
      </c>
      <c r="BP28" s="27">
        <f>+IF(D51="X",1,0)</f>
        <v>0</v>
      </c>
      <c r="BT28" s="27" t="s">
        <v>288</v>
      </c>
      <c r="BU28" s="27">
        <f>IF(D63&lt;&gt;D140,1,0)</f>
        <v>0</v>
      </c>
      <c r="BW28" s="30">
        <v>185</v>
      </c>
      <c r="BX28" s="30">
        <f>+IF(E204="X",1,0)</f>
        <v>0</v>
      </c>
      <c r="BY28" s="30">
        <v>67</v>
      </c>
      <c r="BZ28" s="30">
        <f>+IF(E86="X",1,0)</f>
        <v>1</v>
      </c>
      <c r="CA28" s="30">
        <v>119</v>
      </c>
      <c r="CB28" s="30">
        <f>+IF(D138="X",1,0)</f>
        <v>0</v>
      </c>
      <c r="CE28" s="32">
        <f>SUM(CE20:CE27)</f>
        <v>1</v>
      </c>
      <c r="CF28" s="30">
        <v>67</v>
      </c>
      <c r="CG28" s="30">
        <f>+IF(E86="X",1,0)</f>
        <v>1</v>
      </c>
      <c r="CH28" s="30">
        <v>195</v>
      </c>
      <c r="CI28" s="30">
        <f>+IF(D214="X",1,0)</f>
        <v>0</v>
      </c>
      <c r="CK28" s="30">
        <v>184</v>
      </c>
      <c r="CL28" s="30">
        <f>+IF(D203="X",1,0)</f>
        <v>0</v>
      </c>
      <c r="CM28" s="30">
        <v>195</v>
      </c>
      <c r="CN28" s="30">
        <f>+IF(D214="X",1,0)</f>
        <v>0</v>
      </c>
      <c r="CO28" s="30">
        <v>53</v>
      </c>
      <c r="CP28" s="30">
        <f>+IF(E72="X",1,0)</f>
        <v>0</v>
      </c>
      <c r="CR28" s="31">
        <v>184</v>
      </c>
      <c r="CS28" s="31">
        <f>+IF(D203="X",1,0)</f>
        <v>0</v>
      </c>
      <c r="CV28" s="31">
        <v>67</v>
      </c>
      <c r="CW28" s="31">
        <f>+IF(E86="X",1,0)</f>
        <v>1</v>
      </c>
      <c r="DA28" s="31">
        <v>139</v>
      </c>
      <c r="DB28" s="31">
        <f>+IF(E158="X",1,0)</f>
        <v>1</v>
      </c>
      <c r="DC28" s="31">
        <v>185</v>
      </c>
      <c r="DD28" s="31">
        <f>+IF(D204="X",1,0)</f>
        <v>1</v>
      </c>
      <c r="DG28" s="28">
        <f>SUM(DG20:DG27)</f>
        <v>8</v>
      </c>
      <c r="DH28" s="51">
        <v>149</v>
      </c>
      <c r="DI28" s="31">
        <f>+IF(E168="X",1,0)</f>
        <v>1</v>
      </c>
      <c r="DK28" s="28">
        <f>SUM(DK20:DK27)</f>
        <v>4</v>
      </c>
      <c r="DM28" s="51">
        <v>183</v>
      </c>
      <c r="DN28" s="31">
        <f>+IF(D202="X",1,0)</f>
        <v>0</v>
      </c>
      <c r="DO28" s="51">
        <v>93</v>
      </c>
      <c r="DP28" s="31">
        <f>+IF(E112="X",1,0)</f>
        <v>1</v>
      </c>
      <c r="DR28" s="28">
        <f>SUM(DR20:DR27)</f>
        <v>4</v>
      </c>
      <c r="DU28" s="28">
        <f>SUM(DU20:DU27)</f>
        <v>0</v>
      </c>
      <c r="DV28" s="51">
        <v>73</v>
      </c>
      <c r="DW28" s="31">
        <f>+IF(E92="X",1,0)</f>
        <v>1</v>
      </c>
      <c r="DX28" s="31">
        <v>144</v>
      </c>
      <c r="DY28" s="31">
        <f>+IF(D163="X",1,0)</f>
        <v>0</v>
      </c>
      <c r="EA28" s="51">
        <v>159</v>
      </c>
      <c r="EB28" s="31">
        <f>+IF(D178="X",1,0)</f>
        <v>0</v>
      </c>
      <c r="EI28" s="28">
        <f>SUM(EI20:EI27)</f>
        <v>7</v>
      </c>
      <c r="EJ28" s="51">
        <v>137</v>
      </c>
      <c r="EK28" s="31">
        <f>+IF(D156="X",1,0)</f>
        <v>0</v>
      </c>
      <c r="EL28" s="51">
        <v>191</v>
      </c>
      <c r="EM28" s="31">
        <f>+IF(E210="X",1,0)</f>
        <v>1</v>
      </c>
      <c r="EO28" s="31">
        <v>172</v>
      </c>
      <c r="EP28" s="31">
        <f>+IF(D191="X",1,0)</f>
        <v>1</v>
      </c>
      <c r="EQ28" s="51">
        <v>153</v>
      </c>
      <c r="ER28" s="31">
        <f>+IF(D172="X",1,0)</f>
        <v>0</v>
      </c>
      <c r="ES28" s="51">
        <v>168</v>
      </c>
      <c r="ET28" s="31">
        <f>+IF(D187="X",1,0)</f>
        <v>0</v>
      </c>
      <c r="EV28" s="51">
        <v>164</v>
      </c>
      <c r="EW28" s="31">
        <f>+IF(D183="X",1,0)</f>
        <v>0</v>
      </c>
      <c r="EX28" s="51">
        <v>184</v>
      </c>
      <c r="EY28" s="31">
        <f>+IF(D203="X",1,0)</f>
        <v>0</v>
      </c>
      <c r="EZ28" s="51">
        <v>155</v>
      </c>
      <c r="FA28" s="31">
        <f>+IF(E174="X",1,0)</f>
        <v>0</v>
      </c>
      <c r="FC28" s="51">
        <v>163</v>
      </c>
      <c r="FD28" s="31">
        <f>+IF(D182="X",1,0)</f>
        <v>1</v>
      </c>
      <c r="FE28" s="51">
        <v>165</v>
      </c>
      <c r="FF28" s="31">
        <f>+IF(D184="X",1,0)</f>
        <v>0</v>
      </c>
      <c r="FG28" s="51">
        <v>167</v>
      </c>
      <c r="FH28" s="31">
        <f>+IF(D186="X",1,0)</f>
        <v>1</v>
      </c>
      <c r="FK28" s="28">
        <f>SUM(FK20:FK27)</f>
        <v>3</v>
      </c>
      <c r="FL28" s="51">
        <v>166</v>
      </c>
      <c r="FM28" s="31">
        <f>+IF(D185="X",1,0)</f>
        <v>1</v>
      </c>
      <c r="FN28" s="51">
        <v>164</v>
      </c>
      <c r="FO28" s="31">
        <f>+IF(D183="X",1,0)</f>
        <v>0</v>
      </c>
      <c r="FQ28" s="51">
        <v>195</v>
      </c>
      <c r="FR28" s="31">
        <f>+IF(D214="X",1,0)</f>
        <v>0</v>
      </c>
      <c r="FU28" s="51">
        <v>148</v>
      </c>
      <c r="FV28" s="31">
        <f>+IF(D167="X",1,0)</f>
        <v>1</v>
      </c>
    </row>
    <row r="29" spans="2:178" ht="17.25">
      <c r="B29" s="147">
        <v>10</v>
      </c>
      <c r="C29" s="148" t="s">
        <v>9</v>
      </c>
      <c r="D29" s="49"/>
      <c r="E29" s="49" t="s">
        <v>234</v>
      </c>
      <c r="F29" s="53">
        <v>10</v>
      </c>
      <c r="H29" s="27">
        <v>24</v>
      </c>
      <c r="I29" s="27">
        <f>+IF(D43="X",1,0)</f>
        <v>0</v>
      </c>
      <c r="J29" s="30">
        <v>92</v>
      </c>
      <c r="K29" s="27">
        <f>+IF(D111="X",1,0)</f>
        <v>1</v>
      </c>
      <c r="L29" s="30">
        <v>17</v>
      </c>
      <c r="M29" s="27">
        <f>+IF(D36="X",1,0)</f>
        <v>0</v>
      </c>
      <c r="N29" s="30">
        <v>5</v>
      </c>
      <c r="O29" s="27">
        <f>+IF(D24="X",1,0)</f>
        <v>0</v>
      </c>
      <c r="P29" s="30">
        <v>155</v>
      </c>
      <c r="Q29" s="27">
        <f>+IF(D174="X",1,0)</f>
        <v>1</v>
      </c>
      <c r="R29" s="30">
        <v>46</v>
      </c>
      <c r="S29" s="27">
        <f>+IF(D65="X",1,0)</f>
        <v>1</v>
      </c>
      <c r="T29" s="30">
        <v>189</v>
      </c>
      <c r="U29" s="27">
        <f>+IF(D208="X",2,0)</f>
        <v>0</v>
      </c>
      <c r="V29" s="30">
        <v>105</v>
      </c>
      <c r="W29" s="27">
        <f>+IF(D124="X",1,0)</f>
        <v>0</v>
      </c>
      <c r="X29" s="30">
        <v>16</v>
      </c>
      <c r="Y29" s="27">
        <f>+IF(D35="X",1,0)</f>
        <v>1</v>
      </c>
      <c r="Z29" s="30">
        <v>188</v>
      </c>
      <c r="AA29" s="27">
        <f>+IF(D207="X",2,0)</f>
        <v>2</v>
      </c>
      <c r="AB29" s="30">
        <v>37</v>
      </c>
      <c r="AC29" s="27">
        <f>+IF(D56="X",1,0)</f>
        <v>0</v>
      </c>
      <c r="AD29" s="30">
        <v>23</v>
      </c>
      <c r="AE29" s="27">
        <f>+IF(D42="X",1,0)</f>
        <v>1</v>
      </c>
      <c r="AG29" s="30">
        <v>58</v>
      </c>
      <c r="AH29" s="27">
        <f>+IF(D77="X",1,0)</f>
        <v>0</v>
      </c>
      <c r="AI29" s="30">
        <v>80</v>
      </c>
      <c r="AJ29" s="27">
        <f>+IF(D99="X",1,0)</f>
        <v>1</v>
      </c>
      <c r="AK29" s="52">
        <v>24</v>
      </c>
      <c r="AL29" s="27">
        <f>+IF(D43="X",1,0)</f>
        <v>0</v>
      </c>
      <c r="AN29" s="27">
        <v>51</v>
      </c>
      <c r="AO29" s="27">
        <f>+IF(D70="X",1,0)</f>
        <v>0</v>
      </c>
      <c r="AP29" s="27">
        <v>20</v>
      </c>
      <c r="AQ29" s="27">
        <f>+IF(E39="X",1,0)</f>
        <v>0</v>
      </c>
      <c r="AR29" s="27">
        <v>82</v>
      </c>
      <c r="AS29" s="27">
        <f>+IF(D101="X",1,0)</f>
        <v>0</v>
      </c>
      <c r="AT29" s="27">
        <v>51</v>
      </c>
      <c r="AU29" s="27">
        <f>+IF(D70="X",1,0)</f>
        <v>0</v>
      </c>
      <c r="AX29" s="27">
        <v>152</v>
      </c>
      <c r="AY29" s="27">
        <f>+IF(D171="X",1,0)</f>
        <v>0</v>
      </c>
      <c r="AZ29" s="27">
        <v>89</v>
      </c>
      <c r="BA29" s="27">
        <f>+IF(D108="X",1,0)</f>
        <v>1</v>
      </c>
      <c r="BC29" s="27">
        <v>82</v>
      </c>
      <c r="BD29" s="27">
        <f>+IF(D101="X",1,0)</f>
        <v>0</v>
      </c>
      <c r="BE29" s="27">
        <v>59</v>
      </c>
      <c r="BF29" s="27">
        <f>+IF(D78="X",1,0)</f>
        <v>0</v>
      </c>
      <c r="BG29" s="27">
        <v>112</v>
      </c>
      <c r="BH29" s="27">
        <f>+IF(D131="X",1,0)</f>
        <v>0</v>
      </c>
      <c r="BK29" s="27">
        <v>15</v>
      </c>
      <c r="BL29" s="27">
        <f>+IF(D34="X",1,0)</f>
        <v>1</v>
      </c>
      <c r="BM29" s="27">
        <v>84</v>
      </c>
      <c r="BN29" s="27">
        <f>+IF(D103="X",1,0)</f>
        <v>1</v>
      </c>
      <c r="BO29" s="27">
        <v>34</v>
      </c>
      <c r="BP29" s="27">
        <f>+IF(D53="X",1,0)</f>
        <v>1</v>
      </c>
      <c r="BT29" s="27" t="s">
        <v>289</v>
      </c>
      <c r="BU29" s="27">
        <f>IF(D58&lt;&gt;D78,1,0)</f>
        <v>0</v>
      </c>
      <c r="BX29" s="32">
        <f>SUM(BX20:BX28)</f>
        <v>2</v>
      </c>
      <c r="BZ29" s="32">
        <f>SUM(BZ20:BZ28)</f>
        <v>2</v>
      </c>
      <c r="CB29" s="32">
        <f>SUM(CB20:CB28)</f>
        <v>1</v>
      </c>
      <c r="CG29" s="32">
        <f>SUM(CG20:CG28)</f>
        <v>3</v>
      </c>
      <c r="CI29" s="32">
        <f>SUM(CI20:CI28)</f>
        <v>1</v>
      </c>
      <c r="CL29" s="32">
        <f>SUM(CL20:CL28)</f>
        <v>4</v>
      </c>
      <c r="CN29" s="32">
        <f>SUM(CN20:CN28)</f>
        <v>1</v>
      </c>
      <c r="CP29" s="32">
        <f>SUM(CP20:CP28)</f>
        <v>3</v>
      </c>
      <c r="CS29" s="28">
        <f>SUM(CS20:CS28)</f>
        <v>3</v>
      </c>
      <c r="CW29" s="28">
        <f>SUM(CW20:CW28)</f>
        <v>4</v>
      </c>
      <c r="DA29" s="31">
        <v>195</v>
      </c>
      <c r="DB29" s="31">
        <f>+IF(E214="X",1,0)</f>
        <v>1</v>
      </c>
      <c r="DC29" s="31">
        <v>135</v>
      </c>
      <c r="DD29" s="31">
        <f>+IF(E154="X",1,0)</f>
        <v>1</v>
      </c>
      <c r="DI29" s="28">
        <f>SUM(DI20:DI28)</f>
        <v>7</v>
      </c>
      <c r="DN29" s="28">
        <f>SUM(DN20:DN28)</f>
        <v>0</v>
      </c>
      <c r="DO29" s="51">
        <v>178</v>
      </c>
      <c r="DP29" s="31">
        <f>+IF(E197="X",1,0)</f>
        <v>0</v>
      </c>
      <c r="DV29" s="51">
        <v>158</v>
      </c>
      <c r="DW29" s="31">
        <f>+IF(E177="X",1,0)</f>
        <v>0</v>
      </c>
      <c r="DX29" s="51">
        <v>63</v>
      </c>
      <c r="DY29" s="31">
        <f>+IF(E82="X",1,0)</f>
        <v>0</v>
      </c>
      <c r="EA29" s="51">
        <v>172</v>
      </c>
      <c r="EB29" s="31">
        <f>+IF(D191="X",1,0)</f>
        <v>1</v>
      </c>
      <c r="EJ29" s="51">
        <v>140</v>
      </c>
      <c r="EK29" s="31">
        <f>+IF(D159="X",1,0)</f>
        <v>1</v>
      </c>
      <c r="EM29" s="28">
        <f>SUM(EM20:EM28)</f>
        <v>8</v>
      </c>
      <c r="EP29" s="28">
        <f>SUM(EP20:EP28)</f>
        <v>2</v>
      </c>
      <c r="EQ29" s="51">
        <v>184</v>
      </c>
      <c r="ER29" s="31">
        <f>+IF(D203="X",1,0)</f>
        <v>0</v>
      </c>
      <c r="ES29" s="51">
        <v>187</v>
      </c>
      <c r="ET29" s="31">
        <f>+IF(D206="X",1,0)</f>
        <v>1</v>
      </c>
      <c r="EV29" s="51">
        <v>178</v>
      </c>
      <c r="EW29" s="31">
        <f>+IF(D197="X",1,0)</f>
        <v>1</v>
      </c>
      <c r="EY29" s="28">
        <f>SUM(EY20:EY28)</f>
        <v>4</v>
      </c>
      <c r="FA29" s="28">
        <f>SUM(FA20:FA28)</f>
        <v>3</v>
      </c>
      <c r="FD29" s="28">
        <f>SUM(FD20:FD28)</f>
        <v>8</v>
      </c>
      <c r="FE29" s="51">
        <v>195</v>
      </c>
      <c r="FF29" s="31">
        <f>+IF(D214="X",1,0)</f>
        <v>0</v>
      </c>
      <c r="FG29" s="51">
        <v>172</v>
      </c>
      <c r="FH29" s="31">
        <f>+IF(D191="X",1,0)</f>
        <v>1</v>
      </c>
      <c r="FL29" s="51">
        <v>192</v>
      </c>
      <c r="FM29" s="31">
        <f>+IF(D211="X",1,0)</f>
        <v>0</v>
      </c>
      <c r="FN29" s="51">
        <v>187</v>
      </c>
      <c r="FO29" s="31">
        <f>+IF(D206="X",1,0)</f>
        <v>1</v>
      </c>
      <c r="FR29" s="28">
        <f>SUM(FR20:FR28)</f>
        <v>2</v>
      </c>
      <c r="FU29" s="51">
        <v>167</v>
      </c>
      <c r="FV29" s="31">
        <f>+IF(D186="X",1,0)</f>
        <v>1</v>
      </c>
    </row>
    <row r="30" spans="2:178" ht="17.25">
      <c r="B30" s="147">
        <v>11</v>
      </c>
      <c r="C30" s="148" t="s">
        <v>10</v>
      </c>
      <c r="D30" s="49"/>
      <c r="E30" s="49" t="s">
        <v>234</v>
      </c>
      <c r="F30" s="53">
        <v>11</v>
      </c>
      <c r="H30" s="27">
        <v>70</v>
      </c>
      <c r="I30" s="27">
        <f>+IF(D89="X",1,0)</f>
        <v>0</v>
      </c>
      <c r="J30" s="30">
        <v>93</v>
      </c>
      <c r="K30" s="27">
        <f>+IF(D112="X",1,0)</f>
        <v>0</v>
      </c>
      <c r="L30" s="30">
        <v>22</v>
      </c>
      <c r="M30" s="27">
        <f>+IF(D41="X",1,0)</f>
        <v>1</v>
      </c>
      <c r="N30" s="30">
        <v>23</v>
      </c>
      <c r="O30" s="27">
        <f>+IF(D42="X",1,0)</f>
        <v>1</v>
      </c>
      <c r="P30" s="30">
        <v>6</v>
      </c>
      <c r="Q30" s="27">
        <f>+IF(E25="X",1,0)</f>
        <v>1</v>
      </c>
      <c r="R30" s="30">
        <v>67</v>
      </c>
      <c r="S30" s="27">
        <f>+IF(D86="X",1,0)</f>
        <v>0</v>
      </c>
      <c r="T30" s="30">
        <v>10</v>
      </c>
      <c r="U30" s="27">
        <f>+IF(D29="X",1,0)</f>
        <v>0</v>
      </c>
      <c r="V30" s="30">
        <v>152</v>
      </c>
      <c r="W30" s="27">
        <f>+IF(D171="X",1,0)</f>
        <v>0</v>
      </c>
      <c r="X30" s="30">
        <v>21</v>
      </c>
      <c r="Y30" s="27">
        <f>+IF(D40="X",1,0)</f>
        <v>0</v>
      </c>
      <c r="Z30" s="30">
        <v>83</v>
      </c>
      <c r="AA30" s="27">
        <f>+IF(E102="X",1,0)</f>
        <v>1</v>
      </c>
      <c r="AB30" s="30">
        <v>52</v>
      </c>
      <c r="AC30" s="27">
        <f>+IF(D71="X",1,0)</f>
        <v>0</v>
      </c>
      <c r="AD30" s="30">
        <v>70</v>
      </c>
      <c r="AE30" s="27">
        <f>+IF(D89="X",1,0)</f>
        <v>0</v>
      </c>
      <c r="AG30" s="30">
        <v>70</v>
      </c>
      <c r="AH30" s="27">
        <f>+IF(D89="X",1,0)</f>
        <v>0</v>
      </c>
      <c r="AI30" s="30">
        <v>82</v>
      </c>
      <c r="AJ30" s="27">
        <f>+IF(D101="X",1,0)</f>
        <v>0</v>
      </c>
      <c r="AK30" s="52">
        <v>68</v>
      </c>
      <c r="AL30" s="27">
        <f>+IF(D87="X",1,0)</f>
        <v>0</v>
      </c>
      <c r="AN30" s="27">
        <v>91</v>
      </c>
      <c r="AO30" s="27">
        <f>+IF(D110="X",1,0)</f>
        <v>1</v>
      </c>
      <c r="AQ30" s="167">
        <f>SUM(AQ20:AQ29)</f>
        <v>10</v>
      </c>
      <c r="AR30" s="27">
        <v>83</v>
      </c>
      <c r="AS30" s="27">
        <f>+IF(D102="X",1,0)</f>
        <v>0</v>
      </c>
      <c r="AT30" s="27">
        <v>71</v>
      </c>
      <c r="AU30" s="27">
        <f>+IF(D90="X",1,0)</f>
        <v>0</v>
      </c>
      <c r="AX30" s="27">
        <v>158</v>
      </c>
      <c r="AY30" s="27">
        <f>+IF(E177="X",1,0)</f>
        <v>0</v>
      </c>
      <c r="AZ30" s="27">
        <v>110</v>
      </c>
      <c r="BA30" s="27">
        <f>+IF(D129="X",1,0)</f>
        <v>0</v>
      </c>
      <c r="BC30" s="27">
        <v>89</v>
      </c>
      <c r="BD30" s="27">
        <f>+IF(D108="X",1,0)</f>
        <v>1</v>
      </c>
      <c r="BE30" s="27">
        <v>64</v>
      </c>
      <c r="BF30" s="27">
        <f>+IF(D83="X",1,0)</f>
        <v>1</v>
      </c>
      <c r="BG30" s="27">
        <v>121</v>
      </c>
      <c r="BH30" s="27">
        <f>+IF(D140="X",1,0)</f>
        <v>1</v>
      </c>
      <c r="BK30" s="27">
        <v>16</v>
      </c>
      <c r="BL30" s="27">
        <f>+IF(D35="X",1,0)</f>
        <v>1</v>
      </c>
      <c r="BM30" s="27">
        <v>154</v>
      </c>
      <c r="BN30" s="27">
        <f>+IF(D173="X",1,0)</f>
        <v>1</v>
      </c>
      <c r="BO30" s="27">
        <v>37</v>
      </c>
      <c r="BP30" s="27">
        <f>+IF(D56="X",1,0)</f>
        <v>0</v>
      </c>
      <c r="BT30" s="27" t="s">
        <v>290</v>
      </c>
      <c r="BU30" s="27">
        <f>IF(D36&lt;&gt;D203,1,0)</f>
        <v>0</v>
      </c>
      <c r="DB30" s="28">
        <f>SUM(DB20:DB29)</f>
        <v>9</v>
      </c>
      <c r="DC30" s="31">
        <v>170</v>
      </c>
      <c r="DD30" s="31">
        <f>+IF(E189="X",1,0)</f>
        <v>0</v>
      </c>
      <c r="DP30" s="28">
        <f>SUM(DP20:DP29)</f>
        <v>7</v>
      </c>
      <c r="DW30" s="28">
        <f>SUM(DW20:DW29)</f>
        <v>1</v>
      </c>
      <c r="DY30" s="28">
        <f>SUM(DY20:DY29)</f>
        <v>2</v>
      </c>
      <c r="EA30" s="51">
        <v>191</v>
      </c>
      <c r="EB30" s="31">
        <f>+IF(D210="X",1,0)</f>
        <v>0</v>
      </c>
      <c r="EJ30" s="51">
        <v>169</v>
      </c>
      <c r="EK30" s="31">
        <f>+IF(D188="X",1,0)</f>
        <v>0</v>
      </c>
      <c r="EQ30" s="51">
        <v>75</v>
      </c>
      <c r="ER30" s="31">
        <f>+IF(E94="X",1,0)</f>
        <v>0</v>
      </c>
      <c r="ET30" s="28">
        <f>SUM(ET20:ET29)</f>
        <v>1</v>
      </c>
      <c r="EV30" s="51">
        <v>192</v>
      </c>
      <c r="EW30" s="31">
        <f>+IF(D211="X",1,0)</f>
        <v>0</v>
      </c>
      <c r="FE30" s="51">
        <v>154</v>
      </c>
      <c r="FF30" s="31">
        <f>+IF(E173="X",1,0)</f>
        <v>0</v>
      </c>
      <c r="FG30" s="51">
        <v>190</v>
      </c>
      <c r="FH30" s="31">
        <f>+IF(D209="X",1,0)</f>
        <v>0</v>
      </c>
      <c r="FL30" s="51">
        <v>193</v>
      </c>
      <c r="FM30" s="31">
        <f>+IF(D212="X",1,0)</f>
        <v>0</v>
      </c>
      <c r="FO30" s="28">
        <f>SUM(FO20:FO29)</f>
        <v>3</v>
      </c>
      <c r="FV30" s="28">
        <f>SUM(FV20:FV29)</f>
        <v>2</v>
      </c>
    </row>
    <row r="31" spans="2:178" ht="17.25">
      <c r="B31" s="147">
        <v>12</v>
      </c>
      <c r="C31" s="148" t="s">
        <v>11</v>
      </c>
      <c r="D31" s="49"/>
      <c r="E31" s="49" t="s">
        <v>234</v>
      </c>
      <c r="F31" s="53">
        <v>12</v>
      </c>
      <c r="H31" s="27">
        <v>92</v>
      </c>
      <c r="I31" s="27">
        <f>+IF(D111="X",1,0)</f>
        <v>1</v>
      </c>
      <c r="J31" s="30">
        <v>112</v>
      </c>
      <c r="K31" s="27">
        <f>+IF(D131="X",1,0)</f>
        <v>0</v>
      </c>
      <c r="L31" s="30">
        <v>39</v>
      </c>
      <c r="M31" s="27">
        <f>+IF(D58="X",1,0)</f>
        <v>0</v>
      </c>
      <c r="N31" s="30">
        <v>72</v>
      </c>
      <c r="O31" s="27">
        <f>+IF(D91="X",1,0)</f>
        <v>1</v>
      </c>
      <c r="P31" s="30">
        <v>15</v>
      </c>
      <c r="Q31" s="27">
        <f>+IF(E34="X",1,0)</f>
        <v>0</v>
      </c>
      <c r="R31" s="30">
        <v>84</v>
      </c>
      <c r="S31" s="27">
        <f>+IF(D103="X",1,0)</f>
        <v>1</v>
      </c>
      <c r="T31" s="30">
        <v>19</v>
      </c>
      <c r="U31" s="27">
        <f>+IF(D38="X",1,0)</f>
        <v>0</v>
      </c>
      <c r="V31" s="30">
        <v>159</v>
      </c>
      <c r="W31" s="27">
        <f>+IF(D178="X",1,0)</f>
        <v>0</v>
      </c>
      <c r="X31" s="30">
        <v>74</v>
      </c>
      <c r="Y31" s="27">
        <f>+IF(D93="X",1,0)</f>
        <v>0</v>
      </c>
      <c r="Z31" s="30">
        <v>147</v>
      </c>
      <c r="AA31" s="27">
        <f>+IF(E166="X",1,0)</f>
        <v>1</v>
      </c>
      <c r="AB31" s="30">
        <v>79</v>
      </c>
      <c r="AC31" s="27">
        <f>+IF(D98="X",1,0)</f>
        <v>0</v>
      </c>
      <c r="AD31" s="30">
        <v>93</v>
      </c>
      <c r="AE31" s="27">
        <f>+IF(D112="X",1,0)</f>
        <v>0</v>
      </c>
      <c r="AG31" s="30">
        <v>90</v>
      </c>
      <c r="AH31" s="27">
        <f>+IF(D109="X",1,0)</f>
        <v>0</v>
      </c>
      <c r="AI31" s="30">
        <v>93</v>
      </c>
      <c r="AJ31" s="27">
        <f>+IF(D112="X",1,0)</f>
        <v>0</v>
      </c>
      <c r="AK31" s="52">
        <v>96</v>
      </c>
      <c r="AL31" s="27">
        <f>+IF(D115="X",1,0)</f>
        <v>0</v>
      </c>
      <c r="AN31" s="27">
        <v>108</v>
      </c>
      <c r="AO31" s="27">
        <f>+IF(D127="X",1,0)</f>
        <v>0</v>
      </c>
      <c r="AR31" s="27">
        <v>105</v>
      </c>
      <c r="AS31" s="27">
        <f>+IF(D124="X",1,0)</f>
        <v>0</v>
      </c>
      <c r="AT31" s="27">
        <v>77</v>
      </c>
      <c r="AU31" s="27">
        <f>+IF(D96="X",1,0)</f>
        <v>1</v>
      </c>
      <c r="AY31" s="167">
        <f>SUM(AY20:AY30)</f>
        <v>2</v>
      </c>
      <c r="AZ31" s="27">
        <v>113</v>
      </c>
      <c r="BA31" s="27">
        <f>+IF(D132="X",1,0)</f>
        <v>1</v>
      </c>
      <c r="BC31" s="27">
        <v>92</v>
      </c>
      <c r="BD31" s="27">
        <f>+IF(D111="X",1,0)</f>
        <v>1</v>
      </c>
      <c r="BE31" s="27">
        <v>70</v>
      </c>
      <c r="BF31" s="27">
        <f>+IF(D89="X",1,0)</f>
        <v>0</v>
      </c>
      <c r="BG31" s="27">
        <v>136</v>
      </c>
      <c r="BH31" s="27">
        <f>+IF(D155="X",1,0)</f>
        <v>0</v>
      </c>
      <c r="BK31" s="27">
        <v>17</v>
      </c>
      <c r="BL31" s="27">
        <f>+IF(D36="X",1,0)</f>
        <v>0</v>
      </c>
      <c r="BM31" s="27">
        <v>155</v>
      </c>
      <c r="BN31" s="27">
        <f>+IF(D174="X",1,0)</f>
        <v>1</v>
      </c>
      <c r="BO31" s="27">
        <v>39</v>
      </c>
      <c r="BP31" s="27">
        <f>+IF(D58="X",1,0)</f>
        <v>0</v>
      </c>
      <c r="BT31" s="27" t="s">
        <v>291</v>
      </c>
      <c r="BU31" s="27">
        <f>IF(D52&lt;&gt;D108,1,0)</f>
        <v>0</v>
      </c>
      <c r="DC31" s="31">
        <v>178</v>
      </c>
      <c r="DD31" s="31">
        <f>+IF(E197="X",1,0)</f>
        <v>0</v>
      </c>
      <c r="EB31" s="28">
        <f>SUM(EB20:EB30)</f>
        <v>2</v>
      </c>
      <c r="EJ31" s="51">
        <v>179</v>
      </c>
      <c r="EK31" s="31">
        <f>+IF(D198="X",1,0)</f>
        <v>0</v>
      </c>
      <c r="ER31" s="28">
        <f>SUM(ER20:ER30)</f>
        <v>1</v>
      </c>
      <c r="EV31" s="51">
        <v>195</v>
      </c>
      <c r="EW31" s="31">
        <f>+IF(D214="X",1,0)</f>
        <v>0</v>
      </c>
      <c r="FF31" s="28">
        <f>SUM(FF20:FF30)</f>
        <v>1</v>
      </c>
      <c r="FH31" s="28">
        <f>SUM(FH20:FH30)</f>
        <v>3</v>
      </c>
      <c r="FM31" s="28">
        <f>SUM(FM20:FM30)</f>
        <v>3</v>
      </c>
    </row>
    <row r="32" spans="2:178" ht="17.25">
      <c r="B32" s="147">
        <v>13</v>
      </c>
      <c r="C32" s="148" t="s">
        <v>12</v>
      </c>
      <c r="D32" s="49"/>
      <c r="E32" s="49" t="s">
        <v>234</v>
      </c>
      <c r="F32" s="53">
        <v>13</v>
      </c>
      <c r="H32" s="27">
        <v>190</v>
      </c>
      <c r="I32" s="27">
        <f>+IF(D209="X",1,0)</f>
        <v>0</v>
      </c>
      <c r="J32" s="30">
        <v>178</v>
      </c>
      <c r="K32" s="27">
        <f>+IF(D197="X",1,0)</f>
        <v>1</v>
      </c>
      <c r="L32" s="30">
        <v>59</v>
      </c>
      <c r="M32" s="27">
        <f>+IF(D78="X",1,0)</f>
        <v>0</v>
      </c>
      <c r="N32" s="30">
        <v>175</v>
      </c>
      <c r="O32" s="27">
        <f>+IF(D194="X",1,0)</f>
        <v>0</v>
      </c>
      <c r="P32" s="30">
        <v>24</v>
      </c>
      <c r="Q32" s="27">
        <f>+IF(E43="X",1,0)</f>
        <v>1</v>
      </c>
      <c r="R32" s="30">
        <v>142</v>
      </c>
      <c r="S32" s="27">
        <f>+IF(D161="X",1,0)</f>
        <v>0</v>
      </c>
      <c r="T32" s="30">
        <v>83</v>
      </c>
      <c r="U32" s="27">
        <f>+IF(D102="X",1,0)</f>
        <v>0</v>
      </c>
      <c r="V32" s="30">
        <v>48</v>
      </c>
      <c r="W32" s="27">
        <f>+IF(E67="X",1,0)</f>
        <v>0</v>
      </c>
      <c r="X32" s="30">
        <v>145</v>
      </c>
      <c r="Y32" s="27">
        <f>+IF(D164="X",1,0)</f>
        <v>0</v>
      </c>
      <c r="Z32" s="30">
        <v>152</v>
      </c>
      <c r="AA32" s="27">
        <f>+IF(E171="X",1,0)</f>
        <v>1</v>
      </c>
      <c r="AB32" s="30">
        <v>88</v>
      </c>
      <c r="AC32" s="27">
        <f>+IF(D107="X",1,0)</f>
        <v>0</v>
      </c>
      <c r="AD32" s="30">
        <v>156</v>
      </c>
      <c r="AE32" s="27">
        <f>+IF(D175="X",1,0)</f>
        <v>0</v>
      </c>
      <c r="AG32" s="41">
        <v>93</v>
      </c>
      <c r="AH32" s="27">
        <f>+IF(D112="X",1,0)</f>
        <v>0</v>
      </c>
      <c r="AI32" s="30">
        <v>100</v>
      </c>
      <c r="AJ32" s="27">
        <f>+IF(D119="X",1,0)</f>
        <v>0</v>
      </c>
      <c r="AK32" s="52">
        <v>148</v>
      </c>
      <c r="AL32" s="27">
        <f>+IF(D167="X",1,0)</f>
        <v>1</v>
      </c>
      <c r="AN32" s="27">
        <v>109</v>
      </c>
      <c r="AO32" s="27">
        <f>+IF(D128="X",1,0)</f>
        <v>0</v>
      </c>
      <c r="AR32" s="27">
        <v>155</v>
      </c>
      <c r="AS32" s="27">
        <f>+IF(D174="X",1,0)</f>
        <v>1</v>
      </c>
      <c r="AT32" s="27">
        <v>85</v>
      </c>
      <c r="AU32" s="27">
        <f>+IF(D104="X",1,0)</f>
        <v>1</v>
      </c>
      <c r="AZ32" s="27">
        <v>143</v>
      </c>
      <c r="BA32" s="27">
        <f>+IF(D162="X",1,0)</f>
        <v>0</v>
      </c>
      <c r="BC32" s="27">
        <v>95</v>
      </c>
      <c r="BD32" s="27">
        <f>+IF(D114="X",1,0)</f>
        <v>0</v>
      </c>
      <c r="BE32" s="27">
        <v>80</v>
      </c>
      <c r="BF32" s="27">
        <f>+IF(D99="X",1,0)</f>
        <v>1</v>
      </c>
      <c r="BG32" s="27">
        <v>172</v>
      </c>
      <c r="BH32" s="27">
        <f>+IF(D191="X",1,0)</f>
        <v>1</v>
      </c>
      <c r="BK32" s="27">
        <v>19</v>
      </c>
      <c r="BL32" s="27">
        <f t="shared" ref="BL32:BL37" si="0">+IF(D38="X",1,0)</f>
        <v>0</v>
      </c>
      <c r="BM32" s="27">
        <v>158</v>
      </c>
      <c r="BN32" s="27">
        <f>+IF(D177="X",1,0)</f>
        <v>1</v>
      </c>
      <c r="BO32" s="27">
        <v>41</v>
      </c>
      <c r="BP32" s="27">
        <f>+IF(D60="X",1,0)</f>
        <v>1</v>
      </c>
      <c r="BT32" s="27" t="s">
        <v>292</v>
      </c>
      <c r="BU32" s="27">
        <f>IF(D97&lt;&gt;D183,1,0)</f>
        <v>1</v>
      </c>
      <c r="DD32" s="28">
        <f>SUM(DD20:DD31)</f>
        <v>9</v>
      </c>
      <c r="EK32" s="28">
        <f>SUM(EK20:EK31)</f>
        <v>5</v>
      </c>
      <c r="EW32" s="28">
        <f>SUM(EW20:EW31)</f>
        <v>3</v>
      </c>
    </row>
    <row r="33" spans="2:73" ht="17.25">
      <c r="B33" s="147">
        <v>14</v>
      </c>
      <c r="C33" s="148" t="s">
        <v>13</v>
      </c>
      <c r="D33" s="49"/>
      <c r="E33" s="49" t="s">
        <v>234</v>
      </c>
      <c r="F33" s="53">
        <v>14</v>
      </c>
      <c r="H33" s="27">
        <v>30</v>
      </c>
      <c r="I33" s="27">
        <f>+IF(E49="X",1,0)</f>
        <v>0</v>
      </c>
      <c r="J33" s="30">
        <v>184</v>
      </c>
      <c r="K33" s="27">
        <f>+IF(D203="X",1,0)</f>
        <v>0</v>
      </c>
      <c r="L33" s="30">
        <v>70</v>
      </c>
      <c r="M33" s="27">
        <f>+IF(D89="X",1,0)</f>
        <v>0</v>
      </c>
      <c r="N33" s="30">
        <v>67</v>
      </c>
      <c r="O33" s="27">
        <f>+IF(E86="X",1,0)</f>
        <v>1</v>
      </c>
      <c r="P33" s="30">
        <v>26</v>
      </c>
      <c r="Q33" s="27">
        <f>+IF(E45="X",1,0)</f>
        <v>1</v>
      </c>
      <c r="R33" s="30">
        <v>154</v>
      </c>
      <c r="S33" s="27">
        <f>+IF(D173="X",1,0)</f>
        <v>1</v>
      </c>
      <c r="T33" s="30">
        <v>117</v>
      </c>
      <c r="U33" s="27">
        <f>+IF(D136="X",1,0)</f>
        <v>0</v>
      </c>
      <c r="V33" s="30">
        <v>158</v>
      </c>
      <c r="W33" s="27">
        <f>+IF(E177="X",1,0)</f>
        <v>0</v>
      </c>
      <c r="X33" s="30">
        <v>172</v>
      </c>
      <c r="Y33" s="27">
        <f>+IF(D191="X",1,0)</f>
        <v>1</v>
      </c>
      <c r="AA33" s="167">
        <f>SUM(AA20:AA32)</f>
        <v>19</v>
      </c>
      <c r="AB33" s="30">
        <v>97</v>
      </c>
      <c r="AC33" s="27">
        <f>+IF(D116="X",1,0)</f>
        <v>0</v>
      </c>
      <c r="AD33" s="30">
        <v>164</v>
      </c>
      <c r="AE33" s="27">
        <f>+IF(D183="X",1,0)</f>
        <v>0</v>
      </c>
      <c r="AG33" s="30">
        <v>121</v>
      </c>
      <c r="AH33" s="27">
        <f>+IF(D140="X",1,0)</f>
        <v>1</v>
      </c>
      <c r="AI33" s="30">
        <v>111</v>
      </c>
      <c r="AJ33" s="27">
        <f>+IF(D130="X",1,0)</f>
        <v>0</v>
      </c>
      <c r="AK33" s="52">
        <v>167</v>
      </c>
      <c r="AL33" s="27">
        <f>+IF(D186="X",1,0)</f>
        <v>1</v>
      </c>
      <c r="AO33" s="167">
        <f>SUM(AO20:AO32)</f>
        <v>14</v>
      </c>
      <c r="AS33" s="167">
        <f>SUM(AS20:AS32)</f>
        <v>11</v>
      </c>
      <c r="AT33" s="27">
        <v>93</v>
      </c>
      <c r="AU33" s="27">
        <f>+IF(D112="X",1,0)</f>
        <v>0</v>
      </c>
      <c r="AZ33" s="27">
        <v>157</v>
      </c>
      <c r="BA33" s="27">
        <f>+IF(D176="X",1,0)</f>
        <v>0</v>
      </c>
      <c r="BC33" s="27">
        <v>104</v>
      </c>
      <c r="BD33" s="27">
        <f>+IF(D123="X",1,0)</f>
        <v>0</v>
      </c>
      <c r="BE33" s="27">
        <v>111</v>
      </c>
      <c r="BF33" s="27">
        <f>+IF(D130="X",1,0)</f>
        <v>0</v>
      </c>
      <c r="BG33" s="27">
        <v>189</v>
      </c>
      <c r="BH33" s="27">
        <f>+IF(D208="X",1,0)</f>
        <v>0</v>
      </c>
      <c r="BK33" s="27">
        <v>20</v>
      </c>
      <c r="BL33" s="27">
        <f t="shared" si="0"/>
        <v>1</v>
      </c>
      <c r="BM33" s="27">
        <v>173</v>
      </c>
      <c r="BN33" s="27">
        <f>+IF(D192="X",1,0)</f>
        <v>1</v>
      </c>
      <c r="BO33" s="27">
        <v>44</v>
      </c>
      <c r="BP33" s="27">
        <f>+IF(D63="X",1,0)</f>
        <v>1</v>
      </c>
      <c r="BT33" s="27" t="s">
        <v>293</v>
      </c>
      <c r="BU33" s="27">
        <f>IF(D57&lt;&gt;D190,1,0)</f>
        <v>0</v>
      </c>
    </row>
    <row r="34" spans="2:73" ht="17.25">
      <c r="B34" s="147">
        <v>15</v>
      </c>
      <c r="C34" s="148" t="s">
        <v>14</v>
      </c>
      <c r="D34" s="49" t="s">
        <v>234</v>
      </c>
      <c r="E34" s="49"/>
      <c r="F34" s="53">
        <v>15</v>
      </c>
      <c r="H34" s="27">
        <v>154</v>
      </c>
      <c r="I34" s="27">
        <f>+IF(E173="X",1,0)</f>
        <v>0</v>
      </c>
      <c r="J34" s="30">
        <v>193</v>
      </c>
      <c r="K34" s="27">
        <f>+IF(D212="X",1,0)</f>
        <v>0</v>
      </c>
      <c r="L34" s="30">
        <v>90</v>
      </c>
      <c r="M34" s="27">
        <f>+IF(D109="X",1,0)</f>
        <v>0</v>
      </c>
      <c r="O34" s="167">
        <f>SUM(O20:O33)</f>
        <v>13</v>
      </c>
      <c r="P34" s="30">
        <v>139</v>
      </c>
      <c r="Q34" s="27">
        <f>+IF(E158="X",1,0)</f>
        <v>1</v>
      </c>
      <c r="R34" s="30">
        <v>26</v>
      </c>
      <c r="S34" s="27">
        <f>+IF(E45="X",1,0)</f>
        <v>1</v>
      </c>
      <c r="T34" s="30">
        <v>171</v>
      </c>
      <c r="U34" s="27">
        <f>+IF(D190="X",1,0)</f>
        <v>0</v>
      </c>
      <c r="W34" s="167">
        <f>SUM(W20:W33)</f>
        <v>0</v>
      </c>
      <c r="Y34" s="167">
        <f>SUM(Y20:Y33)</f>
        <v>6</v>
      </c>
      <c r="AB34" s="30">
        <v>100</v>
      </c>
      <c r="AC34" s="27">
        <f>+IF(D119="X",1,0)</f>
        <v>0</v>
      </c>
      <c r="AD34" s="30">
        <v>178</v>
      </c>
      <c r="AE34" s="27">
        <f>+IF(D197="X",1,0)</f>
        <v>1</v>
      </c>
      <c r="AG34" s="30">
        <v>123</v>
      </c>
      <c r="AH34" s="27">
        <f>+IF(D142="X",1,0)</f>
        <v>1</v>
      </c>
      <c r="AI34" s="30">
        <v>126</v>
      </c>
      <c r="AJ34" s="27">
        <f>+IF(D145="X",1,0)</f>
        <v>1</v>
      </c>
      <c r="AK34" s="52">
        <v>180</v>
      </c>
      <c r="AL34" s="27">
        <f>+IF(D199="X",1,0)</f>
        <v>1</v>
      </c>
      <c r="AT34" s="27">
        <v>101</v>
      </c>
      <c r="AU34" s="27">
        <f>+IF(D120="X",1,0)</f>
        <v>1</v>
      </c>
      <c r="BA34" s="167">
        <f>SUM(BA20:BA33)</f>
        <v>11</v>
      </c>
      <c r="BC34" s="27">
        <v>123</v>
      </c>
      <c r="BD34" s="27">
        <f>+IF(D142="X",1,0)</f>
        <v>1</v>
      </c>
      <c r="BE34" s="27">
        <v>118</v>
      </c>
      <c r="BF34" s="27">
        <f>+IF(D137="X",1,0)</f>
        <v>0</v>
      </c>
      <c r="BH34" s="167">
        <f>SUM(BH20:BH33)</f>
        <v>5</v>
      </c>
      <c r="BK34" s="27">
        <v>21</v>
      </c>
      <c r="BL34" s="27">
        <f t="shared" si="0"/>
        <v>0</v>
      </c>
      <c r="BM34" s="27">
        <v>174</v>
      </c>
      <c r="BN34" s="27">
        <f>+IF(D193="X",1,0)</f>
        <v>1</v>
      </c>
      <c r="BO34" s="27">
        <v>51</v>
      </c>
      <c r="BP34" s="27">
        <f>+IF(D70="X",1,0)</f>
        <v>0</v>
      </c>
      <c r="BT34" s="27" t="s">
        <v>294</v>
      </c>
      <c r="BU34" s="27">
        <f>IF(D93&lt;&gt;D134,1,0)</f>
        <v>0</v>
      </c>
    </row>
    <row r="35" spans="2:73" ht="17.25">
      <c r="B35" s="147">
        <v>16</v>
      </c>
      <c r="C35" s="148" t="s">
        <v>15</v>
      </c>
      <c r="D35" s="49" t="s">
        <v>234</v>
      </c>
      <c r="E35" s="49"/>
      <c r="F35" s="53">
        <v>16</v>
      </c>
      <c r="I35" s="167">
        <f>SUM(I20:I34)</f>
        <v>5</v>
      </c>
      <c r="J35" s="30">
        <v>46</v>
      </c>
      <c r="K35" s="27">
        <f>+IF(E65="X",1,0)</f>
        <v>0</v>
      </c>
      <c r="L35" s="30">
        <v>126</v>
      </c>
      <c r="M35" s="27">
        <f>+IF(D145="X",1,0)</f>
        <v>1</v>
      </c>
      <c r="P35" s="30">
        <v>178</v>
      </c>
      <c r="Q35" s="27">
        <f>+IF(E197="X",1,0)</f>
        <v>0</v>
      </c>
      <c r="R35" s="30">
        <v>120</v>
      </c>
      <c r="S35" s="27">
        <f>+IF(E139="X",1,0)</f>
        <v>0</v>
      </c>
      <c r="T35" s="30">
        <v>191</v>
      </c>
      <c r="U35" s="27">
        <f>+IF(D210="X",1,0)</f>
        <v>0</v>
      </c>
      <c r="AB35" s="30">
        <v>168</v>
      </c>
      <c r="AC35" s="27">
        <f>+IF(D187="X",1,0)</f>
        <v>0</v>
      </c>
      <c r="AD35" s="30">
        <v>195</v>
      </c>
      <c r="AE35" s="27">
        <f>+IF(D214="X",1,0)</f>
        <v>0</v>
      </c>
      <c r="AG35" s="30">
        <v>126</v>
      </c>
      <c r="AH35" s="27">
        <f>+IF(D145="X",1,0)</f>
        <v>1</v>
      </c>
      <c r="AI35" s="30">
        <v>137</v>
      </c>
      <c r="AJ35" s="27">
        <f>+IF(D156="X",1,0)</f>
        <v>0</v>
      </c>
      <c r="AK35" s="52">
        <v>195</v>
      </c>
      <c r="AL35" s="27">
        <f>+IF(D214="X",1,0)</f>
        <v>0</v>
      </c>
      <c r="AT35" s="27">
        <v>111</v>
      </c>
      <c r="AU35" s="27">
        <f>+IF(D130="X",1,0)</f>
        <v>0</v>
      </c>
      <c r="BC35" s="27">
        <v>136</v>
      </c>
      <c r="BD35" s="27">
        <f>+IF(D155="X",1,0)</f>
        <v>0</v>
      </c>
      <c r="BE35" s="27">
        <v>120</v>
      </c>
      <c r="BF35" s="27">
        <f>+IF(D139="X",1,0)</f>
        <v>1</v>
      </c>
      <c r="BK35" s="27">
        <v>22</v>
      </c>
      <c r="BL35" s="27">
        <f t="shared" si="0"/>
        <v>1</v>
      </c>
      <c r="BM35" s="27">
        <v>185</v>
      </c>
      <c r="BN35" s="27">
        <f>+IF(D204="X",1,0)</f>
        <v>1</v>
      </c>
      <c r="BO35" s="27">
        <v>64</v>
      </c>
      <c r="BP35" s="27">
        <f>+IF(D83="X",1,0)</f>
        <v>1</v>
      </c>
      <c r="BT35" s="27" t="s">
        <v>295</v>
      </c>
      <c r="BU35" s="27">
        <f>IF(D65&lt;&gt;D173,1,0)</f>
        <v>0</v>
      </c>
    </row>
    <row r="36" spans="2:73" ht="17.25">
      <c r="B36" s="147">
        <v>17</v>
      </c>
      <c r="C36" s="148" t="s">
        <v>16</v>
      </c>
      <c r="D36" s="49"/>
      <c r="E36" s="49" t="s">
        <v>234</v>
      </c>
      <c r="F36" s="53">
        <v>17</v>
      </c>
      <c r="J36" s="30">
        <v>67</v>
      </c>
      <c r="K36" s="27">
        <f>+IF(E86="X",1,0)</f>
        <v>1</v>
      </c>
      <c r="L36" s="30">
        <v>170</v>
      </c>
      <c r="M36" s="27">
        <f>+IF(D189="X",1,0)</f>
        <v>1</v>
      </c>
      <c r="P36" s="30">
        <v>195</v>
      </c>
      <c r="Q36" s="27">
        <f>+IF(E214="X",1,0)</f>
        <v>1</v>
      </c>
      <c r="R36" s="30">
        <v>178</v>
      </c>
      <c r="S36" s="27">
        <f>+IF(E197="X",1,0)</f>
        <v>0</v>
      </c>
      <c r="U36" s="167">
        <f>SUM(U20:U35)</f>
        <v>6</v>
      </c>
      <c r="AB36" s="30">
        <v>172</v>
      </c>
      <c r="AC36" s="27">
        <f>+IF(D191="X",1,0)</f>
        <v>1</v>
      </c>
      <c r="AD36" s="30">
        <v>20</v>
      </c>
      <c r="AE36" s="27">
        <f>+IF(E39="X",1,0)</f>
        <v>0</v>
      </c>
      <c r="AG36" s="30">
        <v>148</v>
      </c>
      <c r="AH36" s="27">
        <f>+IF(D167="X",1,0)</f>
        <v>1</v>
      </c>
      <c r="AI36" s="30">
        <v>156</v>
      </c>
      <c r="AJ36" s="27">
        <f>+IF(D175="X",1,0)</f>
        <v>0</v>
      </c>
      <c r="AL36" s="167">
        <f>SUM(AL20:AL35)</f>
        <v>5</v>
      </c>
      <c r="AT36" s="27">
        <v>114</v>
      </c>
      <c r="AU36" s="27">
        <f>+IF(D133="X",1,0)</f>
        <v>1</v>
      </c>
      <c r="BC36" s="27">
        <v>148</v>
      </c>
      <c r="BD36" s="27">
        <f>+IF(D167="X",1,0)</f>
        <v>1</v>
      </c>
      <c r="BE36" s="27">
        <v>170</v>
      </c>
      <c r="BF36" s="27">
        <f>+IF(D189="X",1,0)</f>
        <v>1</v>
      </c>
      <c r="BK36" s="27">
        <v>23</v>
      </c>
      <c r="BL36" s="27">
        <f t="shared" si="0"/>
        <v>1</v>
      </c>
      <c r="BM36" s="27">
        <v>188</v>
      </c>
      <c r="BN36" s="27">
        <f>+IF(D207="X",1,0)</f>
        <v>1</v>
      </c>
      <c r="BO36" s="27">
        <v>74</v>
      </c>
      <c r="BP36" s="27">
        <f>+IF(D93="X",1,0)</f>
        <v>0</v>
      </c>
      <c r="BT36" s="27" t="s">
        <v>296</v>
      </c>
      <c r="BU36" s="27">
        <f>IF(D45&lt;&gt;D118,1,0)</f>
        <v>0</v>
      </c>
    </row>
    <row r="37" spans="2:73" ht="17.25">
      <c r="B37" s="147">
        <v>18</v>
      </c>
      <c r="C37" s="148" t="s">
        <v>17</v>
      </c>
      <c r="D37" s="49"/>
      <c r="E37" s="49" t="s">
        <v>234</v>
      </c>
      <c r="F37" s="53">
        <v>18</v>
      </c>
      <c r="J37" s="30">
        <v>154</v>
      </c>
      <c r="K37" s="27">
        <f>+IF(E173="X",1,0)</f>
        <v>0</v>
      </c>
      <c r="L37" s="30">
        <v>178</v>
      </c>
      <c r="M37" s="27">
        <f>+IF(D197="X",1,0)</f>
        <v>1</v>
      </c>
      <c r="Q37" s="167">
        <f>SUM(Q20:Q36)</f>
        <v>16</v>
      </c>
      <c r="S37" s="167">
        <f>SUM(S20:S36)</f>
        <v>21</v>
      </c>
      <c r="AB37" s="30">
        <v>184</v>
      </c>
      <c r="AC37" s="27">
        <f>+IF(D203="X",1,0)</f>
        <v>0</v>
      </c>
      <c r="AD37" s="30">
        <v>75</v>
      </c>
      <c r="AE37" s="27">
        <f>+IF(E94="X",1,0)</f>
        <v>0</v>
      </c>
      <c r="AG37" s="30">
        <v>163</v>
      </c>
      <c r="AH37" s="27">
        <f>+IF(D182="X",1,0)</f>
        <v>1</v>
      </c>
      <c r="AI37" s="30">
        <v>166</v>
      </c>
      <c r="AJ37" s="27">
        <f>+IF(D185="X",1,0)</f>
        <v>1</v>
      </c>
      <c r="AT37" s="27">
        <v>120</v>
      </c>
      <c r="AU37" s="27">
        <f>+IF(D139="X",1,0)</f>
        <v>1</v>
      </c>
      <c r="BC37" s="27">
        <v>156</v>
      </c>
      <c r="BD37" s="27">
        <f>+IF(D175="X",1,0)</f>
        <v>0</v>
      </c>
      <c r="BF37" s="167">
        <f>SUM(BF20:BF36)</f>
        <v>16</v>
      </c>
      <c r="BK37" s="27">
        <v>24</v>
      </c>
      <c r="BL37" s="27">
        <f t="shared" si="0"/>
        <v>0</v>
      </c>
      <c r="BM37" s="27">
        <v>65</v>
      </c>
      <c r="BN37" s="27">
        <f>+IF(E84="X",1,0)</f>
        <v>1</v>
      </c>
      <c r="BO37" s="27">
        <v>78</v>
      </c>
      <c r="BP37" s="27">
        <f>+IF(D97="X",1,0)</f>
        <v>1</v>
      </c>
      <c r="BT37" s="27" t="s">
        <v>297</v>
      </c>
      <c r="BU37" s="27">
        <f>IF(D39&lt;&gt;D193,1,0)</f>
        <v>0</v>
      </c>
    </row>
    <row r="38" spans="2:73" ht="17.25">
      <c r="B38" s="147">
        <v>19</v>
      </c>
      <c r="C38" s="148" t="s">
        <v>18</v>
      </c>
      <c r="D38" s="49"/>
      <c r="E38" s="49" t="s">
        <v>234</v>
      </c>
      <c r="F38" s="53">
        <v>19</v>
      </c>
      <c r="K38" s="167">
        <f>SUM(K20:K37)</f>
        <v>4</v>
      </c>
      <c r="L38" s="30">
        <v>53</v>
      </c>
      <c r="M38" s="27">
        <f>+IF(E72="X",1,0)</f>
        <v>0</v>
      </c>
      <c r="AC38" s="167">
        <f>SUM(AC20:AC37)</f>
        <v>5</v>
      </c>
      <c r="AE38" s="167">
        <f>SUM(AE20:AE37)</f>
        <v>9</v>
      </c>
      <c r="AG38" s="30">
        <v>167</v>
      </c>
      <c r="AH38" s="27">
        <f>+IF(D186="X",1,0)</f>
        <v>1</v>
      </c>
      <c r="AI38" s="30">
        <v>192</v>
      </c>
      <c r="AJ38" s="27">
        <f>+IF(D211="X",1,0)</f>
        <v>0</v>
      </c>
      <c r="AT38" s="27">
        <v>178</v>
      </c>
      <c r="AU38" s="27">
        <f>+IF(D197="X",1,0)</f>
        <v>1</v>
      </c>
      <c r="BC38" s="27">
        <v>165</v>
      </c>
      <c r="BD38" s="27">
        <f>+IF(D184="X",1,0)</f>
        <v>0</v>
      </c>
      <c r="BK38" s="27">
        <v>26</v>
      </c>
      <c r="BL38" s="27">
        <f>+IF(D45="X",1,0)</f>
        <v>0</v>
      </c>
      <c r="BM38" s="27">
        <v>71</v>
      </c>
      <c r="BN38" s="27">
        <f>+IF(E90="X",1,0)</f>
        <v>1</v>
      </c>
      <c r="BO38" s="27">
        <v>80</v>
      </c>
      <c r="BP38" s="27">
        <f>+IF(D99="X",1,0)</f>
        <v>1</v>
      </c>
      <c r="BT38" s="27" t="s">
        <v>298</v>
      </c>
      <c r="BU38" s="27">
        <f>IF(D51&lt;&gt;D141,1,0)</f>
        <v>0</v>
      </c>
    </row>
    <row r="39" spans="2:73" ht="17.25">
      <c r="B39" s="147">
        <v>20</v>
      </c>
      <c r="C39" s="148" t="s">
        <v>19</v>
      </c>
      <c r="D39" s="49" t="s">
        <v>234</v>
      </c>
      <c r="E39" s="49"/>
      <c r="F39" s="53">
        <v>20</v>
      </c>
      <c r="M39" s="167">
        <f>SUM(M20:M38)</f>
        <v>6</v>
      </c>
      <c r="AG39" s="30">
        <v>172</v>
      </c>
      <c r="AH39" s="27">
        <f>+IF(D191="X",1,0)</f>
        <v>1</v>
      </c>
      <c r="AI39" s="30">
        <v>193</v>
      </c>
      <c r="AJ39" s="27">
        <f>+IF(D212="X",1,0)</f>
        <v>0</v>
      </c>
      <c r="AT39" s="27">
        <v>193</v>
      </c>
      <c r="AU39" s="27">
        <f>+IF(D212="X",1,0)</f>
        <v>0</v>
      </c>
      <c r="BC39" s="27">
        <v>172</v>
      </c>
      <c r="BD39" s="27">
        <f>+IF(D191="X",1,0)</f>
        <v>1</v>
      </c>
      <c r="BK39" s="27">
        <v>29</v>
      </c>
      <c r="BL39" s="27">
        <f>+IF(D48="X",1,0)</f>
        <v>1</v>
      </c>
      <c r="BM39" s="27">
        <v>90</v>
      </c>
      <c r="BN39" s="27">
        <f>+IF(E109="X",1,0)</f>
        <v>1</v>
      </c>
      <c r="BO39" s="27">
        <v>101</v>
      </c>
      <c r="BP39" s="27">
        <f>+IF(D120="X",1,0)</f>
        <v>1</v>
      </c>
      <c r="BT39" s="27" t="s">
        <v>299</v>
      </c>
      <c r="BU39" s="27">
        <f>IF(D32&lt;&gt;D131,1,0)</f>
        <v>0</v>
      </c>
    </row>
    <row r="40" spans="2:73" ht="17.25">
      <c r="B40" s="147">
        <v>21</v>
      </c>
      <c r="C40" s="148" t="s">
        <v>20</v>
      </c>
      <c r="D40" s="49"/>
      <c r="E40" s="49" t="s">
        <v>234</v>
      </c>
      <c r="F40" s="53">
        <v>21</v>
      </c>
      <c r="AG40" s="30">
        <v>195</v>
      </c>
      <c r="AH40" s="27">
        <f>+IF(D214="X",1,0)</f>
        <v>0</v>
      </c>
      <c r="AJ40" s="167">
        <f>SUM(AJ20:AJ39)</f>
        <v>8</v>
      </c>
      <c r="AT40" s="27">
        <v>75</v>
      </c>
      <c r="AU40" s="27">
        <f>+IF(E94="X",1,0)</f>
        <v>0</v>
      </c>
      <c r="BC40" s="27">
        <v>182</v>
      </c>
      <c r="BD40" s="27">
        <f>+IF(D201="X",1,0)</f>
        <v>0</v>
      </c>
      <c r="BK40" s="27">
        <v>30</v>
      </c>
      <c r="BL40" s="27">
        <f>+IF(D49="X",1,0)</f>
        <v>1</v>
      </c>
      <c r="BM40" s="27">
        <v>99</v>
      </c>
      <c r="BN40" s="27">
        <f>+IF(E118="X",1,0)</f>
        <v>1</v>
      </c>
      <c r="BO40" s="27">
        <v>107</v>
      </c>
      <c r="BP40" s="27">
        <f>+IF(D126="X",1,0)</f>
        <v>0</v>
      </c>
      <c r="BT40" s="27" t="s">
        <v>300</v>
      </c>
      <c r="BU40" s="27">
        <f>IF(D74&lt;&gt;D129,1,0)</f>
        <v>0</v>
      </c>
    </row>
    <row r="41" spans="2:73" ht="17.25">
      <c r="B41" s="147">
        <v>22</v>
      </c>
      <c r="C41" s="148" t="s">
        <v>21</v>
      </c>
      <c r="D41" s="49" t="s">
        <v>234</v>
      </c>
      <c r="E41" s="49"/>
      <c r="F41" s="53">
        <v>22</v>
      </c>
      <c r="AH41" s="29">
        <f>SUM(AH20:AH40)</f>
        <v>11</v>
      </c>
      <c r="AU41" s="167">
        <f>SUM(AU20:AU40)</f>
        <v>13</v>
      </c>
      <c r="BD41" s="167">
        <f>SUM(BD20:BD40)</f>
        <v>13</v>
      </c>
      <c r="BK41" s="27">
        <v>32</v>
      </c>
      <c r="BL41" s="27">
        <f>+IF(D51="X",1,0)</f>
        <v>0</v>
      </c>
      <c r="BM41" s="27">
        <v>159</v>
      </c>
      <c r="BN41" s="27">
        <f>+IF(E178="X",1,0)</f>
        <v>1</v>
      </c>
      <c r="BO41" s="27">
        <v>109</v>
      </c>
      <c r="BP41" s="27">
        <f>+IF(D128="X",1,0)</f>
        <v>0</v>
      </c>
      <c r="BT41" s="27" t="s">
        <v>301</v>
      </c>
      <c r="BU41" s="27">
        <f>IF(D213&lt;&gt;D192,1,0)</f>
        <v>0</v>
      </c>
    </row>
    <row r="42" spans="2:73" ht="17.25">
      <c r="B42" s="147">
        <v>23</v>
      </c>
      <c r="C42" s="148" t="s">
        <v>22</v>
      </c>
      <c r="D42" s="49" t="s">
        <v>234</v>
      </c>
      <c r="E42" s="49"/>
      <c r="F42" s="53">
        <v>23</v>
      </c>
      <c r="BK42" s="27">
        <v>35</v>
      </c>
      <c r="BL42" s="27">
        <f>+IF(D54="X",1,0)</f>
        <v>1</v>
      </c>
      <c r="BM42" s="27">
        <v>162</v>
      </c>
      <c r="BN42" s="27">
        <f>+IF(E181="X",1,0)</f>
        <v>1</v>
      </c>
      <c r="BO42" s="27">
        <v>112</v>
      </c>
      <c r="BP42" s="27">
        <f>+IF(D131="X",1,0)</f>
        <v>0</v>
      </c>
      <c r="BT42" s="27" t="s">
        <v>302</v>
      </c>
      <c r="BU42" s="27">
        <f>IF(D114&lt;&gt;D146,1,0)</f>
        <v>0</v>
      </c>
    </row>
    <row r="43" spans="2:73" ht="17.25">
      <c r="B43" s="147">
        <v>24</v>
      </c>
      <c r="C43" s="148" t="s">
        <v>23</v>
      </c>
      <c r="D43" s="49"/>
      <c r="E43" s="49" t="s">
        <v>234</v>
      </c>
      <c r="F43" s="53">
        <v>24</v>
      </c>
      <c r="H43" s="29" t="s">
        <v>209</v>
      </c>
      <c r="I43" s="29" t="s">
        <v>551</v>
      </c>
      <c r="J43" s="29" t="s">
        <v>209</v>
      </c>
      <c r="K43" s="28" t="s">
        <v>552</v>
      </c>
      <c r="L43" s="32" t="s">
        <v>209</v>
      </c>
      <c r="M43" s="28" t="s">
        <v>553</v>
      </c>
      <c r="N43" s="29" t="s">
        <v>209</v>
      </c>
      <c r="O43" s="32" t="s">
        <v>554</v>
      </c>
      <c r="P43" s="29" t="s">
        <v>209</v>
      </c>
      <c r="Q43" s="29" t="s">
        <v>555</v>
      </c>
      <c r="R43" s="29" t="s">
        <v>209</v>
      </c>
      <c r="S43" s="32" t="s">
        <v>556</v>
      </c>
      <c r="T43" s="29" t="s">
        <v>209</v>
      </c>
      <c r="U43" s="29" t="s">
        <v>557</v>
      </c>
      <c r="V43" s="29" t="s">
        <v>209</v>
      </c>
      <c r="W43" s="29" t="s">
        <v>558</v>
      </c>
      <c r="X43" s="29" t="s">
        <v>209</v>
      </c>
      <c r="Y43" s="29" t="s">
        <v>559</v>
      </c>
      <c r="Z43" s="29" t="s">
        <v>209</v>
      </c>
      <c r="AA43" s="29" t="s">
        <v>560</v>
      </c>
      <c r="AB43" s="32" t="s">
        <v>209</v>
      </c>
      <c r="AC43" s="29" t="s">
        <v>227</v>
      </c>
      <c r="AD43" s="32" t="s">
        <v>209</v>
      </c>
      <c r="AE43" s="29" t="s">
        <v>613</v>
      </c>
      <c r="BK43" s="27">
        <v>36</v>
      </c>
      <c r="BL43" s="27">
        <f>+IF(D55="X",1,0)</f>
        <v>0</v>
      </c>
      <c r="BM43" s="27">
        <v>187</v>
      </c>
      <c r="BN43" s="27">
        <f>+IF(E206="X",1,0)</f>
        <v>0</v>
      </c>
      <c r="BO43" s="27">
        <v>113</v>
      </c>
      <c r="BP43" s="27">
        <f>+IF(D132="X",1,0)</f>
        <v>1</v>
      </c>
      <c r="BT43" s="27" t="s">
        <v>303</v>
      </c>
      <c r="BU43" s="27">
        <f>IF(D79&lt;&gt;D181,1,0)</f>
        <v>0</v>
      </c>
    </row>
    <row r="44" spans="2:73" ht="17.25">
      <c r="B44" s="147">
        <v>25</v>
      </c>
      <c r="C44" s="148" t="s">
        <v>24</v>
      </c>
      <c r="D44" s="49"/>
      <c r="E44" s="49" t="s">
        <v>234</v>
      </c>
      <c r="F44" s="53">
        <v>25</v>
      </c>
      <c r="H44" s="52">
        <v>7</v>
      </c>
      <c r="I44" s="27" t="str">
        <f>+IF(D26="X",C26," ")</f>
        <v>Me cuesta mantener el equilibrio cuando camino.</v>
      </c>
      <c r="J44" s="52">
        <v>4</v>
      </c>
      <c r="K44" s="30" t="str">
        <f>+IF(D23="X",C23," ")</f>
        <v>Me preocupa que las personas de las que dependo me abandonen.</v>
      </c>
      <c r="L44" s="52">
        <v>27</v>
      </c>
      <c r="M44" s="30" t="str">
        <f>+IF(D46="X",C46," ")</f>
        <v>Muchas veces me siento muy alegre y animado sin ninguna razón.</v>
      </c>
      <c r="N44" s="52">
        <v>14</v>
      </c>
      <c r="O44" s="30" t="str">
        <f>+IF(D33="X",C33," ")</f>
        <v xml:space="preserve"> </v>
      </c>
      <c r="P44" s="30">
        <v>47</v>
      </c>
      <c r="Q44" s="30" t="str">
        <f>+IF(D66="X",C66," ")</f>
        <v xml:space="preserve"> </v>
      </c>
      <c r="R44" s="52">
        <v>69</v>
      </c>
      <c r="S44" s="30" t="str">
        <f>+IF(D88="X",C88," ")</f>
        <v>Me doy atracones de comida un par de veces en la semana.</v>
      </c>
      <c r="T44" s="52">
        <v>22</v>
      </c>
      <c r="U44" s="30" t="str">
        <f>+IF(D41="X",C41," ")</f>
        <v>Me siento extremadamente deprimido y triste gran parte del tiempo.</v>
      </c>
      <c r="V44" s="52">
        <v>11</v>
      </c>
      <c r="W44" s="30" t="str">
        <f>+IF(D30="X",C30," ")</f>
        <v xml:space="preserve"> </v>
      </c>
      <c r="X44" s="52">
        <v>56</v>
      </c>
      <c r="Y44" s="30" t="str">
        <f>+IF(D75="X",C75," ")</f>
        <v xml:space="preserve"> </v>
      </c>
      <c r="Z44" s="52">
        <v>92</v>
      </c>
      <c r="AA44" s="30" t="str">
        <f>+IF(D111="X",C111," ")</f>
        <v>A menudo me pierdo en mis pensamientos y me olvido de lo que está pasando a mi alrededor.</v>
      </c>
      <c r="AB44" s="30">
        <v>124</v>
      </c>
      <c r="AC44" s="27" t="str">
        <f>+IF(D143="X",C143," ")</f>
        <v>He tomado medicación que me habían recetado.</v>
      </c>
      <c r="AD44" s="27">
        <v>40</v>
      </c>
      <c r="AE44" s="27" t="str">
        <f>+IF(D59="X",C59," ")</f>
        <v xml:space="preserve"> </v>
      </c>
      <c r="BK44" s="27">
        <v>37</v>
      </c>
      <c r="BL44" s="27">
        <f>+IF(D56="X",1,0)</f>
        <v>0</v>
      </c>
      <c r="BN44" s="167">
        <f>SUM(BN20:BN43)</f>
        <v>21</v>
      </c>
      <c r="BO44" s="27">
        <v>120</v>
      </c>
      <c r="BP44" s="27">
        <f>+IF(D139="X",1,0)</f>
        <v>1</v>
      </c>
      <c r="BT44" s="27" t="s">
        <v>304</v>
      </c>
      <c r="BU44" s="27">
        <f>IF(D34&lt;&gt;D168,1,0)</f>
        <v>1</v>
      </c>
    </row>
    <row r="45" spans="2:73" ht="17.25">
      <c r="B45" s="147">
        <v>26</v>
      </c>
      <c r="C45" s="148" t="s">
        <v>25</v>
      </c>
      <c r="D45" s="49"/>
      <c r="E45" s="49" t="s">
        <v>234</v>
      </c>
      <c r="F45" s="53">
        <v>26</v>
      </c>
      <c r="H45" s="52">
        <v>41</v>
      </c>
      <c r="I45" s="27" t="str">
        <f>+IF(D60="X",C60," ")</f>
        <v>Tengo la sensación de que no duermo, y me levanto tan cansado como al acostarme.</v>
      </c>
      <c r="J45" s="52">
        <v>104</v>
      </c>
      <c r="K45" s="30" t="str">
        <f>+IF(D123="X",C123," ")</f>
        <v xml:space="preserve"> </v>
      </c>
      <c r="L45" s="52">
        <v>36</v>
      </c>
      <c r="M45" s="30" t="str">
        <f>+IF(D55="X",C55," ")</f>
        <v xml:space="preserve"> </v>
      </c>
      <c r="N45" s="52">
        <v>32</v>
      </c>
      <c r="O45" s="30" t="str">
        <f>+IF(D51="X",C51," ")</f>
        <v xml:space="preserve"> </v>
      </c>
      <c r="P45" s="30">
        <v>157</v>
      </c>
      <c r="Q45" s="30" t="str">
        <f>+IF(D176="X",C176," ")</f>
        <v xml:space="preserve"> </v>
      </c>
      <c r="R45" s="52">
        <v>86</v>
      </c>
      <c r="S45" s="30" t="str">
        <f>+IF(D105="X",C105," ")</f>
        <v xml:space="preserve"> </v>
      </c>
      <c r="T45" s="52">
        <v>37</v>
      </c>
      <c r="U45" s="30" t="str">
        <f>+IF(D56="X",C56," ")</f>
        <v xml:space="preserve"> </v>
      </c>
      <c r="V45" s="52">
        <v>74</v>
      </c>
      <c r="W45" s="30" t="str">
        <f>+IF(D93="X",C93," ")</f>
        <v xml:space="preserve"> </v>
      </c>
      <c r="X45" s="52">
        <v>77</v>
      </c>
      <c r="Y45" s="30" t="str">
        <f>+IF(D96="X",C96," ")</f>
        <v>Me parece que necesito que alguien me oriente para hacer las cosas.</v>
      </c>
      <c r="Z45" s="52">
        <v>119</v>
      </c>
      <c r="AA45" s="30" t="str">
        <f>+IF(D138="X",C138," ")</f>
        <v xml:space="preserve"> </v>
      </c>
      <c r="AB45" s="30">
        <v>176</v>
      </c>
      <c r="AC45" s="27" t="str">
        <f>+IF(D195="X",C195," ")</f>
        <v>Si un medicamento no me hace efecto, es probable que lo tome con más frecuencia o aumente la dosis.</v>
      </c>
      <c r="AD45" s="27">
        <v>181</v>
      </c>
      <c r="AE45" s="27" t="str">
        <f>+IF(D200="X",C200," ")</f>
        <v xml:space="preserve"> </v>
      </c>
      <c r="BK45" s="27">
        <v>38</v>
      </c>
      <c r="BL45" s="27">
        <f>+IF(D57="X",1,0)</f>
        <v>0</v>
      </c>
      <c r="BO45" s="27">
        <v>151</v>
      </c>
      <c r="BP45" s="27">
        <f>+IF(D170="X",1,0)</f>
        <v>0</v>
      </c>
      <c r="BU45" s="29">
        <f>SUM(BU20:BU44)</f>
        <v>4</v>
      </c>
    </row>
    <row r="46" spans="2:73" ht="17.25">
      <c r="B46" s="147">
        <v>27</v>
      </c>
      <c r="C46" s="148" t="s">
        <v>26</v>
      </c>
      <c r="D46" s="49" t="s">
        <v>234</v>
      </c>
      <c r="E46" s="49"/>
      <c r="F46" s="53">
        <v>27</v>
      </c>
      <c r="H46" s="52">
        <v>57</v>
      </c>
      <c r="I46" s="27" t="str">
        <f>+IF(D76="X",C76," ")</f>
        <v xml:space="preserve"> </v>
      </c>
      <c r="J46" s="52">
        <v>182</v>
      </c>
      <c r="K46" s="30" t="str">
        <f>+IF(D201="X",C201," ")</f>
        <v xml:space="preserve"> </v>
      </c>
      <c r="L46" s="52">
        <v>45</v>
      </c>
      <c r="M46" s="30" t="str">
        <f>+IF(D64="X",C64," ")</f>
        <v xml:space="preserve"> </v>
      </c>
      <c r="N46" s="52">
        <v>34</v>
      </c>
      <c r="O46" s="30" t="str">
        <f>+IF(D53="X",C53," ")</f>
        <v>Desde hace uno o dos años, al pensar sobre la vida, me siento muy triste y desanimado.</v>
      </c>
      <c r="R46" s="52">
        <v>102</v>
      </c>
      <c r="S46" s="30" t="str">
        <f>+IF(D121="X",C121," ")</f>
        <v xml:space="preserve"> </v>
      </c>
      <c r="T46" s="52">
        <v>100</v>
      </c>
      <c r="U46" s="30" t="str">
        <f>+IF(D119="X",C119," ")</f>
        <v xml:space="preserve"> </v>
      </c>
      <c r="V46" s="52">
        <v>115</v>
      </c>
      <c r="W46" s="30" t="str">
        <f>+IF(D134="X",C134," ")</f>
        <v xml:space="preserve"> </v>
      </c>
      <c r="X46" s="52">
        <v>82</v>
      </c>
      <c r="Y46" s="30" t="str">
        <f>+IF(D101="X",C101," ")</f>
        <v xml:space="preserve"> </v>
      </c>
      <c r="Z46" s="52">
        <v>138</v>
      </c>
      <c r="AA46" s="30" t="str">
        <f>+IF(D157="X",C157," ")</f>
        <v xml:space="preserve"> </v>
      </c>
      <c r="BK46" s="27">
        <v>39</v>
      </c>
      <c r="BL46" s="27">
        <f>+IF(D58="X",1,0)</f>
        <v>0</v>
      </c>
      <c r="BO46" s="27">
        <v>164</v>
      </c>
      <c r="BP46" s="27">
        <f>+IF(D183="X",1,0)</f>
        <v>0</v>
      </c>
    </row>
    <row r="47" spans="2:73" ht="17.25">
      <c r="B47" s="147">
        <v>28</v>
      </c>
      <c r="C47" s="148" t="s">
        <v>27</v>
      </c>
      <c r="D47" s="49" t="s">
        <v>234</v>
      </c>
      <c r="E47" s="49"/>
      <c r="F47" s="53">
        <v>28</v>
      </c>
      <c r="H47" s="52">
        <v>113</v>
      </c>
      <c r="I47" s="27" t="str">
        <f>+IF(D132="X",C132," ")</f>
        <v>Últimamente sudo mucho y me siento muy tenso.</v>
      </c>
      <c r="J47" s="52">
        <v>190</v>
      </c>
      <c r="K47" s="30" t="str">
        <f>+IF(D209="X",C209," ")</f>
        <v xml:space="preserve"> </v>
      </c>
      <c r="L47" s="52">
        <v>56</v>
      </c>
      <c r="M47" s="30" t="str">
        <f>+IF(D75="X",C75," ")</f>
        <v xml:space="preserve"> </v>
      </c>
      <c r="N47" s="52">
        <v>39</v>
      </c>
      <c r="O47" s="30" t="str">
        <f>+IF(D58="X",C58," ")</f>
        <v xml:space="preserve"> </v>
      </c>
      <c r="R47" s="52">
        <v>186</v>
      </c>
      <c r="S47" s="30" t="str">
        <f>+IF(D205="X",C205," ")</f>
        <v xml:space="preserve"> </v>
      </c>
      <c r="T47" s="52">
        <v>103</v>
      </c>
      <c r="U47" s="30" t="str">
        <f>+IF(D122="X",C122," ")</f>
        <v xml:space="preserve"> </v>
      </c>
      <c r="V47" s="52">
        <v>145</v>
      </c>
      <c r="W47" s="30" t="str">
        <f>+IF(D164="X",C164," ")</f>
        <v xml:space="preserve"> </v>
      </c>
      <c r="X47" s="52">
        <v>92</v>
      </c>
      <c r="Y47" s="30" t="str">
        <f>+IF(D111="X",C111," ")</f>
        <v>A menudo me pierdo en mis pensamientos y me olvido de lo que está pasando a mi alrededor.</v>
      </c>
      <c r="Z47" s="52">
        <v>163</v>
      </c>
      <c r="AA47" s="30" t="str">
        <f>+IF(D182="X",C182," ")</f>
        <v>A menudo me vienen ideas a la mente mucho más rápido de lo puedo expresarlas.</v>
      </c>
      <c r="BK47" s="27">
        <v>42</v>
      </c>
      <c r="BL47" s="27">
        <f>+IF(D61="X",1,0)</f>
        <v>1</v>
      </c>
      <c r="BO47" s="27">
        <v>170</v>
      </c>
      <c r="BP47" s="27">
        <f>+IF(D189="X",1,0)</f>
        <v>1</v>
      </c>
    </row>
    <row r="48" spans="2:73" ht="17.25">
      <c r="B48" s="147">
        <v>29</v>
      </c>
      <c r="C48" s="148" t="s">
        <v>28</v>
      </c>
      <c r="D48" s="49" t="s">
        <v>234</v>
      </c>
      <c r="E48" s="49"/>
      <c r="F48" s="53">
        <v>29</v>
      </c>
      <c r="H48" s="52">
        <v>120</v>
      </c>
      <c r="I48" s="27" t="str">
        <f>+IF(D139="X",C139," ")</f>
        <v>Me siento débil y cansado la mayor parte del tiempo.</v>
      </c>
      <c r="L48" s="52">
        <v>72</v>
      </c>
      <c r="M48" s="30" t="str">
        <f>+IF(D91="X",C91," ")</f>
        <v>Cuando estoy solo y lejos de casa a menudo comienzo a sentirme tenso y entro en pánico.</v>
      </c>
      <c r="N48" s="52">
        <v>59</v>
      </c>
      <c r="O48" s="30" t="str">
        <f>+IF(D78="X",C78," ")</f>
        <v xml:space="preserve"> </v>
      </c>
      <c r="T48" s="52">
        <v>111</v>
      </c>
      <c r="U48" s="30" t="str">
        <f>+IF(D130="X",C130," ")</f>
        <v xml:space="preserve"> </v>
      </c>
      <c r="V48" s="52">
        <v>168</v>
      </c>
      <c r="W48" s="30" t="str">
        <f>+IF(D187="X",C187," ")</f>
        <v xml:space="preserve"> </v>
      </c>
      <c r="X48" s="52">
        <v>108</v>
      </c>
      <c r="Y48" s="30" t="str">
        <f>+IF(D127="X",C127," ")</f>
        <v xml:space="preserve"> </v>
      </c>
      <c r="Z48" s="52">
        <v>165</v>
      </c>
      <c r="AA48" s="30" t="str">
        <f>+IF(D184="X",C184," ")</f>
        <v xml:space="preserve"> </v>
      </c>
      <c r="BK48" s="27">
        <v>43</v>
      </c>
      <c r="BL48" s="27">
        <f>+IF(D62="X",1,0)</f>
        <v>0</v>
      </c>
      <c r="BO48" s="27">
        <v>178</v>
      </c>
      <c r="BP48" s="27">
        <f>+IF(D197="X",1,0)</f>
        <v>1</v>
      </c>
    </row>
    <row r="49" spans="2:68" ht="17.25">
      <c r="B49" s="147">
        <v>30</v>
      </c>
      <c r="C49" s="148" t="s">
        <v>29</v>
      </c>
      <c r="D49" s="49" t="s">
        <v>234</v>
      </c>
      <c r="E49" s="49"/>
      <c r="F49" s="53">
        <v>30</v>
      </c>
      <c r="H49" s="52">
        <v>146</v>
      </c>
      <c r="I49" s="27" t="str">
        <f>+IF(D165="X",C165," ")</f>
        <v xml:space="preserve"> </v>
      </c>
      <c r="L49" s="52">
        <v>80</v>
      </c>
      <c r="M49" s="30" t="str">
        <f>+IF(D99="X",C99," ")</f>
        <v>Últimamente estoy destrozado.</v>
      </c>
      <c r="N49" s="52">
        <v>78</v>
      </c>
      <c r="O49" s="30" t="str">
        <f>+IF(D97="X",C97," ")</f>
        <v>Recientemente he pensado muy en serio en quitarme la vida.</v>
      </c>
      <c r="T49" s="52">
        <v>136</v>
      </c>
      <c r="U49" s="30" t="str">
        <f>+IF(D155="X",C155," ")</f>
        <v xml:space="preserve"> </v>
      </c>
      <c r="V49" s="52">
        <v>191</v>
      </c>
      <c r="W49" s="30" t="str">
        <f>+IF(D210="X",C210," ")</f>
        <v xml:space="preserve"> </v>
      </c>
      <c r="X49" s="30">
        <v>63</v>
      </c>
      <c r="Y49" s="30" t="str">
        <f>+IF(E82="X",C82," ")</f>
        <v xml:space="preserve"> </v>
      </c>
      <c r="Z49" s="52">
        <v>179</v>
      </c>
      <c r="AA49" s="30" t="str">
        <f>+IF(D198="X",C198," ")</f>
        <v xml:space="preserve"> </v>
      </c>
      <c r="BK49" s="27">
        <v>46</v>
      </c>
      <c r="BL49" s="27">
        <f>+IF(D65="X",1,0)</f>
        <v>1</v>
      </c>
      <c r="BO49" s="27">
        <v>193</v>
      </c>
      <c r="BP49" s="27">
        <f>+IF(D212="X",1,0)</f>
        <v>0</v>
      </c>
    </row>
    <row r="50" spans="2:68" ht="17.25">
      <c r="B50" s="147">
        <v>31</v>
      </c>
      <c r="C50" s="148" t="s">
        <v>30</v>
      </c>
      <c r="D50" s="49" t="s">
        <v>234</v>
      </c>
      <c r="E50" s="49"/>
      <c r="F50" s="53">
        <v>31</v>
      </c>
      <c r="I50" s="43"/>
      <c r="L50" s="52">
        <v>127</v>
      </c>
      <c r="M50" s="30" t="str">
        <f>+IF(D146="X",C146," ")</f>
        <v xml:space="preserve"> </v>
      </c>
      <c r="N50" s="52">
        <v>101</v>
      </c>
      <c r="O50" s="30" t="str">
        <f>+IF(D120="X",C120," ")</f>
        <v>Me siento profundamente deprimido sin saber por qué.</v>
      </c>
      <c r="T50" s="52">
        <v>167</v>
      </c>
      <c r="U50" s="30" t="str">
        <f>+IF(D186="X",C186," ")</f>
        <v>A menudo creo que me han tratado injustamente.</v>
      </c>
      <c r="Z50" s="52">
        <v>190</v>
      </c>
      <c r="AA50" s="30" t="str">
        <f>+IF(D209="X",C209," ")</f>
        <v xml:space="preserve"> </v>
      </c>
      <c r="BK50" s="27">
        <v>48</v>
      </c>
      <c r="BL50" s="27">
        <f>+IF(D67="X",1,0)</f>
        <v>1</v>
      </c>
      <c r="BP50" s="167">
        <f>SUM(BP20:BP49)</f>
        <v>16</v>
      </c>
    </row>
    <row r="51" spans="2:68" ht="17.25">
      <c r="B51" s="147">
        <v>32</v>
      </c>
      <c r="C51" s="148" t="s">
        <v>31</v>
      </c>
      <c r="D51" s="49"/>
      <c r="E51" s="49" t="s">
        <v>234</v>
      </c>
      <c r="F51" s="53">
        <v>32</v>
      </c>
      <c r="L51" s="52">
        <v>177</v>
      </c>
      <c r="M51" s="30" t="str">
        <f>+IF(D196="X",C196," ")</f>
        <v>En muchos periodos de mi vida he estado tan animado y he consumido tanta energía que luego me he sentido muy bajo de ánimo.</v>
      </c>
      <c r="N51" s="52">
        <v>107</v>
      </c>
      <c r="O51" s="30" t="str">
        <f>+IF(D126="X",C126," ")</f>
        <v xml:space="preserve"> </v>
      </c>
      <c r="T51" s="52">
        <v>178</v>
      </c>
      <c r="U51" s="30" t="str">
        <f>+IF(D197="X",C197," ")</f>
        <v>A menudo me siento muy infeliz conmigo mismo.</v>
      </c>
      <c r="BK51" s="27">
        <v>50</v>
      </c>
      <c r="BL51" s="27">
        <f>+IF(D69="X",1,0)</f>
        <v>1</v>
      </c>
    </row>
    <row r="52" spans="2:68" ht="17.25">
      <c r="B52" s="147">
        <v>33</v>
      </c>
      <c r="C52" s="148" t="s">
        <v>32</v>
      </c>
      <c r="D52" s="49" t="s">
        <v>234</v>
      </c>
      <c r="E52" s="49"/>
      <c r="F52" s="53">
        <v>33</v>
      </c>
      <c r="N52" s="52">
        <v>114</v>
      </c>
      <c r="O52" s="30" t="str">
        <f>+IF(D133="X",C133," ")</f>
        <v>Estas últimas semanas me sentido cada vez más triste.</v>
      </c>
      <c r="T52" s="52">
        <v>192</v>
      </c>
      <c r="U52" s="30" t="str">
        <f>+IF(D211="X",C211," ")</f>
        <v xml:space="preserve"> </v>
      </c>
      <c r="BK52" s="27">
        <v>51</v>
      </c>
      <c r="BL52" s="27">
        <f>+IF(D70="X",1,0)</f>
        <v>0</v>
      </c>
    </row>
    <row r="53" spans="2:68" ht="17.25">
      <c r="B53" s="147">
        <v>34</v>
      </c>
      <c r="C53" s="148" t="s">
        <v>33</v>
      </c>
      <c r="D53" s="49" t="s">
        <v>234</v>
      </c>
      <c r="E53" s="49"/>
      <c r="F53" s="53">
        <v>34</v>
      </c>
      <c r="N53" s="52">
        <v>126</v>
      </c>
      <c r="O53" s="30" t="str">
        <f>+IF(D145="X",C145," ")</f>
        <v>A menudo echo a perder las cosas buenas que me ocurren.</v>
      </c>
      <c r="BK53" s="27">
        <v>52</v>
      </c>
      <c r="BL53" s="27">
        <f>+IF(D71="X",1,0)</f>
        <v>0</v>
      </c>
    </row>
    <row r="54" spans="2:68" ht="17.25">
      <c r="B54" s="147">
        <v>35</v>
      </c>
      <c r="C54" s="148" t="s">
        <v>34</v>
      </c>
      <c r="D54" s="49" t="s">
        <v>234</v>
      </c>
      <c r="E54" s="49"/>
      <c r="F54" s="53">
        <v>35</v>
      </c>
      <c r="N54" s="52">
        <v>151</v>
      </c>
      <c r="O54" s="30" t="str">
        <f>+IF(D170="X",C170," ")</f>
        <v xml:space="preserve"> </v>
      </c>
      <c r="BK54" s="27">
        <v>53</v>
      </c>
      <c r="BL54" s="27">
        <f>+IF(D72="X",1,0)</f>
        <v>1</v>
      </c>
    </row>
    <row r="55" spans="2:68" ht="17.25">
      <c r="B55" s="147">
        <v>36</v>
      </c>
      <c r="C55" s="148" t="s">
        <v>35</v>
      </c>
      <c r="D55" s="49"/>
      <c r="E55" s="49" t="s">
        <v>234</v>
      </c>
      <c r="F55" s="53">
        <v>36</v>
      </c>
      <c r="N55" s="52">
        <v>164</v>
      </c>
      <c r="O55" s="30" t="str">
        <f>+IF(D183="X",C183," ")</f>
        <v xml:space="preserve"> </v>
      </c>
      <c r="BK55" s="27">
        <v>54</v>
      </c>
      <c r="BL55" s="27">
        <f>+IF(D73="X",1,0)</f>
        <v>1</v>
      </c>
    </row>
    <row r="56" spans="2:68" ht="17.25">
      <c r="B56" s="147">
        <v>37</v>
      </c>
      <c r="C56" s="148" t="s">
        <v>36</v>
      </c>
      <c r="D56" s="49"/>
      <c r="E56" s="49" t="s">
        <v>234</v>
      </c>
      <c r="F56" s="53">
        <v>37</v>
      </c>
      <c r="BK56" s="27">
        <v>59</v>
      </c>
      <c r="BL56" s="27">
        <f>+IF(D78="X",1,0)</f>
        <v>0</v>
      </c>
    </row>
    <row r="57" spans="2:68" ht="17.25">
      <c r="B57" s="147">
        <v>38</v>
      </c>
      <c r="C57" s="148" t="s">
        <v>37</v>
      </c>
      <c r="D57" s="49"/>
      <c r="E57" s="49" t="s">
        <v>234</v>
      </c>
      <c r="F57" s="53">
        <v>38</v>
      </c>
      <c r="BK57" s="27">
        <v>60</v>
      </c>
      <c r="BL57" s="27">
        <f>+IF(D79="X",1,0)</f>
        <v>0</v>
      </c>
    </row>
    <row r="58" spans="2:68" ht="17.25">
      <c r="B58" s="147">
        <v>39</v>
      </c>
      <c r="C58" s="148" t="s">
        <v>38</v>
      </c>
      <c r="D58" s="49"/>
      <c r="E58" s="49" t="s">
        <v>234</v>
      </c>
      <c r="F58" s="53">
        <v>39</v>
      </c>
      <c r="BK58" s="27">
        <v>63</v>
      </c>
      <c r="BL58" s="27">
        <f>+IF(D82="X",1,0)</f>
        <v>1</v>
      </c>
    </row>
    <row r="59" spans="2:68" ht="17.25">
      <c r="B59" s="147">
        <v>40</v>
      </c>
      <c r="C59" s="148" t="s">
        <v>39</v>
      </c>
      <c r="D59" s="49"/>
      <c r="E59" s="49" t="s">
        <v>234</v>
      </c>
      <c r="F59" s="53">
        <v>40</v>
      </c>
      <c r="BK59" s="27">
        <v>65</v>
      </c>
      <c r="BL59" s="27">
        <f>+IF(D84="X",1,0)</f>
        <v>0</v>
      </c>
    </row>
    <row r="60" spans="2:68" ht="17.25">
      <c r="B60" s="147">
        <v>41</v>
      </c>
      <c r="C60" s="148" t="s">
        <v>40</v>
      </c>
      <c r="D60" s="49" t="s">
        <v>234</v>
      </c>
      <c r="E60" s="49"/>
      <c r="F60" s="53">
        <v>41</v>
      </c>
      <c r="BK60" s="27">
        <v>66</v>
      </c>
      <c r="BL60" s="27">
        <f>+IF(D85="X",1,0)</f>
        <v>1</v>
      </c>
    </row>
    <row r="61" spans="2:68" ht="17.25">
      <c r="B61" s="147">
        <v>42</v>
      </c>
      <c r="C61" s="148" t="s">
        <v>41</v>
      </c>
      <c r="D61" s="49" t="s">
        <v>234</v>
      </c>
      <c r="E61" s="49"/>
      <c r="F61" s="53">
        <v>42</v>
      </c>
      <c r="BK61" s="27">
        <v>67</v>
      </c>
      <c r="BL61" s="27">
        <f>+IF(D86="X",1,0)</f>
        <v>0</v>
      </c>
    </row>
    <row r="62" spans="2:68" ht="17.25">
      <c r="B62" s="147">
        <v>43</v>
      </c>
      <c r="C62" s="148" t="s">
        <v>42</v>
      </c>
      <c r="D62" s="49"/>
      <c r="E62" s="49" t="s">
        <v>234</v>
      </c>
      <c r="F62" s="53">
        <v>43</v>
      </c>
      <c r="BK62" s="27">
        <v>70</v>
      </c>
      <c r="BL62" s="27">
        <f t="shared" ref="BL62:BL67" si="1">+IF(D89="X",1,0)</f>
        <v>0</v>
      </c>
    </row>
    <row r="63" spans="2:68" ht="17.25">
      <c r="B63" s="147">
        <v>44</v>
      </c>
      <c r="C63" s="148" t="s">
        <v>43</v>
      </c>
      <c r="D63" s="49" t="s">
        <v>234</v>
      </c>
      <c r="E63" s="49"/>
      <c r="F63" s="53">
        <v>44</v>
      </c>
      <c r="BK63" s="27">
        <v>71</v>
      </c>
      <c r="BL63" s="27">
        <f t="shared" si="1"/>
        <v>0</v>
      </c>
    </row>
    <row r="64" spans="2:68" ht="17.25">
      <c r="B64" s="147">
        <v>45</v>
      </c>
      <c r="C64" s="148" t="s">
        <v>44</v>
      </c>
      <c r="D64" s="49"/>
      <c r="E64" s="49" t="s">
        <v>234</v>
      </c>
      <c r="F64" s="53">
        <v>45</v>
      </c>
      <c r="BK64" s="27">
        <v>72</v>
      </c>
      <c r="BL64" s="27">
        <f t="shared" si="1"/>
        <v>1</v>
      </c>
    </row>
    <row r="65" spans="2:64" ht="17.25">
      <c r="B65" s="147">
        <v>46</v>
      </c>
      <c r="C65" s="148" t="s">
        <v>45</v>
      </c>
      <c r="D65" s="49" t="s">
        <v>234</v>
      </c>
      <c r="E65" s="49"/>
      <c r="F65" s="53">
        <v>46</v>
      </c>
      <c r="BK65" s="27">
        <v>73</v>
      </c>
      <c r="BL65" s="27">
        <f t="shared" si="1"/>
        <v>0</v>
      </c>
    </row>
    <row r="66" spans="2:64" ht="17.25">
      <c r="B66" s="147">
        <v>47</v>
      </c>
      <c r="C66" s="148" t="s">
        <v>46</v>
      </c>
      <c r="D66" s="49"/>
      <c r="E66" s="49" t="s">
        <v>234</v>
      </c>
      <c r="F66" s="53">
        <v>47</v>
      </c>
      <c r="BK66" s="27">
        <v>74</v>
      </c>
      <c r="BL66" s="27">
        <f t="shared" si="1"/>
        <v>0</v>
      </c>
    </row>
    <row r="67" spans="2:64" ht="17.25">
      <c r="B67" s="147">
        <v>48</v>
      </c>
      <c r="C67" s="148" t="s">
        <v>47</v>
      </c>
      <c r="D67" s="49" t="s">
        <v>234</v>
      </c>
      <c r="E67" s="49"/>
      <c r="F67" s="53">
        <v>48</v>
      </c>
      <c r="BK67" s="27">
        <v>75</v>
      </c>
      <c r="BL67" s="27">
        <f t="shared" si="1"/>
        <v>1</v>
      </c>
    </row>
    <row r="68" spans="2:64" ht="17.25">
      <c r="B68" s="147">
        <v>49</v>
      </c>
      <c r="C68" s="148" t="s">
        <v>48</v>
      </c>
      <c r="D68" s="49"/>
      <c r="E68" s="49" t="s">
        <v>234</v>
      </c>
      <c r="F68" s="53">
        <v>49</v>
      </c>
      <c r="BK68" s="27">
        <v>77</v>
      </c>
      <c r="BL68" s="27">
        <f>+IF(D96="X",1,0)</f>
        <v>1</v>
      </c>
    </row>
    <row r="69" spans="2:64" ht="17.25">
      <c r="B69" s="147">
        <v>50</v>
      </c>
      <c r="C69" s="148" t="s">
        <v>49</v>
      </c>
      <c r="D69" s="49" t="s">
        <v>234</v>
      </c>
      <c r="E69" s="49"/>
      <c r="F69" s="53">
        <v>50</v>
      </c>
      <c r="BK69" s="27">
        <v>79</v>
      </c>
      <c r="BL69" s="27">
        <f>+IF(D98="X",1,0)</f>
        <v>0</v>
      </c>
    </row>
    <row r="70" spans="2:64" ht="17.25">
      <c r="B70" s="147">
        <v>51</v>
      </c>
      <c r="C70" s="148" t="s">
        <v>50</v>
      </c>
      <c r="D70" s="49"/>
      <c r="E70" s="49" t="s">
        <v>234</v>
      </c>
      <c r="F70" s="53">
        <v>51</v>
      </c>
      <c r="BK70" s="27">
        <v>82</v>
      </c>
      <c r="BL70" s="27">
        <f>+IF(D101="X",1,0)</f>
        <v>0</v>
      </c>
    </row>
    <row r="71" spans="2:64" ht="17.25">
      <c r="B71" s="147">
        <v>52</v>
      </c>
      <c r="C71" s="148" t="s">
        <v>51</v>
      </c>
      <c r="D71" s="49"/>
      <c r="E71" s="49" t="s">
        <v>234</v>
      </c>
      <c r="F71" s="53">
        <v>52</v>
      </c>
      <c r="BK71" s="27">
        <v>83</v>
      </c>
      <c r="BL71" s="27">
        <f>+IF(D102="X",1,0)</f>
        <v>0</v>
      </c>
    </row>
    <row r="72" spans="2:64" ht="17.25">
      <c r="B72" s="147">
        <v>53</v>
      </c>
      <c r="C72" s="148" t="s">
        <v>52</v>
      </c>
      <c r="D72" s="49" t="s">
        <v>234</v>
      </c>
      <c r="E72" s="49"/>
      <c r="F72" s="53">
        <v>53</v>
      </c>
      <c r="BK72" s="27">
        <v>84</v>
      </c>
      <c r="BL72" s="27">
        <f>+IF(D103="X",1,0)</f>
        <v>1</v>
      </c>
    </row>
    <row r="73" spans="2:64" ht="17.25">
      <c r="B73" s="147">
        <v>54</v>
      </c>
      <c r="C73" s="148" t="s">
        <v>53</v>
      </c>
      <c r="D73" s="49" t="s">
        <v>234</v>
      </c>
      <c r="E73" s="49"/>
      <c r="F73" s="53">
        <v>54</v>
      </c>
      <c r="BK73" s="27">
        <v>85</v>
      </c>
      <c r="BL73" s="27">
        <f>+IF(D104="X",1,0)</f>
        <v>1</v>
      </c>
    </row>
    <row r="74" spans="2:64" ht="17.25">
      <c r="B74" s="147">
        <v>55</v>
      </c>
      <c r="C74" s="148" t="s">
        <v>54</v>
      </c>
      <c r="D74" s="49"/>
      <c r="E74" s="49" t="s">
        <v>234</v>
      </c>
      <c r="F74" s="53">
        <v>55</v>
      </c>
      <c r="BK74" s="27">
        <v>87</v>
      </c>
      <c r="BL74" s="27">
        <f>+IF(D106="X",1,0)</f>
        <v>1</v>
      </c>
    </row>
    <row r="75" spans="2:64" ht="17.25">
      <c r="B75" s="147">
        <v>56</v>
      </c>
      <c r="C75" s="148" t="s">
        <v>55</v>
      </c>
      <c r="D75" s="49"/>
      <c r="E75" s="49" t="s">
        <v>234</v>
      </c>
      <c r="F75" s="53">
        <v>56</v>
      </c>
      <c r="BK75" s="27">
        <v>88</v>
      </c>
      <c r="BL75" s="27">
        <f>+IF(D107="X",1,0)</f>
        <v>0</v>
      </c>
    </row>
    <row r="76" spans="2:64" ht="17.25">
      <c r="B76" s="147">
        <v>57</v>
      </c>
      <c r="C76" s="148" t="s">
        <v>56</v>
      </c>
      <c r="D76" s="49"/>
      <c r="E76" s="49" t="s">
        <v>234</v>
      </c>
      <c r="F76" s="53">
        <v>57</v>
      </c>
      <c r="BK76" s="27">
        <v>90</v>
      </c>
      <c r="BL76" s="27">
        <f>+IF(D109="X",1,0)</f>
        <v>0</v>
      </c>
    </row>
    <row r="77" spans="2:64" ht="17.25">
      <c r="B77" s="147">
        <v>58</v>
      </c>
      <c r="C77" s="148" t="s">
        <v>57</v>
      </c>
      <c r="D77" s="49"/>
      <c r="E77" s="49" t="s">
        <v>234</v>
      </c>
      <c r="F77" s="53">
        <v>58</v>
      </c>
      <c r="BK77" s="27">
        <v>92</v>
      </c>
      <c r="BL77" s="27">
        <f>+IF(D111="X",1,0)</f>
        <v>1</v>
      </c>
    </row>
    <row r="78" spans="2:64" ht="17.25">
      <c r="B78" s="147">
        <v>59</v>
      </c>
      <c r="C78" s="148" t="s">
        <v>58</v>
      </c>
      <c r="D78" s="49"/>
      <c r="E78" s="49" t="s">
        <v>234</v>
      </c>
      <c r="F78" s="53">
        <v>59</v>
      </c>
      <c r="BK78" s="27">
        <v>93</v>
      </c>
      <c r="BL78" s="27">
        <f>+IF(D112="X",1,0)</f>
        <v>0</v>
      </c>
    </row>
    <row r="79" spans="2:64" ht="17.25">
      <c r="B79" s="147">
        <v>60</v>
      </c>
      <c r="C79" s="148" t="s">
        <v>59</v>
      </c>
      <c r="D79" s="49"/>
      <c r="E79" s="49" t="s">
        <v>234</v>
      </c>
      <c r="F79" s="53">
        <v>60</v>
      </c>
      <c r="BK79" s="27">
        <v>96</v>
      </c>
      <c r="BL79" s="27">
        <f>+IF(D115="X",1,0)</f>
        <v>0</v>
      </c>
    </row>
    <row r="80" spans="2:64" ht="17.25">
      <c r="B80" s="147">
        <v>61</v>
      </c>
      <c r="C80" s="148" t="s">
        <v>60</v>
      </c>
      <c r="D80" s="49"/>
      <c r="E80" s="49" t="s">
        <v>234</v>
      </c>
      <c r="F80" s="53">
        <v>61</v>
      </c>
      <c r="BK80" s="27">
        <v>97</v>
      </c>
      <c r="BL80" s="27">
        <f>+IF(D116="X",1,0)</f>
        <v>0</v>
      </c>
    </row>
    <row r="81" spans="2:64" ht="17.25">
      <c r="B81" s="147">
        <v>62</v>
      </c>
      <c r="C81" s="148" t="s">
        <v>61</v>
      </c>
      <c r="D81" s="49" t="s">
        <v>234</v>
      </c>
      <c r="E81" s="49"/>
      <c r="F81" s="53">
        <v>62</v>
      </c>
      <c r="BK81" s="27">
        <v>99</v>
      </c>
      <c r="BL81" s="27">
        <f>+IF(D118="X",1,0)</f>
        <v>0</v>
      </c>
    </row>
    <row r="82" spans="2:64" ht="17.25">
      <c r="B82" s="147">
        <v>63</v>
      </c>
      <c r="C82" s="148" t="s">
        <v>62</v>
      </c>
      <c r="D82" s="49" t="s">
        <v>234</v>
      </c>
      <c r="E82" s="49"/>
      <c r="F82" s="53">
        <v>63</v>
      </c>
      <c r="BK82" s="27">
        <v>100</v>
      </c>
      <c r="BL82" s="27">
        <f>+IF(D119="X",1,0)</f>
        <v>0</v>
      </c>
    </row>
    <row r="83" spans="2:64" ht="17.25">
      <c r="B83" s="147">
        <v>64</v>
      </c>
      <c r="C83" s="148" t="s">
        <v>63</v>
      </c>
      <c r="D83" s="49" t="s">
        <v>234</v>
      </c>
      <c r="E83" s="49"/>
      <c r="F83" s="53">
        <v>64</v>
      </c>
      <c r="BK83" s="27">
        <v>103</v>
      </c>
      <c r="BL83" s="27">
        <f>+IF(D122="X",1,0)</f>
        <v>0</v>
      </c>
    </row>
    <row r="84" spans="2:64" ht="17.25">
      <c r="B84" s="147">
        <v>65</v>
      </c>
      <c r="C84" s="148" t="s">
        <v>64</v>
      </c>
      <c r="D84" s="49"/>
      <c r="E84" s="49" t="s">
        <v>234</v>
      </c>
      <c r="F84" s="53">
        <v>65</v>
      </c>
      <c r="BK84" s="27">
        <v>105</v>
      </c>
      <c r="BL84" s="27">
        <f>+IF(D124="X",1,0)</f>
        <v>0</v>
      </c>
    </row>
    <row r="85" spans="2:64" ht="17.25">
      <c r="B85" s="147">
        <v>66</v>
      </c>
      <c r="C85" s="148" t="s">
        <v>65</v>
      </c>
      <c r="D85" s="49" t="s">
        <v>234</v>
      </c>
      <c r="E85" s="49"/>
      <c r="F85" s="53">
        <v>66</v>
      </c>
      <c r="BK85" s="27">
        <v>106</v>
      </c>
      <c r="BL85" s="27">
        <f>+IF(D125="X",1,0)</f>
        <v>0</v>
      </c>
    </row>
    <row r="86" spans="2:64" ht="17.25">
      <c r="B86" s="147">
        <v>67</v>
      </c>
      <c r="C86" s="148" t="s">
        <v>66</v>
      </c>
      <c r="D86" s="49"/>
      <c r="E86" s="49" t="s">
        <v>234</v>
      </c>
      <c r="F86" s="53">
        <v>67</v>
      </c>
      <c r="BK86" s="27">
        <v>109</v>
      </c>
      <c r="BL86" s="27">
        <f>+IF(D128="X",1,0)</f>
        <v>0</v>
      </c>
    </row>
    <row r="87" spans="2:64" ht="17.25">
      <c r="B87" s="147">
        <v>68</v>
      </c>
      <c r="C87" s="148" t="s">
        <v>67</v>
      </c>
      <c r="D87" s="49"/>
      <c r="E87" s="49" t="s">
        <v>234</v>
      </c>
      <c r="F87" s="53">
        <v>68</v>
      </c>
      <c r="BK87" s="27">
        <v>111</v>
      </c>
      <c r="BL87" s="27">
        <f>+IF(D130="X",1,0)</f>
        <v>0</v>
      </c>
    </row>
    <row r="88" spans="2:64" ht="17.25">
      <c r="B88" s="147">
        <v>69</v>
      </c>
      <c r="C88" s="148" t="s">
        <v>68</v>
      </c>
      <c r="D88" s="49" t="s">
        <v>234</v>
      </c>
      <c r="E88" s="49"/>
      <c r="F88" s="53">
        <v>69</v>
      </c>
      <c r="BK88" s="27">
        <v>112</v>
      </c>
      <c r="BL88" s="27">
        <f>+IF(D131="X",1,0)</f>
        <v>0</v>
      </c>
    </row>
    <row r="89" spans="2:64" ht="17.25">
      <c r="B89" s="147">
        <v>70</v>
      </c>
      <c r="C89" s="148" t="s">
        <v>69</v>
      </c>
      <c r="D89" s="49"/>
      <c r="E89" s="49" t="s">
        <v>234</v>
      </c>
      <c r="F89" s="53">
        <v>70</v>
      </c>
      <c r="BK89" s="27">
        <v>115</v>
      </c>
      <c r="BL89" s="27">
        <f>+IF(D134="X",1,0)</f>
        <v>0</v>
      </c>
    </row>
    <row r="90" spans="2:64" ht="17.25">
      <c r="B90" s="147">
        <v>71</v>
      </c>
      <c r="C90" s="148" t="s">
        <v>70</v>
      </c>
      <c r="D90" s="49"/>
      <c r="E90" s="49" t="s">
        <v>234</v>
      </c>
      <c r="F90" s="53">
        <v>71</v>
      </c>
      <c r="BK90" s="27">
        <v>117</v>
      </c>
      <c r="BL90" s="27">
        <f>+IF(D136="X",1,0)</f>
        <v>0</v>
      </c>
    </row>
    <row r="91" spans="2:64" ht="17.25">
      <c r="B91" s="147">
        <v>72</v>
      </c>
      <c r="C91" s="148" t="s">
        <v>71</v>
      </c>
      <c r="D91" s="49" t="s">
        <v>234</v>
      </c>
      <c r="E91" s="49"/>
      <c r="F91" s="53">
        <v>72</v>
      </c>
      <c r="BK91" s="27">
        <v>119</v>
      </c>
      <c r="BL91" s="27">
        <f>+IF(D138="X",1,0)</f>
        <v>0</v>
      </c>
    </row>
    <row r="92" spans="2:64" ht="17.25">
      <c r="B92" s="147">
        <v>73</v>
      </c>
      <c r="C92" s="148" t="s">
        <v>72</v>
      </c>
      <c r="D92" s="49"/>
      <c r="E92" s="49" t="s">
        <v>234</v>
      </c>
      <c r="F92" s="53">
        <v>73</v>
      </c>
      <c r="BK92" s="27">
        <v>120</v>
      </c>
      <c r="BL92" s="27">
        <f>+IF(D139="X",1,0)</f>
        <v>1</v>
      </c>
    </row>
    <row r="93" spans="2:64" ht="17.25">
      <c r="B93" s="147">
        <v>74</v>
      </c>
      <c r="C93" s="148" t="s">
        <v>73</v>
      </c>
      <c r="D93" s="49"/>
      <c r="E93" s="49" t="s">
        <v>234</v>
      </c>
      <c r="F93" s="53">
        <v>74</v>
      </c>
      <c r="BK93" s="27">
        <v>122</v>
      </c>
      <c r="BL93" s="27">
        <f>+IF(D141="X",1,0)</f>
        <v>0</v>
      </c>
    </row>
    <row r="94" spans="2:64" ht="17.25">
      <c r="B94" s="147">
        <v>75</v>
      </c>
      <c r="C94" s="148" t="s">
        <v>74</v>
      </c>
      <c r="D94" s="49" t="s">
        <v>234</v>
      </c>
      <c r="E94" s="49"/>
      <c r="F94" s="53">
        <v>75</v>
      </c>
      <c r="BK94" s="27">
        <v>126</v>
      </c>
      <c r="BL94" s="27">
        <f>+IF(D145="X",1,0)</f>
        <v>1</v>
      </c>
    </row>
    <row r="95" spans="2:64" ht="17.25">
      <c r="B95" s="147">
        <v>76</v>
      </c>
      <c r="C95" s="148" t="s">
        <v>75</v>
      </c>
      <c r="D95" s="49" t="s">
        <v>234</v>
      </c>
      <c r="E95" s="49"/>
      <c r="F95" s="53">
        <v>76</v>
      </c>
      <c r="BK95" s="27">
        <v>128</v>
      </c>
      <c r="BL95" s="27">
        <f>+IF(D147="X",1,0)</f>
        <v>1</v>
      </c>
    </row>
    <row r="96" spans="2:64" ht="17.25">
      <c r="B96" s="147">
        <v>77</v>
      </c>
      <c r="C96" s="148" t="s">
        <v>76</v>
      </c>
      <c r="D96" s="49" t="s">
        <v>234</v>
      </c>
      <c r="E96" s="49"/>
      <c r="F96" s="53">
        <v>77</v>
      </c>
      <c r="BK96" s="27">
        <v>129</v>
      </c>
      <c r="BL96" s="27">
        <f>+IF(D148="X",1,0)</f>
        <v>1</v>
      </c>
    </row>
    <row r="97" spans="2:64" ht="17.25">
      <c r="B97" s="147">
        <v>78</v>
      </c>
      <c r="C97" s="148" t="s">
        <v>77</v>
      </c>
      <c r="D97" s="49" t="s">
        <v>234</v>
      </c>
      <c r="E97" s="49"/>
      <c r="F97" s="53">
        <v>78</v>
      </c>
      <c r="BK97" s="27">
        <v>132</v>
      </c>
      <c r="BL97" s="27">
        <f>+IF(D151="X",1,0)</f>
        <v>0</v>
      </c>
    </row>
    <row r="98" spans="2:64" ht="17.25">
      <c r="B98" s="147">
        <v>79</v>
      </c>
      <c r="C98" s="148" t="s">
        <v>78</v>
      </c>
      <c r="D98" s="49"/>
      <c r="E98" s="49" t="s">
        <v>234</v>
      </c>
      <c r="F98" s="53">
        <v>79</v>
      </c>
      <c r="BK98" s="27">
        <v>133</v>
      </c>
      <c r="BL98" s="27">
        <f>+IF(D152="X",1,0)</f>
        <v>0</v>
      </c>
    </row>
    <row r="99" spans="2:64" ht="17.25">
      <c r="B99" s="147">
        <v>80</v>
      </c>
      <c r="C99" s="148" t="s">
        <v>79</v>
      </c>
      <c r="D99" s="49" t="s">
        <v>234</v>
      </c>
      <c r="E99" s="49"/>
      <c r="F99" s="53">
        <v>80</v>
      </c>
      <c r="BK99" s="27">
        <v>135</v>
      </c>
      <c r="BL99" s="27">
        <f>+IF(D154="X",1,0)</f>
        <v>0</v>
      </c>
    </row>
    <row r="100" spans="2:64" ht="17.25">
      <c r="B100" s="147">
        <v>81</v>
      </c>
      <c r="C100" s="148" t="s">
        <v>80</v>
      </c>
      <c r="D100" s="49"/>
      <c r="E100" s="49" t="s">
        <v>234</v>
      </c>
      <c r="F100" s="53">
        <v>81</v>
      </c>
      <c r="BK100" s="27">
        <v>137</v>
      </c>
      <c r="BL100" s="27">
        <f>+IF(D156="X",1,0)</f>
        <v>0</v>
      </c>
    </row>
    <row r="101" spans="2:64" ht="17.25">
      <c r="B101" s="147">
        <v>82</v>
      </c>
      <c r="C101" s="148" t="s">
        <v>81</v>
      </c>
      <c r="D101" s="49"/>
      <c r="E101" s="49" t="s">
        <v>234</v>
      </c>
      <c r="F101" s="53">
        <v>82</v>
      </c>
      <c r="BK101" s="27">
        <v>139</v>
      </c>
      <c r="BL101" s="27">
        <f>+IF(D158="X",1,0)</f>
        <v>0</v>
      </c>
    </row>
    <row r="102" spans="2:64" ht="17.25">
      <c r="B102" s="147">
        <v>83</v>
      </c>
      <c r="C102" s="148" t="s">
        <v>82</v>
      </c>
      <c r="D102" s="49"/>
      <c r="E102" s="49" t="s">
        <v>234</v>
      </c>
      <c r="F102" s="53">
        <v>83</v>
      </c>
      <c r="BK102" s="27">
        <v>140</v>
      </c>
      <c r="BL102" s="27">
        <f>+IF(D159="X",1,0)</f>
        <v>1</v>
      </c>
    </row>
    <row r="103" spans="2:64" ht="17.25">
      <c r="B103" s="147">
        <v>84</v>
      </c>
      <c r="C103" s="148" t="s">
        <v>83</v>
      </c>
      <c r="D103" s="49" t="s">
        <v>234</v>
      </c>
      <c r="E103" s="49"/>
      <c r="F103" s="53">
        <v>84</v>
      </c>
      <c r="BK103" s="27">
        <v>141</v>
      </c>
      <c r="BL103" s="27">
        <f>+IF(D160="X",1,0)</f>
        <v>0</v>
      </c>
    </row>
    <row r="104" spans="2:64" ht="17.25">
      <c r="B104" s="147">
        <v>85</v>
      </c>
      <c r="C104" s="148" t="s">
        <v>84</v>
      </c>
      <c r="D104" s="49" t="s">
        <v>234</v>
      </c>
      <c r="E104" s="49"/>
      <c r="F104" s="53">
        <v>85</v>
      </c>
      <c r="BK104" s="27">
        <v>142</v>
      </c>
      <c r="BL104" s="27">
        <f>+IF(D161="X",1,0)</f>
        <v>0</v>
      </c>
    </row>
    <row r="105" spans="2:64" ht="17.25">
      <c r="B105" s="147">
        <v>86</v>
      </c>
      <c r="C105" s="148" t="s">
        <v>85</v>
      </c>
      <c r="D105" s="49"/>
      <c r="E105" s="49" t="s">
        <v>234</v>
      </c>
      <c r="F105" s="53">
        <v>86</v>
      </c>
      <c r="BK105" s="27">
        <v>145</v>
      </c>
      <c r="BL105" s="27">
        <f>+IF(D164="X",1,0)</f>
        <v>0</v>
      </c>
    </row>
    <row r="106" spans="2:64" ht="17.25">
      <c r="B106" s="147">
        <v>87</v>
      </c>
      <c r="C106" s="148" t="s">
        <v>86</v>
      </c>
      <c r="D106" s="49" t="s">
        <v>234</v>
      </c>
      <c r="E106" s="49"/>
      <c r="F106" s="53">
        <v>87</v>
      </c>
      <c r="BK106" s="27">
        <v>147</v>
      </c>
      <c r="BL106" s="27">
        <f>+IF(D166="X",1,0)</f>
        <v>0</v>
      </c>
    </row>
    <row r="107" spans="2:64" ht="17.25">
      <c r="B107" s="147">
        <v>88</v>
      </c>
      <c r="C107" s="148" t="s">
        <v>87</v>
      </c>
      <c r="D107" s="49"/>
      <c r="E107" s="49" t="s">
        <v>234</v>
      </c>
      <c r="F107" s="53">
        <v>88</v>
      </c>
      <c r="BK107" s="27">
        <v>149</v>
      </c>
      <c r="BL107" s="27">
        <f>+IF(D168="X",1,0)</f>
        <v>0</v>
      </c>
    </row>
    <row r="108" spans="2:64" ht="17.25">
      <c r="B108" s="147">
        <v>89</v>
      </c>
      <c r="C108" s="148" t="s">
        <v>88</v>
      </c>
      <c r="D108" s="49" t="s">
        <v>234</v>
      </c>
      <c r="E108" s="49"/>
      <c r="F108" s="53">
        <v>89</v>
      </c>
      <c r="BK108" s="27">
        <v>152</v>
      </c>
      <c r="BL108" s="27">
        <f>+IF(D171="X",1,0)</f>
        <v>0</v>
      </c>
    </row>
    <row r="109" spans="2:64" ht="17.25">
      <c r="B109" s="147">
        <v>90</v>
      </c>
      <c r="C109" s="148" t="s">
        <v>89</v>
      </c>
      <c r="D109" s="49"/>
      <c r="E109" s="49" t="s">
        <v>234</v>
      </c>
      <c r="F109" s="53">
        <v>90</v>
      </c>
      <c r="BK109" s="27">
        <v>154</v>
      </c>
      <c r="BL109" s="27">
        <f>+IF(D173="X",1,0)</f>
        <v>1</v>
      </c>
    </row>
    <row r="110" spans="2:64" ht="17.25">
      <c r="B110" s="147">
        <v>91</v>
      </c>
      <c r="C110" s="148" t="s">
        <v>90</v>
      </c>
      <c r="D110" s="49" t="s">
        <v>234</v>
      </c>
      <c r="E110" s="49"/>
      <c r="F110" s="53">
        <v>91</v>
      </c>
      <c r="BK110" s="27">
        <v>155</v>
      </c>
      <c r="BL110" s="27">
        <f>+IF(D174="X",1,0)</f>
        <v>1</v>
      </c>
    </row>
    <row r="111" spans="2:64" ht="17.25">
      <c r="B111" s="147">
        <v>92</v>
      </c>
      <c r="C111" s="148" t="s">
        <v>91</v>
      </c>
      <c r="D111" s="49" t="s">
        <v>234</v>
      </c>
      <c r="E111" s="49"/>
      <c r="F111" s="53">
        <v>92</v>
      </c>
      <c r="BK111" s="27">
        <v>156</v>
      </c>
      <c r="BL111" s="27">
        <f>+IF(D175="X",1,0)</f>
        <v>0</v>
      </c>
    </row>
    <row r="112" spans="2:64" ht="17.25">
      <c r="B112" s="147">
        <v>93</v>
      </c>
      <c r="C112" s="148" t="s">
        <v>92</v>
      </c>
      <c r="D112" s="49"/>
      <c r="E112" s="49" t="s">
        <v>234</v>
      </c>
      <c r="F112" s="53">
        <v>93</v>
      </c>
      <c r="BK112" s="27">
        <v>158</v>
      </c>
      <c r="BL112" s="27">
        <f>+IF(D177="X",1,0)</f>
        <v>1</v>
      </c>
    </row>
    <row r="113" spans="2:64" ht="17.25">
      <c r="B113" s="147">
        <v>94</v>
      </c>
      <c r="C113" s="148" t="s">
        <v>93</v>
      </c>
      <c r="D113" s="49"/>
      <c r="E113" s="49" t="s">
        <v>234</v>
      </c>
      <c r="F113" s="53">
        <v>94</v>
      </c>
      <c r="BK113" s="27">
        <v>159</v>
      </c>
      <c r="BL113" s="27">
        <f>+IF(D178="X",1,0)</f>
        <v>0</v>
      </c>
    </row>
    <row r="114" spans="2:64" ht="17.25">
      <c r="B114" s="147">
        <v>95</v>
      </c>
      <c r="C114" s="148" t="s">
        <v>94</v>
      </c>
      <c r="D114" s="49"/>
      <c r="E114" s="49" t="s">
        <v>234</v>
      </c>
      <c r="F114" s="53">
        <v>95</v>
      </c>
      <c r="BK114" s="27">
        <v>162</v>
      </c>
      <c r="BL114" s="27">
        <f>+IF(D181="X",1,0)</f>
        <v>0</v>
      </c>
    </row>
    <row r="115" spans="2:64" ht="17.25">
      <c r="B115" s="147">
        <v>96</v>
      </c>
      <c r="C115" s="148" t="s">
        <v>95</v>
      </c>
      <c r="D115" s="49"/>
      <c r="E115" s="49" t="s">
        <v>234</v>
      </c>
      <c r="F115" s="53">
        <v>96</v>
      </c>
      <c r="BK115" s="27">
        <v>164</v>
      </c>
      <c r="BL115" s="27">
        <f>+IF(D183="X",1,0)</f>
        <v>0</v>
      </c>
    </row>
    <row r="116" spans="2:64" ht="17.25">
      <c r="B116" s="147">
        <v>97</v>
      </c>
      <c r="C116" s="148" t="s">
        <v>96</v>
      </c>
      <c r="D116" s="49"/>
      <c r="E116" s="49" t="s">
        <v>234</v>
      </c>
      <c r="F116" s="53">
        <v>97</v>
      </c>
      <c r="BK116" s="27">
        <v>166</v>
      </c>
      <c r="BL116" s="27">
        <f t="shared" ref="BL116:BL125" si="2">+IF(D185="X",1,0)</f>
        <v>1</v>
      </c>
    </row>
    <row r="117" spans="2:64" ht="17.25">
      <c r="B117" s="147">
        <v>98</v>
      </c>
      <c r="C117" s="148" t="s">
        <v>97</v>
      </c>
      <c r="D117" s="49"/>
      <c r="E117" s="49" t="s">
        <v>234</v>
      </c>
      <c r="F117" s="53">
        <v>98</v>
      </c>
      <c r="BK117" s="27">
        <v>167</v>
      </c>
      <c r="BL117" s="27">
        <f t="shared" si="2"/>
        <v>1</v>
      </c>
    </row>
    <row r="118" spans="2:64" ht="17.25">
      <c r="B118" s="147">
        <v>99</v>
      </c>
      <c r="C118" s="148" t="s">
        <v>98</v>
      </c>
      <c r="D118" s="49"/>
      <c r="E118" s="49" t="s">
        <v>234</v>
      </c>
      <c r="F118" s="53">
        <v>99</v>
      </c>
      <c r="BK118" s="27">
        <v>168</v>
      </c>
      <c r="BL118" s="27">
        <f t="shared" si="2"/>
        <v>0</v>
      </c>
    </row>
    <row r="119" spans="2:64" ht="17.25">
      <c r="B119" s="147">
        <v>100</v>
      </c>
      <c r="C119" s="148" t="s">
        <v>99</v>
      </c>
      <c r="D119" s="49"/>
      <c r="E119" s="49" t="s">
        <v>234</v>
      </c>
      <c r="F119" s="53">
        <v>100</v>
      </c>
      <c r="BK119" s="27">
        <v>169</v>
      </c>
      <c r="BL119" s="27">
        <f t="shared" si="2"/>
        <v>0</v>
      </c>
    </row>
    <row r="120" spans="2:64" ht="17.25">
      <c r="B120" s="147">
        <v>101</v>
      </c>
      <c r="C120" s="148" t="s">
        <v>100</v>
      </c>
      <c r="D120" s="49" t="s">
        <v>234</v>
      </c>
      <c r="E120" s="49"/>
      <c r="F120" s="53">
        <v>101</v>
      </c>
      <c r="BK120" s="27">
        <v>170</v>
      </c>
      <c r="BL120" s="27">
        <f t="shared" si="2"/>
        <v>1</v>
      </c>
    </row>
    <row r="121" spans="2:64" ht="17.25">
      <c r="B121" s="147">
        <v>102</v>
      </c>
      <c r="C121" s="148" t="s">
        <v>101</v>
      </c>
      <c r="D121" s="49"/>
      <c r="E121" s="49" t="s">
        <v>234</v>
      </c>
      <c r="F121" s="53">
        <v>102</v>
      </c>
      <c r="BK121" s="27">
        <v>171</v>
      </c>
      <c r="BL121" s="27">
        <f t="shared" si="2"/>
        <v>0</v>
      </c>
    </row>
    <row r="122" spans="2:64" ht="17.25">
      <c r="B122" s="147">
        <v>103</v>
      </c>
      <c r="C122" s="148" t="s">
        <v>102</v>
      </c>
      <c r="D122" s="49"/>
      <c r="E122" s="49" t="s">
        <v>234</v>
      </c>
      <c r="F122" s="53">
        <v>103</v>
      </c>
      <c r="BK122" s="27">
        <v>172</v>
      </c>
      <c r="BL122" s="27">
        <f t="shared" si="2"/>
        <v>1</v>
      </c>
    </row>
    <row r="123" spans="2:64" ht="17.25">
      <c r="B123" s="147">
        <v>104</v>
      </c>
      <c r="C123" s="148" t="s">
        <v>103</v>
      </c>
      <c r="D123" s="49"/>
      <c r="E123" s="49" t="s">
        <v>234</v>
      </c>
      <c r="F123" s="53">
        <v>104</v>
      </c>
      <c r="BK123" s="27">
        <v>173</v>
      </c>
      <c r="BL123" s="27">
        <f t="shared" si="2"/>
        <v>1</v>
      </c>
    </row>
    <row r="124" spans="2:64" ht="17.25">
      <c r="B124" s="147">
        <v>105</v>
      </c>
      <c r="C124" s="148" t="s">
        <v>104</v>
      </c>
      <c r="D124" s="49"/>
      <c r="E124" s="49" t="s">
        <v>234</v>
      </c>
      <c r="F124" s="53">
        <v>105</v>
      </c>
      <c r="BK124" s="27">
        <v>174</v>
      </c>
      <c r="BL124" s="27">
        <f t="shared" si="2"/>
        <v>1</v>
      </c>
    </row>
    <row r="125" spans="2:64" ht="17.25">
      <c r="B125" s="147">
        <v>106</v>
      </c>
      <c r="C125" s="148" t="s">
        <v>105</v>
      </c>
      <c r="D125" s="49"/>
      <c r="E125" s="49" t="s">
        <v>234</v>
      </c>
      <c r="F125" s="53">
        <v>106</v>
      </c>
      <c r="BK125" s="27">
        <v>175</v>
      </c>
      <c r="BL125" s="27">
        <f t="shared" si="2"/>
        <v>0</v>
      </c>
    </row>
    <row r="126" spans="2:64" ht="17.25">
      <c r="B126" s="147">
        <v>107</v>
      </c>
      <c r="C126" s="148" t="s">
        <v>106</v>
      </c>
      <c r="D126" s="49"/>
      <c r="E126" s="49" t="s">
        <v>234</v>
      </c>
      <c r="F126" s="53">
        <v>107</v>
      </c>
      <c r="BK126" s="27">
        <v>178</v>
      </c>
      <c r="BL126" s="27">
        <f>+IF(D197="X",1,0)</f>
        <v>1</v>
      </c>
    </row>
    <row r="127" spans="2:64" ht="17.25">
      <c r="B127" s="147">
        <v>108</v>
      </c>
      <c r="C127" s="148" t="s">
        <v>107</v>
      </c>
      <c r="D127" s="49"/>
      <c r="E127" s="49" t="s">
        <v>234</v>
      </c>
      <c r="F127" s="53">
        <v>108</v>
      </c>
      <c r="BK127" s="27">
        <v>179</v>
      </c>
      <c r="BL127" s="27">
        <f>+IF(D198="X",1,0)</f>
        <v>0</v>
      </c>
    </row>
    <row r="128" spans="2:64" ht="17.25">
      <c r="B128" s="147">
        <v>109</v>
      </c>
      <c r="C128" s="148" t="s">
        <v>108</v>
      </c>
      <c r="D128" s="49"/>
      <c r="E128" s="49" t="s">
        <v>234</v>
      </c>
      <c r="F128" s="53">
        <v>109</v>
      </c>
      <c r="BK128" s="27">
        <v>180</v>
      </c>
      <c r="BL128" s="27">
        <f>+IF(D199="X",1,0)</f>
        <v>1</v>
      </c>
    </row>
    <row r="129" spans="2:64" ht="17.25">
      <c r="B129" s="147">
        <v>110</v>
      </c>
      <c r="C129" s="148" t="s">
        <v>109</v>
      </c>
      <c r="D129" s="49"/>
      <c r="E129" s="49" t="s">
        <v>234</v>
      </c>
      <c r="F129" s="53">
        <v>110</v>
      </c>
      <c r="BK129" s="27">
        <v>183</v>
      </c>
      <c r="BL129" s="27">
        <f>+IF(D202="X",1,0)</f>
        <v>0</v>
      </c>
    </row>
    <row r="130" spans="2:64" ht="17.25">
      <c r="B130" s="147">
        <v>111</v>
      </c>
      <c r="C130" s="148" t="s">
        <v>110</v>
      </c>
      <c r="D130" s="49"/>
      <c r="E130" s="49" t="s">
        <v>234</v>
      </c>
      <c r="F130" s="53">
        <v>111</v>
      </c>
      <c r="BK130" s="27">
        <v>184</v>
      </c>
      <c r="BL130" s="27">
        <f>+IF(D203="X",1,0)</f>
        <v>0</v>
      </c>
    </row>
    <row r="131" spans="2:64" ht="17.25">
      <c r="B131" s="147">
        <v>112</v>
      </c>
      <c r="C131" s="148" t="s">
        <v>111</v>
      </c>
      <c r="D131" s="49"/>
      <c r="E131" s="49" t="s">
        <v>234</v>
      </c>
      <c r="F131" s="53">
        <v>112</v>
      </c>
      <c r="BK131" s="27">
        <v>185</v>
      </c>
      <c r="BL131" s="27">
        <f>+IF(D204="X",1,0)</f>
        <v>1</v>
      </c>
    </row>
    <row r="132" spans="2:64" ht="17.25">
      <c r="B132" s="147">
        <v>113</v>
      </c>
      <c r="C132" s="148" t="s">
        <v>112</v>
      </c>
      <c r="D132" s="49" t="s">
        <v>234</v>
      </c>
      <c r="E132" s="49"/>
      <c r="F132" s="53">
        <v>113</v>
      </c>
      <c r="BK132" s="27">
        <v>187</v>
      </c>
      <c r="BL132" s="27">
        <f t="shared" ref="BL132:BL140" si="3">+IF(D206="X",1,0)</f>
        <v>1</v>
      </c>
    </row>
    <row r="133" spans="2:64" ht="17.25">
      <c r="B133" s="147">
        <v>114</v>
      </c>
      <c r="C133" s="148" t="s">
        <v>113</v>
      </c>
      <c r="D133" s="49" t="s">
        <v>234</v>
      </c>
      <c r="E133" s="49"/>
      <c r="F133" s="53">
        <v>114</v>
      </c>
      <c r="BK133" s="27">
        <v>188</v>
      </c>
      <c r="BL133" s="27">
        <f t="shared" si="3"/>
        <v>1</v>
      </c>
    </row>
    <row r="134" spans="2:64" ht="17.25">
      <c r="B134" s="147">
        <v>115</v>
      </c>
      <c r="C134" s="148" t="s">
        <v>114</v>
      </c>
      <c r="D134" s="49"/>
      <c r="E134" s="49" t="s">
        <v>234</v>
      </c>
      <c r="F134" s="53">
        <v>115</v>
      </c>
      <c r="BK134" s="27">
        <v>189</v>
      </c>
      <c r="BL134" s="27">
        <f t="shared" si="3"/>
        <v>0</v>
      </c>
    </row>
    <row r="135" spans="2:64" ht="17.25">
      <c r="B135" s="147">
        <v>116</v>
      </c>
      <c r="C135" s="148" t="s">
        <v>115</v>
      </c>
      <c r="D135" s="49"/>
      <c r="E135" s="49" t="s">
        <v>234</v>
      </c>
      <c r="F135" s="53">
        <v>116</v>
      </c>
      <c r="BK135" s="27">
        <v>190</v>
      </c>
      <c r="BL135" s="27">
        <f t="shared" si="3"/>
        <v>0</v>
      </c>
    </row>
    <row r="136" spans="2:64" ht="17.25">
      <c r="B136" s="147">
        <v>117</v>
      </c>
      <c r="C136" s="148" t="s">
        <v>116</v>
      </c>
      <c r="D136" s="49"/>
      <c r="E136" s="49" t="s">
        <v>234</v>
      </c>
      <c r="F136" s="53">
        <v>117</v>
      </c>
      <c r="BK136" s="27">
        <v>191</v>
      </c>
      <c r="BL136" s="27">
        <f t="shared" si="3"/>
        <v>0</v>
      </c>
    </row>
    <row r="137" spans="2:64" ht="17.25">
      <c r="B137" s="147">
        <v>118</v>
      </c>
      <c r="C137" s="148" t="s">
        <v>117</v>
      </c>
      <c r="D137" s="49"/>
      <c r="E137" s="49" t="s">
        <v>234</v>
      </c>
      <c r="F137" s="53">
        <v>118</v>
      </c>
      <c r="BK137" s="27">
        <v>192</v>
      </c>
      <c r="BL137" s="27">
        <f t="shared" si="3"/>
        <v>0</v>
      </c>
    </row>
    <row r="138" spans="2:64" ht="17.25">
      <c r="B138" s="147">
        <v>119</v>
      </c>
      <c r="C138" s="148" t="s">
        <v>118</v>
      </c>
      <c r="D138" s="49"/>
      <c r="E138" s="49" t="s">
        <v>234</v>
      </c>
      <c r="F138" s="53">
        <v>119</v>
      </c>
      <c r="BK138" s="27">
        <v>193</v>
      </c>
      <c r="BL138" s="27">
        <f t="shared" si="3"/>
        <v>0</v>
      </c>
    </row>
    <row r="139" spans="2:64" ht="17.25">
      <c r="B139" s="147">
        <v>120</v>
      </c>
      <c r="C139" s="148" t="s">
        <v>119</v>
      </c>
      <c r="D139" s="49" t="s">
        <v>234</v>
      </c>
      <c r="E139" s="49"/>
      <c r="F139" s="53">
        <v>120</v>
      </c>
      <c r="BK139" s="27">
        <v>194</v>
      </c>
      <c r="BL139" s="27">
        <f t="shared" si="3"/>
        <v>1</v>
      </c>
    </row>
    <row r="140" spans="2:64" ht="17.25">
      <c r="B140" s="147">
        <v>121</v>
      </c>
      <c r="C140" s="148" t="s">
        <v>120</v>
      </c>
      <c r="D140" s="49" t="s">
        <v>234</v>
      </c>
      <c r="E140" s="49"/>
      <c r="F140" s="53">
        <v>121</v>
      </c>
      <c r="BK140" s="27">
        <v>195</v>
      </c>
      <c r="BL140" s="27">
        <f t="shared" si="3"/>
        <v>0</v>
      </c>
    </row>
    <row r="141" spans="2:64" ht="17.25">
      <c r="B141" s="147">
        <v>122</v>
      </c>
      <c r="C141" s="148" t="s">
        <v>121</v>
      </c>
      <c r="D141" s="49"/>
      <c r="E141" s="49" t="s">
        <v>234</v>
      </c>
      <c r="F141" s="53">
        <v>122</v>
      </c>
      <c r="BL141" s="29">
        <f>SUM(BL20:BL140)</f>
        <v>46</v>
      </c>
    </row>
    <row r="142" spans="2:64" ht="34.5">
      <c r="B142" s="147">
        <v>123</v>
      </c>
      <c r="C142" s="148" t="s">
        <v>122</v>
      </c>
      <c r="D142" s="49" t="s">
        <v>234</v>
      </c>
      <c r="E142" s="49"/>
      <c r="F142" s="53">
        <v>123</v>
      </c>
    </row>
    <row r="143" spans="2:64" ht="17.25">
      <c r="B143" s="147">
        <v>124</v>
      </c>
      <c r="C143" s="148" t="s">
        <v>123</v>
      </c>
      <c r="D143" s="49" t="s">
        <v>234</v>
      </c>
      <c r="E143" s="49"/>
      <c r="F143" s="53">
        <v>124</v>
      </c>
    </row>
    <row r="144" spans="2:64" ht="17.25">
      <c r="B144" s="147">
        <v>125</v>
      </c>
      <c r="C144" s="148" t="s">
        <v>124</v>
      </c>
      <c r="D144" s="49" t="s">
        <v>234</v>
      </c>
      <c r="E144" s="49"/>
      <c r="F144" s="53">
        <v>125</v>
      </c>
    </row>
    <row r="145" spans="2:6" ht="17.25">
      <c r="B145" s="147">
        <v>126</v>
      </c>
      <c r="C145" s="148" t="s">
        <v>125</v>
      </c>
      <c r="D145" s="49" t="s">
        <v>234</v>
      </c>
      <c r="E145" s="49"/>
      <c r="F145" s="53">
        <v>126</v>
      </c>
    </row>
    <row r="146" spans="2:6" ht="17.25">
      <c r="B146" s="147">
        <v>127</v>
      </c>
      <c r="C146" s="148" t="s">
        <v>126</v>
      </c>
      <c r="D146" s="49"/>
      <c r="E146" s="49" t="s">
        <v>234</v>
      </c>
      <c r="F146" s="53">
        <v>127</v>
      </c>
    </row>
    <row r="147" spans="2:6" ht="17.25">
      <c r="B147" s="147">
        <v>128</v>
      </c>
      <c r="C147" s="148" t="s">
        <v>127</v>
      </c>
      <c r="D147" s="49" t="s">
        <v>234</v>
      </c>
      <c r="E147" s="49"/>
      <c r="F147" s="53">
        <v>128</v>
      </c>
    </row>
    <row r="148" spans="2:6" ht="17.25">
      <c r="B148" s="147">
        <v>129</v>
      </c>
      <c r="C148" s="148" t="s">
        <v>128</v>
      </c>
      <c r="D148" s="49" t="s">
        <v>234</v>
      </c>
      <c r="E148" s="49"/>
      <c r="F148" s="53">
        <v>129</v>
      </c>
    </row>
    <row r="149" spans="2:6" ht="17.25">
      <c r="B149" s="147">
        <v>130</v>
      </c>
      <c r="C149" s="148" t="s">
        <v>129</v>
      </c>
      <c r="D149" s="49"/>
      <c r="E149" s="49" t="s">
        <v>234</v>
      </c>
      <c r="F149" s="53">
        <v>130</v>
      </c>
    </row>
    <row r="150" spans="2:6" ht="17.25">
      <c r="B150" s="147">
        <v>131</v>
      </c>
      <c r="C150" s="148" t="s">
        <v>130</v>
      </c>
      <c r="D150" s="49" t="s">
        <v>234</v>
      </c>
      <c r="E150" s="49"/>
      <c r="F150" s="53">
        <v>131</v>
      </c>
    </row>
    <row r="151" spans="2:6" ht="17.25">
      <c r="B151" s="147">
        <v>132</v>
      </c>
      <c r="C151" s="148" t="s">
        <v>131</v>
      </c>
      <c r="D151" s="49"/>
      <c r="E151" s="49" t="s">
        <v>234</v>
      </c>
      <c r="F151" s="53">
        <v>132</v>
      </c>
    </row>
    <row r="152" spans="2:6" ht="17.25">
      <c r="B152" s="147">
        <v>133</v>
      </c>
      <c r="C152" s="148" t="s">
        <v>132</v>
      </c>
      <c r="D152" s="49"/>
      <c r="E152" s="49" t="s">
        <v>234</v>
      </c>
      <c r="F152" s="53">
        <v>133</v>
      </c>
    </row>
    <row r="153" spans="2:6" ht="17.25">
      <c r="B153" s="147">
        <v>134</v>
      </c>
      <c r="C153" s="148" t="s">
        <v>133</v>
      </c>
      <c r="D153" s="49"/>
      <c r="E153" s="49" t="s">
        <v>234</v>
      </c>
      <c r="F153" s="53">
        <v>134</v>
      </c>
    </row>
    <row r="154" spans="2:6" ht="17.25">
      <c r="B154" s="147">
        <v>135</v>
      </c>
      <c r="C154" s="148" t="s">
        <v>134</v>
      </c>
      <c r="D154" s="49"/>
      <c r="E154" s="49" t="s">
        <v>234</v>
      </c>
      <c r="F154" s="53">
        <v>135</v>
      </c>
    </row>
    <row r="155" spans="2:6" ht="17.25">
      <c r="B155" s="147">
        <v>136</v>
      </c>
      <c r="C155" s="148" t="s">
        <v>135</v>
      </c>
      <c r="D155" s="49"/>
      <c r="E155" s="49" t="s">
        <v>234</v>
      </c>
      <c r="F155" s="53">
        <v>136</v>
      </c>
    </row>
    <row r="156" spans="2:6" ht="17.25">
      <c r="B156" s="147">
        <v>137</v>
      </c>
      <c r="C156" s="148" t="s">
        <v>136</v>
      </c>
      <c r="D156" s="49"/>
      <c r="E156" s="49" t="s">
        <v>234</v>
      </c>
      <c r="F156" s="53">
        <v>137</v>
      </c>
    </row>
    <row r="157" spans="2:6" ht="17.25">
      <c r="B157" s="147">
        <v>138</v>
      </c>
      <c r="C157" s="148" t="s">
        <v>137</v>
      </c>
      <c r="D157" s="49"/>
      <c r="E157" s="49" t="s">
        <v>234</v>
      </c>
      <c r="F157" s="53">
        <v>138</v>
      </c>
    </row>
    <row r="158" spans="2:6" ht="17.25">
      <c r="B158" s="147">
        <v>139</v>
      </c>
      <c r="C158" s="148" t="s">
        <v>138</v>
      </c>
      <c r="D158" s="49"/>
      <c r="E158" s="49" t="s">
        <v>234</v>
      </c>
      <c r="F158" s="53">
        <v>139</v>
      </c>
    </row>
    <row r="159" spans="2:6" ht="17.25">
      <c r="B159" s="147">
        <v>140</v>
      </c>
      <c r="C159" s="148" t="s">
        <v>139</v>
      </c>
      <c r="D159" s="49" t="s">
        <v>234</v>
      </c>
      <c r="E159" s="49"/>
      <c r="F159" s="53">
        <v>140</v>
      </c>
    </row>
    <row r="160" spans="2:6" ht="17.25">
      <c r="B160" s="147">
        <v>141</v>
      </c>
      <c r="C160" s="148" t="s">
        <v>140</v>
      </c>
      <c r="D160" s="49"/>
      <c r="E160" s="49" t="s">
        <v>234</v>
      </c>
      <c r="F160" s="53">
        <v>141</v>
      </c>
    </row>
    <row r="161" spans="2:6" ht="17.25">
      <c r="B161" s="147">
        <v>142</v>
      </c>
      <c r="C161" s="148" t="s">
        <v>141</v>
      </c>
      <c r="D161" s="49"/>
      <c r="E161" s="49" t="s">
        <v>234</v>
      </c>
      <c r="F161" s="53">
        <v>142</v>
      </c>
    </row>
    <row r="162" spans="2:6" ht="17.25">
      <c r="B162" s="147">
        <v>143</v>
      </c>
      <c r="C162" s="148" t="s">
        <v>142</v>
      </c>
      <c r="D162" s="49"/>
      <c r="E162" s="49" t="s">
        <v>234</v>
      </c>
      <c r="F162" s="53">
        <v>143</v>
      </c>
    </row>
    <row r="163" spans="2:6" ht="17.25">
      <c r="B163" s="147">
        <v>144</v>
      </c>
      <c r="C163" s="148" t="s">
        <v>143</v>
      </c>
      <c r="D163" s="49"/>
      <c r="E163" s="49" t="s">
        <v>234</v>
      </c>
      <c r="F163" s="53">
        <v>144</v>
      </c>
    </row>
    <row r="164" spans="2:6" ht="17.25">
      <c r="B164" s="147">
        <v>145</v>
      </c>
      <c r="C164" s="148" t="s">
        <v>144</v>
      </c>
      <c r="D164" s="49"/>
      <c r="E164" s="49" t="s">
        <v>234</v>
      </c>
      <c r="F164" s="53">
        <v>145</v>
      </c>
    </row>
    <row r="165" spans="2:6" ht="17.25">
      <c r="B165" s="147">
        <v>146</v>
      </c>
      <c r="C165" s="148" t="s">
        <v>145</v>
      </c>
      <c r="D165" s="49"/>
      <c r="E165" s="49" t="s">
        <v>234</v>
      </c>
      <c r="F165" s="53">
        <v>146</v>
      </c>
    </row>
    <row r="166" spans="2:6" ht="17.25">
      <c r="B166" s="147">
        <v>147</v>
      </c>
      <c r="C166" s="148" t="s">
        <v>146</v>
      </c>
      <c r="D166" s="49"/>
      <c r="E166" s="49" t="s">
        <v>234</v>
      </c>
      <c r="F166" s="53">
        <v>147</v>
      </c>
    </row>
    <row r="167" spans="2:6" ht="17.25">
      <c r="B167" s="147">
        <v>148</v>
      </c>
      <c r="C167" s="148" t="s">
        <v>147</v>
      </c>
      <c r="D167" s="49" t="s">
        <v>234</v>
      </c>
      <c r="E167" s="49"/>
      <c r="F167" s="53">
        <v>148</v>
      </c>
    </row>
    <row r="168" spans="2:6" ht="17.25">
      <c r="B168" s="147">
        <v>149</v>
      </c>
      <c r="C168" s="148" t="s">
        <v>148</v>
      </c>
      <c r="D168" s="49"/>
      <c r="E168" s="49" t="s">
        <v>234</v>
      </c>
      <c r="F168" s="53">
        <v>149</v>
      </c>
    </row>
    <row r="169" spans="2:6" ht="17.25">
      <c r="B169" s="147">
        <v>150</v>
      </c>
      <c r="C169" s="148" t="s">
        <v>149</v>
      </c>
      <c r="D169" s="49"/>
      <c r="E169" s="49" t="s">
        <v>234</v>
      </c>
      <c r="F169" s="53">
        <v>150</v>
      </c>
    </row>
    <row r="170" spans="2:6" ht="17.25">
      <c r="B170" s="147">
        <v>151</v>
      </c>
      <c r="C170" s="148" t="s">
        <v>150</v>
      </c>
      <c r="D170" s="49"/>
      <c r="E170" s="49" t="s">
        <v>234</v>
      </c>
      <c r="F170" s="53">
        <v>151</v>
      </c>
    </row>
    <row r="171" spans="2:6" ht="17.25">
      <c r="B171" s="147">
        <v>152</v>
      </c>
      <c r="C171" s="148" t="s">
        <v>151</v>
      </c>
      <c r="D171" s="49"/>
      <c r="E171" s="49" t="s">
        <v>234</v>
      </c>
      <c r="F171" s="53">
        <v>152</v>
      </c>
    </row>
    <row r="172" spans="2:6" ht="17.25">
      <c r="B172" s="147">
        <v>153</v>
      </c>
      <c r="C172" s="148" t="s">
        <v>152</v>
      </c>
      <c r="D172" s="49"/>
      <c r="E172" s="49" t="s">
        <v>234</v>
      </c>
      <c r="F172" s="53">
        <v>153</v>
      </c>
    </row>
    <row r="173" spans="2:6" ht="17.25">
      <c r="B173" s="147">
        <v>154</v>
      </c>
      <c r="C173" s="148" t="s">
        <v>153</v>
      </c>
      <c r="D173" s="49" t="s">
        <v>234</v>
      </c>
      <c r="E173" s="49"/>
      <c r="F173" s="53">
        <v>154</v>
      </c>
    </row>
    <row r="174" spans="2:6" ht="17.25">
      <c r="B174" s="147">
        <v>155</v>
      </c>
      <c r="C174" s="148" t="s">
        <v>154</v>
      </c>
      <c r="D174" s="49" t="s">
        <v>234</v>
      </c>
      <c r="E174" s="49"/>
      <c r="F174" s="53">
        <v>155</v>
      </c>
    </row>
    <row r="175" spans="2:6" ht="17.25">
      <c r="B175" s="147">
        <v>156</v>
      </c>
      <c r="C175" s="148" t="s">
        <v>155</v>
      </c>
      <c r="D175" s="49"/>
      <c r="E175" s="49" t="s">
        <v>234</v>
      </c>
      <c r="F175" s="53">
        <v>156</v>
      </c>
    </row>
    <row r="176" spans="2:6" ht="17.25">
      <c r="B176" s="147">
        <v>157</v>
      </c>
      <c r="C176" s="148" t="s">
        <v>156</v>
      </c>
      <c r="D176" s="49"/>
      <c r="E176" s="49" t="s">
        <v>234</v>
      </c>
      <c r="F176" s="53">
        <v>157</v>
      </c>
    </row>
    <row r="177" spans="2:6" ht="17.25">
      <c r="B177" s="147">
        <v>158</v>
      </c>
      <c r="C177" s="148" t="s">
        <v>157</v>
      </c>
      <c r="D177" s="49" t="s">
        <v>234</v>
      </c>
      <c r="E177" s="49"/>
      <c r="F177" s="53">
        <v>158</v>
      </c>
    </row>
    <row r="178" spans="2:6" ht="17.25">
      <c r="B178" s="147">
        <v>159</v>
      </c>
      <c r="C178" s="148" t="s">
        <v>158</v>
      </c>
      <c r="D178" s="49"/>
      <c r="E178" s="49" t="s">
        <v>234</v>
      </c>
      <c r="F178" s="53">
        <v>159</v>
      </c>
    </row>
    <row r="179" spans="2:6" ht="17.25">
      <c r="B179" s="147">
        <v>160</v>
      </c>
      <c r="C179" s="148" t="s">
        <v>159</v>
      </c>
      <c r="D179" s="49"/>
      <c r="E179" s="49" t="s">
        <v>234</v>
      </c>
      <c r="F179" s="53">
        <v>160</v>
      </c>
    </row>
    <row r="180" spans="2:6" ht="17.25">
      <c r="B180" s="147">
        <v>161</v>
      </c>
      <c r="C180" s="148" t="s">
        <v>160</v>
      </c>
      <c r="D180" s="49"/>
      <c r="E180" s="49" t="s">
        <v>234</v>
      </c>
      <c r="F180" s="53">
        <v>161</v>
      </c>
    </row>
    <row r="181" spans="2:6" ht="17.25">
      <c r="B181" s="147">
        <v>162</v>
      </c>
      <c r="C181" s="148" t="s">
        <v>161</v>
      </c>
      <c r="D181" s="49"/>
      <c r="E181" s="49" t="s">
        <v>234</v>
      </c>
      <c r="F181" s="53">
        <v>162</v>
      </c>
    </row>
    <row r="182" spans="2:6" ht="17.25">
      <c r="B182" s="147">
        <v>163</v>
      </c>
      <c r="C182" s="148" t="s">
        <v>162</v>
      </c>
      <c r="D182" s="49" t="s">
        <v>234</v>
      </c>
      <c r="E182" s="49"/>
      <c r="F182" s="53">
        <v>163</v>
      </c>
    </row>
    <row r="183" spans="2:6" ht="17.25">
      <c r="B183" s="147">
        <v>164</v>
      </c>
      <c r="C183" s="148" t="s">
        <v>163</v>
      </c>
      <c r="D183" s="49"/>
      <c r="E183" s="49" t="s">
        <v>234</v>
      </c>
      <c r="F183" s="53">
        <v>164</v>
      </c>
    </row>
    <row r="184" spans="2:6" ht="17.25">
      <c r="B184" s="147">
        <v>165</v>
      </c>
      <c r="C184" s="148" t="s">
        <v>164</v>
      </c>
      <c r="D184" s="49"/>
      <c r="E184" s="49" t="s">
        <v>234</v>
      </c>
      <c r="F184" s="53">
        <v>165</v>
      </c>
    </row>
    <row r="185" spans="2:6" ht="17.25">
      <c r="B185" s="147">
        <v>166</v>
      </c>
      <c r="C185" s="148" t="s">
        <v>165</v>
      </c>
      <c r="D185" s="49" t="s">
        <v>234</v>
      </c>
      <c r="E185" s="49"/>
      <c r="F185" s="53">
        <v>166</v>
      </c>
    </row>
    <row r="186" spans="2:6" ht="17.25">
      <c r="B186" s="147">
        <v>167</v>
      </c>
      <c r="C186" s="148" t="s">
        <v>166</v>
      </c>
      <c r="D186" s="49" t="s">
        <v>234</v>
      </c>
      <c r="E186" s="49"/>
      <c r="F186" s="53">
        <v>167</v>
      </c>
    </row>
    <row r="187" spans="2:6" ht="17.25">
      <c r="B187" s="147">
        <v>168</v>
      </c>
      <c r="C187" s="148" t="s">
        <v>167</v>
      </c>
      <c r="D187" s="49"/>
      <c r="E187" s="49" t="s">
        <v>234</v>
      </c>
      <c r="F187" s="53">
        <v>168</v>
      </c>
    </row>
    <row r="188" spans="2:6" ht="17.25">
      <c r="B188" s="147">
        <v>169</v>
      </c>
      <c r="C188" s="148" t="s">
        <v>168</v>
      </c>
      <c r="D188" s="49"/>
      <c r="E188" s="49" t="s">
        <v>234</v>
      </c>
      <c r="F188" s="53">
        <v>169</v>
      </c>
    </row>
    <row r="189" spans="2:6" ht="17.25">
      <c r="B189" s="147">
        <v>170</v>
      </c>
      <c r="C189" s="148" t="s">
        <v>169</v>
      </c>
      <c r="D189" s="49" t="s">
        <v>234</v>
      </c>
      <c r="E189" s="49"/>
      <c r="F189" s="53">
        <v>170</v>
      </c>
    </row>
    <row r="190" spans="2:6" ht="17.25">
      <c r="B190" s="147">
        <v>171</v>
      </c>
      <c r="C190" s="148" t="s">
        <v>170</v>
      </c>
      <c r="D190" s="49"/>
      <c r="E190" s="49" t="s">
        <v>234</v>
      </c>
      <c r="F190" s="53">
        <v>171</v>
      </c>
    </row>
    <row r="191" spans="2:6" ht="17.25">
      <c r="B191" s="147">
        <v>172</v>
      </c>
      <c r="C191" s="148" t="s">
        <v>171</v>
      </c>
      <c r="D191" s="49" t="s">
        <v>234</v>
      </c>
      <c r="E191" s="49"/>
      <c r="F191" s="53">
        <v>172</v>
      </c>
    </row>
    <row r="192" spans="2:6" ht="17.25">
      <c r="B192" s="147">
        <v>173</v>
      </c>
      <c r="C192" s="148" t="s">
        <v>172</v>
      </c>
      <c r="D192" s="49" t="s">
        <v>234</v>
      </c>
      <c r="E192" s="49"/>
      <c r="F192" s="53">
        <v>173</v>
      </c>
    </row>
    <row r="193" spans="2:6" ht="17.25">
      <c r="B193" s="147">
        <v>174</v>
      </c>
      <c r="C193" s="148" t="s">
        <v>173</v>
      </c>
      <c r="D193" s="49" t="s">
        <v>234</v>
      </c>
      <c r="E193" s="49"/>
      <c r="F193" s="53">
        <v>174</v>
      </c>
    </row>
    <row r="194" spans="2:6" ht="17.25">
      <c r="B194" s="147">
        <v>175</v>
      </c>
      <c r="C194" s="148" t="s">
        <v>174</v>
      </c>
      <c r="D194" s="49"/>
      <c r="E194" s="49" t="s">
        <v>234</v>
      </c>
      <c r="F194" s="53">
        <v>175</v>
      </c>
    </row>
    <row r="195" spans="2:6" ht="17.25">
      <c r="B195" s="147">
        <v>176</v>
      </c>
      <c r="C195" s="148" t="s">
        <v>175</v>
      </c>
      <c r="D195" s="49" t="s">
        <v>234</v>
      </c>
      <c r="E195" s="49"/>
      <c r="F195" s="53">
        <v>176</v>
      </c>
    </row>
    <row r="196" spans="2:6" ht="34.5">
      <c r="B196" s="147">
        <v>177</v>
      </c>
      <c r="C196" s="148" t="s">
        <v>176</v>
      </c>
      <c r="D196" s="49" t="s">
        <v>234</v>
      </c>
      <c r="E196" s="49"/>
      <c r="F196" s="53">
        <v>177</v>
      </c>
    </row>
    <row r="197" spans="2:6" ht="17.25">
      <c r="B197" s="147">
        <v>178</v>
      </c>
      <c r="C197" s="148" t="s">
        <v>177</v>
      </c>
      <c r="D197" s="49" t="s">
        <v>234</v>
      </c>
      <c r="E197" s="49"/>
      <c r="F197" s="53">
        <v>178</v>
      </c>
    </row>
    <row r="198" spans="2:6" ht="17.25">
      <c r="B198" s="147">
        <v>179</v>
      </c>
      <c r="C198" s="148" t="s">
        <v>178</v>
      </c>
      <c r="D198" s="49"/>
      <c r="E198" s="49" t="s">
        <v>234</v>
      </c>
      <c r="F198" s="53">
        <v>179</v>
      </c>
    </row>
    <row r="199" spans="2:6" ht="17.25">
      <c r="B199" s="147">
        <v>180</v>
      </c>
      <c r="C199" s="148" t="s">
        <v>179</v>
      </c>
      <c r="D199" s="49" t="s">
        <v>234</v>
      </c>
      <c r="E199" s="49"/>
      <c r="F199" s="53">
        <v>180</v>
      </c>
    </row>
    <row r="200" spans="2:6" ht="17.25">
      <c r="B200" s="147">
        <v>181</v>
      </c>
      <c r="C200" s="148" t="s">
        <v>180</v>
      </c>
      <c r="D200" s="49"/>
      <c r="E200" s="49" t="s">
        <v>234</v>
      </c>
      <c r="F200" s="53">
        <v>181</v>
      </c>
    </row>
    <row r="201" spans="2:6" ht="17.25">
      <c r="B201" s="147">
        <v>182</v>
      </c>
      <c r="C201" s="148" t="s">
        <v>181</v>
      </c>
      <c r="D201" s="49"/>
      <c r="E201" s="49" t="s">
        <v>234</v>
      </c>
      <c r="F201" s="53">
        <v>182</v>
      </c>
    </row>
    <row r="202" spans="2:6" ht="17.25">
      <c r="B202" s="147">
        <v>183</v>
      </c>
      <c r="C202" s="148" t="s">
        <v>182</v>
      </c>
      <c r="D202" s="49"/>
      <c r="E202" s="49" t="s">
        <v>234</v>
      </c>
      <c r="F202" s="53">
        <v>183</v>
      </c>
    </row>
    <row r="203" spans="2:6" ht="17.25">
      <c r="B203" s="147">
        <v>184</v>
      </c>
      <c r="C203" s="148" t="s">
        <v>183</v>
      </c>
      <c r="D203" s="49"/>
      <c r="E203" s="49" t="s">
        <v>234</v>
      </c>
      <c r="F203" s="53">
        <v>184</v>
      </c>
    </row>
    <row r="204" spans="2:6" ht="17.25">
      <c r="B204" s="147">
        <v>185</v>
      </c>
      <c r="C204" s="148" t="s">
        <v>184</v>
      </c>
      <c r="D204" s="49" t="s">
        <v>234</v>
      </c>
      <c r="E204" s="49"/>
      <c r="F204" s="53">
        <v>185</v>
      </c>
    </row>
    <row r="205" spans="2:6" ht="17.25">
      <c r="B205" s="147">
        <v>186</v>
      </c>
      <c r="C205" s="148" t="s">
        <v>185</v>
      </c>
      <c r="D205" s="49"/>
      <c r="E205" s="49" t="s">
        <v>234</v>
      </c>
      <c r="F205" s="53">
        <v>186</v>
      </c>
    </row>
    <row r="206" spans="2:6" ht="17.25">
      <c r="B206" s="147">
        <v>187</v>
      </c>
      <c r="C206" s="148" t="s">
        <v>186</v>
      </c>
      <c r="D206" s="49" t="s">
        <v>234</v>
      </c>
      <c r="E206" s="49"/>
      <c r="F206" s="53">
        <v>187</v>
      </c>
    </row>
    <row r="207" spans="2:6" ht="17.25">
      <c r="B207" s="147">
        <v>188</v>
      </c>
      <c r="C207" s="148" t="s">
        <v>187</v>
      </c>
      <c r="D207" s="49" t="s">
        <v>234</v>
      </c>
      <c r="E207" s="49"/>
      <c r="F207" s="53">
        <v>188</v>
      </c>
    </row>
    <row r="208" spans="2:6" ht="17.25">
      <c r="B208" s="147">
        <v>189</v>
      </c>
      <c r="C208" s="148" t="s">
        <v>188</v>
      </c>
      <c r="D208" s="49"/>
      <c r="E208" s="49" t="s">
        <v>234</v>
      </c>
      <c r="F208" s="53">
        <v>189</v>
      </c>
    </row>
    <row r="209" spans="2:6" ht="17.25">
      <c r="B209" s="147">
        <v>190</v>
      </c>
      <c r="C209" s="148" t="s">
        <v>189</v>
      </c>
      <c r="D209" s="49"/>
      <c r="E209" s="49" t="s">
        <v>234</v>
      </c>
      <c r="F209" s="53">
        <v>190</v>
      </c>
    </row>
    <row r="210" spans="2:6" ht="17.25">
      <c r="B210" s="147">
        <v>191</v>
      </c>
      <c r="C210" s="148" t="s">
        <v>190</v>
      </c>
      <c r="D210" s="49"/>
      <c r="E210" s="49" t="s">
        <v>234</v>
      </c>
      <c r="F210" s="53">
        <v>191</v>
      </c>
    </row>
    <row r="211" spans="2:6" ht="17.25">
      <c r="B211" s="147">
        <v>192</v>
      </c>
      <c r="C211" s="148" t="s">
        <v>191</v>
      </c>
      <c r="D211" s="49"/>
      <c r="E211" s="49" t="s">
        <v>234</v>
      </c>
      <c r="F211" s="53">
        <v>192</v>
      </c>
    </row>
    <row r="212" spans="2:6" ht="17.25">
      <c r="B212" s="147">
        <v>193</v>
      </c>
      <c r="C212" s="148" t="s">
        <v>192</v>
      </c>
      <c r="D212" s="49"/>
      <c r="E212" s="49" t="s">
        <v>234</v>
      </c>
      <c r="F212" s="53">
        <v>193</v>
      </c>
    </row>
    <row r="213" spans="2:6" ht="17.25">
      <c r="B213" s="147">
        <v>194</v>
      </c>
      <c r="C213" s="148" t="s">
        <v>193</v>
      </c>
      <c r="D213" s="49" t="s">
        <v>234</v>
      </c>
      <c r="E213" s="49"/>
      <c r="F213" s="53">
        <v>194</v>
      </c>
    </row>
    <row r="214" spans="2:6" ht="17.25">
      <c r="B214" s="147">
        <v>195</v>
      </c>
      <c r="C214" s="148" t="s">
        <v>194</v>
      </c>
      <c r="D214" s="49"/>
      <c r="E214" s="49" t="s">
        <v>234</v>
      </c>
      <c r="F214" s="53">
        <v>195</v>
      </c>
    </row>
    <row r="215" spans="2:6"/>
    <row r="216" spans="2:6"/>
    <row r="217" spans="2:6"/>
    <row r="218" spans="2:6"/>
    <row r="219" spans="2:6"/>
    <row r="220" spans="2:6"/>
    <row r="221" spans="2:6"/>
    <row r="222" spans="2:6" ht="15">
      <c r="C222" s="149"/>
    </row>
    <row r="223" spans="2:6"/>
    <row r="224" spans="2:6"/>
    <row r="225"/>
  </sheetData>
  <mergeCells count="48">
    <mergeCell ref="C8:F8"/>
    <mergeCell ref="C10:F12"/>
    <mergeCell ref="C13:F16"/>
    <mergeCell ref="AD18:AE18"/>
    <mergeCell ref="H18:I18"/>
    <mergeCell ref="J18:K18"/>
    <mergeCell ref="L18:M18"/>
    <mergeCell ref="N18:O18"/>
    <mergeCell ref="P18:Q18"/>
    <mergeCell ref="R18:S18"/>
    <mergeCell ref="T18:U18"/>
    <mergeCell ref="V18:W18"/>
    <mergeCell ref="X18:Y18"/>
    <mergeCell ref="Z18:AA18"/>
    <mergeCell ref="AB18:AC18"/>
    <mergeCell ref="AG18:AH18"/>
    <mergeCell ref="AI18:AJ18"/>
    <mergeCell ref="AK18:AL18"/>
    <mergeCell ref="AN18:AO18"/>
    <mergeCell ref="AR18:AS18"/>
    <mergeCell ref="AZ18:BA18"/>
    <mergeCell ref="AP18:AQ18"/>
    <mergeCell ref="BC18:BD18"/>
    <mergeCell ref="BE18:BF18"/>
    <mergeCell ref="BG18:BH18"/>
    <mergeCell ref="AT18:AU18"/>
    <mergeCell ref="AV18:AW18"/>
    <mergeCell ref="AX18:AY18"/>
    <mergeCell ref="BK18:BL18"/>
    <mergeCell ref="BM18:BN18"/>
    <mergeCell ref="BO18:BP18"/>
    <mergeCell ref="BR18:BS18"/>
    <mergeCell ref="BT18:BU18"/>
    <mergeCell ref="BW18:CB18"/>
    <mergeCell ref="CD18:CI18"/>
    <mergeCell ref="CK18:CP18"/>
    <mergeCell ref="CR18:CW18"/>
    <mergeCell ref="CY18:DD18"/>
    <mergeCell ref="DF18:DK18"/>
    <mergeCell ref="DM18:DR18"/>
    <mergeCell ref="DT18:DY18"/>
    <mergeCell ref="EA18:EF18"/>
    <mergeCell ref="EH18:EM18"/>
    <mergeCell ref="EO18:ET18"/>
    <mergeCell ref="EV18:FA18"/>
    <mergeCell ref="FC18:FH18"/>
    <mergeCell ref="FJ18:FO18"/>
    <mergeCell ref="FQ18:FV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Borrar_Protocolo">
                <anchor moveWithCells="1" sizeWithCells="1">
                  <from>
                    <xdr:col>6</xdr:col>
                    <xdr:colOff>47625</xdr:colOff>
                    <xdr:row>6</xdr:row>
                    <xdr:rowOff>142875</xdr:rowOff>
                  </from>
                  <to>
                    <xdr:col>6</xdr:col>
                    <xdr:colOff>733425</xdr:colOff>
                    <xdr:row>8</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8C7737-6D9C-429B-860E-1D6F08887B27}">
  <sheetPr codeName="Hoja3"/>
  <dimension ref="A1:CG459"/>
  <sheetViews>
    <sheetView showGridLines="0" tabSelected="1" topLeftCell="A25" zoomScale="70" zoomScaleNormal="70" workbookViewId="0">
      <selection activeCell="A361" sqref="A361:XFD1048576"/>
    </sheetView>
  </sheetViews>
  <sheetFormatPr baseColWidth="10" defaultColWidth="0" defaultRowHeight="18.75" zeroHeight="1"/>
  <cols>
    <col min="1" max="1" width="9" style="58" customWidth="1"/>
    <col min="2" max="2" width="5.140625" style="176" customWidth="1"/>
    <col min="3" max="3" width="2" style="176" customWidth="1"/>
    <col min="4" max="4" width="18.28515625" style="176" customWidth="1"/>
    <col min="5" max="5" width="16.42578125" style="176" customWidth="1"/>
    <col min="6" max="6" width="7.7109375" style="176" customWidth="1"/>
    <col min="7" max="8" width="6.7109375" style="177" customWidth="1"/>
    <col min="9" max="9" width="6.7109375" style="178" customWidth="1"/>
    <col min="10" max="10" width="3.140625" style="176" customWidth="1"/>
    <col min="11" max="11" width="9.42578125" style="176" customWidth="1"/>
    <col min="12" max="13" width="13" style="176" customWidth="1"/>
    <col min="14" max="14" width="9.7109375" style="176" customWidth="1"/>
    <col min="15" max="15" width="7.7109375" style="177" customWidth="1"/>
    <col min="16" max="17" width="6.7109375" style="177" customWidth="1"/>
    <col min="18" max="18" width="12.42578125" style="58" customWidth="1"/>
    <col min="19" max="19" width="11" style="58" hidden="1"/>
    <col min="20" max="20" width="18.5703125" style="59" hidden="1"/>
    <col min="21" max="22" width="18.5703125" style="58" hidden="1"/>
    <col min="23" max="23" width="18.5703125" style="59" hidden="1"/>
    <col min="24" max="25" width="8.85546875" style="78" hidden="1"/>
    <col min="26" max="26" width="8.85546875" style="60" hidden="1"/>
    <col min="27" max="27" width="8.85546875" style="59" hidden="1"/>
    <col min="28" max="28" width="8.85546875" style="58" hidden="1"/>
    <col min="29" max="85" width="8.7109375" style="58" hidden="1"/>
    <col min="86" max="16384" width="1.85546875" style="58" hidden="1"/>
  </cols>
  <sheetData>
    <row r="1" spans="1:23" ht="9.75" customHeight="1">
      <c r="A1" s="54"/>
      <c r="B1" s="55"/>
      <c r="C1" s="55"/>
      <c r="D1" s="55"/>
      <c r="E1" s="55"/>
      <c r="F1" s="55"/>
      <c r="G1" s="56"/>
      <c r="H1" s="56"/>
      <c r="I1" s="57"/>
      <c r="J1" s="55"/>
      <c r="K1" s="55"/>
      <c r="L1" s="55"/>
      <c r="M1" s="55"/>
      <c r="N1" s="55"/>
      <c r="O1" s="56"/>
      <c r="P1" s="56"/>
      <c r="Q1" s="56"/>
    </row>
    <row r="2" spans="1:23" ht="7.5" customHeight="1">
      <c r="B2" s="55"/>
      <c r="C2" s="55"/>
      <c r="D2" s="55"/>
      <c r="E2" s="55"/>
      <c r="F2" s="61"/>
      <c r="G2" s="56"/>
      <c r="H2" s="56"/>
      <c r="I2" s="57"/>
      <c r="J2" s="55"/>
      <c r="K2" s="55"/>
      <c r="L2" s="55"/>
      <c r="M2" s="55"/>
      <c r="N2" s="55"/>
      <c r="O2" s="56"/>
      <c r="P2" s="56"/>
      <c r="Q2" s="56"/>
    </row>
    <row r="3" spans="1:23" ht="7.5" customHeight="1">
      <c r="B3" s="55"/>
      <c r="C3" s="55"/>
      <c r="D3" s="55"/>
      <c r="E3" s="55"/>
      <c r="F3" s="61"/>
      <c r="G3" s="56"/>
      <c r="H3" s="56"/>
      <c r="I3" s="57"/>
      <c r="J3" s="55"/>
      <c r="K3" s="55"/>
      <c r="L3" s="55"/>
      <c r="M3" s="55"/>
      <c r="N3" s="55"/>
      <c r="O3" s="56"/>
      <c r="P3" s="56"/>
      <c r="Q3" s="56"/>
    </row>
    <row r="4" spans="1:23" ht="18.75" customHeight="1">
      <c r="B4" s="62"/>
      <c r="C4" s="62"/>
      <c r="D4" s="62"/>
      <c r="E4" s="63"/>
      <c r="F4" s="63"/>
      <c r="G4" s="64"/>
      <c r="H4" s="64"/>
      <c r="I4" s="65"/>
      <c r="J4" s="62"/>
      <c r="K4" s="62"/>
      <c r="L4" s="62"/>
      <c r="M4" s="62"/>
      <c r="N4" s="62"/>
      <c r="O4" s="64"/>
      <c r="P4" s="64"/>
      <c r="Q4" s="64"/>
    </row>
    <row r="5" spans="1:23" ht="4.5" customHeight="1">
      <c r="B5" s="66"/>
      <c r="C5" s="66"/>
      <c r="D5" s="66"/>
      <c r="E5" s="67"/>
      <c r="F5" s="67"/>
      <c r="G5" s="68"/>
      <c r="H5" s="68"/>
      <c r="I5" s="69"/>
      <c r="J5" s="66"/>
      <c r="K5" s="66"/>
      <c r="L5" s="66"/>
      <c r="M5" s="66"/>
      <c r="N5" s="66"/>
      <c r="O5" s="68"/>
      <c r="P5" s="68"/>
      <c r="Q5" s="68"/>
    </row>
    <row r="6" spans="1:23" ht="17.25">
      <c r="B6" s="55" t="s">
        <v>218</v>
      </c>
      <c r="C6" s="55"/>
      <c r="D6" s="55"/>
      <c r="E6" s="55"/>
      <c r="F6" s="55"/>
      <c r="G6" s="56"/>
      <c r="H6" s="56"/>
      <c r="I6" s="57"/>
      <c r="J6" s="55"/>
      <c r="K6" s="55"/>
      <c r="L6" s="213" t="str">
        <f>+Portada!C19</f>
        <v>Jose Anibal Motaño</v>
      </c>
      <c r="M6" s="213"/>
      <c r="N6" s="213"/>
      <c r="O6" s="213"/>
      <c r="P6" s="211" t="s">
        <v>218</v>
      </c>
      <c r="Q6" s="211"/>
    </row>
    <row r="7" spans="1:23" ht="13.5" customHeight="1">
      <c r="B7" s="214">
        <f ca="1">+TODAY()</f>
        <v>46162</v>
      </c>
      <c r="C7" s="214"/>
      <c r="D7" s="214"/>
      <c r="E7" s="55"/>
      <c r="F7" s="55"/>
      <c r="G7" s="56"/>
      <c r="H7" s="56"/>
      <c r="I7" s="57"/>
      <c r="J7" s="55"/>
      <c r="K7" s="55"/>
      <c r="L7" s="55"/>
      <c r="M7" s="71"/>
      <c r="N7" s="71"/>
      <c r="O7" s="71"/>
      <c r="P7" s="56"/>
      <c r="Q7" s="56"/>
    </row>
    <row r="8" spans="1:23" ht="4.5" customHeight="1" thickBot="1">
      <c r="B8" s="55"/>
      <c r="C8" s="55"/>
      <c r="D8" s="55"/>
      <c r="E8" s="72"/>
      <c r="F8" s="72"/>
      <c r="G8" s="73"/>
      <c r="H8" s="73"/>
      <c r="I8" s="74"/>
      <c r="J8" s="72"/>
      <c r="K8" s="72"/>
      <c r="L8" s="72"/>
      <c r="M8" s="75"/>
      <c r="N8" s="75"/>
      <c r="O8" s="75"/>
      <c r="P8" s="75"/>
      <c r="Q8" s="75"/>
    </row>
    <row r="9" spans="1:23" ht="5.25" customHeight="1" thickTop="1">
      <c r="B9" s="55"/>
      <c r="C9" s="55"/>
      <c r="D9" s="55"/>
      <c r="E9" s="55"/>
      <c r="F9" s="55"/>
      <c r="G9" s="56"/>
      <c r="H9" s="56"/>
      <c r="I9" s="57"/>
      <c r="J9" s="55"/>
      <c r="K9" s="55"/>
      <c r="L9" s="55"/>
      <c r="M9" s="55"/>
      <c r="N9" s="55"/>
      <c r="O9" s="56"/>
      <c r="P9" s="56"/>
      <c r="Q9" s="56"/>
    </row>
    <row r="10" spans="1:23">
      <c r="B10" s="227" t="s">
        <v>219</v>
      </c>
      <c r="C10" s="227"/>
      <c r="D10" s="227"/>
      <c r="E10" s="227"/>
      <c r="F10" s="227"/>
      <c r="G10" s="227"/>
      <c r="H10" s="227"/>
      <c r="I10" s="227"/>
      <c r="J10" s="227"/>
      <c r="K10" s="227"/>
      <c r="L10" s="227"/>
      <c r="M10" s="227"/>
      <c r="N10" s="227"/>
      <c r="O10" s="227"/>
      <c r="P10" s="227"/>
      <c r="Q10" s="227"/>
    </row>
    <row r="11" spans="1:23" ht="3.75" customHeight="1">
      <c r="B11" s="55"/>
      <c r="C11" s="55"/>
      <c r="D11" s="55"/>
      <c r="E11" s="55"/>
      <c r="F11" s="55"/>
      <c r="G11" s="56"/>
      <c r="H11" s="56"/>
      <c r="I11" s="57"/>
      <c r="J11" s="55"/>
      <c r="K11" s="55"/>
      <c r="L11" s="55"/>
      <c r="M11" s="55"/>
      <c r="N11" s="55"/>
      <c r="O11" s="56"/>
      <c r="P11" s="56"/>
      <c r="Q11" s="56"/>
    </row>
    <row r="12" spans="1:23">
      <c r="B12" s="228" t="s">
        <v>220</v>
      </c>
      <c r="C12" s="228"/>
      <c r="D12" s="228"/>
      <c r="E12" s="228"/>
      <c r="F12" s="228"/>
      <c r="G12" s="228"/>
      <c r="H12" s="228"/>
      <c r="I12" s="228"/>
      <c r="J12" s="228"/>
      <c r="K12" s="228"/>
      <c r="L12" s="228"/>
      <c r="M12" s="228"/>
      <c r="N12" s="228"/>
      <c r="O12" s="228"/>
      <c r="P12" s="228"/>
      <c r="Q12" s="228"/>
      <c r="V12" s="78" t="str">
        <f>IF(OR(P13&lt;0,P13&gt;3,P15&lt;0,P15&gt;25),"Los indicadores de respuestas aleatorias presentan valores fuera de los límites en que pueden interpretarse, por lo que es necesario revisar la corrección del protocolo antes de proseguir con su interpretación clínica.",IF(AND(P13&gt;=2,P15&gt;=20),_xlfn._LONGTEXT("El protocolo debe considerarse inválido a partir de los indicadores de respuestas aleatorias, por lo que no debe llevarse a cabo su interpretación. Las escalas V (Invalidez) y W (Inconsistencia) configuran de manera conjunta un patrón de respuesta compati","ble con un proceder aleatorio, lo que puede deberse a problemas de lectura o limitaciones lingüísticas, dificultad para mantener la atención, deterioro cognitivo, descuido, indiferencia, fatiga o falta de cooperación. En estos casos deben investigarse las"," posibles causas y, hasta que no se averigüe el motivo de la aleatoriedad, los resultados no deben interpretarse."),IF(P13&gt;=2,_xlfn._LONGTEXT("El protocolo debe considerarse inválido a partir de los indicadores de respuestas aleatorias, por lo que no debe llevarse a cabo su interpretación. La escala V (Invalidez) presenta una puntuación compatible con un proceder aleatorio frente al contenido de","l inventario, lo que puede deberse a problemas de lectura o limitaciones lingüísticas, dificultad para mantener la atención, deterioro cognitivo, descuido, indiferencia, fatiga o falta de cooperación. En estos casos deben investigarse las posibles causas ","y, hasta que no se averigüe el motivo de la aleatoriedad, los resultados no deben interpretarse."),IF(P15&gt;=20,_xlfn._LONGTEXT("El protocolo debe considerarse inválido a partir de los indicadores de respuestas aleatorias, por lo que no debe llevarse a cabo su interpretación. La escala W (Inconsistencia) evidencia discrepancias entre pares de ítems compatibles con un patrón de resp","uestas contradictorias, lo que puede deberse a problemas de lectura o limitaciones lingüísticas, dificultad para mantener la atención, deterioro cognitivo, descuido, indiferencia, fatiga o falta de cooperación. En estos casos deben investigarse las posibl","es causas y, hasta que no se averigüe el motivo de la aleatoriedad, los resultados no deben interpretarse."),IF(AND(P15&gt;=9,P15&lt;=19),_xlfn._LONGTEXT("El protocolo se sitúa en el rango de los considerados cuestionables a partir del indicador de respuestas aleatorias W (Inconsistencia), que evidencia un número llamativo de respuestas contradictorias entre pares de ítems con contenido similar, lo cual sug","iere una falta de receptividad al contenido de los ítems por parte del evaluado(a). Entre las causas habituales de tal patrón se incluyen problemas de lectura o limitaciones lingüísticas, dificultad para mantener la atención, deterioro cognitivo, descuido",", fatiga o una falta de cooperación deliberada; cabe investigar la posible incidencia de tales factores en las respuestas del evaluado(a) y, entretanto, los resultados deben interpretarse con cautela y contrastarse con la información obtenida más allá del"," inventario, es decir, entrevista clínica, historial psicosocial y otras fuentes, antes de extraer conclusiones definitivas."),IF(P13=1,_xlfn._LONGTEXT("El protocolo se sitúa en el rango de los considerados cuestionables a partir del indicador de respuestas aleatorias V (Invalidez), que presenta una puntuación que, sin alcanzar el umbral de invalidez, reduce la consistencia general del perfil. Tal patrón ","puede deberse a problemas de lectura o limitaciones lingüísticas, dificultad para mantener la atención, deterioro cognitivo, descuido, indiferencia, fatiga o falta de cooperación; cabe investigar las posibles causas y, entretanto, las elevaciones del perf","il deben contrastarse con la información obtenida más allá del inventario, es decir, entrevista clínica, historial psicosocial y otras fuentes, antes de extraer conclusiones definitivas."),"El perfil es interpretable: las escalas V (Invalidez) y W (Inconsistencia) no muestran un patrón compatible con respuestas aleatorias, de modo que el perfil puede analizarse a partir de las elevaciones que presenta."))))))</f>
        <v>El perfil es interpretable: las escalas V (Invalidez) y W (Inconsistencia) no muestran un patrón compatible con respuestas aleatorias, de modo que el perfil puede analizarse a partir de las elevaciones que presenta.</v>
      </c>
      <c r="W12" s="58"/>
    </row>
    <row r="13" spans="1:23" ht="15" customHeight="1">
      <c r="B13" s="205" t="s">
        <v>222</v>
      </c>
      <c r="C13" s="205"/>
      <c r="D13" s="205"/>
      <c r="E13" s="205"/>
      <c r="F13" s="205"/>
      <c r="G13" s="209" t="str">
        <f ca="1">INDEX(F27:F38, MATCH(LARGE(S27:S38,1), S27:S38, 0)) &amp; " " &amp;
INDEX(F27:F38, MATCH(LARGE(S27:S38,2), S27:S38, 0)) &amp; " " &amp;
INDEX(F27:F38, MATCH(LARGE(S27:S38,3), S27:S38, 0))</f>
        <v>4A 3 4B</v>
      </c>
      <c r="H13" s="209"/>
      <c r="I13" s="57"/>
      <c r="J13" s="55"/>
      <c r="K13" s="55"/>
      <c r="L13" s="55"/>
      <c r="M13" s="210" t="s">
        <v>224</v>
      </c>
      <c r="N13" s="210"/>
      <c r="O13" s="210"/>
      <c r="P13" s="56">
        <f>+Protocolo!BS23</f>
        <v>0</v>
      </c>
      <c r="Q13" s="56"/>
      <c r="V13" s="78"/>
      <c r="W13" s="58"/>
    </row>
    <row r="14" spans="1:23" ht="3" customHeight="1">
      <c r="B14" s="79"/>
      <c r="C14" s="79"/>
      <c r="D14" s="79"/>
      <c r="E14" s="79"/>
      <c r="F14" s="79"/>
      <c r="G14" s="56"/>
      <c r="H14" s="56"/>
      <c r="I14" s="57"/>
      <c r="J14" s="55"/>
      <c r="K14" s="55"/>
      <c r="L14" s="77"/>
      <c r="M14" s="77"/>
      <c r="N14" s="55"/>
      <c r="O14" s="56"/>
      <c r="P14" s="56"/>
      <c r="Q14" s="56"/>
      <c r="V14" s="59"/>
      <c r="W14" s="58"/>
    </row>
    <row r="15" spans="1:23" ht="15" customHeight="1">
      <c r="B15" s="229" t="s">
        <v>221</v>
      </c>
      <c r="C15" s="229"/>
      <c r="D15" s="229"/>
      <c r="E15" s="229"/>
      <c r="F15" s="229"/>
      <c r="G15" s="209" t="str">
        <f ca="1">+Ajustes!H3</f>
        <v>A/CC</v>
      </c>
      <c r="H15" s="209"/>
      <c r="I15" s="57"/>
      <c r="J15" s="55"/>
      <c r="K15" s="55"/>
      <c r="L15" s="55"/>
      <c r="M15" s="213" t="s">
        <v>223</v>
      </c>
      <c r="N15" s="213"/>
      <c r="O15" s="213"/>
      <c r="P15" s="56">
        <f>+Protocolo!BU45</f>
        <v>4</v>
      </c>
      <c r="Q15" s="56"/>
      <c r="V15" s="78"/>
      <c r="W15" s="58"/>
    </row>
    <row r="16" spans="1:23" ht="18.75" customHeight="1">
      <c r="B16" s="80"/>
      <c r="C16" s="80"/>
      <c r="D16" s="80"/>
      <c r="E16" s="80"/>
      <c r="F16" s="80"/>
      <c r="G16" s="81"/>
      <c r="H16" s="56"/>
      <c r="I16" s="57"/>
      <c r="J16" s="80"/>
      <c r="K16" s="80"/>
      <c r="L16" s="80"/>
      <c r="M16" s="80"/>
      <c r="N16" s="80"/>
      <c r="O16" s="81"/>
      <c r="P16" s="81"/>
      <c r="Q16" s="81"/>
      <c r="V16" s="78" t="str">
        <f ca="1">IF(MAX(I27:I38)&lt;60,_xlfn._LONGTEXT("ninguna de las escalas de los patrones clínicos de la personalidad alcanza una tasa base igual o superior a 60, por lo que el perfil no refleja un patrón de personalidad claro que permita establecer un diagnóstico. Tales elevaciones pueden resultar ideogr","áficamente útiles para formular hipótesis clínicas, si bien no se consideran fiables ni válidas con fines diagnósticos."),IF(MAX(I27:I38)&gt;=85,_xlfn._LONGTEXT("se observan elevaciones iguales o superiores a 85 en una o más escalas de los patrones clínicos de la personalidad, lo que refleja una patología suficientemente generalizada como para considerarla un trastorno clínico de la personalidad y, en su caso, el ","umbral propio de la patología grave de la personalidad. Las tres escalas con la puntuación más alta constituyen el código de puntuaciones máximas; al analizarse por separado y en su configuración conjunta, aportan información sustantiva sobre la estructur","a de polaridades (placer-dolor, pasivo-activo, uno mismo-otros) y sobre los dominios funcionales y estructurales que articulan la matriz personológica del evaluado(a), en la medida en que esta opera como mediador inmunológico entre el estrés psicosocial y"," la producción de síntomas."),_xlfn._LONGTEXT("se observan elevaciones con tasas base iguales o superiores a 60 en una o más escalas de los patrones clínicos de la personalidad, lo que indica que las respuestas del evaluado(a) son similares a las de los sujetos de la muestra de tipificación que presen","tan rasgos de un patrón determinado y posiblemente reflejan estilos adaptativos de la personalidad con problemas moderados u ocasionales en áreas específicas; las elevaciones iguales o superiores a 75 indican tipos de personalidad menos adaptativos con ra","sgos problemáticos propios del constructo correspondiente, en tanto que las elevaciones iguales o superiores a 85 reflejan una patología suficientemente generalizada como para considerarla un trastorno clínico de la personalidad.")))</f>
        <v>se observan elevaciones con tasas base iguales o superiores a 60 en una o más escalas de los patrones clínicos de la personalidad, lo que indica que las respuestas del evaluado(a) son similares a las de los sujetos de la muestra de tipificación que presentan rasgos de un patrón determinado y posiblemente reflejan estilos adaptativos de la personalidad con problemas moderados u ocasionales en áreas específicas; las elevaciones iguales o superiores a 75 indican tipos de personalidad menos adaptativos con rasgos problemáticos propios del constructo correspondiente, en tanto que las elevaciones iguales o superiores a 85 reflejan una patología suficientemente generalizada como para considerarla un trastorno clínico de la personalidad.</v>
      </c>
      <c r="W16" s="58"/>
    </row>
    <row r="17" spans="1:27" ht="16.5" customHeight="1">
      <c r="A17" s="82"/>
      <c r="B17" s="207" t="s">
        <v>225</v>
      </c>
      <c r="C17" s="207"/>
      <c r="D17" s="207"/>
      <c r="E17" s="207"/>
      <c r="F17" s="207"/>
      <c r="G17" s="56"/>
      <c r="H17" s="230" t="s">
        <v>226</v>
      </c>
      <c r="I17" s="231"/>
      <c r="J17" s="203" t="s">
        <v>229</v>
      </c>
      <c r="K17" s="203"/>
      <c r="L17" s="203"/>
      <c r="M17" s="203"/>
      <c r="N17" s="203"/>
      <c r="O17" s="203"/>
      <c r="P17" s="203"/>
      <c r="Q17" s="204"/>
      <c r="V17" s="59"/>
      <c r="W17" s="58" t="str">
        <f ca="1">IF(OR(H20&lt;7,H20&gt;114),_xlfn._LONGTEXT("el perfil debe considerarse inválido a partir de los índices modificadores, dado que la puntuación directa de la escala X (Sinceridad) se sitúa fuera de los límites en que el protocolo resulta clínicamente interpretable. El evaluado(a) ha minimizado o exa","gerado sus síntomas en una medida tal que los resultados no pueden interpretarse con fiabilidad, por lo que no debe llevarse a cabo la interpretación de las elevaciones del perfil."),IF(AND(H20&lt;21,I21&gt;=75,I22&gt;=75),_xlfn._LONGTEXT("el evaluado(a) respondió afirmativamente a ítems que reflejan síntomas y características antitéticos, lo que da lugar a dudas sobre la validez del perfil. Esta configuración, en la que la escala X (Sinceridad) se sitúa en el rango compatible con una posib","le minimización de los síntomas y las escalas Y (Deseabilidad social) y Z (Devaluación) aparecen simultáneamente elevadas, debe interpretarse con cautela en el resto del perfil. Cabe señalar que tal configuración se observa, en ocasiones, en evaluados con"," trastornos depresivos graves habitualmente acompañados de agitación."),IF(AND(H20&gt;60,I22&gt;=75),_xlfn._LONGTEXT("la elevación conjunta de las escalas X (Sinceridad) y Z (Devaluación) configura un perfil de «petición de ayuda», en el que el estilo de respuesta de el evaluado(a) lo hace parecer más alterado psicológicamente de lo que realmente está. La escala X (Since","ridad) se sitúa en el rango de una posible exageración de los síntomas y la elevación de la escala Z (Devaluación) indica la tendencia a menospreciarse o subestimarse manifestando más problemas emocionales y personales de los que un análisis posterior pue","da reflejar; ")&amp;IF(H21&lt;21,"la escala Y (Deseabilidad social) se mantiene baja",IF(I21&gt;=75,"a este patrón se añade una elevación de la escala Y (Deseabilidad social)","la escala Y (Deseabilidad social) se mantiene en el rango medio"))&amp;_xlfn._LONGTEXT(". Debe analizarse con detalle las puntuaciones altas no solo para obtener una evaluación más precisa de lo que podría ser un nivel distorsionado de los problemas psicológicos, sino también para determinar si reflejan una petición de ayuda significativa po","r parte de el evaluado(a)."),"")))</f>
        <v/>
      </c>
    </row>
    <row r="18" spans="1:27" ht="16.5" customHeight="1">
      <c r="A18" s="82"/>
      <c r="B18" s="208"/>
      <c r="C18" s="208"/>
      <c r="D18" s="208"/>
      <c r="E18" s="208"/>
      <c r="F18" s="208"/>
      <c r="G18" s="81"/>
      <c r="H18" s="84" t="s">
        <v>227</v>
      </c>
      <c r="I18" s="85" t="s">
        <v>228</v>
      </c>
      <c r="J18" s="86"/>
      <c r="K18" s="80"/>
      <c r="L18" s="80"/>
      <c r="M18" s="80"/>
      <c r="N18" s="80"/>
      <c r="O18" s="81"/>
      <c r="P18" s="81"/>
      <c r="Q18" s="87"/>
      <c r="V18" s="59"/>
      <c r="W18" s="58" t="str">
        <f ca="1">IF(AND(H20&lt;21,H21&lt;21,I22&gt;=75),_xlfn._LONGTEXT("las puntuaciones bajas en las escalas X (Sinceridad) e Y (Deseabilidad social), junto con la puntuación elevada en la escala Z (Devaluación), indican una exageración moderada de los problemas emocionales actuales, los cuales probablemente ya hayan sido so","lucionados en buena medida; tal configuración no afecta a la validez interpretativa del perfil."),IF(AND(H20&lt;21,I21&gt;=75),_xlfn._LONGTEXT("la configuración del perfil resulta compatible con un patrón de «falseado-bueno», propio de quienes intentan mostrar la mejor imagen de sí mismos. La puntuación de la escala X (Sinceridad) en el rango de una posible minimización de los síntomas, junto con"," la elevación de la escala Y (Deseabilidad social), reflejan la tendencia a parecer socialmente agradable, moralmente admirable o emocionalmente equilibrada, lo que indica que el evaluado(a) ha ocultado ciertos aspectos de sus dificultades psicológicas o ","interpersonales. Resulta pertinente analizar con detenimiento las elevaciones de las escalas Dependiente, Narcisista y Compulsivo, en la medida en que tales escalas tienden a aparecer asociadas a este estilo de respuesta según si el evaluado(a) quiere par","ecer cooperativo, seguro de sí mismo o responsable; en cambio, no es habitual observar elevaciones en las escalas de patología de la personalidad ni en las de los síndromes clínicos."),IF(H20&gt;60,_xlfn._LONGTEXT("la escala X (Sinceridad) se sitúa en el rango de una posible exageración de los síntomas, lo que indica que el evaluado(a) se ha mostrado abierto y autorrevelador, hasta el punto de poder enfatizar o dramatizar sus dificultades personales. Tal estilo de r","espuesta puede reflejar una tendencia a magnificar el nivel de malestar experimentado, una inclinación caracterológica a quejarse o a la autocompasión, o bien sentimientos de vulnerabilidad extrema asociados a un episodio actual de agitación aguda; cualqu","iera que sea la causa, las puntuaciones de las escalas, especialmente las de los síndromes clínicos, pueden encontrarse algo exageradas y la interpretación del perfil debe realizarse teniendo en cuenta esta consideración")&amp;IF(I21&gt;=75,_xlfn._LONGTEXT(". A tal patrón se añade una elevación de la escala Y (Deseabilidad social) que refleja la tendencia a mostrar una imagen de sí mismo positiva e interesante, mientras que la escala Z (Devaluación) se mantiene en un rango que no afecta a la validez interpre","tativa del perfil"),". Las escalas Y (Deseabilidad social) y Z (Devaluación) se mantienen, por su parte, en rangos que no añaden distorsiones adicionales en la presentación de sí mismo")&amp;". La identificación de este estilo de respuesta resulta clínicamente relevante en sí misma, pues permite al profesional formarse una opinión sobre cuán sincero o realista resulta el evaluado(a) respecto a sus problemas.",IF(H20&lt;21,_xlfn._LONGTEXT("la escala X (Sinceridad) se sitúa en el rango de una posible minimización de los síntomas, lo que indica una conducta reservada al responder, en la que el evaluado(a) tiende a minimizar sus síntomas y a manifestarse de forma poco autorreveladora. Las esca","las Y (Deseabilidad social) y Z (Devaluación) se mantienen en rangos que no añaden distorsiones adicionales, si bien las elevaciones del perfil pueden encontrarse atenuadas. La identificación de este estilo de respuesta resulta clínicamente relevante en s","í misma, pues permite al profesional formarse una opinión sobre cuán sincero o realista resulta el evaluado(a) respecto a sus problemas."),IF(AND(I22&gt;=75,I21&gt;=75),_xlfn._LONGTEXT("la elevación de la escala Z (Devaluación) indica la tendencia del evaluado(a) a menospreciarse o subestimarse manifestando más problemas emocionales y personales de los que un análisis posterior pueda reflejar; a tal patrón se añade una elevación de la es","cala Y (Deseabilidad social), que refleja la tendencia a mostrar una imagen de sí mismo positiva e interesante, mientras que la escala X (Sinceridad) se mantiene en un rango que no afecta a la validez interpretativa del perfil. Debe analizarse con detenim","iento las puntuaciones altas para obtener una evaluación más precisa de lo que podría ser un nivel distorsionado de los problemas psicológicos."),IF(I22&gt;=75,_xlfn._LONGTEXT("la elevación de la escala Z (Devaluación) indica la tendencia del evaluado(a) a menospreciarse o subestimarse manifestando más problemas emocionales y personales de los que un análisis posterior pueda reflejar, mientras que las escalas X (Sinceridad) y Y ","(Deseabilidad social) se mantienen en rangos que no afectan a la validez interpretativa del perfil. Debe analizarse con detenimiento las puntuaciones altas no solo para obtener una evaluación más precisa de lo que podría ser un nivel distorsionado de los ","problemas psicológicos, sino también para determinar si reflejan una petición de ayuda significativa por parte de el evaluado(a)."),IF(I21&gt;=75,_xlfn._LONGTEXT("la elevación de la escala Y (Deseabilidad social) refleja la tendencia del evaluado(a) a parecer socialmente agradable, moralmente admirable o emocionalmente equilibrada; cuanto más alta es la puntuación, más probable resulta que haya ocultado ciertos asp","ectos de sus dificultades psicológicas o interpersonales, por lo que resulta pertinente contrastar las elevaciones del resto del perfil con la información obtenida más allá del inventario."),_xlfn._LONGTEXT("el evaluado(a) ha respondido a los ítems con sinceridad y de forma abierta. Las escalas X (Sinceridad), Y (Deseabilidad social) y Z (Devaluación) se sitúan en rangos que no introducen sesgos en el estilo de respuesta, sin tendencia a minimizar ni a exager","ar los síntomas, sin búsqueda de una imagen socialmente agradable, moralmente admirable o emocionalmente equilibrada, ni indicios de autodevaluación, de modo que el perfil puede analizarse a partir de las elevaciones que presenta."))))))))</f>
        <v>la elevación de la escala Y (Deseabilidad social) refleja la tendencia del evaluado(a) a parecer socialmente agradable, moralmente admirable o emocionalmente equilibrada; cuanto más alta es la puntuación, más probable resulta que haya ocultado ciertos aspectos de sus dificultades psicológicas o interpersonales, por lo que resulta pertinente contrastar las elevaciones del resto del perfil con la información obtenida más allá del inventario.</v>
      </c>
    </row>
    <row r="19" spans="1:27" ht="22.5" customHeight="1" thickBot="1">
      <c r="A19" s="82"/>
      <c r="B19" s="224" t="s">
        <v>230</v>
      </c>
      <c r="C19" s="225"/>
      <c r="D19" s="225"/>
      <c r="E19" s="225"/>
      <c r="F19" s="225"/>
      <c r="G19" s="225"/>
      <c r="H19" s="225"/>
      <c r="I19" s="226"/>
      <c r="J19" s="88"/>
      <c r="K19" s="88"/>
      <c r="L19" s="88"/>
      <c r="M19" s="88"/>
      <c r="N19" s="88"/>
      <c r="O19" s="89"/>
      <c r="P19" s="89"/>
      <c r="Q19" s="90"/>
      <c r="V19" s="59"/>
      <c r="W19" s="91" t="str">
        <f ca="1">IF(LEN(TRIM(W17))&gt;0,TRIM(W17),TRIM(W18))</f>
        <v>la elevación de la escala Y (Deseabilidad social) refleja la tendencia del evaluado(a) a parecer socialmente agradable, moralmente admirable o emocionalmente equilibrada; cuanto más alta es la puntuación, más probable resulta que haya ocultado ciertos aspectos de sus dificultades psicológicas o interpersonales, por lo que resulta pertinente contrastar las elevaciones del resto del perfil con la información obtenida más allá del inventario.</v>
      </c>
    </row>
    <row r="20" spans="1:27" s="78" customFormat="1" ht="21.75" customHeight="1">
      <c r="A20" s="92"/>
      <c r="B20" s="206" t="s">
        <v>231</v>
      </c>
      <c r="C20" s="206"/>
      <c r="D20" s="206"/>
      <c r="E20" s="206"/>
      <c r="F20" s="206"/>
      <c r="G20" s="93" t="s">
        <v>234</v>
      </c>
      <c r="H20" s="94">
        <f>+Protocolo!BL141</f>
        <v>46</v>
      </c>
      <c r="I20" s="94">
        <f ca="1">+INDEX(INDIRECT("BBC"&amp;VLOOKUP(Portada!C28,Portada!O5:P6,2,FALSE)),MATCH(ROUND(H20,2),INDIRECT("AAE"&amp;VLOOKUP(Portada!C28,Portada!O5:P6,2,FALSE)),0))</f>
        <v>57</v>
      </c>
      <c r="J20" s="70"/>
      <c r="K20" s="70"/>
      <c r="L20" s="70"/>
      <c r="M20" s="70"/>
      <c r="N20" s="70"/>
      <c r="O20" s="56"/>
      <c r="P20" s="56"/>
      <c r="Q20" s="95"/>
      <c r="V20" s="96" t="str">
        <f ca="1">+IF(I20=0,"Perfil Inválido",IF(I20&lt;=35,"Indica que ha respondido al instrumento"&amp;" minimizando sus síntomas por alguna razón. Este patrón de respuesta refleja una tendencia a mostrarse reservado o a presentar una imagen más controlada, lo que puede implicar que no ha sido completamente abierto al responder a los ítems del MCMI-IV.",IF(I20&lt;=75,"Denota que ha respondido "&amp;"al MCMI-IV de manera sincera y abierta. En este rango, las respuestas reflejan un equilibrio entre franqueza y discreción, sin evidencias de que haya minimizado ni "&amp;"exagerado los síntomas. Se considera que las respuestas son consistentes y reflejan una actitud colaborativa hacia la evaluación.",IF(I20&gt;=76,"Manifiesta que ha respondido de forma exagerada a los ítems del MCMI-IV. Las puntuaciones elevadas en esta escala indican que la persona ha sobredimensionado sus síntomas de algún modo, "&amp;"mostrando una tendencia a enfatizar o dramatizar sus dificultades personales.",IF(I20=100,"Perfil Inválido")))))</f>
        <v>Denota que ha respondido al MCMI-IV de manera sincera y abierta. En este rango, las respuestas reflejan un equilibrio entre franqueza y discreción, sin evidencias de que haya minimizado ni exagerado los síntomas. Se considera que las respuestas son consistentes y reflejan una actitud colaborativa hacia la evaluación.</v>
      </c>
      <c r="Z20" s="59"/>
      <c r="AA20" s="59"/>
    </row>
    <row r="21" spans="1:27" s="78" customFormat="1" ht="21.75" customHeight="1">
      <c r="A21" s="92"/>
      <c r="B21" s="200" t="s">
        <v>232</v>
      </c>
      <c r="C21" s="200"/>
      <c r="D21" s="200"/>
      <c r="E21" s="200"/>
      <c r="F21" s="200"/>
      <c r="G21" s="97" t="s">
        <v>235</v>
      </c>
      <c r="H21" s="97">
        <f>+Protocolo!BN44</f>
        <v>21</v>
      </c>
      <c r="I21" s="97">
        <f ca="1">+INDEX(INDIRECT("CCD"&amp;VLOOKUP(Portada!C28,Portada!O5:P6,2,FALSE)),MATCH(ROUND(H21,2),INDIRECT("AAE"&amp;VLOOKUP(Portada!C28,Portada!O5:P6,2,FALSE)),0))</f>
        <v>85</v>
      </c>
      <c r="J21" s="70"/>
      <c r="K21" s="70"/>
      <c r="L21" s="70"/>
      <c r="M21" s="70"/>
      <c r="N21" s="70"/>
      <c r="O21" s="56"/>
      <c r="P21" s="56"/>
      <c r="Q21" s="95"/>
      <c r="V21" s="96" t="str">
        <f ca="1">IF(I21&lt;=35,"Denota que no intenta presentarse como socialmente agradable ni moralmente"&amp;" admirable. Las respuestas no reflejan una intención de controlar o mejorar la imagen personal frente a los demás.",IF(I21&lt;=75,"Indica un nivel equilibrado"&amp;" en la presentación personal. Muestra una actitud abierta y espontánea al responder, sin una tendencia marcada a parecer más socialmente aceptable o "&amp;"emocionalmente equilibrada de lo que realmente es.",IF(I21&gt;=76,"Manifiesta una tendencia a mostrarse como una persona socialmente agradable, moralmente"&amp;" admirable o emocionalmente equilibrada. Esta puntuación indica que busca proyectar una imagen positiva e interesante de sí misma, lo que hace probable"&amp;" que haya ocultado ciertos aspectos relacionados con sus dificultades psicológicas o interpersonales.")))</f>
        <v>Manifiesta una tendencia a mostrarse como una persona socialmente agradable, moralmente admirable o emocionalmente equilibrada. Esta puntuación indica que busca proyectar una imagen positiva e interesante de sí misma, lo que hace probable que haya ocultado ciertos aspectos relacionados con sus dificultades psicológicas o interpersonales.</v>
      </c>
      <c r="Z21" s="59"/>
      <c r="AA21" s="59"/>
    </row>
    <row r="22" spans="1:27" s="78" customFormat="1" ht="21.75" customHeight="1">
      <c r="A22" s="92"/>
      <c r="B22" s="200" t="s">
        <v>233</v>
      </c>
      <c r="C22" s="200"/>
      <c r="D22" s="200"/>
      <c r="E22" s="200"/>
      <c r="F22" s="200"/>
      <c r="G22" s="97" t="s">
        <v>236</v>
      </c>
      <c r="H22" s="98">
        <f>+Protocolo!BP50</f>
        <v>16</v>
      </c>
      <c r="I22" s="97">
        <f ca="1">+INDEX(INDIRECT("DDE"&amp;VLOOKUP(Portada!C28,Portada!O5:P6,2,FALSE)),MATCH(ROUND(H22,2),INDIRECT("AAE"&amp;VLOOKUP(Portada!C28,Portada!O5:P6,2,FALSE)),0))</f>
        <v>66</v>
      </c>
      <c r="J22" s="99"/>
      <c r="K22" s="100"/>
      <c r="L22" s="100"/>
      <c r="M22" s="100"/>
      <c r="N22" s="100"/>
      <c r="O22" s="81"/>
      <c r="P22" s="81"/>
      <c r="Q22" s="87"/>
      <c r="V22" s="96" t="str">
        <f ca="1">IF(I22&lt;=35,"Denota que no se observa una tendencia a menospreciarse o subestimarse. Las respuestas reflejan una percepción equilibrada de sí mismo, sin manifestar una inclinación a presentar más problemas emocionales o personales de los que podrían estar presentes.",IF(I22&lt;=75,"Indica un nivel adecuado de autopercepción. La persona manifiesta una actitud realista hacia sí misma, sin evidencias de exagerar ni minimizar sus dificultades emocionales o personales.",IF(I22&gt;=76,_xlfn._LONGTEXT("Manifiesta una tendencia a menospreciarse o subestimarse, presentando más problemas emocionales y personales de los que un análisis posterior podría reflejar. Este patrón de respuesta indica que la persona tiende a valorarse de forma negativa, destacando ","aspectos desfavorables de sí misma y de su funcionamiento emocional o interpersonal."))))</f>
        <v>Indica un nivel adecuado de autopercepción. La persona manifiesta una actitud realista hacia sí misma, sin evidencias de exagerar ni minimizar sus dificultades emocionales o personales.</v>
      </c>
      <c r="Z22" s="59"/>
      <c r="AA22" s="59"/>
    </row>
    <row r="23" spans="1:27" s="78" customFormat="1" ht="21.75" customHeight="1">
      <c r="B23" s="70"/>
      <c r="C23" s="70"/>
      <c r="D23" s="70"/>
      <c r="E23" s="70"/>
      <c r="F23" s="70"/>
      <c r="G23" s="101"/>
      <c r="H23" s="101"/>
      <c r="I23" s="101"/>
      <c r="J23" s="102"/>
      <c r="K23" s="102"/>
      <c r="L23" s="102"/>
      <c r="M23" s="102"/>
      <c r="N23" s="102"/>
      <c r="O23" s="103"/>
      <c r="P23" s="103"/>
      <c r="Q23" s="103"/>
      <c r="T23" s="59"/>
      <c r="W23" s="59"/>
      <c r="Z23" s="59"/>
      <c r="AA23" s="59"/>
    </row>
    <row r="24" spans="1:27" ht="16.5" customHeight="1">
      <c r="B24" s="201" t="s">
        <v>237</v>
      </c>
      <c r="C24" s="201"/>
      <c r="D24" s="201"/>
      <c r="E24" s="201"/>
      <c r="F24" s="201"/>
      <c r="G24" s="202" t="s">
        <v>226</v>
      </c>
      <c r="H24" s="202"/>
      <c r="I24" s="202"/>
      <c r="J24" s="221" t="s">
        <v>229</v>
      </c>
      <c r="K24" s="222"/>
      <c r="L24" s="222"/>
      <c r="M24" s="222"/>
      <c r="N24" s="222"/>
      <c r="O24" s="222"/>
      <c r="P24" s="222"/>
      <c r="Q24" s="223"/>
    </row>
    <row r="25" spans="1:27" ht="16.5" customHeight="1">
      <c r="B25" s="201"/>
      <c r="C25" s="201"/>
      <c r="D25" s="201"/>
      <c r="E25" s="201"/>
      <c r="F25" s="201"/>
      <c r="G25" s="84" t="s">
        <v>227</v>
      </c>
      <c r="H25" s="104" t="s">
        <v>238</v>
      </c>
      <c r="I25" s="85" t="s">
        <v>228</v>
      </c>
      <c r="J25" s="105"/>
      <c r="K25" s="106"/>
      <c r="L25" s="106"/>
      <c r="M25" s="106"/>
      <c r="N25" s="106"/>
      <c r="O25" s="103"/>
      <c r="P25" s="103"/>
      <c r="Q25" s="97"/>
    </row>
    <row r="26" spans="1:27" ht="22.5" customHeight="1" thickBot="1">
      <c r="B26" s="218" t="s">
        <v>239</v>
      </c>
      <c r="C26" s="218"/>
      <c r="D26" s="218"/>
      <c r="E26" s="218"/>
      <c r="F26" s="218"/>
      <c r="G26" s="218"/>
      <c r="H26" s="218"/>
      <c r="I26" s="218"/>
      <c r="J26" s="107"/>
      <c r="K26" s="108"/>
      <c r="L26" s="108"/>
      <c r="M26" s="108"/>
      <c r="N26" s="108"/>
      <c r="O26" s="109"/>
      <c r="P26" s="109"/>
      <c r="Q26" s="110"/>
    </row>
    <row r="27" spans="1:27" ht="21.75" customHeight="1" thickTop="1">
      <c r="B27" s="219" t="s">
        <v>197</v>
      </c>
      <c r="C27" s="220"/>
      <c r="D27" s="220"/>
      <c r="E27" s="220"/>
      <c r="F27" s="111">
        <v>1</v>
      </c>
      <c r="G27" s="112">
        <f>+Protocolo!I35</f>
        <v>5</v>
      </c>
      <c r="H27" s="112">
        <f ca="1">+INDEX(INDIRECT("BBB"&amp;VLOOKUP(Portada!C28,Portada!O5:P6,2,FALSE)),MATCH(ROUND(I27,2),INDIRECT("AAA"&amp;VLOOKUP(Portada!C28,Portada!O5:P6,2,FALSE)),0))</f>
        <v>26</v>
      </c>
      <c r="I27" s="112">
        <f ca="1">+Ajustes!H10</f>
        <v>33</v>
      </c>
      <c r="J27" s="55"/>
      <c r="K27" s="55"/>
      <c r="L27" s="55"/>
      <c r="M27" s="55"/>
      <c r="N27" s="55"/>
      <c r="O27" s="56"/>
      <c r="P27" s="56"/>
      <c r="Q27" s="95"/>
      <c r="S27" s="113">
        <f ca="1">I27 + H27/1000 + G27/1000000</f>
        <v>33.026005000000005</v>
      </c>
      <c r="T27" s="78"/>
    </row>
    <row r="28" spans="1:27" ht="21.75" customHeight="1">
      <c r="B28" s="199" t="s">
        <v>198</v>
      </c>
      <c r="C28" s="200"/>
      <c r="D28" s="200"/>
      <c r="E28" s="200"/>
      <c r="F28" s="97" t="s">
        <v>210</v>
      </c>
      <c r="G28" s="114">
        <f>+Protocolo!K38</f>
        <v>4</v>
      </c>
      <c r="H28" s="115">
        <f ca="1">+INDEX(INDIRECT("CCC"&amp;VLOOKUP(Portada!C28,Portada!O5:P6,2,FALSE)),MATCH(ROUND(I28,2),INDIRECT("AAA"&amp;VLOOKUP(Portada!C28,Portada!O5:P6,2,FALSE)),0))</f>
        <v>16</v>
      </c>
      <c r="I28" s="116">
        <f ca="1">+Ajustes!H11</f>
        <v>21</v>
      </c>
      <c r="J28" s="55"/>
      <c r="K28" s="55"/>
      <c r="L28" s="55"/>
      <c r="M28" s="55"/>
      <c r="N28" s="55"/>
      <c r="O28" s="56"/>
      <c r="P28" s="56"/>
      <c r="Q28" s="95"/>
      <c r="S28" s="113">
        <f t="shared" ref="S28:S42" ca="1" si="0">I28 + H28/1000 + G28/1000000</f>
        <v>21.016003999999999</v>
      </c>
      <c r="T28" s="78"/>
    </row>
    <row r="29" spans="1:27" ht="21.75" customHeight="1">
      <c r="B29" s="199" t="s">
        <v>199</v>
      </c>
      <c r="C29" s="200"/>
      <c r="D29" s="200"/>
      <c r="E29" s="200"/>
      <c r="F29" s="97" t="s">
        <v>211</v>
      </c>
      <c r="G29" s="115">
        <f>+Protocolo!M39</f>
        <v>6</v>
      </c>
      <c r="H29" s="114">
        <f ca="1">+INDEX(INDIRECT("DDD"&amp;VLOOKUP(Portada!C28,Portada!O5:P6,2,FALSE)),MATCH(ROUND(I29,2),INDIRECT("AAA"&amp;VLOOKUP(Portada!C28,Portada!O5:P6,2,FALSE)),0))</f>
        <v>23</v>
      </c>
      <c r="I29" s="112">
        <f ca="1">+Ajustes!H12</f>
        <v>25</v>
      </c>
      <c r="J29" s="55"/>
      <c r="K29" s="55"/>
      <c r="L29" s="55"/>
      <c r="M29" s="55"/>
      <c r="N29" s="55"/>
      <c r="O29" s="56"/>
      <c r="P29" s="56"/>
      <c r="Q29" s="95"/>
      <c r="S29" s="113">
        <f t="shared" ca="1" si="0"/>
        <v>25.023005999999999</v>
      </c>
      <c r="T29" s="78"/>
    </row>
    <row r="30" spans="1:27" ht="21.75" customHeight="1">
      <c r="B30" s="199" t="s">
        <v>200</v>
      </c>
      <c r="C30" s="200"/>
      <c r="D30" s="200"/>
      <c r="E30" s="200"/>
      <c r="F30" s="97">
        <v>3</v>
      </c>
      <c r="G30" s="114">
        <f>+Protocolo!O34</f>
        <v>13</v>
      </c>
      <c r="H30" s="114">
        <f ca="1">+INDEX(INDIRECT("EEE"&amp;VLOOKUP(Portada!C28,Portada!O5:P6,2,FALSE)),MATCH(ROUND(I30,2),INDIRECT("AAA"&amp;VLOOKUP(Portada!C28,Portada!O5:P6,2,FALSE)),0))</f>
        <v>68</v>
      </c>
      <c r="I30" s="112">
        <f ca="1">+Ajustes!H13</f>
        <v>78</v>
      </c>
      <c r="J30" s="55"/>
      <c r="K30" s="55"/>
      <c r="L30" s="55"/>
      <c r="M30" s="55"/>
      <c r="N30" s="55"/>
      <c r="O30" s="56"/>
      <c r="P30" s="56"/>
      <c r="Q30" s="95"/>
      <c r="S30" s="113">
        <f t="shared" ca="1" si="0"/>
        <v>78.068012999999993</v>
      </c>
      <c r="T30" s="78"/>
    </row>
    <row r="31" spans="1:27" ht="21.75" customHeight="1">
      <c r="B31" s="199" t="s">
        <v>201</v>
      </c>
      <c r="C31" s="200"/>
      <c r="D31" s="200"/>
      <c r="E31" s="200"/>
      <c r="F31" s="97" t="s">
        <v>212</v>
      </c>
      <c r="G31" s="115">
        <f>+Protocolo!Q37</f>
        <v>16</v>
      </c>
      <c r="H31" s="114">
        <f ca="1">+INDEX(INDIRECT("FFF"&amp;VLOOKUP(Portada!C28,Portada!O5:P6,2,FALSE)),MATCH(ROUND(I31,2),INDIRECT("AAA"&amp;VLOOKUP(Portada!C28,Portada!O5:P6,2,FALSE)),0))</f>
        <v>87</v>
      </c>
      <c r="I31" s="112">
        <f ca="1">+Ajustes!H14</f>
        <v>78</v>
      </c>
      <c r="J31" s="55"/>
      <c r="K31" s="55"/>
      <c r="L31" s="55"/>
      <c r="M31" s="55"/>
      <c r="N31" s="55"/>
      <c r="O31" s="56"/>
      <c r="P31" s="56"/>
      <c r="Q31" s="95"/>
      <c r="S31" s="113">
        <f ca="1">I31 + H31/1000 + G31/1000000</f>
        <v>78.087016000000006</v>
      </c>
      <c r="T31" s="78"/>
    </row>
    <row r="32" spans="1:27" ht="21.75" customHeight="1">
      <c r="B32" s="199" t="s">
        <v>202</v>
      </c>
      <c r="C32" s="200"/>
      <c r="D32" s="200"/>
      <c r="E32" s="200"/>
      <c r="F32" s="97" t="s">
        <v>213</v>
      </c>
      <c r="G32" s="114">
        <f>+Protocolo!S37</f>
        <v>21</v>
      </c>
      <c r="H32" s="114">
        <f ca="1">+INDEX(INDIRECT("GGG"&amp;VLOOKUP(Portada!C28,Portada!O5:P6,2,FALSE)),MATCH(ROUND(I32,2),INDIRECT("AAA"&amp;VLOOKUP(Portada!C28,Portada!O5:P6,2,FALSE)),0))</f>
        <v>90</v>
      </c>
      <c r="I32" s="112">
        <f ca="1">+Ajustes!H15</f>
        <v>75</v>
      </c>
      <c r="J32" s="55"/>
      <c r="K32" s="55"/>
      <c r="L32" s="55"/>
      <c r="M32" s="55"/>
      <c r="N32" s="55"/>
      <c r="O32" s="56"/>
      <c r="P32" s="56"/>
      <c r="Q32" s="95"/>
      <c r="S32" s="113">
        <f t="shared" ca="1" si="0"/>
        <v>75.090021000000007</v>
      </c>
      <c r="T32" s="78"/>
    </row>
    <row r="33" spans="2:20" ht="21.75" customHeight="1">
      <c r="B33" s="199" t="s">
        <v>203</v>
      </c>
      <c r="C33" s="200"/>
      <c r="D33" s="200"/>
      <c r="E33" s="200"/>
      <c r="F33" s="97">
        <v>5</v>
      </c>
      <c r="G33" s="114">
        <f>+Protocolo!U36</f>
        <v>6</v>
      </c>
      <c r="H33" s="114">
        <f ca="1">+INDEX(INDIRECT("HHH"&amp;VLOOKUP(Portada!C28,Portada!O5:P6,2,FALSE)),MATCH(ROUND(I33,2),INDIRECT("AAA"&amp;VLOOKUP(Portada!C28,Portada!O5:P6,2,FALSE)),0))</f>
        <v>56</v>
      </c>
      <c r="I33" s="112">
        <f ca="1">+Ajustes!H16</f>
        <v>62</v>
      </c>
      <c r="J33" s="55"/>
      <c r="K33" s="55"/>
      <c r="L33" s="55"/>
      <c r="M33" s="55"/>
      <c r="N33" s="55"/>
      <c r="O33" s="56"/>
      <c r="P33" s="56"/>
      <c r="Q33" s="95"/>
      <c r="S33" s="113">
        <f t="shared" ca="1" si="0"/>
        <v>62.056005999999996</v>
      </c>
      <c r="T33" s="78"/>
    </row>
    <row r="34" spans="2:20" ht="21.75" customHeight="1">
      <c r="B34" s="199" t="s">
        <v>204</v>
      </c>
      <c r="C34" s="200"/>
      <c r="D34" s="200"/>
      <c r="E34" s="200"/>
      <c r="F34" s="97" t="s">
        <v>214</v>
      </c>
      <c r="G34" s="115">
        <f>+Protocolo!W34</f>
        <v>0</v>
      </c>
      <c r="H34" s="114">
        <f ca="1">+INDEX(INDIRECT("III"&amp;VLOOKUP(Portada!C28,Portada!O5:P6,2,FALSE)),MATCH(ROUND(I34,2),INDIRECT("AAA"&amp;VLOOKUP(Portada!C28,Portada!O5:P6,2,FALSE)),0))</f>
        <v>11</v>
      </c>
      <c r="I34" s="112">
        <f ca="1">+Ajustes!H17</f>
        <v>0</v>
      </c>
      <c r="J34" s="55"/>
      <c r="K34" s="55"/>
      <c r="L34" s="55"/>
      <c r="M34" s="55"/>
      <c r="N34" s="55"/>
      <c r="O34" s="56"/>
      <c r="P34" s="56"/>
      <c r="Q34" s="95"/>
      <c r="S34" s="113">
        <f t="shared" ca="1" si="0"/>
        <v>1.0999999999999999E-2</v>
      </c>
      <c r="T34" s="78"/>
    </row>
    <row r="35" spans="2:20" ht="21.75" customHeight="1">
      <c r="B35" s="199" t="s">
        <v>205</v>
      </c>
      <c r="C35" s="200"/>
      <c r="D35" s="200"/>
      <c r="E35" s="200"/>
      <c r="F35" s="97" t="s">
        <v>215</v>
      </c>
      <c r="G35" s="115">
        <f>+Protocolo!Y34</f>
        <v>6</v>
      </c>
      <c r="H35" s="114">
        <f ca="1">+INDEX(INDIRECT("JJJ"&amp;VLOOKUP(Portada!C28,Portada!O5:P6,2,FALSE)),MATCH(ROUND(I35,2),INDIRECT("AAA"&amp;VLOOKUP(Portada!C28,Portada!O5:P6,2,FALSE)),0))</f>
        <v>52</v>
      </c>
      <c r="I35" s="112">
        <f ca="1">+Ajustes!H18</f>
        <v>60</v>
      </c>
      <c r="J35" s="55"/>
      <c r="K35" s="55"/>
      <c r="L35" s="55"/>
      <c r="M35" s="55"/>
      <c r="N35" s="55"/>
      <c r="O35" s="56"/>
      <c r="P35" s="56"/>
      <c r="Q35" s="95"/>
      <c r="S35" s="113">
        <f ca="1">I35 + H35/1000 + G35/1000000</f>
        <v>60.052005999999999</v>
      </c>
      <c r="T35" s="78"/>
    </row>
    <row r="36" spans="2:20" ht="21.75" customHeight="1">
      <c r="B36" s="199" t="s">
        <v>206</v>
      </c>
      <c r="C36" s="200"/>
      <c r="D36" s="200"/>
      <c r="E36" s="200"/>
      <c r="F36" s="97">
        <v>7</v>
      </c>
      <c r="G36" s="114">
        <f>+Protocolo!AA33</f>
        <v>19</v>
      </c>
      <c r="H36" s="114">
        <f ca="1">+INDEX(INDIRECT("KKK"&amp;VLOOKUP(Portada!C28,Portada!O5:P6,2,FALSE)),MATCH(ROUND(I36,2),INDIRECT("AAA"&amp;VLOOKUP(Portada!C28,Portada!O5:P6,2,FALSE)),0))</f>
        <v>79</v>
      </c>
      <c r="I36" s="112">
        <f ca="1">+Ajustes!H19</f>
        <v>71</v>
      </c>
      <c r="J36" s="55"/>
      <c r="K36" s="55"/>
      <c r="L36" s="55"/>
      <c r="M36" s="55"/>
      <c r="N36" s="55"/>
      <c r="O36" s="56"/>
      <c r="P36" s="56"/>
      <c r="Q36" s="95"/>
      <c r="S36" s="113">
        <f t="shared" ca="1" si="0"/>
        <v>71.079018999999988</v>
      </c>
      <c r="T36" s="78"/>
    </row>
    <row r="37" spans="2:20" ht="21.75" customHeight="1">
      <c r="B37" s="199" t="s">
        <v>207</v>
      </c>
      <c r="C37" s="200"/>
      <c r="D37" s="200"/>
      <c r="E37" s="200"/>
      <c r="F37" s="97" t="s">
        <v>216</v>
      </c>
      <c r="G37" s="115">
        <f>+Protocolo!AC38</f>
        <v>5</v>
      </c>
      <c r="H37" s="114">
        <f ca="1">+INDEX(INDIRECT("MMM"&amp;VLOOKUP(Portada!C28,Portada!O5:P6,2,FALSE)),MATCH(ROUND(I37,2),INDIRECT("AAA"&amp;VLOOKUP(Portada!C28,Portada!O5:P6,2,FALSE)),0))</f>
        <v>29</v>
      </c>
      <c r="I37" s="112">
        <f ca="1">+Ajustes!H20</f>
        <v>33</v>
      </c>
      <c r="J37" s="55"/>
      <c r="K37" s="55"/>
      <c r="L37" s="55"/>
      <c r="M37" s="55"/>
      <c r="N37" s="55"/>
      <c r="O37" s="56"/>
      <c r="P37" s="56"/>
      <c r="Q37" s="95"/>
      <c r="S37" s="113">
        <f t="shared" ca="1" si="0"/>
        <v>33.029005000000005</v>
      </c>
      <c r="T37" s="78"/>
    </row>
    <row r="38" spans="2:20" ht="21.75" customHeight="1">
      <c r="B38" s="199" t="s">
        <v>208</v>
      </c>
      <c r="C38" s="200"/>
      <c r="D38" s="200"/>
      <c r="E38" s="200"/>
      <c r="F38" s="97" t="s">
        <v>217</v>
      </c>
      <c r="G38" s="114">
        <f>+Protocolo!AE38</f>
        <v>9</v>
      </c>
      <c r="H38" s="114">
        <f ca="1">+INDEX(INDIRECT("NNN"&amp;VLOOKUP(Portada!C28,Portada!O5:P6,2,FALSE)),MATCH(ROUND(I38,2),INDIRECT("AAA"&amp;VLOOKUP(Portada!C28,Portada!O5:P6,2,FALSE)),0))</f>
        <v>45</v>
      </c>
      <c r="I38" s="112">
        <f ca="1">+Ajustes!H21</f>
        <v>57</v>
      </c>
      <c r="J38" s="86"/>
      <c r="K38" s="80"/>
      <c r="L38" s="80"/>
      <c r="M38" s="80"/>
      <c r="N38" s="80"/>
      <c r="O38" s="81"/>
      <c r="P38" s="81"/>
      <c r="Q38" s="87"/>
      <c r="S38" s="113">
        <f t="shared" ca="1" si="0"/>
        <v>57.045009</v>
      </c>
      <c r="T38" s="78"/>
    </row>
    <row r="39" spans="2:20" ht="22.5" customHeight="1">
      <c r="B39" s="201" t="s">
        <v>240</v>
      </c>
      <c r="C39" s="201"/>
      <c r="D39" s="201"/>
      <c r="E39" s="201"/>
      <c r="F39" s="201"/>
      <c r="G39" s="201"/>
      <c r="H39" s="201"/>
      <c r="I39" s="201"/>
      <c r="J39" s="86"/>
      <c r="K39" s="80"/>
      <c r="L39" s="80"/>
      <c r="M39" s="80"/>
      <c r="N39" s="80"/>
      <c r="O39" s="81"/>
      <c r="P39" s="81"/>
      <c r="Q39" s="87"/>
      <c r="S39" s="117"/>
    </row>
    <row r="40" spans="2:20" ht="21.75" customHeight="1">
      <c r="B40" s="198" t="s">
        <v>243</v>
      </c>
      <c r="C40" s="198"/>
      <c r="D40" s="198"/>
      <c r="E40" s="199"/>
      <c r="F40" s="97" t="s">
        <v>246</v>
      </c>
      <c r="G40" s="114">
        <f>+Protocolo!AH41</f>
        <v>11</v>
      </c>
      <c r="H40" s="115">
        <f ca="1">+INDEX(INDIRECT("OOO"&amp;VLOOKUP(Portada!C28,Portada!O5:P6,2,FALSE)),MATCH(ROUND(I40,2),INDIRECT("AAA"&amp;VLOOKUP(Portada!C28,Portada!O5:P6,2,FALSE)),0))</f>
        <v>48</v>
      </c>
      <c r="I40" s="115">
        <f ca="1">+Ajustes!H23</f>
        <v>59</v>
      </c>
      <c r="J40" s="55"/>
      <c r="K40" s="55"/>
      <c r="L40" s="55"/>
      <c r="M40" s="55"/>
      <c r="N40" s="55"/>
      <c r="O40" s="56"/>
      <c r="P40" s="56"/>
      <c r="Q40" s="95"/>
      <c r="S40" s="113">
        <f t="shared" ca="1" si="0"/>
        <v>59.048011000000002</v>
      </c>
      <c r="T40" s="78"/>
    </row>
    <row r="41" spans="2:20" ht="21.75" customHeight="1">
      <c r="B41" s="198" t="s">
        <v>244</v>
      </c>
      <c r="C41" s="198"/>
      <c r="D41" s="198"/>
      <c r="E41" s="199"/>
      <c r="F41" s="97" t="s">
        <v>247</v>
      </c>
      <c r="G41" s="114">
        <f>+Protocolo!AJ40</f>
        <v>8</v>
      </c>
      <c r="H41" s="114">
        <f ca="1">+INDEX(INDIRECT("PPP"&amp;VLOOKUP(Portada!C28,Portada!O5:P6,2,FALSE)),MATCH(ROUND(I41,2),INDIRECT("AAA"&amp;VLOOKUP(Portada!C28,Portada!O5:P6,2,FALSE)),0))</f>
        <v>45</v>
      </c>
      <c r="I41" s="114">
        <f ca="1">+Ajustes!H24</f>
        <v>55</v>
      </c>
      <c r="J41" s="55"/>
      <c r="K41" s="55"/>
      <c r="L41" s="55"/>
      <c r="M41" s="55"/>
      <c r="N41" s="55"/>
      <c r="O41" s="56"/>
      <c r="P41" s="56"/>
      <c r="Q41" s="95"/>
      <c r="S41" s="113">
        <f t="shared" ca="1" si="0"/>
        <v>55.045008000000003</v>
      </c>
      <c r="T41" s="78"/>
    </row>
    <row r="42" spans="2:20" ht="21.75" customHeight="1">
      <c r="B42" s="198" t="s">
        <v>245</v>
      </c>
      <c r="C42" s="198"/>
      <c r="D42" s="198"/>
      <c r="E42" s="199"/>
      <c r="F42" s="97" t="s">
        <v>248</v>
      </c>
      <c r="G42" s="114">
        <f>+Protocolo!AL36</f>
        <v>5</v>
      </c>
      <c r="H42" s="114">
        <f ca="1">+INDEX(INDIRECT("QQQ"&amp;VLOOKUP(Portada!C28,Portada!O5:P6,2,FALSE)),MATCH(ROUND(I42,2),INDIRECT("AAA"&amp;VLOOKUP(Portada!C28,Portada!O5:P6,2,FALSE)),0))</f>
        <v>42</v>
      </c>
      <c r="I42" s="114">
        <f ca="1">+Ajustes!H25</f>
        <v>43</v>
      </c>
      <c r="J42" s="86"/>
      <c r="K42" s="80"/>
      <c r="L42" s="80"/>
      <c r="M42" s="80"/>
      <c r="N42" s="80"/>
      <c r="O42" s="81"/>
      <c r="P42" s="81"/>
      <c r="Q42" s="87"/>
      <c r="S42" s="113">
        <f t="shared" ca="1" si="0"/>
        <v>43.042005000000003</v>
      </c>
      <c r="T42" s="78"/>
    </row>
    <row r="43" spans="2:20" ht="17.25">
      <c r="B43" s="55"/>
      <c r="C43" s="55"/>
      <c r="D43" s="55"/>
      <c r="E43" s="55"/>
      <c r="F43" s="55"/>
      <c r="G43" s="56"/>
      <c r="H43" s="56"/>
      <c r="I43" s="57"/>
      <c r="J43" s="80"/>
      <c r="K43" s="80"/>
      <c r="L43" s="80"/>
      <c r="M43" s="80"/>
      <c r="N43" s="80"/>
      <c r="O43" s="81"/>
      <c r="P43" s="81"/>
      <c r="Q43" s="81"/>
    </row>
    <row r="44" spans="2:20" ht="16.5" customHeight="1">
      <c r="B44" s="201" t="s">
        <v>241</v>
      </c>
      <c r="C44" s="201"/>
      <c r="D44" s="201"/>
      <c r="E44" s="201"/>
      <c r="F44" s="201"/>
      <c r="G44" s="202" t="s">
        <v>226</v>
      </c>
      <c r="H44" s="202"/>
      <c r="I44" s="202"/>
      <c r="J44" s="196" t="s">
        <v>229</v>
      </c>
      <c r="K44" s="196"/>
      <c r="L44" s="196"/>
      <c r="M44" s="196"/>
      <c r="N44" s="196"/>
      <c r="O44" s="196"/>
      <c r="P44" s="196"/>
      <c r="Q44" s="197"/>
    </row>
    <row r="45" spans="2:20" ht="16.5" customHeight="1">
      <c r="B45" s="201"/>
      <c r="C45" s="201"/>
      <c r="D45" s="201"/>
      <c r="E45" s="201"/>
      <c r="F45" s="201"/>
      <c r="G45" s="84" t="s">
        <v>227</v>
      </c>
      <c r="H45" s="104" t="s">
        <v>238</v>
      </c>
      <c r="I45" s="85" t="s">
        <v>228</v>
      </c>
      <c r="J45" s="86"/>
      <c r="K45" s="80"/>
      <c r="L45" s="80"/>
      <c r="M45" s="80"/>
      <c r="N45" s="80"/>
      <c r="O45" s="81"/>
      <c r="P45" s="81"/>
      <c r="Q45" s="87"/>
    </row>
    <row r="46" spans="2:20" ht="22.5" customHeight="1" thickBot="1">
      <c r="B46" s="215" t="s">
        <v>242</v>
      </c>
      <c r="C46" s="215"/>
      <c r="D46" s="215"/>
      <c r="E46" s="215"/>
      <c r="F46" s="215"/>
      <c r="G46" s="215"/>
      <c r="H46" s="215"/>
      <c r="I46" s="215"/>
      <c r="J46" s="107"/>
      <c r="K46" s="108"/>
      <c r="L46" s="108"/>
      <c r="M46" s="108"/>
      <c r="N46" s="108"/>
      <c r="O46" s="109"/>
      <c r="P46" s="109"/>
      <c r="Q46" s="110"/>
    </row>
    <row r="47" spans="2:20" ht="21.75" customHeight="1" thickTop="1">
      <c r="B47" s="216" t="s">
        <v>249</v>
      </c>
      <c r="C47" s="216"/>
      <c r="D47" s="216"/>
      <c r="E47" s="217"/>
      <c r="F47" s="111" t="s">
        <v>260</v>
      </c>
      <c r="G47" s="116">
        <f>+Protocolo!AO33</f>
        <v>14</v>
      </c>
      <c r="H47" s="112">
        <f ca="1">+INDEX(INDIRECT("RRR"&amp;VLOOKUP(Portada!C28,Portada!O5:P6,2,FALSE)),MATCH(ROUND(I47,2),INDIRECT("AAA"&amp;VLOOKUP(Portada!C28,Portada!O5:P6,2,FALSE)),0))</f>
        <v>86</v>
      </c>
      <c r="I47" s="112">
        <f ca="1">+Ajustes!H27</f>
        <v>90</v>
      </c>
      <c r="J47" s="55"/>
      <c r="K47" s="55"/>
      <c r="L47" s="55"/>
      <c r="M47" s="55"/>
      <c r="N47" s="55"/>
      <c r="O47" s="56"/>
      <c r="P47" s="56"/>
      <c r="Q47" s="95"/>
      <c r="S47" s="117">
        <f t="shared" ref="S47:S53" ca="1" si="1">I47+G47/1000+H47/1000000</f>
        <v>90.014085999999992</v>
      </c>
      <c r="T47" s="119"/>
    </row>
    <row r="48" spans="2:20" ht="21.75" customHeight="1">
      <c r="B48" s="198" t="s">
        <v>250</v>
      </c>
      <c r="C48" s="198"/>
      <c r="D48" s="198"/>
      <c r="E48" s="199"/>
      <c r="F48" s="97" t="s">
        <v>261</v>
      </c>
      <c r="G48" s="114">
        <f>+Protocolo!AQ30</f>
        <v>10</v>
      </c>
      <c r="H48" s="114">
        <f ca="1">+INDEX(INDIRECT("SSS"&amp;VLOOKUP(Portada!C28,Portada!O5:P6,2,FALSE)),MATCH(ROUND(I48,2),INDIRECT("AAA"&amp;VLOOKUP(Portada!C28,Portada!O5:P6,2,FALSE)),0))</f>
        <v>78</v>
      </c>
      <c r="I48" s="112">
        <f ca="1">+Ajustes!H28</f>
        <v>75</v>
      </c>
      <c r="J48" s="55"/>
      <c r="K48" s="55"/>
      <c r="L48" s="55"/>
      <c r="M48" s="55"/>
      <c r="N48" s="55"/>
      <c r="O48" s="56"/>
      <c r="P48" s="56"/>
      <c r="Q48" s="95"/>
      <c r="S48" s="117">
        <f t="shared" ca="1" si="1"/>
        <v>75.010078000000007</v>
      </c>
      <c r="T48" s="119"/>
    </row>
    <row r="49" spans="2:27" ht="21.75" customHeight="1">
      <c r="B49" s="198" t="s">
        <v>251</v>
      </c>
      <c r="C49" s="198"/>
      <c r="D49" s="198"/>
      <c r="E49" s="199"/>
      <c r="F49" s="97" t="s">
        <v>262</v>
      </c>
      <c r="G49" s="114">
        <f>+Protocolo!AS33</f>
        <v>11</v>
      </c>
      <c r="H49" s="114">
        <f ca="1">+INDEX(INDIRECT("TTT"&amp;VLOOKUP(Portada!C28,Portada!O5:P6,2,FALSE)),MATCH(ROUND(I49,2),INDIRECT("AAA"&amp;VLOOKUP(Portada!C28,Portada!O5:P6,2,FALSE)),0))</f>
        <v>84</v>
      </c>
      <c r="I49" s="112">
        <f ca="1">+Ajustes!H29</f>
        <v>75</v>
      </c>
      <c r="J49" s="55"/>
      <c r="K49" s="55"/>
      <c r="L49" s="55"/>
      <c r="M49" s="55"/>
      <c r="N49" s="55"/>
      <c r="O49" s="56"/>
      <c r="P49" s="56"/>
      <c r="Q49" s="95"/>
      <c r="S49" s="117">
        <f t="shared" ca="1" si="1"/>
        <v>75.011083999999997</v>
      </c>
      <c r="T49" s="119"/>
    </row>
    <row r="50" spans="2:27" ht="21.75" customHeight="1">
      <c r="B50" s="198" t="s">
        <v>252</v>
      </c>
      <c r="C50" s="198"/>
      <c r="D50" s="198"/>
      <c r="E50" s="199"/>
      <c r="F50" s="97" t="s">
        <v>263</v>
      </c>
      <c r="G50" s="114">
        <f>+Protocolo!AU41</f>
        <v>13</v>
      </c>
      <c r="H50" s="114">
        <f ca="1">+INDEX(INDIRECT("VVV"&amp;VLOOKUP(Portada!C28,Portada!O5:P6,2,FALSE)),MATCH(ROUND(I50,2),INDIRECT("AAA"&amp;VLOOKUP(Portada!C28,Portada!O5:P6,2,FALSE)),0))</f>
        <v>53</v>
      </c>
      <c r="I50" s="112">
        <f ca="1">+Ajustes!H30</f>
        <v>63</v>
      </c>
      <c r="J50" s="55"/>
      <c r="K50" s="55"/>
      <c r="L50" s="55"/>
      <c r="M50" s="55"/>
      <c r="N50" s="55"/>
      <c r="O50" s="56"/>
      <c r="P50" s="56"/>
      <c r="Q50" s="95"/>
      <c r="S50" s="117">
        <f t="shared" ca="1" si="1"/>
        <v>63.013052999999999</v>
      </c>
      <c r="T50" s="119"/>
    </row>
    <row r="51" spans="2:27" ht="21.75" customHeight="1">
      <c r="B51" s="198" t="s">
        <v>253</v>
      </c>
      <c r="C51" s="198"/>
      <c r="D51" s="198"/>
      <c r="E51" s="199"/>
      <c r="F51" s="97" t="s">
        <v>264</v>
      </c>
      <c r="G51" s="115">
        <f>+Protocolo!AW28</f>
        <v>1</v>
      </c>
      <c r="H51" s="114">
        <f ca="1">+INDEX(INDIRECT("WWW"&amp;VLOOKUP(Portada!C28,Portada!O5:P6,2,FALSE)),MATCH(ROUND(I51,2),INDIRECT("AAA"&amp;VLOOKUP(Portada!C28,Portada!O5:P6,2,FALSE)),0))</f>
        <v>65</v>
      </c>
      <c r="I51" s="112">
        <f ca="1">+Ajustes!H31</f>
        <v>60</v>
      </c>
      <c r="J51" s="55"/>
      <c r="K51" s="55"/>
      <c r="L51" s="55"/>
      <c r="M51" s="55"/>
      <c r="N51" s="55"/>
      <c r="O51" s="56"/>
      <c r="P51" s="56"/>
      <c r="Q51" s="95"/>
      <c r="S51" s="117">
        <f t="shared" ca="1" si="1"/>
        <v>60.001064999999997</v>
      </c>
      <c r="T51" s="119"/>
    </row>
    <row r="52" spans="2:27" ht="21.75" customHeight="1">
      <c r="B52" s="198" t="s">
        <v>254</v>
      </c>
      <c r="C52" s="198"/>
      <c r="D52" s="198"/>
      <c r="E52" s="199"/>
      <c r="F52" s="97" t="s">
        <v>265</v>
      </c>
      <c r="G52" s="115">
        <f>+Protocolo!AY31</f>
        <v>2</v>
      </c>
      <c r="H52" s="114">
        <f ca="1">+INDEX(INDIRECT("XXX"&amp;VLOOKUP(Portada!C28,Portada!O5:P6,2,FALSE)),MATCH(ROUND(I52,2),INDIRECT("AAA"&amp;VLOOKUP(Portada!C28,Portada!O5:P6,2,FALSE)),0))</f>
        <v>61</v>
      </c>
      <c r="I52" s="112">
        <f ca="1">+Ajustes!H32</f>
        <v>62</v>
      </c>
      <c r="J52" s="55"/>
      <c r="K52" s="55"/>
      <c r="L52" s="55"/>
      <c r="M52" s="55"/>
      <c r="N52" s="55"/>
      <c r="O52" s="56"/>
      <c r="P52" s="56"/>
      <c r="Q52" s="95"/>
      <c r="S52" s="117">
        <f t="shared" ca="1" si="1"/>
        <v>62.002061000000005</v>
      </c>
      <c r="T52" s="119"/>
    </row>
    <row r="53" spans="2:27" ht="21.75" customHeight="1">
      <c r="B53" s="198" t="s">
        <v>255</v>
      </c>
      <c r="C53" s="198"/>
      <c r="D53" s="198"/>
      <c r="E53" s="199"/>
      <c r="F53" s="97" t="s">
        <v>266</v>
      </c>
      <c r="G53" s="115">
        <f>+Protocolo!BA34</f>
        <v>11</v>
      </c>
      <c r="H53" s="114">
        <f ca="1">+INDEX(INDIRECT("YYY"&amp;VLOOKUP(Portada!C28,Portada!O5:P6,2,FALSE)),MATCH(ROUND(I53,2),INDIRECT("AAA"&amp;VLOOKUP(Portada!C28,Portada!O5:P6,2,FALSE)),0))</f>
        <v>77</v>
      </c>
      <c r="I53" s="112">
        <f ca="1">+Ajustes!H33</f>
        <v>71</v>
      </c>
      <c r="J53" s="86"/>
      <c r="K53" s="80"/>
      <c r="L53" s="80"/>
      <c r="M53" s="80"/>
      <c r="N53" s="80"/>
      <c r="O53" s="81"/>
      <c r="P53" s="81"/>
      <c r="Q53" s="87"/>
      <c r="S53" s="117">
        <f t="shared" ca="1" si="1"/>
        <v>71.011077</v>
      </c>
      <c r="T53" s="119"/>
    </row>
    <row r="54" spans="2:27" ht="22.5" customHeight="1">
      <c r="B54" s="201" t="s">
        <v>256</v>
      </c>
      <c r="C54" s="201"/>
      <c r="D54" s="201"/>
      <c r="E54" s="201"/>
      <c r="F54" s="201"/>
      <c r="G54" s="201"/>
      <c r="H54" s="201"/>
      <c r="I54" s="201"/>
      <c r="J54" s="105"/>
      <c r="K54" s="106"/>
      <c r="L54" s="106"/>
      <c r="M54" s="106"/>
      <c r="N54" s="106"/>
      <c r="O54" s="103"/>
      <c r="P54" s="103"/>
      <c r="Q54" s="97"/>
      <c r="S54" s="117"/>
      <c r="T54" s="119"/>
    </row>
    <row r="55" spans="2:27" ht="21.75" customHeight="1">
      <c r="B55" s="198" t="s">
        <v>257</v>
      </c>
      <c r="C55" s="198"/>
      <c r="D55" s="198"/>
      <c r="E55" s="199"/>
      <c r="F55" s="97" t="s">
        <v>267</v>
      </c>
      <c r="G55" s="115">
        <f>+Protocolo!BD41</f>
        <v>13</v>
      </c>
      <c r="H55" s="114">
        <f ca="1">+INDEX(INDIRECT("ZZZ"&amp;VLOOKUP(Portada!C28,Portada!O5:P6,2,FALSE)),MATCH(ROUND(I55,2),INDIRECT("AAA"&amp;VLOOKUP(Portada!C28,Portada!O5:P6,2,FALSE)),0))</f>
        <v>72</v>
      </c>
      <c r="I55" s="114">
        <f ca="1">+Ajustes!H35</f>
        <v>68</v>
      </c>
      <c r="J55" s="55"/>
      <c r="K55" s="55"/>
      <c r="L55" s="55"/>
      <c r="M55" s="55"/>
      <c r="N55" s="55"/>
      <c r="O55" s="56"/>
      <c r="P55" s="56"/>
      <c r="Q55" s="95"/>
      <c r="S55" s="117">
        <f ca="1">I55+G55/1000+H55/1000000</f>
        <v>68.013072000000008</v>
      </c>
      <c r="T55" s="119"/>
    </row>
    <row r="56" spans="2:27" ht="21.75" customHeight="1">
      <c r="B56" s="198" t="s">
        <v>258</v>
      </c>
      <c r="C56" s="198"/>
      <c r="D56" s="198"/>
      <c r="E56" s="199"/>
      <c r="F56" s="97" t="s">
        <v>268</v>
      </c>
      <c r="G56" s="115">
        <f>+Protocolo!BF37</f>
        <v>16</v>
      </c>
      <c r="H56" s="115">
        <f ca="1">+INDEX(INDIRECT("LLL"&amp;VLOOKUP(Portada!C28,Portada!O5:P6,2,FALSE)),MATCH(ROUND(I56,2),INDIRECT("AAA"&amp;VLOOKUP(Portada!C28,Portada!O5:P6,2,FALSE)),0))</f>
        <v>76</v>
      </c>
      <c r="I56" s="115">
        <f ca="1">+Ajustes!H36</f>
        <v>82</v>
      </c>
      <c r="J56" s="55"/>
      <c r="K56" s="55"/>
      <c r="L56" s="55"/>
      <c r="M56" s="55"/>
      <c r="N56" s="55"/>
      <c r="O56" s="56"/>
      <c r="P56" s="56"/>
      <c r="Q56" s="95"/>
      <c r="S56" s="117">
        <f ca="1">I56+G56/1000+H56/1000000</f>
        <v>82.016076000000012</v>
      </c>
      <c r="T56" s="119"/>
    </row>
    <row r="57" spans="2:27" ht="21.75" customHeight="1">
      <c r="B57" s="198" t="s">
        <v>259</v>
      </c>
      <c r="C57" s="198"/>
      <c r="D57" s="198"/>
      <c r="E57" s="199"/>
      <c r="F57" s="97" t="s">
        <v>269</v>
      </c>
      <c r="G57" s="114">
        <f>+Protocolo!BH34</f>
        <v>5</v>
      </c>
      <c r="H57" s="114">
        <f ca="1">+INDEX(INDIRECT("AAAA"&amp;VLOOKUP(Portada!C28,Portada!O5:P6,2,FALSE)),MATCH(ROUND(I57,2),INDIRECT("AAA"&amp;VLOOKUP(Portada!C28,Portada!O5:P6,2,FALSE)),0))</f>
        <v>76</v>
      </c>
      <c r="I57" s="114">
        <f ca="1">+Ajustes!H37</f>
        <v>66</v>
      </c>
      <c r="J57" s="86"/>
      <c r="K57" s="80"/>
      <c r="L57" s="80"/>
      <c r="M57" s="80"/>
      <c r="N57" s="80"/>
      <c r="O57" s="81"/>
      <c r="P57" s="81"/>
      <c r="Q57" s="87"/>
      <c r="S57" s="117">
        <f ca="1">I57+G57/1000+H57/1000000</f>
        <v>66.005076000000003</v>
      </c>
      <c r="T57" s="119"/>
    </row>
    <row r="58" spans="2:27" ht="17.25">
      <c r="B58" s="55"/>
      <c r="C58" s="55"/>
      <c r="D58" s="55"/>
      <c r="E58" s="55"/>
      <c r="F58" s="55"/>
      <c r="G58" s="56"/>
      <c r="H58" s="56"/>
      <c r="I58" s="57"/>
      <c r="J58" s="55"/>
      <c r="K58" s="55"/>
      <c r="L58" s="55"/>
      <c r="M58" s="55"/>
      <c r="N58" s="55"/>
      <c r="O58" s="56"/>
      <c r="P58" s="56"/>
      <c r="Q58" s="56"/>
    </row>
    <row r="59" spans="2:27" ht="18.75" customHeight="1">
      <c r="B59" s="62"/>
      <c r="C59" s="62"/>
      <c r="D59" s="62"/>
      <c r="E59" s="63"/>
      <c r="F59" s="63"/>
      <c r="G59" s="64"/>
      <c r="H59" s="64"/>
      <c r="I59" s="65"/>
      <c r="J59" s="62"/>
      <c r="K59" s="62"/>
      <c r="L59" s="62"/>
      <c r="M59" s="62"/>
      <c r="N59" s="62"/>
      <c r="O59" s="64"/>
      <c r="P59" s="64"/>
      <c r="Q59" s="64"/>
    </row>
    <row r="60" spans="2:27" s="120" customFormat="1" ht="3" customHeight="1">
      <c r="B60" s="66"/>
      <c r="C60" s="66"/>
      <c r="D60" s="66"/>
      <c r="E60" s="67"/>
      <c r="F60" s="67"/>
      <c r="G60" s="68"/>
      <c r="H60" s="68"/>
      <c r="I60" s="69"/>
      <c r="J60" s="66"/>
      <c r="K60" s="66"/>
      <c r="L60" s="66"/>
      <c r="M60" s="66"/>
      <c r="N60" s="66"/>
      <c r="O60" s="68"/>
      <c r="P60" s="68"/>
      <c r="Q60" s="68"/>
      <c r="T60" s="121"/>
      <c r="W60" s="121"/>
      <c r="X60" s="168"/>
      <c r="Y60" s="168"/>
      <c r="Z60" s="122"/>
      <c r="AA60" s="121"/>
    </row>
    <row r="61" spans="2:27" ht="17.25">
      <c r="B61" s="55" t="str">
        <f>+B6</f>
        <v>MCMI-IV</v>
      </c>
      <c r="C61" s="55"/>
      <c r="D61" s="55"/>
      <c r="E61" s="55"/>
      <c r="F61" s="55"/>
      <c r="G61" s="56"/>
      <c r="H61" s="56"/>
      <c r="I61" s="57"/>
      <c r="J61" s="55"/>
      <c r="K61" s="55"/>
      <c r="L61" s="55"/>
      <c r="M61" s="209" t="str">
        <f>+L6</f>
        <v>Jose Anibal Motaño</v>
      </c>
      <c r="N61" s="209"/>
      <c r="O61" s="209"/>
      <c r="P61" s="211" t="str">
        <f>+P6</f>
        <v>MCMI-IV</v>
      </c>
      <c r="Q61" s="211"/>
    </row>
    <row r="62" spans="2:27" ht="17.25">
      <c r="B62" s="212">
        <f ca="1">+B7</f>
        <v>46162</v>
      </c>
      <c r="C62" s="212"/>
      <c r="D62" s="212"/>
      <c r="E62" s="55"/>
      <c r="F62" s="55"/>
      <c r="G62" s="56"/>
      <c r="H62" s="56"/>
      <c r="I62" s="57"/>
      <c r="J62" s="55"/>
      <c r="K62" s="55"/>
      <c r="L62" s="55"/>
      <c r="M62" s="55"/>
      <c r="N62" s="55"/>
      <c r="O62" s="56"/>
      <c r="P62" s="56"/>
      <c r="Q62" s="56"/>
    </row>
    <row r="63" spans="2:27" ht="3" customHeight="1">
      <c r="B63" s="55"/>
      <c r="C63" s="55"/>
      <c r="D63" s="55"/>
      <c r="E63" s="55"/>
      <c r="F63" s="55"/>
      <c r="G63" s="56"/>
      <c r="H63" s="56"/>
      <c r="I63" s="57"/>
      <c r="J63" s="55"/>
      <c r="K63" s="55"/>
      <c r="L63" s="55"/>
      <c r="M63" s="55"/>
      <c r="N63" s="55"/>
      <c r="O63" s="56"/>
      <c r="P63" s="56"/>
      <c r="Q63" s="56"/>
    </row>
    <row r="64" spans="2:27" ht="17.25">
      <c r="B64" s="55"/>
      <c r="C64" s="55"/>
      <c r="D64" s="55"/>
      <c r="E64" s="55"/>
      <c r="F64" s="55"/>
      <c r="G64" s="56"/>
      <c r="H64" s="56"/>
      <c r="I64" s="57"/>
      <c r="J64" s="55"/>
      <c r="K64" s="55"/>
      <c r="L64" s="55"/>
      <c r="M64" s="55"/>
      <c r="N64" s="55"/>
      <c r="O64" s="56"/>
      <c r="P64" s="56"/>
      <c r="Q64" s="56"/>
    </row>
    <row r="65" spans="2:28" ht="15" customHeight="1">
      <c r="B65" s="238" t="s">
        <v>219</v>
      </c>
      <c r="C65" s="238"/>
      <c r="D65" s="228"/>
      <c r="E65" s="228"/>
      <c r="F65" s="228"/>
      <c r="G65" s="228"/>
      <c r="H65" s="228"/>
      <c r="I65" s="228"/>
      <c r="J65" s="228"/>
      <c r="K65" s="228"/>
      <c r="L65" s="228"/>
      <c r="M65" s="228"/>
      <c r="N65" s="228"/>
      <c r="O65" s="228"/>
      <c r="P65" s="228"/>
      <c r="Q65" s="228"/>
    </row>
    <row r="66" spans="2:28" ht="4.5" customHeight="1">
      <c r="B66" s="55"/>
      <c r="C66" s="55"/>
      <c r="D66" s="55"/>
      <c r="E66" s="55"/>
      <c r="F66" s="55"/>
      <c r="G66" s="56"/>
      <c r="H66" s="56"/>
      <c r="I66" s="57"/>
      <c r="J66" s="55"/>
      <c r="K66" s="55"/>
      <c r="L66" s="55"/>
      <c r="M66" s="55"/>
      <c r="N66" s="55"/>
      <c r="O66" s="56"/>
      <c r="P66" s="56"/>
      <c r="Q66" s="56"/>
    </row>
    <row r="67" spans="2:28">
      <c r="B67" s="228" t="s">
        <v>737</v>
      </c>
      <c r="C67" s="228"/>
      <c r="D67" s="228"/>
      <c r="E67" s="228"/>
      <c r="F67" s="228"/>
      <c r="G67" s="228"/>
      <c r="H67" s="228"/>
      <c r="I67" s="228"/>
      <c r="J67" s="228"/>
      <c r="K67" s="228"/>
      <c r="L67" s="228"/>
      <c r="M67" s="228"/>
      <c r="N67" s="228"/>
      <c r="O67" s="228"/>
      <c r="P67" s="228"/>
      <c r="Q67" s="228"/>
    </row>
    <row r="68" spans="2:28" ht="17.25">
      <c r="B68" s="55"/>
      <c r="C68" s="55"/>
      <c r="D68" s="55"/>
      <c r="E68" s="55"/>
      <c r="F68" s="55"/>
      <c r="G68" s="56"/>
      <c r="H68" s="56"/>
      <c r="I68" s="57"/>
      <c r="J68" s="80"/>
      <c r="K68" s="80"/>
      <c r="L68" s="80"/>
      <c r="M68" s="80"/>
      <c r="N68" s="80"/>
      <c r="O68" s="81"/>
      <c r="P68" s="81"/>
      <c r="Q68" s="81"/>
    </row>
    <row r="69" spans="2:28" ht="15" customHeight="1">
      <c r="B69" s="201" t="s">
        <v>388</v>
      </c>
      <c r="C69" s="201"/>
      <c r="D69" s="201"/>
      <c r="E69" s="201"/>
      <c r="F69" s="201"/>
      <c r="G69" s="202" t="s">
        <v>226</v>
      </c>
      <c r="H69" s="202"/>
      <c r="I69" s="202"/>
      <c r="J69" s="196" t="s">
        <v>229</v>
      </c>
      <c r="K69" s="196"/>
      <c r="L69" s="196"/>
      <c r="M69" s="196"/>
      <c r="N69" s="196"/>
      <c r="O69" s="196"/>
      <c r="P69" s="196"/>
      <c r="Q69" s="197"/>
      <c r="U69" s="123"/>
      <c r="V69" s="123"/>
      <c r="W69" s="123"/>
      <c r="X69" s="156"/>
      <c r="Y69" s="156"/>
      <c r="Z69" s="124"/>
      <c r="AA69" s="125"/>
      <c r="AB69" s="123"/>
    </row>
    <row r="70" spans="2:28" ht="17.25">
      <c r="B70" s="201"/>
      <c r="C70" s="201"/>
      <c r="D70" s="201"/>
      <c r="E70" s="201"/>
      <c r="F70" s="201"/>
      <c r="G70" s="84" t="s">
        <v>227</v>
      </c>
      <c r="H70" s="104" t="s">
        <v>238</v>
      </c>
      <c r="I70" s="85" t="s">
        <v>228</v>
      </c>
      <c r="J70" s="86"/>
      <c r="K70" s="80"/>
      <c r="L70" s="80"/>
      <c r="M70" s="80"/>
      <c r="N70" s="80"/>
      <c r="O70" s="81"/>
      <c r="P70" s="81"/>
      <c r="Q70" s="87"/>
      <c r="U70" s="123"/>
      <c r="V70" s="123"/>
      <c r="W70" s="123"/>
      <c r="X70" s="156"/>
      <c r="Y70" s="156"/>
      <c r="Z70" s="124"/>
      <c r="AA70" s="125"/>
      <c r="AB70" s="123"/>
    </row>
    <row r="71" spans="2:28" ht="19.5" customHeight="1" thickBot="1">
      <c r="B71" s="236" t="str">
        <f ca="1">INDEX(B27:B42, MATCH(LARGE(S27:S42,1), S27:S42, 0))</f>
        <v>Histriónico</v>
      </c>
      <c r="C71" s="236"/>
      <c r="D71" s="236"/>
      <c r="E71" s="236"/>
      <c r="F71" s="126" t="str">
        <f ca="1">INDEX(F27:F42, MATCH(LARGE(S27:S42,1), S27:S42, 0))</f>
        <v>4A</v>
      </c>
      <c r="G71" s="127"/>
      <c r="H71" s="127"/>
      <c r="I71" s="128"/>
      <c r="J71" s="108"/>
      <c r="K71" s="108"/>
      <c r="L71" s="108"/>
      <c r="M71" s="108"/>
      <c r="N71" s="108"/>
      <c r="O71" s="109"/>
      <c r="P71" s="109"/>
      <c r="Q71" s="109"/>
      <c r="R71" s="129"/>
      <c r="U71" s="130"/>
      <c r="V71" s="123"/>
      <c r="W71" s="123"/>
      <c r="X71" s="156"/>
      <c r="Y71" s="156"/>
      <c r="Z71" s="124"/>
      <c r="AA71" s="125"/>
      <c r="AB71" s="123"/>
    </row>
    <row r="72" spans="2:28" ht="21.75" customHeight="1" thickTop="1">
      <c r="B72" s="234" t="str" cm="1">
        <f t="array" aca="1" ref="B72" ca="1">IFERROR(INDEX(U:U, SMALL(Z:Z, ROW(A1))), "")</f>
        <v>Expresivamente dramático</v>
      </c>
      <c r="C72" s="235"/>
      <c r="D72" s="235"/>
      <c r="E72" s="235"/>
      <c r="F72" s="111" t="str" cm="1">
        <f t="array" aca="1" ref="F72" ca="1">IFERROR(INDEX(V:V, SMALL(Z:Z, ROW(A1))), "")</f>
        <v>4A.1</v>
      </c>
      <c r="G72" s="112" cm="1">
        <f t="array" aca="1" ref="G72" ca="1">IFERROR(INDEX(W:W, SMALL(Z:Z, ROW(A1))), "")</f>
        <v>0</v>
      </c>
      <c r="H72" s="112" cm="1">
        <f t="array" aca="1" ref="H72" ca="1">IFERROR(INDEX(X:X, SMALL(Z:Z, ROW(A1))), "")</f>
        <v>31</v>
      </c>
      <c r="I72" s="112" cm="1">
        <f t="array" aca="1" ref="I72" ca="1">IFERROR(INDEX(Y:Y, SMALL(Z:Z, ROW(A1))), "")</f>
        <v>0</v>
      </c>
      <c r="J72" s="131"/>
      <c r="K72" s="55"/>
      <c r="L72" s="55"/>
      <c r="M72" s="55"/>
      <c r="N72" s="55"/>
      <c r="O72" s="56"/>
      <c r="P72" s="56"/>
      <c r="Q72" s="95"/>
      <c r="R72" s="129"/>
      <c r="S72" s="59">
        <f ca="1">T72 + (COUNT($T$72:$T$74) - (ROW() - ROW($T$72))) * 0.001</f>
        <v>3.0000000000000001E-3</v>
      </c>
      <c r="T72" s="59">
        <f ca="1">+I72</f>
        <v>0</v>
      </c>
      <c r="U72" s="130"/>
      <c r="V72" s="123"/>
      <c r="W72" s="123"/>
      <c r="X72" s="156"/>
      <c r="Y72" s="156"/>
      <c r="Z72" s="124"/>
      <c r="AA72" s="125"/>
      <c r="AB72" s="123"/>
    </row>
    <row r="73" spans="2:28" ht="21.75" customHeight="1">
      <c r="B73" s="232" t="str" cm="1">
        <f t="array" aca="1" ref="B73" ca="1">IFERROR(INDEX(U:U, SMALL(Z:Z, ROW(A2))), "")</f>
        <v>Interpers. buscador de atención</v>
      </c>
      <c r="C73" s="233"/>
      <c r="D73" s="233"/>
      <c r="E73" s="233"/>
      <c r="F73" s="97" t="str" cm="1">
        <f t="array" aca="1" ref="F73" ca="1">IFERROR(INDEX(V:V, SMALL(Z:Z, ROW(A2))), "")</f>
        <v>4A.2</v>
      </c>
      <c r="G73" s="112" cm="1">
        <f t="array" aca="1" ref="G73" ca="1">IFERROR(INDEX(W:W, SMALL(Z:Z, ROW(A2))), "")</f>
        <v>9</v>
      </c>
      <c r="H73" s="112" cm="1">
        <f t="array" aca="1" ref="H73" ca="1">IFERROR(INDEX(X:X, SMALL(Z:Z, ROW(A2))), "")</f>
        <v>98</v>
      </c>
      <c r="I73" s="112" cm="1">
        <f t="array" aca="1" ref="I73" ca="1">IFERROR(INDEX(Y:Y, SMALL(Z:Z, ROW(A2))), "")</f>
        <v>93</v>
      </c>
      <c r="J73" s="131"/>
      <c r="K73" s="55"/>
      <c r="L73" s="55"/>
      <c r="M73" s="55"/>
      <c r="N73" s="55"/>
      <c r="O73" s="56"/>
      <c r="P73" s="56"/>
      <c r="Q73" s="95"/>
      <c r="R73" s="129"/>
      <c r="S73" s="59">
        <f t="shared" ref="S73:S74" ca="1" si="2">T73 + (COUNT($T$72:$T$74) - (ROW() - ROW($T$72))) * 0.001</f>
        <v>93.001999999999995</v>
      </c>
      <c r="T73" s="59">
        <f t="shared" ref="T73:T74" ca="1" si="3">+I73</f>
        <v>93</v>
      </c>
      <c r="U73" s="130"/>
      <c r="V73" s="123"/>
      <c r="W73" s="123"/>
      <c r="X73" s="156"/>
      <c r="Y73" s="156"/>
      <c r="Z73" s="124"/>
      <c r="AA73" s="125"/>
      <c r="AB73" s="123"/>
    </row>
    <row r="74" spans="2:28" ht="21.75" customHeight="1">
      <c r="B74" s="232" t="str" cm="1">
        <f t="array" aca="1" ref="B74" ca="1">IFERROR(INDEX(U:U, SMALL(Z:Z, ROW(A3))), "")</f>
        <v>Temperamentalmente inconstante</v>
      </c>
      <c r="C74" s="233"/>
      <c r="D74" s="233"/>
      <c r="E74" s="233"/>
      <c r="F74" s="97" t="str" cm="1">
        <f t="array" aca="1" ref="F74" ca="1">IFERROR(INDEX(V:V, SMALL(Z:Z, ROW(A3))), "")</f>
        <v>4A.3</v>
      </c>
      <c r="G74" s="112" cm="1">
        <f t="array" aca="1" ref="G74" ca="1">IFERROR(INDEX(W:W, SMALL(Z:Z, ROW(A3))), "")</f>
        <v>9</v>
      </c>
      <c r="H74" s="112" cm="1">
        <f t="array" aca="1" ref="H74" ca="1">IFERROR(INDEX(X:X, SMALL(Z:Z, ROW(A3))), "")</f>
        <v>81</v>
      </c>
      <c r="I74" s="112" cm="1">
        <f t="array" aca="1" ref="I74" ca="1">IFERROR(INDEX(Y:Y, SMALL(Z:Z, ROW(A3))), "")</f>
        <v>75</v>
      </c>
      <c r="J74" s="86"/>
      <c r="K74" s="80"/>
      <c r="L74" s="80"/>
      <c r="M74" s="80"/>
      <c r="N74" s="80"/>
      <c r="O74" s="81"/>
      <c r="P74" s="81"/>
      <c r="Q74" s="87"/>
      <c r="R74" s="129"/>
      <c r="S74" s="59">
        <f t="shared" ca="1" si="2"/>
        <v>75.001000000000005</v>
      </c>
      <c r="T74" s="59">
        <f t="shared" ca="1" si="3"/>
        <v>75</v>
      </c>
      <c r="U74" s="130"/>
      <c r="V74" s="123"/>
      <c r="W74" s="123"/>
      <c r="X74" s="156"/>
      <c r="Y74" s="156"/>
      <c r="Z74" s="124"/>
      <c r="AA74" s="125"/>
      <c r="AB74" s="123"/>
    </row>
    <row r="75" spans="2:28" ht="19.5" customHeight="1" thickBot="1">
      <c r="B75" s="237" t="str">
        <f ca="1">INDEX(B27:B42, MATCH(LARGE(S27:S42,2), S27:S42, 0))</f>
        <v>Dependiente</v>
      </c>
      <c r="C75" s="237"/>
      <c r="D75" s="237"/>
      <c r="E75" s="237"/>
      <c r="F75" s="126">
        <f ca="1">INDEX(F27:F42, MATCH(LARGE(S27:S42,2), S27:S42, 0))</f>
        <v>3</v>
      </c>
      <c r="G75" s="108"/>
      <c r="H75" s="108"/>
      <c r="I75" s="132"/>
      <c r="J75" s="108"/>
      <c r="K75" s="108"/>
      <c r="L75" s="108"/>
      <c r="M75" s="108"/>
      <c r="N75" s="108"/>
      <c r="O75" s="109"/>
      <c r="P75" s="109"/>
      <c r="Q75" s="110"/>
      <c r="R75" s="129"/>
      <c r="S75" s="59"/>
      <c r="U75" s="130"/>
      <c r="V75" s="123"/>
      <c r="W75" s="123"/>
      <c r="X75" s="156"/>
      <c r="Y75" s="156"/>
      <c r="Z75" s="124"/>
      <c r="AA75" s="125"/>
      <c r="AB75" s="123"/>
    </row>
    <row r="76" spans="2:28" ht="21.75" customHeight="1" thickTop="1">
      <c r="B76" s="234" t="str" cm="1">
        <f t="array" aca="1" ref="B76" ca="1">IFERROR(INDEX(U:U, SMALL(AA:AA, ROW(A1))), "")</f>
        <v>Expresivamente pueril</v>
      </c>
      <c r="C76" s="235"/>
      <c r="D76" s="235"/>
      <c r="E76" s="235"/>
      <c r="F76" s="111" t="str" cm="1">
        <f t="array" aca="1" ref="F76" ca="1">IFERROR(INDEX(V:V, SMALL(AA:AA, ROW(A1))), "")</f>
        <v>3.1</v>
      </c>
      <c r="G76" s="112" cm="1">
        <f t="array" aca="1" ref="G76" ca="1">IFERROR(INDEX(W:W, SMALL(AA:AA, ROW(A1))), "")</f>
        <v>3</v>
      </c>
      <c r="H76" s="112" cm="1">
        <f t="array" aca="1" ref="H76" ca="1">IFERROR(INDEX(X:X, SMALL(AA:AA, ROW(A1))), "")</f>
        <v>34</v>
      </c>
      <c r="I76" s="112" cm="1">
        <f t="array" aca="1" ref="I76" ca="1">IFERROR(INDEX(Y:Y, SMALL(AA:AA, ROW(A1))), "")</f>
        <v>36</v>
      </c>
      <c r="J76" s="131"/>
      <c r="K76" s="55"/>
      <c r="L76" s="55"/>
      <c r="M76" s="55"/>
      <c r="N76" s="55"/>
      <c r="O76" s="56"/>
      <c r="P76" s="56"/>
      <c r="Q76" s="95"/>
      <c r="R76" s="129"/>
      <c r="S76" s="59">
        <f ca="1">T76 + (COUNT($T$76:$T$78) - (ROW() - ROW($T$76))) * 0.001</f>
        <v>36.003</v>
      </c>
      <c r="T76" s="59">
        <f ca="1">+I76</f>
        <v>36</v>
      </c>
      <c r="U76" s="130"/>
      <c r="V76" s="123"/>
      <c r="W76" s="123"/>
      <c r="X76" s="156"/>
      <c r="Y76" s="156"/>
      <c r="Z76" s="124"/>
      <c r="AA76" s="125"/>
      <c r="AB76" s="123"/>
    </row>
    <row r="77" spans="2:28" ht="21.75" customHeight="1">
      <c r="B77" s="232" t="str" cm="1">
        <f t="array" aca="1" ref="B77" ca="1">IFERROR(INDEX(U:U, SMALL(AA:AA, ROW(A2))), "")</f>
        <v>Interpers. Sumiso</v>
      </c>
      <c r="C77" s="233"/>
      <c r="D77" s="233"/>
      <c r="E77" s="233"/>
      <c r="F77" s="97" t="str" cm="1">
        <f t="array" aca="1" ref="F77" ca="1">IFERROR(INDEX(V:V, SMALL(AA:AA, ROW(A2))), "")</f>
        <v>3.2</v>
      </c>
      <c r="G77" s="112" cm="1">
        <f t="array" aca="1" ref="G77" ca="1">IFERROR(INDEX(W:W, SMALL(AA:AA, ROW(A2))), "")</f>
        <v>2</v>
      </c>
      <c r="H77" s="112" cm="1">
        <f t="array" aca="1" ref="H77" ca="1">IFERROR(INDEX(X:X, SMALL(AA:AA, ROW(A2))), "")</f>
        <v>41</v>
      </c>
      <c r="I77" s="112" cm="1">
        <f t="array" aca="1" ref="I77" ca="1">IFERROR(INDEX(Y:Y, SMALL(AA:AA, ROW(A2))), "")</f>
        <v>40</v>
      </c>
      <c r="J77" s="131"/>
      <c r="K77" s="55"/>
      <c r="L77" s="55"/>
      <c r="M77" s="55"/>
      <c r="N77" s="55"/>
      <c r="O77" s="56"/>
      <c r="P77" s="56"/>
      <c r="Q77" s="95"/>
      <c r="R77" s="129"/>
      <c r="S77" s="59">
        <f t="shared" ref="S77:S78" ca="1" si="4">T77 + (COUNT($T$76:$T$78) - (ROW() - ROW($T$76))) * 0.001</f>
        <v>40.002000000000002</v>
      </c>
      <c r="T77" s="59">
        <f t="shared" ref="T77:T78" ca="1" si="5">+I77</f>
        <v>40</v>
      </c>
      <c r="U77" s="130"/>
      <c r="V77" s="123"/>
      <c r="W77" s="123"/>
      <c r="X77" s="156"/>
      <c r="Y77" s="156"/>
      <c r="Z77" s="124"/>
      <c r="AA77" s="125"/>
      <c r="AB77" s="123"/>
    </row>
    <row r="78" spans="2:28" ht="21.75" customHeight="1">
      <c r="B78" s="232" t="str" cm="1">
        <f t="array" aca="1" ref="B78" ca="1">IFERROR(INDEX(U:U, SMALL(AA:AA, ROW(A3))), "")</f>
        <v>Autoimagen inepta</v>
      </c>
      <c r="C78" s="233"/>
      <c r="D78" s="233"/>
      <c r="E78" s="233"/>
      <c r="F78" s="97" t="str" cm="1">
        <f t="array" aca="1" ref="F78" ca="1">IFERROR(INDEX(V:V, SMALL(AA:AA, ROW(A3))), "")</f>
        <v>3.3</v>
      </c>
      <c r="G78" s="112" cm="1">
        <f t="array" aca="1" ref="G78" ca="1">IFERROR(INDEX(W:W, SMALL(AA:AA, ROW(A3))), "")</f>
        <v>4</v>
      </c>
      <c r="H78" s="112" cm="1">
        <f t="array" aca="1" ref="H78" ca="1">IFERROR(INDEX(X:X, SMALL(AA:AA, ROW(A3))), "")</f>
        <v>58</v>
      </c>
      <c r="I78" s="112" cm="1">
        <f t="array" aca="1" ref="I78" ca="1">IFERROR(INDEX(Y:Y, SMALL(AA:AA, ROW(A3))), "")</f>
        <v>60</v>
      </c>
      <c r="J78" s="86"/>
      <c r="K78" s="80"/>
      <c r="L78" s="80"/>
      <c r="M78" s="80"/>
      <c r="N78" s="80"/>
      <c r="O78" s="81"/>
      <c r="P78" s="81"/>
      <c r="Q78" s="87"/>
      <c r="R78" s="129"/>
      <c r="S78" s="59">
        <f t="shared" ca="1" si="4"/>
        <v>60.000999999999998</v>
      </c>
      <c r="T78" s="59">
        <f t="shared" ca="1" si="5"/>
        <v>60</v>
      </c>
      <c r="U78" s="130"/>
    </row>
    <row r="79" spans="2:28" ht="19.5" customHeight="1" thickBot="1">
      <c r="B79" s="237" t="str">
        <f ca="1">INDEX(B27:B42, MATCH(LARGE(S27:S42,3), S27:S42, 0))</f>
        <v>Tempestuoso</v>
      </c>
      <c r="C79" s="237"/>
      <c r="D79" s="237"/>
      <c r="E79" s="237"/>
      <c r="F79" s="133" t="str">
        <f ca="1">INDEX(F27:F42, MATCH(LARGE(S27:S42,3), S27:S42, 0))</f>
        <v>4B</v>
      </c>
      <c r="G79" s="108"/>
      <c r="H79" s="108"/>
      <c r="I79" s="132"/>
      <c r="J79" s="108"/>
      <c r="K79" s="108"/>
      <c r="L79" s="108"/>
      <c r="M79" s="108"/>
      <c r="N79" s="108"/>
      <c r="O79" s="109"/>
      <c r="P79" s="109"/>
      <c r="Q79" s="110"/>
      <c r="R79" s="129"/>
      <c r="S79" s="59"/>
      <c r="U79" s="91"/>
    </row>
    <row r="80" spans="2:28" ht="21.75" customHeight="1" thickTop="1">
      <c r="B80" s="234" t="str" cm="1">
        <f t="array" aca="1" ref="B80" ca="1">IFERROR(INDEX(U:U, SMALL(AB:AB, ROW(A1))), "")</f>
        <v>Expresivamente impetuoso</v>
      </c>
      <c r="C80" s="235"/>
      <c r="D80" s="235"/>
      <c r="E80" s="235"/>
      <c r="F80" s="111" t="str" cm="1">
        <f t="array" aca="1" ref="F80" ca="1">IFERROR(INDEX(V:V, SMALL(AB:AB, ROW(A1))), "")</f>
        <v>4B.1</v>
      </c>
      <c r="G80" s="112" cm="1">
        <f t="array" aca="1" ref="G80" ca="1">IFERROR(INDEX(W:W, SMALL(AB:AB, ROW(A1))), "")</f>
        <v>8</v>
      </c>
      <c r="H80" s="112" cm="1">
        <f t="array" aca="1" ref="H80" ca="1">IFERROR(INDEX(X:X, SMALL(AB:AB, ROW(A1))), "")</f>
        <v>99</v>
      </c>
      <c r="I80" s="112" cm="1">
        <f t="array" aca="1" ref="I80" ca="1">IFERROR(INDEX(Y:Y, SMALL(AB:AB, ROW(A1))), "")</f>
        <v>85</v>
      </c>
      <c r="J80" s="131"/>
      <c r="K80" s="55"/>
      <c r="L80" s="55"/>
      <c r="M80" s="55"/>
      <c r="N80" s="55"/>
      <c r="O80" s="56"/>
      <c r="P80" s="56"/>
      <c r="Q80" s="95"/>
      <c r="R80" s="129"/>
      <c r="S80" s="59">
        <f ca="1">T80 + (COUNT($T$80:$T$82) - (ROW() - ROW($T$72))) * 0.001</f>
        <v>84.995000000000005</v>
      </c>
      <c r="T80" s="59">
        <f ca="1">+I80</f>
        <v>85</v>
      </c>
      <c r="U80" s="130"/>
    </row>
    <row r="81" spans="2:30" ht="21.75" customHeight="1">
      <c r="B81" s="232" t="str" cm="1">
        <f t="array" aca="1" ref="B81" ca="1">IFERROR(INDEX(U:U, SMALL(AB:AB, ROW(A2))), "")</f>
        <v>Interpers. euforico</v>
      </c>
      <c r="C81" s="233"/>
      <c r="D81" s="233"/>
      <c r="E81" s="233"/>
      <c r="F81" s="97" t="str" cm="1">
        <f t="array" aca="1" ref="F81" ca="1">IFERROR(INDEX(V:V, SMALL(AB:AB, ROW(A2))), "")</f>
        <v>4B.2</v>
      </c>
      <c r="G81" s="112" cm="1">
        <f t="array" aca="1" ref="G81" ca="1">IFERROR(INDEX(W:W, SMALL(AB:AB, ROW(A2))), "")</f>
        <v>7</v>
      </c>
      <c r="H81" s="112" cm="1">
        <f t="array" aca="1" ref="H81" ca="1">IFERROR(INDEX(X:X, SMALL(AB:AB, ROW(A2))), "")</f>
        <v>95</v>
      </c>
      <c r="I81" s="112" cm="1">
        <f t="array" aca="1" ref="I81" ca="1">IFERROR(INDEX(Y:Y, SMALL(AB:AB, ROW(A2))), "")</f>
        <v>85</v>
      </c>
      <c r="J81" s="131"/>
      <c r="K81" s="55"/>
      <c r="L81" s="55"/>
      <c r="M81" s="55"/>
      <c r="N81" s="55"/>
      <c r="O81" s="56"/>
      <c r="P81" s="56"/>
      <c r="Q81" s="95"/>
      <c r="R81" s="129"/>
      <c r="S81" s="59">
        <f t="shared" ref="S81:S82" ca="1" si="6">T81 + (COUNT($T$80:$T$82) - (ROW() - ROW($T$72))) * 0.001</f>
        <v>84.994</v>
      </c>
      <c r="T81" s="59">
        <f t="shared" ref="T81:T82" ca="1" si="7">+I81</f>
        <v>85</v>
      </c>
      <c r="U81" s="130"/>
    </row>
    <row r="82" spans="2:30" ht="21.75" customHeight="1">
      <c r="B82" s="232" t="str" cm="1">
        <f t="array" aca="1" ref="B82" ca="1">IFERROR(INDEX(U:U, SMALL(AB:AB, ROW(A3))), "")</f>
        <v>Autoimagen sobreestimada</v>
      </c>
      <c r="C82" s="233"/>
      <c r="D82" s="233"/>
      <c r="E82" s="233"/>
      <c r="F82" s="97" t="str" cm="1">
        <f t="array" aca="1" ref="F82" ca="1">IFERROR(INDEX(V:V, SMALL(AB:AB, ROW(A3))), "")</f>
        <v>4B.3</v>
      </c>
      <c r="G82" s="112" cm="1">
        <f t="array" aca="1" ref="G82" ca="1">IFERROR(INDEX(W:W, SMALL(AB:AB, ROW(A3))), "")</f>
        <v>4</v>
      </c>
      <c r="H82" s="112" cm="1">
        <f t="array" aca="1" ref="H82" ca="1">IFERROR(INDEX(X:X, SMALL(AB:AB, ROW(A3))), "")</f>
        <v>56</v>
      </c>
      <c r="I82" s="112" cm="1">
        <f t="array" aca="1" ref="I82" ca="1">IFERROR(INDEX(Y:Y, SMALL(AB:AB, ROW(A3))), "")</f>
        <v>60</v>
      </c>
      <c r="J82" s="86"/>
      <c r="K82" s="80"/>
      <c r="L82" s="80"/>
      <c r="M82" s="80"/>
      <c r="N82" s="80"/>
      <c r="O82" s="81"/>
      <c r="P82" s="81"/>
      <c r="Q82" s="87"/>
      <c r="R82" s="129"/>
      <c r="S82" s="59">
        <f t="shared" ca="1" si="6"/>
        <v>59.993000000000002</v>
      </c>
      <c r="T82" s="59">
        <f t="shared" ca="1" si="7"/>
        <v>60</v>
      </c>
      <c r="U82" s="130"/>
    </row>
    <row r="83" spans="2:30" ht="17.25">
      <c r="B83" s="55"/>
      <c r="C83" s="55"/>
      <c r="D83" s="55"/>
      <c r="E83" s="55"/>
      <c r="F83" s="55"/>
      <c r="G83" s="56"/>
      <c r="H83" s="56"/>
      <c r="I83" s="57"/>
      <c r="J83" s="55"/>
      <c r="K83" s="55"/>
      <c r="L83" s="55"/>
      <c r="M83" s="55"/>
      <c r="N83" s="55"/>
      <c r="O83" s="56"/>
      <c r="P83" s="56"/>
      <c r="Q83" s="56"/>
    </row>
    <row r="84" spans="2:30">
      <c r="B84" s="238" t="s">
        <v>389</v>
      </c>
      <c r="C84" s="238"/>
      <c r="D84" s="228"/>
      <c r="E84" s="228"/>
      <c r="F84" s="228"/>
      <c r="G84" s="228"/>
      <c r="H84" s="228"/>
      <c r="I84" s="228"/>
      <c r="J84" s="228"/>
      <c r="K84" s="228"/>
      <c r="L84" s="228"/>
      <c r="M84" s="228"/>
      <c r="N84" s="228"/>
      <c r="O84" s="228"/>
      <c r="P84" s="228"/>
      <c r="Q84" s="228"/>
    </row>
    <row r="85" spans="2:30" ht="6" customHeight="1">
      <c r="B85" s="55"/>
      <c r="C85" s="55"/>
      <c r="D85" s="55"/>
      <c r="E85" s="55"/>
      <c r="F85" s="55"/>
      <c r="G85" s="56"/>
      <c r="H85" s="56"/>
      <c r="I85" s="57"/>
      <c r="J85" s="55"/>
      <c r="K85" s="55"/>
      <c r="L85" s="55"/>
      <c r="M85" s="55"/>
      <c r="N85" s="55"/>
      <c r="O85" s="56"/>
      <c r="P85" s="56"/>
      <c r="Q85" s="56"/>
    </row>
    <row r="86" spans="2:30" ht="6" customHeight="1">
      <c r="B86" s="55"/>
      <c r="C86" s="55"/>
      <c r="D86" s="55"/>
      <c r="E86" s="55"/>
      <c r="F86" s="55"/>
      <c r="G86" s="56"/>
      <c r="H86" s="56"/>
      <c r="I86" s="57"/>
      <c r="J86" s="55"/>
      <c r="K86" s="55"/>
      <c r="L86" s="55"/>
      <c r="M86" s="55"/>
      <c r="N86" s="55"/>
      <c r="O86" s="56"/>
      <c r="P86" s="56"/>
      <c r="Q86" s="56"/>
    </row>
    <row r="87" spans="2:30">
      <c r="B87" s="76">
        <v>1</v>
      </c>
      <c r="C87" s="76"/>
      <c r="D87" s="134" t="s">
        <v>197</v>
      </c>
      <c r="E87" s="55"/>
      <c r="F87" s="55"/>
      <c r="G87" s="118" t="s">
        <v>227</v>
      </c>
      <c r="H87" s="118" t="s">
        <v>238</v>
      </c>
      <c r="I87" s="118" t="s">
        <v>228</v>
      </c>
      <c r="J87" s="55"/>
      <c r="K87" s="76" t="s">
        <v>215</v>
      </c>
      <c r="L87" s="134" t="s">
        <v>205</v>
      </c>
      <c r="M87" s="55"/>
      <c r="N87" s="55"/>
      <c r="O87" s="118" t="s">
        <v>227</v>
      </c>
      <c r="P87" s="118" t="s">
        <v>238</v>
      </c>
      <c r="Q87" s="118" t="s">
        <v>228</v>
      </c>
      <c r="T87" s="135"/>
      <c r="U87" s="59"/>
      <c r="V87" s="59"/>
      <c r="W87" s="135" t="s">
        <v>227</v>
      </c>
      <c r="X87" s="142" t="s">
        <v>238</v>
      </c>
      <c r="Y87" s="142" t="s">
        <v>228</v>
      </c>
    </row>
    <row r="88" spans="2:30" ht="17.25">
      <c r="B88" s="56" t="s">
        <v>307</v>
      </c>
      <c r="C88" s="56"/>
      <c r="D88" s="194" t="s">
        <v>630</v>
      </c>
      <c r="E88" s="194"/>
      <c r="F88" s="194"/>
      <c r="G88" s="56">
        <f>+Protocolo!BX29</f>
        <v>2</v>
      </c>
      <c r="H88" s="56">
        <f ca="1">+INDEX(INDIRECT("CC"&amp;VLOOKUP(Portada!C28,Portada!O5:P6,2,FALSE)),MATCH(ROUND(G88,2),INDIRECT("AAAAA"&amp;VLOOKUP(Portada!C28,Portada!O5:P6,2,FALSE)),0))</f>
        <v>38</v>
      </c>
      <c r="I88" s="57">
        <f ca="1">+INDEX(INDIRECT("BB"&amp;VLOOKUP(Portada!C28,Portada!O5:P6,2,FALSE)),MATCH(ROUND(G88,2),INDIRECT("AAAAA"&amp;VLOOKUP(Portada!C28,Portada!O5:P6,2,FALSE)),0))</f>
        <v>40</v>
      </c>
      <c r="J88" s="55"/>
      <c r="K88" s="56" t="s">
        <v>331</v>
      </c>
      <c r="L88" s="194" t="s">
        <v>392</v>
      </c>
      <c r="M88" s="194"/>
      <c r="N88" s="194"/>
      <c r="O88" s="56">
        <f>+Protocolo!EB31</f>
        <v>2</v>
      </c>
      <c r="P88" s="56">
        <f ca="1">+INDEX(INDIRECT("ZZZZ"&amp;VLOOKUP(Portada!C28,Portada!O5:P6,2,FALSE)),MATCH(ROUND(O88,2),INDIRECT("AAAAA"&amp;VLOOKUP(Portada!C28,Portada!O5:P6,2,FALSE)),0))</f>
        <v>42</v>
      </c>
      <c r="Q88" s="56">
        <f ca="1">+INDEX(INDIRECT("YYYY"&amp;VLOOKUP(Portada!C28,Portada!O5:P6,2,FALSE)),MATCH(ROUND(O88,2),INDIRECT("AAAAA"&amp;VLOOKUP(Portada!C28,Portada!O5:P6,2,FALSE)),0))</f>
        <v>40</v>
      </c>
      <c r="T88" s="59" t="s">
        <v>197</v>
      </c>
      <c r="U88" s="58" t="str">
        <f>+D88</f>
        <v>Interpers. Desvinculado</v>
      </c>
      <c r="V88" s="59" t="s">
        <v>307</v>
      </c>
      <c r="W88" s="59">
        <f>+G88</f>
        <v>2</v>
      </c>
      <c r="X88" s="78">
        <f ca="1">+H88</f>
        <v>38</v>
      </c>
      <c r="Y88" s="78">
        <f ca="1">+I88</f>
        <v>40</v>
      </c>
      <c r="Z88" s="60" t="str">
        <f ca="1">IF(TRIM(LOWER(T88))=TRIM(LOWER($B$71)), ROW(), "")</f>
        <v/>
      </c>
      <c r="AA88" s="59" t="str">
        <f ca="1">IF(TRIM(LOWER(T88))=TRIM(LOWER($B$75)), ROW(), "")</f>
        <v/>
      </c>
      <c r="AB88" s="58" t="str">
        <f ca="1">IF(TRIM(LOWER(T88))=TRIM(LOWER($B$79)), ROW(), "")</f>
        <v/>
      </c>
      <c r="AD88" s="120" t="str">
        <f ca="1">IF(Y88&lt;=74,"en este rango, el puntaje no permite establecer interpretaciones válidas sobre la presencia de características asociadas a la evitación interpersonal.",IF(Y88&gt;=75,"evita actividades que suponen relaciones personales"&amp;" estrechas, y refiere un historial de ansiedad social y desconfianza. Busca aceptación, pero está poco "&amp;"dispuesto a implicarse en las relaciones a menos que tenga la certeza de que será del agrado de los demás; y mantendrá la distancia y preservará su privacidad para evitar sentirse avergonzado y humillado"))</f>
        <v>en este rango, el puntaje no permite establecer interpretaciones válidas sobre la presencia de características asociadas a la evitación interpersonal.</v>
      </c>
    </row>
    <row r="89" spans="2:30" ht="17.25">
      <c r="B89" s="56" t="s">
        <v>308</v>
      </c>
      <c r="C89" s="56"/>
      <c r="D89" s="194" t="s">
        <v>390</v>
      </c>
      <c r="E89" s="194"/>
      <c r="F89" s="194"/>
      <c r="G89" s="56">
        <f>+Protocolo!BZ29</f>
        <v>2</v>
      </c>
      <c r="H89" s="56">
        <f ca="1">+INDEX(INDIRECT("EE"&amp;VLOOKUP(Portada!C28,Portada!O5:P6,2,FALSE)),MATCH(ROUND(G89,2),INDIRECT("AAAAA"&amp;VLOOKUP(Portada!C28,Portada!O5:P6,2,FALSE)),0))</f>
        <v>20</v>
      </c>
      <c r="I89" s="57">
        <f ca="1">+INDEX(INDIRECT("DD"&amp;VLOOKUP(Portada!C28,Portada!O5:P6,2,FALSE)),MATCH(ROUND(G89,2),INDIRECT("AAAAA"&amp;VLOOKUP(Portada!C28,Portada!O5:P6,2,FALSE)),0))</f>
        <v>30</v>
      </c>
      <c r="J89" s="55"/>
      <c r="K89" s="56" t="s">
        <v>332</v>
      </c>
      <c r="L89" s="194" t="s">
        <v>393</v>
      </c>
      <c r="M89" s="194"/>
      <c r="N89" s="194"/>
      <c r="O89" s="56">
        <f>+Protocolo!ED27</f>
        <v>3</v>
      </c>
      <c r="P89" s="56">
        <f ca="1">+INDEX(INDIRECT("CCCCC"&amp;VLOOKUP(Portada!C28,Portada!O5:P6,2,FALSE)),MATCH(ROUND(O89,2),INDIRECT("AAAAA"&amp;VLOOKUP(Portada!C28,Portada!O5:P6,2,FALSE)),0))</f>
        <v>77</v>
      </c>
      <c r="Q89" s="56">
        <f ca="1">+INDEX(INDIRECT("BBBBB"&amp;VLOOKUP(Portada!C28,Portada!O5:P6,2,FALSE)),MATCH(ROUND(O89,2),INDIRECT("AAAAA"&amp;VLOOKUP(Portada!C28,Portada!O5:P6,2,FALSE)),0))</f>
        <v>68</v>
      </c>
      <c r="T89" s="59" t="s">
        <v>197</v>
      </c>
      <c r="U89" s="58" t="str">
        <f t="shared" ref="U89:U125" si="8">+D89</f>
        <v>Contenido escaso</v>
      </c>
      <c r="V89" s="59" t="s">
        <v>308</v>
      </c>
      <c r="W89" s="59">
        <f t="shared" ref="W89:W125" si="9">+G89</f>
        <v>2</v>
      </c>
      <c r="X89" s="78">
        <f t="shared" ref="X89:X125" ca="1" si="10">+H89</f>
        <v>20</v>
      </c>
      <c r="Y89" s="78">
        <f t="shared" ref="Y89:Y125" ca="1" si="11">+I89</f>
        <v>30</v>
      </c>
      <c r="Z89" s="60" t="str">
        <f t="shared" ref="Z89:Z149" ca="1" si="12">IF(TRIM(LOWER(T89))=TRIM(LOWER($B$71)), ROW(), "")</f>
        <v/>
      </c>
      <c r="AA89" s="59" t="str">
        <f t="shared" ref="AA89:AA149" ca="1" si="13">IF(TRIM(LOWER(T89))=TRIM(LOWER($B$75)), ROW(), "")</f>
        <v/>
      </c>
      <c r="AB89" s="58" t="str">
        <f ca="1">IF(TRIM(LOWER(T89))=TRIM(LOWER($B$79)), ROW(), "")</f>
        <v/>
      </c>
      <c r="AD89" s="120" t="str">
        <f ca="1">IF(Y89&lt;=74,"en este rango, el puntaje no permite"&amp;" realizar una interpretación válida sobre la presencia de características asociadas a la faceta de "&amp;"Contenido escaso.",IF(Y89&gt;=75,"carece notablemente de representaciones objetales interiorizadas. Las pocas que tiene solo están mínimamente articuladas y, en gran medida, le "&amp;"faltan las percepciones y los recuerdos de sus relaciones con los demás. A diferencia de las"&amp;" personas más funcionales relacionalmente, dispone de poca interacción "&amp;"dinámica entre los impulsos psíquicos y los conflictos"))</f>
        <v>en este rango, el puntaje no permite realizar una interpretación válida sobre la presencia de características asociadas a la faceta de Contenido escaso.</v>
      </c>
    </row>
    <row r="90" spans="2:30" ht="17.25">
      <c r="B90" s="56" t="s">
        <v>309</v>
      </c>
      <c r="C90" s="56"/>
      <c r="D90" s="194" t="s">
        <v>391</v>
      </c>
      <c r="E90" s="194"/>
      <c r="F90" s="194"/>
      <c r="G90" s="56">
        <f>+Protocolo!CB29</f>
        <v>1</v>
      </c>
      <c r="H90" s="56">
        <f ca="1">+INDEX(INDIRECT("GG"&amp;VLOOKUP(Portada!C28,Portada!O5:P6,2,FALSE)),MATCH(ROUND(G90,2),INDIRECT("AAAAA"&amp;VLOOKUP(Portada!C28,Portada!O5:P6,2,FALSE)),0))</f>
        <v>27</v>
      </c>
      <c r="I90" s="57">
        <f ca="1">+INDEX(INDIRECT("FF"&amp;VLOOKUP(Portada!C28,Portada!O5:P6,2,FALSE)),MATCH(ROUND(G90,2),INDIRECT("AAAAA"&amp;VLOOKUP(Portada!C28,Portada!O5:P6,2,FALSE)),0))</f>
        <v>20</v>
      </c>
      <c r="J90" s="55"/>
      <c r="K90" s="57" t="s">
        <v>333</v>
      </c>
      <c r="L90" s="194" t="s">
        <v>394</v>
      </c>
      <c r="M90" s="194"/>
      <c r="N90" s="194"/>
      <c r="O90" s="56">
        <f>+Protocolo!EF27</f>
        <v>1</v>
      </c>
      <c r="P90" s="56">
        <f ca="1">+INDEX(INDIRECT("FFFFF"&amp;VLOOKUP(Portada!C28,Portada!O5:P6,2,FALSE)),MATCH(ROUND(O90,2),INDIRECT("AAAAA"&amp;VLOOKUP(Portada!C28,Portada!O5:P6,2,FALSE)),0))</f>
        <v>47</v>
      </c>
      <c r="Q90" s="56">
        <f ca="1">+INDEX(INDIRECT("DDDDD"&amp;VLOOKUP(Portada!C28,Portada!O5:P6,2,FALSE)),MATCH(ROUND(O90,2),INDIRECT("AAAAA"&amp;VLOOKUP(Portada!C28,Portada!O5:P6,2,FALSE)),0))</f>
        <v>60</v>
      </c>
      <c r="T90" s="59" t="s">
        <v>197</v>
      </c>
      <c r="U90" s="58" t="str">
        <f t="shared" si="8"/>
        <v>Temperamentalmente apático</v>
      </c>
      <c r="V90" s="59" t="s">
        <v>309</v>
      </c>
      <c r="W90" s="59">
        <f t="shared" si="9"/>
        <v>1</v>
      </c>
      <c r="X90" s="78">
        <f t="shared" ca="1" si="10"/>
        <v>27</v>
      </c>
      <c r="Y90" s="78">
        <f t="shared" ca="1" si="11"/>
        <v>20</v>
      </c>
      <c r="Z90" s="60" t="str">
        <f t="shared" ca="1" si="12"/>
        <v/>
      </c>
      <c r="AA90" s="59" t="str">
        <f t="shared" ca="1" si="13"/>
        <v/>
      </c>
      <c r="AB90" s="58" t="str">
        <f ca="1">IF(TRIM(LOWER(T90))=TRIM(LOWER($B$79)), ROW(), "")</f>
        <v/>
      </c>
      <c r="AD90" s="120" t="str">
        <f ca="1">IF(Y90&lt;=74,"en este rango, el"&amp;" puntaje no permite realizar una interpretación válida sobre la presencia de características asociadas"&amp;" a la faceta de Temperamentalmente apático.",IF(Y90&gt;=75,"no se altera emocionalmente y "&amp;"muestra una insensibilidad intrínseca y frialdad. Refiere tener pocas necesidades afectivas o "&amp;"sexuales, y casi nunca manifiesta sentimientos apasionados o intensos. Aparentemente es"&amp;" incapaz de sentir placer, tristeza o ira con cierta intensidad"))</f>
        <v>en este rango, el puntaje no permite realizar una interpretación válida sobre la presencia de características asociadas a la faceta de Temperamentalmente apático.</v>
      </c>
    </row>
    <row r="91" spans="2:30" ht="17.25">
      <c r="B91" s="57"/>
      <c r="C91" s="55"/>
      <c r="D91" s="55"/>
      <c r="E91" s="55"/>
      <c r="F91" s="55"/>
      <c r="G91" s="56"/>
      <c r="H91" s="56"/>
      <c r="I91" s="57"/>
      <c r="J91" s="55"/>
      <c r="K91" s="57"/>
      <c r="L91" s="55"/>
      <c r="M91" s="55"/>
      <c r="N91" s="55"/>
      <c r="O91" s="56"/>
      <c r="P91" s="56"/>
      <c r="Q91" s="56"/>
      <c r="Z91" s="60" t="str">
        <f t="shared" ca="1" si="12"/>
        <v/>
      </c>
      <c r="AA91" s="59" t="str">
        <f t="shared" ca="1" si="13"/>
        <v/>
      </c>
      <c r="AB91" s="58" t="str">
        <f t="shared" ref="AB91:AB149" ca="1" si="14">IF(TRIM(LOWER(T91))=TRIM(LOWER($B$79)), ROW(), "")</f>
        <v/>
      </c>
    </row>
    <row r="92" spans="2:30" ht="17.25">
      <c r="B92" s="83" t="s">
        <v>210</v>
      </c>
      <c r="C92" s="134"/>
      <c r="D92" s="195" t="s">
        <v>198</v>
      </c>
      <c r="E92" s="195"/>
      <c r="F92" s="195"/>
      <c r="G92" s="56"/>
      <c r="H92" s="56"/>
      <c r="I92" s="57"/>
      <c r="J92" s="55"/>
      <c r="K92" s="83">
        <v>7</v>
      </c>
      <c r="L92" s="195" t="s">
        <v>206</v>
      </c>
      <c r="M92" s="195"/>
      <c r="N92" s="195"/>
      <c r="O92" s="56"/>
      <c r="P92" s="56"/>
      <c r="Q92" s="56"/>
      <c r="U92" s="59"/>
      <c r="V92" s="59"/>
      <c r="Z92" s="60" t="str">
        <f t="shared" ca="1" si="12"/>
        <v/>
      </c>
      <c r="AA92" s="59" t="str">
        <f t="shared" ca="1" si="13"/>
        <v/>
      </c>
      <c r="AB92" s="58" t="str">
        <f t="shared" ca="1" si="14"/>
        <v/>
      </c>
    </row>
    <row r="93" spans="2:30" ht="17.25">
      <c r="B93" s="57" t="s">
        <v>310</v>
      </c>
      <c r="C93" s="55"/>
      <c r="D93" s="194" t="s">
        <v>631</v>
      </c>
      <c r="E93" s="194"/>
      <c r="F93" s="194"/>
      <c r="G93" s="68">
        <f>+Protocolo!CE28</f>
        <v>1</v>
      </c>
      <c r="H93" s="56">
        <f ca="1">+INDEX(INDIRECT("II"&amp;VLOOKUP(Portada!C28,Portada!O5:P6,2,FALSE)),MATCH(ROUND(G93,2),INDIRECT("AAAAA"&amp;VLOOKUP(Portada!C28,Portada!O5:P6,2,FALSE)),0))</f>
        <v>11</v>
      </c>
      <c r="I93" s="57">
        <f ca="1">+INDEX(INDIRECT("HH"&amp;VLOOKUP(Portada!C28,Portada!O5:P6,2,FALSE)),MATCH(ROUND(G93,2),INDIRECT("AAAAA"&amp;VLOOKUP(Portada!C28,Portada!O5:P6,2,FALSE)),0))</f>
        <v>15</v>
      </c>
      <c r="J93" s="55"/>
      <c r="K93" s="57" t="s">
        <v>334</v>
      </c>
      <c r="L93" s="194" t="s">
        <v>411</v>
      </c>
      <c r="M93" s="194"/>
      <c r="N93" s="194"/>
      <c r="O93" s="56">
        <f>+Protocolo!EI28</f>
        <v>7</v>
      </c>
      <c r="P93" s="56">
        <f ca="1">+INDEX(INDIRECT("HHHHH"&amp;VLOOKUP(Portada!C28,Portada!O5:P6,2,FALSE)),MATCH(ROUND(O93,2),INDIRECT("AAAAA"&amp;VLOOKUP(Portada!C28,Portada!O5:P6,2,FALSE)),0))</f>
        <v>88</v>
      </c>
      <c r="Q93" s="56">
        <f ca="1">+INDEX(INDIRECT("GGGGG"&amp;VLOOKUP(Portada!C28,Portada!O5:P6,2,FALSE)),MATCH(ROUND(O93,2),INDIRECT("AAAAA"&amp;VLOOKUP(Portada!C28,Portada!O5:P6,2,FALSE)),0))</f>
        <v>85</v>
      </c>
      <c r="T93" s="59" t="s">
        <v>198</v>
      </c>
      <c r="U93" s="58" t="str">
        <f t="shared" si="8"/>
        <v>Interpers. Aversivo</v>
      </c>
      <c r="V93" s="60" t="s">
        <v>310</v>
      </c>
      <c r="W93" s="59">
        <f t="shared" si="9"/>
        <v>1</v>
      </c>
      <c r="X93" s="78">
        <f t="shared" ca="1" si="10"/>
        <v>11</v>
      </c>
      <c r="Y93" s="78">
        <f t="shared" ca="1" si="11"/>
        <v>15</v>
      </c>
      <c r="Z93" s="60" t="str">
        <f ca="1">IF(TRIM(LOWER(T93))=TRIM(LOWER($B$71)), ROW(), "")</f>
        <v/>
      </c>
      <c r="AA93" s="59" t="str">
        <f t="shared" ca="1" si="13"/>
        <v/>
      </c>
      <c r="AB93" s="58" t="str">
        <f t="shared" ca="1" si="14"/>
        <v/>
      </c>
      <c r="AD93" s="136" t="str">
        <f ca="1">IF(Y93&lt;=74,"en este rango, el puntaje no permite realizar una interpretación válida sobre la presencia de características asociadas a la faceta de Interpersonalmente aversivo",IF(Y93&gt;=75,"evita las actividades que suponen relaciones personales"&amp;" estrechas y refiere un historial de ansiedad social y desconfianza. Busca la aceptación, pero"&amp;" está poco dispuesto a implicarse en las relaciones, a menos que tenga la certeza de "&amp;"que será del agrado de los demás; y mantiene la distancia y preserva su privacidad para evitar sentirse avergonzado y humillado"))</f>
        <v>en este rango, el puntaje no permite realizar una interpretación válida sobre la presencia de características asociadas a la faceta de Interpersonalmente aversivo</v>
      </c>
    </row>
    <row r="94" spans="2:30" ht="17.25">
      <c r="B94" s="57" t="s">
        <v>311</v>
      </c>
      <c r="C94" s="55"/>
      <c r="D94" s="194" t="s">
        <v>395</v>
      </c>
      <c r="E94" s="194"/>
      <c r="F94" s="194"/>
      <c r="G94" s="56">
        <f>+Protocolo!CG29</f>
        <v>3</v>
      </c>
      <c r="H94" s="56">
        <f ca="1">+INDEX(INDIRECT("KK"&amp;VLOOKUP(Portada!C28,Portada!O5:P6,2,FALSE)),MATCH(ROUND(G94,2),INDIRECT("AAAAA"&amp;VLOOKUP(Portada!C28,Portada!O5:P6,2,FALSE)),0))</f>
        <v>45</v>
      </c>
      <c r="I94" s="57">
        <f ca="1">+INDEX(INDIRECT("JJ"&amp;VLOOKUP(Portada!C28,Portada!O5:P6,2,FALSE)),MATCH(ROUND(G94,2),INDIRECT("AAAAA"&amp;VLOOKUP(Portada!C28,Portada!O5:P6,2,FALSE)),0))</f>
        <v>45</v>
      </c>
      <c r="J94" s="55"/>
      <c r="K94" s="57" t="s">
        <v>335</v>
      </c>
      <c r="L94" s="194" t="s">
        <v>412</v>
      </c>
      <c r="M94" s="194"/>
      <c r="N94" s="194"/>
      <c r="O94" s="56">
        <f>+Protocolo!EK32</f>
        <v>5</v>
      </c>
      <c r="P94" s="56">
        <f ca="1">+INDEX(INDIRECT("KKKKK"&amp;VLOOKUP(Portada!C28,Portada!O5:P6,2,FALSE)),MATCH(ROUND(O94,2),INDIRECT("AAAAA"&amp;VLOOKUP(Portada!C28,Portada!O5:P6,2,FALSE)),0))</f>
        <v>39</v>
      </c>
      <c r="Q94" s="56">
        <f ca="1">+INDEX(INDIRECT("JJJJJ"&amp;VLOOKUP(Portada!C28,Portada!O5:P6,2,FALSE)),MATCH(ROUND(O94,2),INDIRECT("AAAAA"&amp;VLOOKUP(Portada!C28,Portada!O5:P6,2,FALSE)),0))</f>
        <v>43</v>
      </c>
      <c r="T94" s="59" t="s">
        <v>198</v>
      </c>
      <c r="U94" s="58" t="str">
        <f t="shared" si="8"/>
        <v>Autoimagen alienada</v>
      </c>
      <c r="V94" s="60" t="s">
        <v>311</v>
      </c>
      <c r="W94" s="59">
        <f t="shared" si="9"/>
        <v>3</v>
      </c>
      <c r="X94" s="78">
        <f t="shared" ca="1" si="10"/>
        <v>45</v>
      </c>
      <c r="Y94" s="78">
        <f t="shared" ca="1" si="11"/>
        <v>45</v>
      </c>
      <c r="Z94" s="60" t="str">
        <f t="shared" ca="1" si="12"/>
        <v/>
      </c>
      <c r="AA94" s="59" t="str">
        <f t="shared" ca="1" si="13"/>
        <v/>
      </c>
      <c r="AB94" s="58" t="str">
        <f t="shared" ca="1" si="14"/>
        <v/>
      </c>
      <c r="AD94" s="136" t="str">
        <f ca="1">IF(Y94&lt;=74,"en este rango, el puntaje no permite realizar una interpretación válida sobre la presencia de características asociadas a la faceta de"&amp;" Autoimagen alienada",IF(Y94&gt;=75,"se ve a sí mismo como socialmente inepto, incompetente e inferior, lo que justifica su aislamiento y el rechazo por parte de los demás. Se siente personalmente poco atractivo, subestima sus logros y refiere una persistente sensación de vacío"))</f>
        <v>en este rango, el puntaje no permite realizar una interpretación válida sobre la presencia de características asociadas a la faceta de Autoimagen alienada</v>
      </c>
    </row>
    <row r="95" spans="2:30" ht="17.25">
      <c r="B95" s="57" t="s">
        <v>312</v>
      </c>
      <c r="C95" s="55"/>
      <c r="D95" s="194" t="s">
        <v>396</v>
      </c>
      <c r="E95" s="194"/>
      <c r="F95" s="194"/>
      <c r="G95" s="56">
        <f>+Protocolo!CI29</f>
        <v>1</v>
      </c>
      <c r="H95" s="56">
        <f ca="1">+INDEX(INDIRECT("MM"&amp;VLOOKUP(Portada!C28,Portada!O5:P6,2,FALSE)),MATCH(ROUND(G95,2),INDIRECT("AAAAA"&amp;VLOOKUP(Portada!C28,Portada!O5:P6,2,FALSE)),0))</f>
        <v>25</v>
      </c>
      <c r="I95" s="57">
        <f ca="1">+INDEX(INDIRECT("LL"&amp;VLOOKUP(Portada!C28,Portada!O5:P6,2,FALSE)),MATCH(ROUND(G95,2),INDIRECT("AAAAA"&amp;VLOOKUP(Portada!C28,Portada!O5:P6,2,FALSE)),0))</f>
        <v>20</v>
      </c>
      <c r="J95" s="55"/>
      <c r="K95" s="57" t="s">
        <v>336</v>
      </c>
      <c r="L95" s="194" t="s">
        <v>413</v>
      </c>
      <c r="M95" s="194"/>
      <c r="N95" s="194"/>
      <c r="O95" s="56">
        <f>+Protocolo!EM29</f>
        <v>8</v>
      </c>
      <c r="P95" s="56">
        <f ca="1">+INDEX(INDIRECT("ZZZZZ"&amp;VLOOKUP(Portada!C28,Portada!O5:P6,2,FALSE)),MATCH(ROUND(O95,2),INDIRECT("AAAAA"&amp;VLOOKUP(Portada!C28,Portada!O5:P6,2,FALSE)),0))</f>
        <v>81</v>
      </c>
      <c r="Q95" s="56">
        <f ca="1">+INDEX(INDIRECT("LLLLL"&amp;VLOOKUP(Portada!C28,Portada!O5:P6,2,FALSE)),MATCH(ROUND(O95,2),INDIRECT("AAAAA"&amp;VLOOKUP(Portada!C28,Portada!O5:P6,2,FALSE)),0))</f>
        <v>75</v>
      </c>
      <c r="T95" s="59" t="s">
        <v>198</v>
      </c>
      <c r="U95" s="58" t="str">
        <f t="shared" si="8"/>
        <v>Contenido vejatorio</v>
      </c>
      <c r="V95" s="60" t="s">
        <v>312</v>
      </c>
      <c r="W95" s="59">
        <f t="shared" si="9"/>
        <v>1</v>
      </c>
      <c r="X95" s="78">
        <f t="shared" ca="1" si="10"/>
        <v>25</v>
      </c>
      <c r="Y95" s="78">
        <f t="shared" ca="1" si="11"/>
        <v>20</v>
      </c>
      <c r="Z95" s="60" t="str">
        <f t="shared" ca="1" si="12"/>
        <v/>
      </c>
      <c r="AA95" s="59" t="str">
        <f t="shared" ca="1" si="13"/>
        <v/>
      </c>
      <c r="AB95" s="58" t="str">
        <f t="shared" ca="1" si="14"/>
        <v/>
      </c>
      <c r="AD95" s="136" t="str">
        <f ca="1">IF(Y95&lt;=74,"en este rango, el puntaje no permite realizar una interpretación válida sobre la presencia de características asociadas a la faceta de Contenido vejatorio (2A.3).",IF(Y95&gt;=75,"las representaciones interiorizadas están compuestas de recuerdos de relaciones tempranas problemáticas que son intensos y conflictivos y se "&amp;"reactivan fácilmente. Por consiguiente, tiene limitadas las opciones para sentir satisfacción o recordar momentos de plenitud, así como pocos mecanismos para canalizar sus necesidades, resolver conflictos o evitar estresores externos"))</f>
        <v>en este rango, el puntaje no permite realizar una interpretación válida sobre la presencia de características asociadas a la faceta de Contenido vejatorio (2A.3).</v>
      </c>
    </row>
    <row r="96" spans="2:30" ht="17.25">
      <c r="B96" s="57"/>
      <c r="C96" s="55"/>
      <c r="D96" s="55"/>
      <c r="E96" s="55"/>
      <c r="F96" s="55"/>
      <c r="G96" s="56"/>
      <c r="H96" s="56"/>
      <c r="I96" s="57"/>
      <c r="J96" s="55"/>
      <c r="K96" s="57"/>
      <c r="L96" s="55"/>
      <c r="M96" s="55"/>
      <c r="N96" s="55"/>
      <c r="O96" s="56"/>
      <c r="P96" s="56"/>
      <c r="Q96" s="56"/>
      <c r="Z96" s="60" t="str">
        <f t="shared" ca="1" si="12"/>
        <v/>
      </c>
      <c r="AA96" s="59" t="str">
        <f t="shared" ca="1" si="13"/>
        <v/>
      </c>
      <c r="AB96" s="58" t="str">
        <f t="shared" ca="1" si="14"/>
        <v/>
      </c>
    </row>
    <row r="97" spans="2:30" ht="17.25">
      <c r="B97" s="83" t="s">
        <v>211</v>
      </c>
      <c r="C97" s="134"/>
      <c r="D97" s="195" t="s">
        <v>199</v>
      </c>
      <c r="E97" s="195"/>
      <c r="F97" s="195"/>
      <c r="G97" s="56"/>
      <c r="H97" s="56"/>
      <c r="I97" s="57"/>
      <c r="J97" s="55"/>
      <c r="K97" s="83" t="s">
        <v>216</v>
      </c>
      <c r="L97" s="195" t="s">
        <v>207</v>
      </c>
      <c r="M97" s="195"/>
      <c r="N97" s="195"/>
      <c r="O97" s="56"/>
      <c r="P97" s="56"/>
      <c r="Q97" s="56"/>
      <c r="U97" s="59"/>
      <c r="V97" s="59"/>
      <c r="Z97" s="60" t="str">
        <f t="shared" ca="1" si="12"/>
        <v/>
      </c>
      <c r="AA97" s="59" t="str">
        <f t="shared" ca="1" si="13"/>
        <v/>
      </c>
      <c r="AB97" s="58" t="str">
        <f t="shared" ca="1" si="14"/>
        <v/>
      </c>
    </row>
    <row r="98" spans="2:30" ht="17.25">
      <c r="B98" s="57" t="s">
        <v>313</v>
      </c>
      <c r="C98" s="55"/>
      <c r="D98" s="194" t="s">
        <v>397</v>
      </c>
      <c r="E98" s="194"/>
      <c r="F98" s="194"/>
      <c r="G98" s="68">
        <f>+Protocolo!CL29</f>
        <v>4</v>
      </c>
      <c r="H98" s="56">
        <f ca="1">+INDEX(INDIRECT("OO"&amp;VLOOKUP(Portada!C28,Portada!O5:P6,2,FALSE)),MATCH(ROUND(G98,2),INDIRECT("AAAAA"&amp;VLOOKUP(Portada!C28,Portada!O5:P6,2,FALSE)),0))</f>
        <v>38</v>
      </c>
      <c r="I98" s="57">
        <f ca="1">+INDEX(INDIRECT("NN"&amp;VLOOKUP(Portada!C28,Portada!O5:P6,2,FALSE)),MATCH(ROUND(G98,2),INDIRECT("AAAAA"&amp;VLOOKUP(Portada!C28,Portada!O5:P6,2,FALSE)),0))</f>
        <v>40</v>
      </c>
      <c r="J98" s="55"/>
      <c r="K98" s="57" t="s">
        <v>337</v>
      </c>
      <c r="L98" s="194" t="s">
        <v>414</v>
      </c>
      <c r="M98" s="194"/>
      <c r="N98" s="194"/>
      <c r="O98" s="68">
        <f>+Protocolo!EP29</f>
        <v>2</v>
      </c>
      <c r="P98" s="56">
        <f ca="1">+INDEX(INDIRECT("QQQQQ"&amp;VLOOKUP(Portada!C28,Portada!O5:P6,2,FALSE)),MATCH(ROUND(O98,2),INDIRECT("AAAAA"&amp;VLOOKUP(Portada!C28,Portada!O5:P6,2,FALSE)),0))</f>
        <v>43</v>
      </c>
      <c r="Q98" s="56">
        <f ca="1">+INDEX(INDIRECT("XXXXX"&amp;VLOOKUP(Portada!C28,Portada!O5:P6,2,FALSE)),MATCH(ROUND(O98,2),INDIRECT("AAAAA"&amp;VLOOKUP(Portada!C28,Portada!O5:P6,2,FALSE)),0))</f>
        <v>40</v>
      </c>
      <c r="T98" s="59" t="s">
        <v>199</v>
      </c>
      <c r="U98" s="58" t="str">
        <f t="shared" si="8"/>
        <v>Cognitivamente fatalista</v>
      </c>
      <c r="V98" s="60" t="s">
        <v>313</v>
      </c>
      <c r="W98" s="59">
        <f t="shared" si="9"/>
        <v>4</v>
      </c>
      <c r="X98" s="78">
        <f t="shared" ca="1" si="10"/>
        <v>38</v>
      </c>
      <c r="Y98" s="78">
        <f t="shared" ca="1" si="11"/>
        <v>40</v>
      </c>
      <c r="Z98" s="60" t="str">
        <f t="shared" ca="1" si="12"/>
        <v/>
      </c>
      <c r="AA98" s="59" t="str">
        <f t="shared" ca="1" si="13"/>
        <v/>
      </c>
      <c r="AB98" s="58" t="str">
        <f t="shared" ca="1" si="14"/>
        <v/>
      </c>
      <c r="AD98" s="136" t="str">
        <f ca="1">IF(Y98&lt;=74,"en este rango, el puntaje no permite realizar una interpretación válida sobre la presencia de características asociadas a la faceta de Cognitivamente fatalista",IF(Y98&gt;=75,"la actitud ante prácticamente todo es derrotista "&amp;"y fatalista. Ve el lado más adverso de las cosas y siempre espera lo peor. A menudo se siente agobiado, desanimado y abatido. Su interpretación de los acontecimientos es sumamente pesimista y siente que las cosas nunca mejorarán"))</f>
        <v>en este rango, el puntaje no permite realizar una interpretación válida sobre la presencia de características asociadas a la faceta de Cognitivamente fatalista</v>
      </c>
    </row>
    <row r="99" spans="2:30" ht="17.25">
      <c r="B99" s="57" t="s">
        <v>314</v>
      </c>
      <c r="C99" s="55"/>
      <c r="D99" s="194" t="s">
        <v>398</v>
      </c>
      <c r="E99" s="194"/>
      <c r="F99" s="194"/>
      <c r="G99" s="56">
        <f>+Protocolo!CN29</f>
        <v>1</v>
      </c>
      <c r="H99" s="56">
        <f ca="1">+INDEX(INDIRECT("QQ"&amp;VLOOKUP(Portada!C28,Portada!O5:P6,2,FALSE)),MATCH(ROUND(G99,2),INDIRECT("AAAAA"&amp;VLOOKUP(Portada!C28,Portada!O5:P6,2,FALSE)),0))</f>
        <v>41</v>
      </c>
      <c r="I99" s="57">
        <f ca="1">+INDEX(INDIRECT("PP"&amp;VLOOKUP(Portada!C28,Portada!O5:P6,2,FALSE)),MATCH(ROUND(G99,2),INDIRECT("AAAAA"&amp;VLOOKUP(Portada!C28,Portada!O5:P6,2,FALSE)),0))</f>
        <v>30</v>
      </c>
      <c r="J99" s="55"/>
      <c r="K99" s="57" t="s">
        <v>338</v>
      </c>
      <c r="L99" s="194" t="s">
        <v>415</v>
      </c>
      <c r="M99" s="194"/>
      <c r="N99" s="194"/>
      <c r="O99" s="56">
        <f>+Protocolo!ER31</f>
        <v>1</v>
      </c>
      <c r="P99" s="56">
        <f ca="1">+INDEX(INDIRECT("RRRRR"&amp;VLOOKUP(Portada!C28,Portada!O5:P6,2,FALSE)),MATCH(ROUND(O99,2),INDIRECT("AAAAA"&amp;VLOOKUP(Portada!C28,Portada!O5:P6,2,FALSE)),0))</f>
        <v>15</v>
      </c>
      <c r="Q99" s="56">
        <f ca="1">+INDEX(INDIRECT("WWWWW"&amp;VLOOKUP(Portada!C28,Portada!O5:P6,2,FALSE)),MATCH(ROUND(O99,2),INDIRECT("AAAAA"&amp;VLOOKUP(Portada!C28,Portada!O5:P6,2,FALSE)),0))</f>
        <v>15</v>
      </c>
      <c r="T99" s="59" t="s">
        <v>199</v>
      </c>
      <c r="U99" s="58" t="str">
        <f t="shared" si="8"/>
        <v>Autoimagen inútil</v>
      </c>
      <c r="V99" s="60" t="s">
        <v>314</v>
      </c>
      <c r="W99" s="59">
        <f t="shared" si="9"/>
        <v>1</v>
      </c>
      <c r="X99" s="78">
        <f t="shared" ca="1" si="10"/>
        <v>41</v>
      </c>
      <c r="Y99" s="78">
        <f t="shared" ca="1" si="11"/>
        <v>30</v>
      </c>
      <c r="Z99" s="60" t="str">
        <f t="shared" ca="1" si="12"/>
        <v/>
      </c>
      <c r="AA99" s="59" t="str">
        <f t="shared" ca="1" si="13"/>
        <v/>
      </c>
      <c r="AB99" s="58" t="str">
        <f t="shared" ca="1" si="14"/>
        <v/>
      </c>
      <c r="AD99" s="136" t="str">
        <f ca="1">IF(Y99&lt;=74,"en este rango, el puntaje no permite realizar una interpretación válida sobre la presencia de características asociadas a la faceta de Autoimagen inútil",IF(Y99&gt;=75,"considera que no vale nada, que es insignificante"&amp;" e irrelevante. Le caracteriza una tristeza generalizada, y el menor error puede sumirle en un estado más grave de desánimo. Además, se ve a sí mismo como una persona que debería ser "&amp;"criticada y menospreciada y que debería sentirse culpable por no tener cualidades positivas o no haber hecho nada digno de admiración"))</f>
        <v>en este rango, el puntaje no permite realizar una interpretación válida sobre la presencia de características asociadas a la faceta de Autoimagen inútil</v>
      </c>
    </row>
    <row r="100" spans="2:30" ht="17.25">
      <c r="B100" s="57" t="s">
        <v>315</v>
      </c>
      <c r="C100" s="55"/>
      <c r="D100" s="194" t="s">
        <v>399</v>
      </c>
      <c r="E100" s="194"/>
      <c r="F100" s="194"/>
      <c r="G100" s="56">
        <f>+Protocolo!CP29</f>
        <v>3</v>
      </c>
      <c r="H100" s="56">
        <f ca="1">+INDEX(INDIRECT("SS"&amp;VLOOKUP(Portada!C28,Portada!O5:P6,2,FALSE)),MATCH(ROUND(G100,2),INDIRECT("AAAAA"&amp;VLOOKUP(Portada!C28,Portada!O5:P6,2,FALSE)),0))</f>
        <v>51</v>
      </c>
      <c r="I100" s="57">
        <f ca="1">+INDEX(INDIRECT("RR"&amp;VLOOKUP(Portada!C28,Portada!O5:P6,2,FALSE)),MATCH(ROUND(G100,2),INDIRECT("AAAAA"&amp;VLOOKUP(Portada!C28,Portada!O5:P6,2,FALSE)),0))</f>
        <v>60</v>
      </c>
      <c r="J100" s="55"/>
      <c r="K100" s="57" t="s">
        <v>339</v>
      </c>
      <c r="L100" s="194" t="s">
        <v>416</v>
      </c>
      <c r="M100" s="194"/>
      <c r="N100" s="194"/>
      <c r="O100" s="56">
        <f>+Protocolo!ET30</f>
        <v>1</v>
      </c>
      <c r="P100" s="56">
        <f ca="1">+INDEX(INDIRECT("UUUUU"&amp;VLOOKUP(Portada!C28,Portada!O5:P6,2,FALSE)),MATCH(ROUND(O100,2),INDIRECT("AAAAA"&amp;VLOOKUP(Portada!C28,Portada!O5:P6,2,FALSE)),0))</f>
        <v>32</v>
      </c>
      <c r="Q100" s="56">
        <f ca="1">+INDEX(INDIRECT("TTTTT"&amp;VLOOKUP(Portada!C28,Portada!O5:P6,2,FALSE)),MATCH(ROUND(O100,2),INDIRECT("AAAAA"&amp;VLOOKUP(Portada!C28,Portada!O5:P6,2,FALSE)),0))</f>
        <v>20</v>
      </c>
      <c r="T100" s="59" t="s">
        <v>199</v>
      </c>
      <c r="U100" s="58" t="str">
        <f t="shared" si="8"/>
        <v>Temperamentalmente afligido</v>
      </c>
      <c r="V100" s="60" t="s">
        <v>315</v>
      </c>
      <c r="W100" s="59">
        <f t="shared" si="9"/>
        <v>3</v>
      </c>
      <c r="X100" s="78">
        <f t="shared" ca="1" si="10"/>
        <v>51</v>
      </c>
      <c r="Y100" s="78">
        <f t="shared" ca="1" si="11"/>
        <v>60</v>
      </c>
      <c r="Z100" s="60" t="str">
        <f t="shared" ca="1" si="12"/>
        <v/>
      </c>
      <c r="AA100" s="59" t="str">
        <f t="shared" ca="1" si="13"/>
        <v/>
      </c>
      <c r="AB100" s="58" t="str">
        <f t="shared" ca="1" si="14"/>
        <v/>
      </c>
      <c r="AD100" s="136" t="str">
        <f ca="1">IF(Y100&lt;=74,"en este rango, el puntaje no permite realizar una interpretación válida sobre la presencia de características asociadas a la faceta de Temperamentalmente afligido",IF(Y100&gt;=75,"está apenado, triste, acongojado y malhumorado, y su estado de ánimo se intensifica por su tendencia a preocuparse, ver"&amp;" el lado negativo de todo y sentirse culpable. Puede relacionarse con los demás, pero lo hace por inercia y con poco entusiasmo. Su abatimiento y su tristeza casi permanente pueden minar la capacidad que tiene de disfrutar de la vida"))</f>
        <v>en este rango, el puntaje no permite realizar una interpretación válida sobre la presencia de características asociadas a la faceta de Temperamentalmente afligido</v>
      </c>
    </row>
    <row r="101" spans="2:30" ht="17.25">
      <c r="B101" s="57"/>
      <c r="C101" s="55"/>
      <c r="D101" s="55"/>
      <c r="E101" s="55"/>
      <c r="F101" s="55"/>
      <c r="G101" s="56"/>
      <c r="H101" s="56"/>
      <c r="I101" s="57"/>
      <c r="J101" s="55"/>
      <c r="K101" s="57"/>
      <c r="L101" s="55"/>
      <c r="M101" s="55"/>
      <c r="N101" s="55"/>
      <c r="O101" s="56"/>
      <c r="P101" s="56"/>
      <c r="Q101" s="56"/>
      <c r="Z101" s="60" t="str">
        <f t="shared" ca="1" si="12"/>
        <v/>
      </c>
      <c r="AA101" s="59" t="str">
        <f t="shared" ca="1" si="13"/>
        <v/>
      </c>
      <c r="AB101" s="58" t="str">
        <f t="shared" ca="1" si="14"/>
        <v/>
      </c>
    </row>
    <row r="102" spans="2:30" ht="17.25">
      <c r="B102" s="83">
        <v>3</v>
      </c>
      <c r="C102" s="134"/>
      <c r="D102" s="195" t="s">
        <v>200</v>
      </c>
      <c r="E102" s="195"/>
      <c r="F102" s="195"/>
      <c r="G102" s="56"/>
      <c r="H102" s="56"/>
      <c r="I102" s="57"/>
      <c r="J102" s="55"/>
      <c r="K102" s="83" t="s">
        <v>217</v>
      </c>
      <c r="L102" s="195" t="s">
        <v>208</v>
      </c>
      <c r="M102" s="195"/>
      <c r="N102" s="195"/>
      <c r="O102" s="56"/>
      <c r="P102" s="56"/>
      <c r="Q102" s="56"/>
      <c r="U102" s="59"/>
      <c r="V102" s="59"/>
      <c r="Z102" s="60" t="str">
        <f t="shared" ca="1" si="12"/>
        <v/>
      </c>
      <c r="AA102" s="59" t="str">
        <f t="shared" ca="1" si="13"/>
        <v/>
      </c>
      <c r="AB102" s="58" t="str">
        <f t="shared" ca="1" si="14"/>
        <v/>
      </c>
    </row>
    <row r="103" spans="2:30" ht="17.25">
      <c r="B103" s="57" t="s">
        <v>316</v>
      </c>
      <c r="C103" s="55"/>
      <c r="D103" s="194" t="s">
        <v>400</v>
      </c>
      <c r="E103" s="194"/>
      <c r="F103" s="194"/>
      <c r="G103" s="56">
        <f>+Protocolo!CS29</f>
        <v>3</v>
      </c>
      <c r="H103" s="56">
        <f ca="1">+INDEX(INDIRECT("UU"&amp;VLOOKUP(Portada!C28,Portada!O5:P6,2,FALSE)),MATCH(ROUND(G103,2),INDIRECT("AAAAA"&amp;VLOOKUP(Portada!C28,Portada!O5:P6,2,FALSE)),0))</f>
        <v>34</v>
      </c>
      <c r="I103" s="57">
        <f ca="1">+INDEX(INDIRECT("TT"&amp;VLOOKUP(Portada!C28,Portada!O5:P6,2,FALSE)),MATCH(ROUND(G103,2),INDIRECT("AAAAA"&amp;VLOOKUP(Portada!C28,Portada!O5:P6,2,FALSE)),0))</f>
        <v>36</v>
      </c>
      <c r="J103" s="55"/>
      <c r="K103" s="57" t="s">
        <v>340</v>
      </c>
      <c r="L103" s="194" t="s">
        <v>417</v>
      </c>
      <c r="M103" s="194"/>
      <c r="N103" s="194"/>
      <c r="O103" s="56">
        <f>+Protocolo!EW32</f>
        <v>3</v>
      </c>
      <c r="P103" s="56">
        <f ca="1">+INDEX(INDIRECT("OOOOO"&amp;VLOOKUP(Portada!C28,Portada!O5:P6,2,FALSE)),MATCH(ROUND(O103,2),INDIRECT("AAAAA"&amp;VLOOKUP(Portada!C28,Portada!O5:P6,2,FALSE)),0))</f>
        <v>44</v>
      </c>
      <c r="Q103" s="56">
        <f ca="1">+INDEX(INDIRECT("IIIII"&amp;VLOOKUP(Portada!C28,Portada!O5:P6,2,FALSE)),MATCH(ROUND(O104,2),INDIRECT("AAAAA"&amp;VLOOKUP(Portada!C28,Portada!O5:P6,2,FALSE)),0))</f>
        <v>60</v>
      </c>
      <c r="T103" s="59" t="s">
        <v>200</v>
      </c>
      <c r="U103" s="58" t="str">
        <f t="shared" si="8"/>
        <v>Expresivamente pueril</v>
      </c>
      <c r="V103" s="60" t="s">
        <v>316</v>
      </c>
      <c r="W103" s="59">
        <f t="shared" si="9"/>
        <v>3</v>
      </c>
      <c r="X103" s="78">
        <f t="shared" ca="1" si="10"/>
        <v>34</v>
      </c>
      <c r="Y103" s="78">
        <f t="shared" ca="1" si="11"/>
        <v>36</v>
      </c>
      <c r="Z103" s="60" t="str">
        <f t="shared" ca="1" si="12"/>
        <v/>
      </c>
      <c r="AA103" s="59">
        <f t="shared" ca="1" si="13"/>
        <v>103</v>
      </c>
      <c r="AB103" s="58" t="str">
        <f t="shared" ca="1" si="14"/>
        <v/>
      </c>
      <c r="AD103" s="136" t="str">
        <f ca="1">IF(Y103&lt;=74,"en este rango, el puntaje no permite realizar una interpretación válida sobre la presencia de características asociadas a la faceta de Expresivamente pueril",IF(Y103&gt;=75,"se caracteriza por desvincularse de las responsabilidades"&amp;" propias de los adultos. Es dócil y pasivo, muestra pocas competencias funcionales y evita ser "&amp;"asertivo. Además, carece de la seguridad propia de la madurez, tiende a parecer indefenso y busca el afecto, la atención y la protección de los demás de una manera infantil"))</f>
        <v>en este rango, el puntaje no permite realizar una interpretación válida sobre la presencia de características asociadas a la faceta de Expresivamente pueril</v>
      </c>
    </row>
    <row r="104" spans="2:30" ht="17.25">
      <c r="B104" s="57" t="s">
        <v>317</v>
      </c>
      <c r="C104" s="55"/>
      <c r="D104" s="194" t="s">
        <v>632</v>
      </c>
      <c r="E104" s="194"/>
      <c r="F104" s="194"/>
      <c r="G104" s="56">
        <f>+Protocolo!CU27</f>
        <v>2</v>
      </c>
      <c r="H104" s="56">
        <f ca="1">+INDEX(INDIRECT("WW"&amp;VLOOKUP(Portada!C28,Portada!O5:P6,2,FALSE)),MATCH(ROUND(G104,2),INDIRECT("AAAAA"&amp;VLOOKUP(Portada!C28,Portada!O5:P6,2,FALSE)),0))</f>
        <v>41</v>
      </c>
      <c r="I104" s="57">
        <f ca="1">+INDEX(INDIRECT("VV"&amp;VLOOKUP(Portada!C28,Portada!O5:P6,2,FALSE)),MATCH(ROUND(G104,2),INDIRECT("AAAAA"&amp;VLOOKUP(Portada!C28,Portada!O5:P6,2,FALSE)),0))</f>
        <v>40</v>
      </c>
      <c r="J104" s="55"/>
      <c r="K104" s="57" t="s">
        <v>341</v>
      </c>
      <c r="L104" s="194" t="s">
        <v>418</v>
      </c>
      <c r="M104" s="194"/>
      <c r="N104" s="194"/>
      <c r="O104" s="56">
        <f>+Protocolo!EY29</f>
        <v>4</v>
      </c>
      <c r="P104" s="56">
        <f ca="1">+INDEX(INDIRECT("GGGGGGG"&amp;VLOOKUP(Portada!C28,Portada!O5:P6,2,FALSE)),MATCH(ROUND(O104,2),INDIRECT("AAAAA"&amp;VLOOKUP(Portada!C28,Portada!O5:P6,2,FALSE)),0))</f>
        <v>60</v>
      </c>
      <c r="Q104" s="56">
        <f ca="1">+INDEX(INDIRECT("PPPPP"&amp;VLOOKUP(Portada!C28,Portada!O5:P6,2,FALSE)),MATCH(ROUND(O104,2),INDIRECT("AAAAA"&amp;VLOOKUP(Portada!C28,Portada!O5:P6,2,FALSE)),0))</f>
        <v>65</v>
      </c>
      <c r="T104" s="59" t="s">
        <v>200</v>
      </c>
      <c r="U104" s="58" t="str">
        <f>+D104</f>
        <v>Interpers. Sumiso</v>
      </c>
      <c r="V104" s="60" t="s">
        <v>317</v>
      </c>
      <c r="W104" s="59">
        <f t="shared" si="9"/>
        <v>2</v>
      </c>
      <c r="X104" s="78">
        <f t="shared" ca="1" si="10"/>
        <v>41</v>
      </c>
      <c r="Y104" s="78">
        <f t="shared" ca="1" si="11"/>
        <v>40</v>
      </c>
      <c r="Z104" s="60" t="str">
        <f t="shared" ca="1" si="12"/>
        <v/>
      </c>
      <c r="AA104" s="59">
        <f t="shared" ca="1" si="13"/>
        <v>104</v>
      </c>
      <c r="AB104" s="58" t="str">
        <f t="shared" ca="1" si="14"/>
        <v/>
      </c>
      <c r="AD104" s="136" t="str">
        <f ca="1">IF(Y104&lt;=74,"en este rango, el puntaje no permite realizar una interpretación válida sobre la presencia de características asociadas a la faceta de Interpersonalmente sumiso",IF(Y104&gt;=75,"se somete a figuras más fuertes y protectoras, sin las cuales puede sentirse angustiadamente solo y desvalido. Necesita"&amp;" recibir consejos y seguridad de forma desmesurada. Es obediente, transigente y conciliador, y teme quedarse sin nadie que se ocupe de él"))</f>
        <v>en este rango, el puntaje no permite realizar una interpretación válida sobre la presencia de características asociadas a la faceta de Interpersonalmente sumiso</v>
      </c>
    </row>
    <row r="105" spans="2:30" ht="17.25">
      <c r="B105" s="57" t="s">
        <v>318</v>
      </c>
      <c r="C105" s="55"/>
      <c r="D105" s="194" t="s">
        <v>401</v>
      </c>
      <c r="E105" s="194"/>
      <c r="F105" s="194"/>
      <c r="G105" s="56">
        <f>+Protocolo!CW29</f>
        <v>4</v>
      </c>
      <c r="H105" s="56">
        <f ca="1">+INDEX(INDIRECT("YY"&amp;VLOOKUP(Portada!C28,Portada!O5:P6,2,FALSE)),MATCH(ROUND(G105,2),INDIRECT("AAAAA"&amp;VLOOKUP(Portada!C28,Portada!O5:P6,2,FALSE)),0))</f>
        <v>58</v>
      </c>
      <c r="I105" s="57">
        <f ca="1">+INDEX(INDIRECT("XX"&amp;VLOOKUP(Portada!C28,Portada!O5:P6,2,FALSE)),MATCH(ROUND(G105,2),INDIRECT("AAAAA"&amp;VLOOKUP(Portada!C28,Portada!O5:P6,2,FALSE)),0))</f>
        <v>60</v>
      </c>
      <c r="J105" s="55"/>
      <c r="K105" s="57" t="s">
        <v>342</v>
      </c>
      <c r="L105" s="194" t="s">
        <v>419</v>
      </c>
      <c r="M105" s="194"/>
      <c r="N105" s="194"/>
      <c r="O105" s="56">
        <f>+Protocolo!FA29</f>
        <v>3</v>
      </c>
      <c r="P105" s="56">
        <f ca="1">+INDEX(INDIRECT("BBBBBB"&amp;VLOOKUP(Portada!C28,Portada!O5:P6,2,FALSE)),MATCH(ROUND(O105,2),INDIRECT("AAAAA"&amp;VLOOKUP(Portada!C28,Portada!O5:P6,2,FALSE)),0))</f>
        <v>33</v>
      </c>
      <c r="Q105" s="56">
        <f ca="1">+INDEX(INDIRECT("AAAAAAA"&amp;VLOOKUP(Portada!C28,Portada!O5:P6,2,FALSE)),MATCH(ROUND(O105,2),INDIRECT("AAAAA"&amp;VLOOKUP(Portada!C28,Portada!O5:P6,2,FALSE)),0))</f>
        <v>36</v>
      </c>
      <c r="T105" s="59" t="s">
        <v>200</v>
      </c>
      <c r="U105" s="58" t="str">
        <f t="shared" si="8"/>
        <v>Autoimagen inepta</v>
      </c>
      <c r="V105" s="60" t="s">
        <v>318</v>
      </c>
      <c r="W105" s="59">
        <f t="shared" si="9"/>
        <v>4</v>
      </c>
      <c r="X105" s="78">
        <f t="shared" ca="1" si="10"/>
        <v>58</v>
      </c>
      <c r="Y105" s="78">
        <f t="shared" ca="1" si="11"/>
        <v>60</v>
      </c>
      <c r="Z105" s="60" t="str">
        <f t="shared" ca="1" si="12"/>
        <v/>
      </c>
      <c r="AA105" s="59">
        <f t="shared" ca="1" si="13"/>
        <v>105</v>
      </c>
      <c r="AB105" s="58" t="str">
        <f t="shared" ca="1" si="14"/>
        <v/>
      </c>
      <c r="AD105" s="136" t="str">
        <f ca="1">IF(Y105&lt;=74,"en este rango, el puntaje no permite realizar una interpretación válida sobre la presencia de características asociadas a la faceta de Autoimagen inepta",IF(Y105&gt;=75,"se ve a sí mismo como débil, frágil e incompetente. Carece de confianza en sí mismo porque menosprecia su forma de ver las cosas"&amp;" y sus capacidades; por ello, no es capaz de hacer nada por sí solo. No obstante, gran parte de este autodesprecio tiene poca razón de ser; más bien se trata de una estrategia para conseguir elogios y apoyo de los demás"))</f>
        <v>en este rango, el puntaje no permite realizar una interpretación válida sobre la presencia de características asociadas a la faceta de Autoimagen inepta</v>
      </c>
    </row>
    <row r="106" spans="2:30" ht="17.25">
      <c r="B106" s="57"/>
      <c r="C106" s="55"/>
      <c r="D106" s="55"/>
      <c r="E106" s="55"/>
      <c r="F106" s="55"/>
      <c r="G106" s="56"/>
      <c r="H106" s="56"/>
      <c r="I106" s="57"/>
      <c r="J106" s="55"/>
      <c r="K106" s="57"/>
      <c r="L106" s="55"/>
      <c r="M106" s="55"/>
      <c r="N106" s="55"/>
      <c r="O106" s="56"/>
      <c r="P106" s="56"/>
      <c r="Q106" s="56"/>
      <c r="Z106" s="60" t="str">
        <f t="shared" ca="1" si="12"/>
        <v/>
      </c>
      <c r="AA106" s="59" t="str">
        <f t="shared" ca="1" si="13"/>
        <v/>
      </c>
      <c r="AB106" s="58" t="str">
        <f t="shared" ca="1" si="14"/>
        <v/>
      </c>
    </row>
    <row r="107" spans="2:30" ht="17.25">
      <c r="B107" s="83" t="s">
        <v>212</v>
      </c>
      <c r="C107" s="134"/>
      <c r="D107" s="195" t="s">
        <v>201</v>
      </c>
      <c r="E107" s="195"/>
      <c r="F107" s="195"/>
      <c r="G107" s="56"/>
      <c r="H107" s="56"/>
      <c r="I107" s="57"/>
      <c r="J107" s="55"/>
      <c r="K107" s="83" t="s">
        <v>246</v>
      </c>
      <c r="L107" s="195" t="s">
        <v>431</v>
      </c>
      <c r="M107" s="195"/>
      <c r="N107" s="195"/>
      <c r="O107" s="56"/>
      <c r="P107" s="56"/>
      <c r="Q107" s="56"/>
      <c r="U107" s="59"/>
      <c r="V107" s="59"/>
      <c r="Z107" s="60" t="str">
        <f t="shared" ca="1" si="12"/>
        <v/>
      </c>
      <c r="AA107" s="59" t="str">
        <f t="shared" ca="1" si="13"/>
        <v/>
      </c>
      <c r="AB107" s="58" t="str">
        <f t="shared" ca="1" si="14"/>
        <v/>
      </c>
    </row>
    <row r="108" spans="2:30" ht="17.25">
      <c r="B108" s="57" t="s">
        <v>319</v>
      </c>
      <c r="C108" s="55"/>
      <c r="D108" s="194" t="s">
        <v>426</v>
      </c>
      <c r="E108" s="194"/>
      <c r="F108" s="194"/>
      <c r="G108" s="56">
        <f>+Protocolo!CZ27</f>
        <v>0</v>
      </c>
      <c r="H108" s="56">
        <f ca="1">+INDEX(INDIRECT("BBBB"&amp;VLOOKUP(Portada!C28,Portada!O5:P6,2,FALSE)),MATCH(ROUND(G108,2),INDIRECT("AAAAA"&amp;VLOOKUP(Portada!C28,Portada!O5:P6,2,FALSE)),0))</f>
        <v>31</v>
      </c>
      <c r="I108" s="57">
        <f ca="1">+INDEX(INDIRECT("ZZ"&amp;VLOOKUP(Portada!C28,Portada!O5:P6,2,FALSE)),MATCH(ROUND(G108,2),INDIRECT("AAAAA"&amp;VLOOKUP(Portada!C28,Portada!O5:P6,2,FALSE)),0))</f>
        <v>0</v>
      </c>
      <c r="J108" s="55"/>
      <c r="K108" s="57" t="s">
        <v>343</v>
      </c>
      <c r="L108" s="194" t="s">
        <v>420</v>
      </c>
      <c r="M108" s="194"/>
      <c r="N108" s="194"/>
      <c r="O108" s="56">
        <f>+Protocolo!FD29</f>
        <v>8</v>
      </c>
      <c r="P108" s="56">
        <f ca="1">+INDEX(INDIRECT("DDDDDD"&amp;VLOOKUP(Portada!C28,Portada!O5:P6,2,FALSE)),MATCH(ROUND(O108,2),INDIRECT("AAAAA"&amp;VLOOKUP(Portada!C28,Portada!O5:P6,2,FALSE)),0))</f>
        <v>90</v>
      </c>
      <c r="Q108" s="56">
        <f ca="1">+INDEX(INDIRECT("CCCCCC"&amp;VLOOKUP(Portada!C28,Portada!O5:P6,2,FALSE)),MATCH(ROUND(O108,2),INDIRECT("AAAAA"&amp;VLOOKUP(Portada!C28,Portada!O5:P6,2,FALSE)),0))</f>
        <v>85</v>
      </c>
      <c r="T108" s="59" t="s">
        <v>201</v>
      </c>
      <c r="U108" s="58" t="str">
        <f t="shared" si="8"/>
        <v>Expresivamente dramático</v>
      </c>
      <c r="V108" s="60" t="s">
        <v>319</v>
      </c>
      <c r="W108" s="59">
        <f t="shared" si="9"/>
        <v>0</v>
      </c>
      <c r="X108" s="78">
        <f t="shared" ca="1" si="10"/>
        <v>31</v>
      </c>
      <c r="Y108" s="78">
        <f t="shared" ca="1" si="11"/>
        <v>0</v>
      </c>
      <c r="Z108" s="60">
        <f t="shared" ca="1" si="12"/>
        <v>108</v>
      </c>
      <c r="AA108" s="59" t="str">
        <f t="shared" ca="1" si="13"/>
        <v/>
      </c>
      <c r="AB108" s="58" t="str">
        <f t="shared" ca="1" si="14"/>
        <v/>
      </c>
      <c r="AD108" s="136" t="str">
        <f ca="1">IF(Y108&lt;=74,"en este rango, el puntaje no permite realizar una interpretación válida sobre la presencia de características asociadas a la faceta de Expresivamente dramático",IF(Y108&gt;=75,"reacciona exageradamente y es voluble, provocador y cautivador. Tiende a ser caprichoso,"&amp;" a entusiasmarse fácilmente y a no tolerar los fracasos, los retrasos ni las desilusiones."&amp;" Por ello, reacciona de forma impulsiva, teatral y sumamente emocional. Le atraen los momentos de gran entusiasmo, las aventuras fugaces y el hedonismo con poca visión de futuro"))</f>
        <v>en este rango, el puntaje no permite realizar una interpretación válida sobre la presencia de características asociadas a la faceta de Expresivamente dramático</v>
      </c>
    </row>
    <row r="109" spans="2:30" ht="17.25">
      <c r="B109" s="57" t="s">
        <v>320</v>
      </c>
      <c r="C109" s="55"/>
      <c r="D109" s="194" t="s">
        <v>427</v>
      </c>
      <c r="E109" s="194"/>
      <c r="F109" s="194"/>
      <c r="G109" s="56">
        <f>+Protocolo!DB30</f>
        <v>9</v>
      </c>
      <c r="H109" s="56">
        <f ca="1">+INDEX(INDIRECT("DDDD"&amp;VLOOKUP(Portada!C28,Portada!O5:P6,2,FALSE)),MATCH(ROUND(G109,2),INDIRECT("AAAAA"&amp;VLOOKUP(Portada!C28,Portada!O5:P6,2,FALSE)),0))</f>
        <v>98</v>
      </c>
      <c r="I109" s="57">
        <f ca="1">+INDEX(INDIRECT("CCCC"&amp;VLOOKUP(Portada!C28,Portada!O5:P6,2,FALSE)),MATCH(ROUND(G109,2),INDIRECT("AAAAA"&amp;VLOOKUP(Portada!C28,Portada!O5:P6,2,FALSE)),0))</f>
        <v>93</v>
      </c>
      <c r="J109" s="55"/>
      <c r="K109" s="57" t="s">
        <v>344</v>
      </c>
      <c r="L109" s="194" t="s">
        <v>421</v>
      </c>
      <c r="M109" s="194"/>
      <c r="N109" s="194"/>
      <c r="O109" s="56">
        <f>+Protocolo!FF31</f>
        <v>1</v>
      </c>
      <c r="P109" s="56">
        <f ca="1">+INDEX(INDIRECT("FFFFFF"&amp;VLOOKUP(Portada!C28,Portada!O5:P6,2,FALSE)),MATCH(ROUND(O109,2),INDIRECT("AAAAA"&amp;VLOOKUP(Portada!C28,Portada!O5:P6,2,FALSE)),0))</f>
        <v>27</v>
      </c>
      <c r="Q109" s="56">
        <f ca="1">+INDEX(INDIRECT("EEEEEE"&amp;VLOOKUP(Portada!C28,Portada!O5:P6,2,FALSE)),MATCH(ROUND(O109,2),INDIRECT("AAAAA"&amp;VLOOKUP(Portada!C28,Portada!O5:P6,2,FALSE)),0))</f>
        <v>20</v>
      </c>
      <c r="T109" s="59" t="s">
        <v>201</v>
      </c>
      <c r="U109" s="58" t="str">
        <f t="shared" si="8"/>
        <v>Interpers. buscador de atención</v>
      </c>
      <c r="V109" s="60" t="s">
        <v>320</v>
      </c>
      <c r="W109" s="59">
        <f t="shared" si="9"/>
        <v>9</v>
      </c>
      <c r="X109" s="78">
        <f t="shared" ca="1" si="10"/>
        <v>98</v>
      </c>
      <c r="Y109" s="78">
        <f t="shared" ca="1" si="11"/>
        <v>93</v>
      </c>
      <c r="Z109" s="60">
        <f t="shared" ca="1" si="12"/>
        <v>109</v>
      </c>
      <c r="AA109" s="59" t="str">
        <f t="shared" ca="1" si="13"/>
        <v/>
      </c>
      <c r="AB109" s="58" t="str">
        <f t="shared" ca="1" si="14"/>
        <v/>
      </c>
      <c r="AD109" s="136" t="str">
        <f ca="1">IF(Y109&lt;=74,"en este rango, el puntaje no permite realizar una interpretación válida sobre la presencia de características asociadas a la faceta de Interpersonalmente buscador de atención",IF(Y109&gt;=75,"busca o exige, de forma activa, que le elogien, y manipula a los demás para conseguir "&amp;"la seguridad, atención y aprobación que necesita. Tiende a ser exigente, coqueto, engreído y seductoramente exhibicionista, en especial cuando quiere ser el centro de atención"))</f>
        <v>busca o exige, de forma activa, que le elogien, y manipula a los demás para conseguir la seguridad, atención y aprobación que necesita. Tiende a ser exigente, coqueto, engreído y seductoramente exhibicionista, en especial cuando quiere ser el centro de atención</v>
      </c>
    </row>
    <row r="110" spans="2:30" ht="17.25">
      <c r="B110" s="57" t="s">
        <v>321</v>
      </c>
      <c r="C110" s="55"/>
      <c r="D110" s="194" t="s">
        <v>428</v>
      </c>
      <c r="E110" s="194"/>
      <c r="F110" s="194"/>
      <c r="G110" s="56">
        <f>+Protocolo!DD32</f>
        <v>9</v>
      </c>
      <c r="H110" s="56">
        <f ca="1">+INDEX(INDIRECT("FFFF"&amp;VLOOKUP(Portada!C28,Portada!O5:P6,2,FALSE)),MATCH(ROUND(G110,2),INDIRECT("AAAAA"&amp;VLOOKUP(Portada!C28,Portada!O5:P6,2,FALSE)),0))</f>
        <v>81</v>
      </c>
      <c r="I110" s="57">
        <f ca="1">+INDEX(INDIRECT("EEEE"&amp;VLOOKUP(Portada!C28,Portada!O5:P6,2,FALSE)),MATCH(ROUND(G110,2),INDIRECT("AAAAA"&amp;VLOOKUP(Portada!C28,Portada!O5:P6,2,FALSE)),0))</f>
        <v>75</v>
      </c>
      <c r="J110" s="55"/>
      <c r="K110" s="57" t="s">
        <v>345</v>
      </c>
      <c r="L110" s="194" t="s">
        <v>422</v>
      </c>
      <c r="M110" s="194"/>
      <c r="N110" s="194"/>
      <c r="O110" s="56">
        <f>+Protocolo!FH31</f>
        <v>3</v>
      </c>
      <c r="P110" s="56">
        <f ca="1">+INDEX(INDIRECT("HHHHHH"&amp;VLOOKUP(Portada!C28,Portada!O5:P6,2,FALSE)),MATCH(ROUND(O110,2),INDIRECT("AAAAA"&amp;VLOOKUP(Portada!C28,Portada!O5:P6,2,FALSE)),0))</f>
        <v>58</v>
      </c>
      <c r="Q110" s="56">
        <f ca="1">+INDEX(INDIRECT("GGGGGG"&amp;VLOOKUP(Portada!C28,Portada!O5:P6,2,FALSE)),MATCH(ROUND(O110,2),INDIRECT("AAAAA"&amp;VLOOKUP(Portada!C28,Portada!O5:P6,2,FALSE)),0))</f>
        <v>64</v>
      </c>
      <c r="T110" s="59" t="s">
        <v>201</v>
      </c>
      <c r="U110" s="58" t="str">
        <f t="shared" si="8"/>
        <v>Temperamentalmente inconstante</v>
      </c>
      <c r="V110" s="60" t="s">
        <v>321</v>
      </c>
      <c r="W110" s="59">
        <f t="shared" si="9"/>
        <v>9</v>
      </c>
      <c r="X110" s="78">
        <f t="shared" ca="1" si="10"/>
        <v>81</v>
      </c>
      <c r="Y110" s="78">
        <f t="shared" ca="1" si="11"/>
        <v>75</v>
      </c>
      <c r="Z110" s="60">
        <f t="shared" ca="1" si="12"/>
        <v>110</v>
      </c>
      <c r="AA110" s="59" t="str">
        <f t="shared" ca="1" si="13"/>
        <v/>
      </c>
      <c r="AB110" s="58" t="str">
        <f t="shared" ca="1" si="14"/>
        <v/>
      </c>
      <c r="AD110" s="136" t="str">
        <f ca="1">IF(Y110&lt;=74,"en este rango, el puntaje no permite realizar una interpretación válida sobre la presencia de características asociadas a la faceta de Temperamentalmente inconstante",IF(Y110&gt;=75,"tiende a ser muy sensible emocionalmente y a mostrar sus sentimientos, positivos y negativos, que cambian a menudo con una facilidad inusual. Pasa fácilmente de "&amp;"estar alegre, animado y entusiasmado a mostrarse impulsivo, enfadado o aburrido. Posee un alto nivel de energía y activación, así como un bajo umbral de reactividad autónoma"))</f>
        <v>tiende a ser muy sensible emocionalmente y a mostrar sus sentimientos, positivos y negativos, que cambian a menudo con una facilidad inusual. Pasa fácilmente de estar alegre, animado y entusiasmado a mostrarse impulsivo, enfadado o aburrido. Posee un alto nivel de energía y activación, así como un bajo umbral de reactividad autónoma</v>
      </c>
    </row>
    <row r="111" spans="2:30" ht="17.25">
      <c r="B111" s="57"/>
      <c r="C111" s="55"/>
      <c r="D111" s="55"/>
      <c r="E111" s="55"/>
      <c r="F111" s="55"/>
      <c r="G111" s="56"/>
      <c r="H111" s="56"/>
      <c r="I111" s="57"/>
      <c r="J111" s="55"/>
      <c r="K111" s="57"/>
      <c r="L111" s="55"/>
      <c r="M111" s="55"/>
      <c r="N111" s="55"/>
      <c r="O111" s="56"/>
      <c r="P111" s="56"/>
      <c r="Q111" s="56"/>
      <c r="Z111" s="60" t="str">
        <f t="shared" ca="1" si="12"/>
        <v/>
      </c>
      <c r="AA111" s="59" t="str">
        <f t="shared" ca="1" si="13"/>
        <v/>
      </c>
      <c r="AB111" s="58" t="str">
        <f t="shared" ca="1" si="14"/>
        <v/>
      </c>
    </row>
    <row r="112" spans="2:30" ht="17.25">
      <c r="B112" s="83" t="s">
        <v>213</v>
      </c>
      <c r="C112" s="134"/>
      <c r="D112" s="195" t="s">
        <v>202</v>
      </c>
      <c r="E112" s="195"/>
      <c r="F112" s="195"/>
      <c r="G112" s="56"/>
      <c r="H112" s="56"/>
      <c r="I112" s="57"/>
      <c r="J112" s="55"/>
      <c r="K112" s="83" t="s">
        <v>247</v>
      </c>
      <c r="L112" s="195" t="s">
        <v>244</v>
      </c>
      <c r="M112" s="195"/>
      <c r="N112" s="195"/>
      <c r="O112" s="56"/>
      <c r="P112" s="56"/>
      <c r="Q112" s="56"/>
      <c r="U112" s="59"/>
      <c r="V112" s="59"/>
      <c r="Z112" s="60" t="str">
        <f t="shared" ca="1" si="12"/>
        <v/>
      </c>
      <c r="AA112" s="59" t="str">
        <f t="shared" ca="1" si="13"/>
        <v/>
      </c>
      <c r="AB112" s="58" t="str">
        <f t="shared" ca="1" si="14"/>
        <v/>
      </c>
    </row>
    <row r="113" spans="2:30" ht="17.25">
      <c r="B113" s="57" t="s">
        <v>322</v>
      </c>
      <c r="C113" s="55"/>
      <c r="D113" s="194" t="s">
        <v>402</v>
      </c>
      <c r="E113" s="194"/>
      <c r="F113" s="194"/>
      <c r="G113" s="56">
        <f>+Protocolo!DG28</f>
        <v>8</v>
      </c>
      <c r="H113" s="56">
        <f ca="1">+INDEX(INDIRECT("HHHH"&amp;VLOOKUP(Portada!C28,Portada!O5:P6,2,FALSE)),MATCH(ROUND(G113,2),INDIRECT("AAAAA"&amp;VLOOKUP(Portada!C28,Portada!O5:P6,2,FALSE)),0))</f>
        <v>99</v>
      </c>
      <c r="I113" s="57">
        <f ca="1">+INDEX(INDIRECT("GGGG"&amp;VLOOKUP(Portada!C28,Portada!O5:P6,2,FALSE)),MATCH(ROUND(G113,2),INDIRECT("AAAAA"&amp;VLOOKUP(Portada!C28,Portada!O5:P6,2,FALSE)),0))</f>
        <v>85</v>
      </c>
      <c r="J113" s="55"/>
      <c r="K113" s="57" t="s">
        <v>346</v>
      </c>
      <c r="L113" s="194" t="s">
        <v>423</v>
      </c>
      <c r="M113" s="194"/>
      <c r="N113" s="194"/>
      <c r="O113" s="56">
        <f>+Protocolo!FK28</f>
        <v>3</v>
      </c>
      <c r="P113" s="56">
        <f ca="1">+INDEX(INDIRECT("KKKKKK"&amp;VLOOKUP(Portada!C28,Portada!O5:P6,2,FALSE)),MATCH(ROUND(O113,2),INDIRECT("AAAAA"&amp;VLOOKUP(Portada!C28,Portada!O5:P6,2,FALSE)),0))</f>
        <v>52</v>
      </c>
      <c r="Q113" s="56">
        <f ca="1">+INDEX(INDIRECT("JJJJJJ"&amp;VLOOKUP(Portada!C28,Portada!O5:P6,2,FALSE)),MATCH(ROUND(O113,2),INDIRECT("AAAAA"&amp;VLOOKUP(Portada!C28,Portada!O5:P6,2,FALSE)),0))</f>
        <v>60</v>
      </c>
      <c r="T113" s="59" t="s">
        <v>202</v>
      </c>
      <c r="U113" s="58" t="str">
        <f t="shared" si="8"/>
        <v>Expresivamente impetuoso</v>
      </c>
      <c r="V113" s="60" t="s">
        <v>322</v>
      </c>
      <c r="W113" s="59">
        <f t="shared" si="9"/>
        <v>8</v>
      </c>
      <c r="X113" s="78">
        <f t="shared" ca="1" si="10"/>
        <v>99</v>
      </c>
      <c r="Y113" s="78">
        <f t="shared" ca="1" si="11"/>
        <v>85</v>
      </c>
      <c r="Z113" s="60" t="str">
        <f t="shared" ca="1" si="12"/>
        <v/>
      </c>
      <c r="AA113" s="59" t="str">
        <f t="shared" ca="1" si="13"/>
        <v/>
      </c>
      <c r="AB113" s="58">
        <f ca="1">IF(TRIM(LOWER(T113))=TRIM(LOWER($B$79)), ROW(), "")</f>
        <v>113</v>
      </c>
      <c r="AD113" s="136" t="str">
        <f ca="1">IF(Y113&lt;=74,"en este rango, el puntaje no permite realizar una interpretación válida sobre la presencia de características asociadas a la faceta de Expresivamente impetuoso",IF(Y113&gt;=75,"es enérgico, decidido, emocionalmente excitable e intensamente entusiasta. Tiene una gran vitalidad y, con frecuencia, se muestra inquieto e "&amp;"infatigable. Sin embargo, su espíritu incansable no necesariamente se traduce en logros efectivos; y, cuando esto sucede, puede pasar a ser obstinado con los demás, incorrecto o potencialmente cáustico y agresivo"))</f>
        <v>es enérgico, decidido, emocionalmente excitable e intensamente entusiasta. Tiene una gran vitalidad y, con frecuencia, se muestra inquieto e infatigable. Sin embargo, su espíritu incansable no necesariamente se traduce en logros efectivos; y, cuando esto sucede, puede pasar a ser obstinado con los demás, incorrecto o potencialmente cáustico y agresivo</v>
      </c>
    </row>
    <row r="114" spans="2:30" ht="17.25">
      <c r="B114" s="57" t="s">
        <v>323</v>
      </c>
      <c r="C114" s="55"/>
      <c r="D114" s="194" t="s">
        <v>403</v>
      </c>
      <c r="E114" s="194"/>
      <c r="F114" s="194"/>
      <c r="G114" s="56">
        <f>+Protocolo!DI29</f>
        <v>7</v>
      </c>
      <c r="H114" s="56">
        <f ca="1">+INDEX(INDIRECT("JJJJ"&amp;VLOOKUP(Portada!C28,Portada!O5:P6,2,FALSE)),MATCH(ROUND(G114,2),INDIRECT("AAAAA"&amp;VLOOKUP(Portada!C28,Portada!O5:P6,2,FALSE)),0))</f>
        <v>95</v>
      </c>
      <c r="I114" s="57">
        <f ca="1">+INDEX(INDIRECT("IIII"&amp;VLOOKUP(Portada!C28,Portada!O5:P6,2,FALSE)),MATCH(ROUND(G114,2),INDIRECT("AAAAA"&amp;VLOOKUP(Portada!C28,Portada!O5:P6,2,FALSE)),0))</f>
        <v>85</v>
      </c>
      <c r="J114" s="55"/>
      <c r="K114" s="57" t="s">
        <v>347</v>
      </c>
      <c r="L114" s="194" t="s">
        <v>424</v>
      </c>
      <c r="M114" s="194"/>
      <c r="N114" s="194"/>
      <c r="O114" s="56">
        <f>+Protocolo!FM31</f>
        <v>3</v>
      </c>
      <c r="P114" s="56">
        <f ca="1">+INDEX(INDIRECT("MMMMMM"&amp;VLOOKUP(Portada!C28,Portada!O5:P6,2,FALSE)),MATCH(ROUND(O114,2),INDIRECT("AAAAA"&amp;VLOOKUP(Portada!C28,Portada!O5:P6,2,FALSE)),0))</f>
        <v>52</v>
      </c>
      <c r="Q114" s="56">
        <f ca="1">+INDEX(INDIRECT("LLLLLL"&amp;VLOOKUP(Portada!C28,Portada!O5:P6,2,FALSE)),MATCH(ROUND(O114,2),INDIRECT("AAAAA"&amp;VLOOKUP(Portada!C28,Portada!O5:P6,2,FALSE)),0))</f>
        <v>60</v>
      </c>
      <c r="T114" s="59" t="s">
        <v>202</v>
      </c>
      <c r="U114" s="58" t="str">
        <f t="shared" si="8"/>
        <v>Interpers. euforico</v>
      </c>
      <c r="V114" s="60" t="s">
        <v>323</v>
      </c>
      <c r="W114" s="59">
        <f t="shared" si="9"/>
        <v>7</v>
      </c>
      <c r="X114" s="78">
        <f ca="1">+H114</f>
        <v>95</v>
      </c>
      <c r="Y114" s="78">
        <f t="shared" ca="1" si="11"/>
        <v>85</v>
      </c>
      <c r="Z114" s="60" t="str">
        <f t="shared" ca="1" si="12"/>
        <v/>
      </c>
      <c r="AA114" s="59" t="str">
        <f t="shared" ca="1" si="13"/>
        <v/>
      </c>
      <c r="AB114" s="58">
        <f t="shared" ca="1" si="14"/>
        <v>114</v>
      </c>
      <c r="AD114" s="136" t="str">
        <f ca="1">IF(Y114&lt;=74,"en este rango, el puntaje no permite realizar una interpretación válida sobre la presencia de características asociadas a la faceta de Interpersonalmente eufórico",IF(Y114&gt;=75,"es socialmente muy optimista y animado, e intenta atraer"&amp;" a los demás con un entusiasmo contagioso. Por lo general, se muestra entusiasta, pero cuando está bajo presión o especialmente eufórico, puede volverse entrometido, autoritario e innecesariamente insistente"))</f>
        <v>es socialmente muy optimista y animado, e intenta atraer a los demás con un entusiasmo contagioso. Por lo general, se muestra entusiasta, pero cuando está bajo presión o especialmente eufórico, puede volverse entrometido, autoritario e innecesariamente insistente</v>
      </c>
    </row>
    <row r="115" spans="2:30" ht="17.25">
      <c r="B115" s="57" t="s">
        <v>324</v>
      </c>
      <c r="C115" s="55"/>
      <c r="D115" s="194" t="s">
        <v>404</v>
      </c>
      <c r="E115" s="194"/>
      <c r="F115" s="194"/>
      <c r="G115" s="56">
        <f>+Protocolo!DK28</f>
        <v>4</v>
      </c>
      <c r="H115" s="56">
        <f ca="1">+INDEX(INDIRECT("LLLL"&amp;VLOOKUP(Portada!C28,Portada!O5:P6,2,FALSE)),MATCH(ROUND(G115,2),INDIRECT("AAAAA"&amp;VLOOKUP(Portada!C28,Portada!O5:P6,2,FALSE)),0))</f>
        <v>56</v>
      </c>
      <c r="I115" s="57">
        <f ca="1">+INDEX(INDIRECT("KKKK"&amp;VLOOKUP(Portada!C28,Portada!O5:P6,2,FALSE)),MATCH(ROUND(G115,2),INDIRECT("AAAAA"&amp;VLOOKUP(Portada!C28,Portada!O5:P6,2,FALSE)),0))</f>
        <v>60</v>
      </c>
      <c r="J115" s="55"/>
      <c r="K115" s="57" t="s">
        <v>348</v>
      </c>
      <c r="L115" s="194" t="s">
        <v>425</v>
      </c>
      <c r="M115" s="194"/>
      <c r="N115" s="194"/>
      <c r="O115" s="68">
        <f>+Protocolo!FO30</f>
        <v>3</v>
      </c>
      <c r="P115" s="56">
        <f ca="1">+INDEX(INDIRECT("XXXXXX"&amp;VLOOKUP(Portada!C28,Portada!O5:P6,2,FALSE)),MATCH(ROUND(O115,2),INDIRECT("AAAAA"&amp;VLOOKUP(Portada!C28,Portada!O5:P6,2,FALSE)),0))</f>
        <v>54</v>
      </c>
      <c r="Q115" s="56">
        <f ca="1">+INDEX(INDIRECT("NNNNNN"&amp;VLOOKUP(Portada!C28,Portada!O5:P6,2,FALSE)),MATCH(ROUND(O115,2),INDIRECT("AAAAA"&amp;VLOOKUP(Portada!C28,Portada!O5:P6,2,FALSE)),0))</f>
        <v>60</v>
      </c>
      <c r="T115" s="59" t="s">
        <v>202</v>
      </c>
      <c r="U115" s="58" t="str">
        <f t="shared" si="8"/>
        <v>Autoimagen sobreestimada</v>
      </c>
      <c r="V115" s="60" t="s">
        <v>324</v>
      </c>
      <c r="W115" s="59">
        <f t="shared" si="9"/>
        <v>4</v>
      </c>
      <c r="X115" s="78">
        <f t="shared" ca="1" si="10"/>
        <v>56</v>
      </c>
      <c r="Y115" s="78">
        <f t="shared" ca="1" si="11"/>
        <v>60</v>
      </c>
      <c r="Z115" s="60" t="str">
        <f t="shared" ca="1" si="12"/>
        <v/>
      </c>
      <c r="AA115" s="59" t="str">
        <f t="shared" ca="1" si="13"/>
        <v/>
      </c>
      <c r="AB115" s="58">
        <f t="shared" ca="1" si="14"/>
        <v>115</v>
      </c>
      <c r="AD115" s="136" t="str">
        <f ca="1">IF(Y115&lt;=74,"en este rango, el puntaje no permite realizar una interpretación válida sobre la presencia de características asociadas a la faceta de Autoimagen sobreestimada",IF(Y115&gt;=75,"se ve a sí mismo como una fuerza imponente, "&amp;"inspiradora y vigorosa, cuya energía omnipresente activa y estimula a los demás. Tiende a creerse invencible, capaz de emprender y lograr más de lo objetivamente posible"))</f>
        <v>en este rango, el puntaje no permite realizar una interpretación válida sobre la presencia de características asociadas a la faceta de Autoimagen sobreestimada</v>
      </c>
    </row>
    <row r="116" spans="2:30" ht="17.25">
      <c r="B116" s="57"/>
      <c r="C116" s="55"/>
      <c r="D116" s="55"/>
      <c r="E116" s="55"/>
      <c r="F116" s="55"/>
      <c r="G116" s="56"/>
      <c r="H116" s="56"/>
      <c r="I116" s="57"/>
      <c r="J116" s="55"/>
      <c r="K116" s="57"/>
      <c r="L116" s="55"/>
      <c r="M116" s="55"/>
      <c r="N116" s="55"/>
      <c r="O116" s="56"/>
      <c r="P116" s="56"/>
      <c r="Q116" s="56"/>
      <c r="Z116" s="60" t="str">
        <f t="shared" ca="1" si="12"/>
        <v/>
      </c>
      <c r="AA116" s="59" t="str">
        <f t="shared" ca="1" si="13"/>
        <v/>
      </c>
      <c r="AB116" s="58" t="str">
        <f t="shared" ca="1" si="14"/>
        <v/>
      </c>
    </row>
    <row r="117" spans="2:30" ht="17.25">
      <c r="B117" s="83">
        <v>5</v>
      </c>
      <c r="C117" s="134"/>
      <c r="D117" s="195" t="s">
        <v>203</v>
      </c>
      <c r="E117" s="195"/>
      <c r="F117" s="195"/>
      <c r="G117" s="56"/>
      <c r="H117" s="56"/>
      <c r="I117" s="57"/>
      <c r="J117" s="55"/>
      <c r="K117" s="83" t="s">
        <v>248</v>
      </c>
      <c r="L117" s="195" t="s">
        <v>245</v>
      </c>
      <c r="M117" s="195"/>
      <c r="N117" s="195"/>
      <c r="O117" s="56"/>
      <c r="P117" s="56"/>
      <c r="Q117" s="56"/>
      <c r="U117" s="59"/>
      <c r="V117" s="59"/>
      <c r="Z117" s="60" t="str">
        <f t="shared" ca="1" si="12"/>
        <v/>
      </c>
      <c r="AA117" s="59" t="str">
        <f t="shared" ca="1" si="13"/>
        <v/>
      </c>
      <c r="AB117" s="58" t="str">
        <f t="shared" ca="1" si="14"/>
        <v/>
      </c>
    </row>
    <row r="118" spans="2:30" ht="17.25">
      <c r="B118" s="57" t="s">
        <v>325</v>
      </c>
      <c r="C118" s="55"/>
      <c r="D118" s="194" t="s">
        <v>405</v>
      </c>
      <c r="E118" s="194"/>
      <c r="F118" s="194"/>
      <c r="G118" s="56">
        <f>+Protocolo!DN29</f>
        <v>0</v>
      </c>
      <c r="H118" s="56">
        <f ca="1">+INDEX(INDIRECT("NNNN"&amp;VLOOKUP(Portada!C28,Portada!O5:P6,2,FALSE)),MATCH(ROUND(G118,2),INDIRECT("AAAAA"&amp;VLOOKUP(Portada!C28,Portada!O5:P6,2,FALSE)),0))</f>
        <v>26</v>
      </c>
      <c r="I118" s="57">
        <f ca="1">+INDEX(INDIRECT("MMMM"&amp;VLOOKUP(Portada!C28,Portada!O5:P6,2,FALSE)),MATCH(ROUND(G118,2),INDIRECT("AAAAA"&amp;VLOOKUP(Portada!C28,Portada!O5:P6,2,FALSE)),0))</f>
        <v>0</v>
      </c>
      <c r="J118" s="55"/>
      <c r="K118" s="57" t="s">
        <v>349</v>
      </c>
      <c r="L118" s="194" t="s">
        <v>429</v>
      </c>
      <c r="M118" s="194"/>
      <c r="N118" s="194"/>
      <c r="O118" s="56">
        <f>+Protocolo!FR29</f>
        <v>2</v>
      </c>
      <c r="P118" s="56">
        <f ca="1">+INDEX(INDIRECT("SSSSSS"&amp;VLOOKUP(Portada!C28,Portada!O5:P6,2,FALSE)),MATCH(ROUND(O118,2),INDIRECT("AAAAA"&amp;VLOOKUP(Portada!C28,Portada!O5:P6,2,FALSE)),0))</f>
        <v>41</v>
      </c>
      <c r="Q118" s="56">
        <f ca="1">+INDEX(INDIRECT("ZZZZZZ"&amp;VLOOKUP(Portada!C28,Portada!O5:P6,2,FALSE)),MATCH(ROUND(O118,2),INDIRECT("AAAAA"&amp;VLOOKUP(Portada!C28,Portada!O5:P6,2,FALSE)),0))</f>
        <v>40</v>
      </c>
      <c r="T118" s="59" t="s">
        <v>203</v>
      </c>
      <c r="U118" s="58" t="str">
        <f t="shared" si="8"/>
        <v>Interpers. explotador</v>
      </c>
      <c r="V118" s="60" t="s">
        <v>325</v>
      </c>
      <c r="W118" s="59">
        <f t="shared" si="9"/>
        <v>0</v>
      </c>
      <c r="X118" s="78">
        <f t="shared" ca="1" si="10"/>
        <v>26</v>
      </c>
      <c r="Y118" s="78">
        <f t="shared" ca="1" si="11"/>
        <v>0</v>
      </c>
      <c r="Z118" s="60" t="str">
        <f t="shared" ca="1" si="12"/>
        <v/>
      </c>
      <c r="AA118" s="59" t="str">
        <f t="shared" ca="1" si="13"/>
        <v/>
      </c>
      <c r="AB118" s="58" t="str">
        <f t="shared" ca="1" si="14"/>
        <v/>
      </c>
      <c r="AD118" s="136" t="str">
        <f ca="1">IF(Y118&lt;=74,"en este rango, el puntaje no permite realizar una interpretación válida sobre la presencia de características asociadas a la faceta de Interpersonalmente explotador",IF(Y118&gt;=75,"se siente con privilegios, carece "&amp;"de empatía y espera favores especiales a cambio de nada. Descaradamente, no valora a los demás y los utiliza para satisfacer sus propios deseos y destacar"))</f>
        <v>en este rango, el puntaje no permite realizar una interpretación válida sobre la presencia de características asociadas a la faceta de Interpersonalmente explotador</v>
      </c>
    </row>
    <row r="119" spans="2:30" ht="17.25">
      <c r="B119" s="57" t="s">
        <v>326</v>
      </c>
      <c r="C119" s="55"/>
      <c r="D119" s="194" t="s">
        <v>406</v>
      </c>
      <c r="E119" s="194"/>
      <c r="F119" s="194"/>
      <c r="G119" s="56">
        <f>+Protocolo!DP30</f>
        <v>7</v>
      </c>
      <c r="H119" s="56">
        <f ca="1">+INDEX(INDIRECT("PPPP"&amp;VLOOKUP(Portada!C28,Portada!O5:P6,2,FALSE)),MATCH(ROUND(G119,2),INDIRECT("AAAAA"&amp;VLOOKUP(Portada!C28,Portada!O5:P6,2,FALSE)),0))</f>
        <v>78</v>
      </c>
      <c r="I119" s="57">
        <f ca="1">+INDEX(INDIRECT("OOOO"&amp;VLOOKUP(Portada!C28,Portada!O5:P6,2,FALSE)),MATCH(ROUND(G119,2),INDIRECT("AAAAA"&amp;VLOOKUP(Portada!C28,Portada!O5:P6,2,FALSE)),0))</f>
        <v>71</v>
      </c>
      <c r="J119" s="55"/>
      <c r="K119" s="57" t="s">
        <v>350</v>
      </c>
      <c r="L119" s="194" t="s">
        <v>430</v>
      </c>
      <c r="M119" s="194"/>
      <c r="N119" s="194"/>
      <c r="O119" s="56">
        <f>+Protocolo!FT27</f>
        <v>1</v>
      </c>
      <c r="P119" s="56">
        <f ca="1">+INDEX(INDIRECT("QQQQQQ"&amp;VLOOKUP(Portada!C28,Portada!O5:P6,2,FALSE)),MATCH(ROUND(O119,2),INDIRECT("AAAAA"&amp;VLOOKUP(Portada!C28,Portada!O5:P6,2,FALSE)),0))</f>
        <v>32</v>
      </c>
      <c r="Q119" s="56">
        <f ca="1">+INDEX(INDIRECT("WWWWWW"&amp;VLOOKUP(Portada!C28,Portada!O5:P6,2,FALSE)),MATCH(ROUND(O119,2),INDIRECT("AAAAA"&amp;VLOOKUP(Portada!C28,Portada!O5:P6,2,FALSE)),0))</f>
        <v>30</v>
      </c>
      <c r="T119" s="59" t="s">
        <v>203</v>
      </c>
      <c r="U119" s="58" t="str">
        <f t="shared" si="8"/>
        <v>Cognitivamente expansivo</v>
      </c>
      <c r="V119" s="60" t="s">
        <v>326</v>
      </c>
      <c r="W119" s="59">
        <f t="shared" si="9"/>
        <v>7</v>
      </c>
      <c r="X119" s="78">
        <f t="shared" ca="1" si="10"/>
        <v>78</v>
      </c>
      <c r="Y119" s="78">
        <f t="shared" ca="1" si="11"/>
        <v>71</v>
      </c>
      <c r="Z119" s="60" t="str">
        <f t="shared" ca="1" si="12"/>
        <v/>
      </c>
      <c r="AA119" s="59" t="str">
        <f t="shared" ca="1" si="13"/>
        <v/>
      </c>
      <c r="AB119" s="58" t="str">
        <f t="shared" ca="1" si="14"/>
        <v/>
      </c>
      <c r="AD119" s="136" t="str">
        <f ca="1">IF(Y119&lt;=74,"en este rango, el puntaje no permite realizar una interpretación válida sobre la presencia de características asociadas a la faceta de Cognitivamente expansivo",IF(Y119&gt;=75,"tiene una imaginación desbocada, y sus pensamientos están centrados en fantasías inmaduras y vanagloriosas de éxito, belleza o amor. La realidad"&amp;" objetiva lo limita muy poco, hace su propia interpretación de los hechos y a menudo miente para mantener sus fantasías sobre sí mismo"))</f>
        <v>en este rango, el puntaje no permite realizar una interpretación válida sobre la presencia de características asociadas a la faceta de Cognitivamente expansivo</v>
      </c>
    </row>
    <row r="120" spans="2:30" ht="17.25">
      <c r="B120" s="57" t="s">
        <v>327</v>
      </c>
      <c r="C120" s="55"/>
      <c r="D120" s="194" t="s">
        <v>407</v>
      </c>
      <c r="E120" s="194"/>
      <c r="F120" s="194"/>
      <c r="G120" s="56">
        <f>+Protocolo!DR28</f>
        <v>4</v>
      </c>
      <c r="H120" s="56">
        <f ca="1">+INDEX(INDIRECT("RRRR"&amp;VLOOKUP(Portada!C28,Portada!O5:P6,2,FALSE)),MATCH(ROUND(G120,2),INDIRECT("AAAAA"&amp;VLOOKUP(Portada!C28,Portada!O5:P6,2,FALSE)),0))</f>
        <v>90</v>
      </c>
      <c r="I120" s="57">
        <f ca="1">+INDEX(INDIRECT("QQQQ"&amp;VLOOKUP(Portada!C28,Portada!O5:P6,2,FALSE)),MATCH(ROUND(G120,2),INDIRECT("AAAAA"&amp;VLOOKUP(Portada!C28,Portada!O5:P6,2,FALSE)),0))</f>
        <v>75</v>
      </c>
      <c r="J120" s="55"/>
      <c r="K120" s="57" t="s">
        <v>351</v>
      </c>
      <c r="L120" s="194" t="s">
        <v>738</v>
      </c>
      <c r="M120" s="194"/>
      <c r="N120" s="194"/>
      <c r="O120" s="56">
        <f>+Protocolo!FV30</f>
        <v>2</v>
      </c>
      <c r="P120" s="56">
        <f ca="1">+INDEX(INDIRECT("YYYYYY"&amp;VLOOKUP(Portada!C28,Portada!O5:P6,2,FALSE)),MATCH(ROUND(O120,2),INDIRECT("AAAAA"&amp;VLOOKUP(Portada!C28,Portada!O5:P6,2,FALSE)),0))</f>
        <v>53</v>
      </c>
      <c r="Q120" s="56">
        <f ca="1">+INDEX(INDIRECT("TTTTTT"&amp;VLOOKUP(Portada!C28,Portada!O5:P6,2,FALSE)),MATCH(ROUND(O120,2),INDIRECT("AAAAA"&amp;VLOOKUP(Portada!C28,Portada!O5:P6,2,FALSE)),0))</f>
        <v>60</v>
      </c>
      <c r="T120" s="59" t="s">
        <v>203</v>
      </c>
      <c r="U120" s="58" t="str">
        <f t="shared" si="8"/>
        <v>Autoimagen admirable</v>
      </c>
      <c r="V120" s="60" t="s">
        <v>327</v>
      </c>
      <c r="W120" s="59">
        <f t="shared" si="9"/>
        <v>4</v>
      </c>
      <c r="X120" s="78">
        <f t="shared" ca="1" si="10"/>
        <v>90</v>
      </c>
      <c r="Y120" s="78">
        <f t="shared" ca="1" si="11"/>
        <v>75</v>
      </c>
      <c r="Z120" s="60" t="str">
        <f t="shared" ca="1" si="12"/>
        <v/>
      </c>
      <c r="AA120" s="59" t="str">
        <f t="shared" ca="1" si="13"/>
        <v/>
      </c>
      <c r="AB120" s="58" t="str">
        <f t="shared" ca="1" si="14"/>
        <v/>
      </c>
      <c r="AD120" s="136" t="str">
        <f ca="1">IF(Y120&lt;=74,"en este rango, el puntaje no permite realizar una interpretación válida sobre la presencia de características asociadas a la faceta de Autoimagen admirable",IF(Y120&gt;=75,"cree que es elogiable, especial, único y digno de toda admiración. Actúa con grandiosidad y seguridad en sí mismo, a menudo sin que haya motivos para "&amp;"hacerlo. También tiene la autoestima muy alta a pesar de que los demás piensen que es egoísta, desconsiderado y arrogante"))</f>
        <v>cree que es elogiable, especial, único y digno de toda admiración. Actúa con grandiosidad y seguridad en sí mismo, a menudo sin que haya motivos para hacerlo. También tiene la autoestima muy alta a pesar de que los demás piensen que es egoísta, desconsiderado y arrogante</v>
      </c>
    </row>
    <row r="121" spans="2:30" ht="17.25">
      <c r="B121" s="57"/>
      <c r="C121" s="55"/>
      <c r="D121" s="55"/>
      <c r="E121" s="55"/>
      <c r="F121" s="55"/>
      <c r="G121" s="56"/>
      <c r="H121" s="56"/>
      <c r="I121" s="57"/>
      <c r="J121" s="55"/>
      <c r="K121" s="55"/>
      <c r="L121" s="55"/>
      <c r="M121" s="55"/>
      <c r="N121" s="55"/>
      <c r="O121" s="56"/>
      <c r="P121" s="56"/>
      <c r="Q121" s="56"/>
      <c r="Z121" s="60" t="str">
        <f t="shared" ca="1" si="12"/>
        <v/>
      </c>
      <c r="AA121" s="59" t="str">
        <f t="shared" ca="1" si="13"/>
        <v/>
      </c>
      <c r="AB121" s="58" t="str">
        <f t="shared" ca="1" si="14"/>
        <v/>
      </c>
    </row>
    <row r="122" spans="2:30" ht="17.25">
      <c r="B122" s="83" t="s">
        <v>214</v>
      </c>
      <c r="C122" s="134"/>
      <c r="D122" s="195" t="s">
        <v>204</v>
      </c>
      <c r="E122" s="195"/>
      <c r="F122" s="195"/>
      <c r="G122" s="56"/>
      <c r="H122" s="56"/>
      <c r="I122" s="57"/>
      <c r="J122" s="55"/>
      <c r="K122" s="55"/>
      <c r="L122" s="55"/>
      <c r="M122" s="55"/>
      <c r="N122" s="55"/>
      <c r="O122" s="56"/>
      <c r="P122" s="56"/>
      <c r="Q122" s="56"/>
      <c r="U122" s="59"/>
      <c r="V122" s="59"/>
      <c r="Z122" s="60" t="str">
        <f t="shared" ca="1" si="12"/>
        <v/>
      </c>
      <c r="AA122" s="59" t="str">
        <f t="shared" ca="1" si="13"/>
        <v/>
      </c>
      <c r="AB122" s="58" t="str">
        <f t="shared" ca="1" si="14"/>
        <v/>
      </c>
    </row>
    <row r="123" spans="2:30" ht="17.25">
      <c r="B123" s="57" t="s">
        <v>328</v>
      </c>
      <c r="C123" s="55"/>
      <c r="D123" s="194" t="s">
        <v>408</v>
      </c>
      <c r="E123" s="194"/>
      <c r="F123" s="194"/>
      <c r="G123" s="68">
        <f>+Protocolo!DU28</f>
        <v>0</v>
      </c>
      <c r="H123" s="56">
        <f ca="1">+INDEX(INDIRECT("TTTT"&amp;VLOOKUP(Portada!C28,Portada!O5:P6,2,FALSE)),MATCH(ROUND(G123,2),INDIRECT("AAAAA"&amp;VLOOKUP(Portada!C28,Portada!O5:P6,2,FALSE)),0))</f>
        <v>21</v>
      </c>
      <c r="I123" s="57">
        <f ca="1">+INDEX(INDIRECT("SSSS"&amp;VLOOKUP(Portada!C28,Portada!O5:P6,2,FALSE)),MATCH(ROUND(G123,2),INDIRECT("AAAAA"&amp;VLOOKUP(Portada!C28,Portada!O5:P6,2,FALSE)),0))</f>
        <v>0</v>
      </c>
      <c r="J123" s="55"/>
      <c r="K123" s="55"/>
      <c r="L123" s="55"/>
      <c r="M123" s="55"/>
      <c r="N123" s="55"/>
      <c r="O123" s="56"/>
      <c r="P123" s="56"/>
      <c r="Q123" s="56"/>
      <c r="T123" s="59" t="s">
        <v>204</v>
      </c>
      <c r="U123" s="58" t="str">
        <f t="shared" si="8"/>
        <v>Interpers. irresponsable</v>
      </c>
      <c r="V123" s="60" t="s">
        <v>328</v>
      </c>
      <c r="W123" s="59">
        <f t="shared" si="9"/>
        <v>0</v>
      </c>
      <c r="X123" s="78">
        <f t="shared" ca="1" si="10"/>
        <v>21</v>
      </c>
      <c r="Y123" s="78">
        <f t="shared" ca="1" si="11"/>
        <v>0</v>
      </c>
      <c r="Z123" s="60" t="str">
        <f t="shared" ca="1" si="12"/>
        <v/>
      </c>
      <c r="AA123" s="59" t="str">
        <f t="shared" ca="1" si="13"/>
        <v/>
      </c>
      <c r="AB123" s="58" t="str">
        <f t="shared" ca="1" si="14"/>
        <v/>
      </c>
      <c r="AD123" s="136" t="str">
        <f ca="1">IF(Y123&lt;=74,"en este rango, el puntaje no permite realizar una interpretación válida sobre la presencia de características asociadas a la faceta de Interpersonalmente irresponsable",IF(Y123&gt;=75,"a menudo es una persona desleal, en la que no se puede confiar, e incumple o elude deliberadamente sus obligaciones personales. No es respetuosa"&amp;" con los demás y viola sus derechos. Sus conductas engañosas e ilegales conllevan la transgresión de los códigos sociales establecidos"))</f>
        <v>en este rango, el puntaje no permite realizar una interpretación válida sobre la presencia de características asociadas a la faceta de Interpersonalmente irresponsable</v>
      </c>
    </row>
    <row r="124" spans="2:30" ht="17.25">
      <c r="B124" s="57" t="s">
        <v>329</v>
      </c>
      <c r="C124" s="55"/>
      <c r="D124" s="194" t="s">
        <v>409</v>
      </c>
      <c r="E124" s="194"/>
      <c r="F124" s="194"/>
      <c r="G124" s="68">
        <f>+Protocolo!DW30</f>
        <v>1</v>
      </c>
      <c r="H124" s="56">
        <f ca="1">+INDEX(INDIRECT("VVVV"&amp;VLOOKUP(Portada!C28,Portada!O5:P6,2,FALSE)),MATCH(ROUND(G124,2),INDIRECT("AAAAA"&amp;VLOOKUP(Portada!C28,Portada!O5:P6,2,FALSE)),0))</f>
        <v>37</v>
      </c>
      <c r="I124" s="57">
        <f ca="1">+INDEX(INDIRECT("UUUU"&amp;VLOOKUP(Portada!C28,Portada!O5:P6,2,FALSE)),MATCH(ROUND(G124,2),INDIRECT("AAAAA"&amp;VLOOKUP(Portada!C28,Portada!O5:P6,2,FALSE)),0))</f>
        <v>30</v>
      </c>
      <c r="J124" s="55"/>
      <c r="K124" s="55"/>
      <c r="L124" s="55"/>
      <c r="M124" s="55"/>
      <c r="N124" s="55"/>
      <c r="O124" s="56"/>
      <c r="P124" s="56"/>
      <c r="Q124" s="56"/>
      <c r="T124" s="59" t="s">
        <v>204</v>
      </c>
      <c r="U124" s="58" t="str">
        <f t="shared" si="8"/>
        <v>Autoimagen autónoma</v>
      </c>
      <c r="V124" s="60" t="s">
        <v>329</v>
      </c>
      <c r="W124" s="59">
        <f t="shared" si="9"/>
        <v>1</v>
      </c>
      <c r="X124" s="78">
        <f t="shared" ca="1" si="10"/>
        <v>37</v>
      </c>
      <c r="Y124" s="78">
        <f t="shared" ca="1" si="11"/>
        <v>30</v>
      </c>
      <c r="Z124" s="60" t="str">
        <f t="shared" ca="1" si="12"/>
        <v/>
      </c>
      <c r="AA124" s="59" t="str">
        <f t="shared" ca="1" si="13"/>
        <v/>
      </c>
      <c r="AB124" s="58" t="str">
        <f t="shared" ca="1" si="14"/>
        <v/>
      </c>
      <c r="AD124" s="136" t="str">
        <f ca="1">IF(Y124&lt;=74,"en este rango, el puntaje no permite realizar una interpretación válida sobre la presencia de características asociadas a la faceta de Autoimagen autónoma",IF(Y124&gt;=75,"se percibe libre tanto de las restricciones que "&amp;"provienen de las normas sociales como de la obligación de mantenerse leal a otras personas. Valora la idea de libertad y disfruta sintiéndose libre y sin responsabilidades. Siente que no está limitado por personas, lugares, obligaciones o rutinas"))</f>
        <v>en este rango, el puntaje no permite realizar una interpretación válida sobre la presencia de características asociadas a la faceta de Autoimagen autónoma</v>
      </c>
    </row>
    <row r="125" spans="2:30" ht="17.25">
      <c r="B125" s="55" t="s">
        <v>330</v>
      </c>
      <c r="C125" s="55"/>
      <c r="D125" s="194" t="s">
        <v>410</v>
      </c>
      <c r="E125" s="194"/>
      <c r="F125" s="194"/>
      <c r="G125" s="68">
        <f>+Protocolo!DY30</f>
        <v>2</v>
      </c>
      <c r="H125" s="56">
        <f ca="1">+INDEX(INDIRECT("XXXX"&amp;VLOOKUP(Portada!C28,Portada!O5:P6,2,FALSE)),MATCH(ROUND(G125,2),INDIRECT("AAAAA"&amp;VLOOKUP(Portada!C28,Portada!O5:P6,2,FALSE)),0))</f>
        <v>71</v>
      </c>
      <c r="I125" s="57">
        <f ca="1">+INDEX(INDIRECT("WWWW"&amp;VLOOKUP(Portada!C28,Portada!O5:P6,2,FALSE)),MATCH(ROUND(G125,2),INDIRECT("AAAAA"&amp;VLOOKUP(Portada!C28,Portada!O5:P6,2,FALSE)),0))</f>
        <v>64</v>
      </c>
      <c r="J125" s="55"/>
      <c r="K125" s="55"/>
      <c r="L125" s="55"/>
      <c r="M125" s="55"/>
      <c r="N125" s="55"/>
      <c r="O125" s="56"/>
      <c r="P125" s="56"/>
      <c r="Q125" s="56"/>
      <c r="T125" s="59" t="s">
        <v>204</v>
      </c>
      <c r="U125" s="58" t="str">
        <f t="shared" si="8"/>
        <v>Dinámicas de irreflexión (paso al acto)</v>
      </c>
      <c r="V125" s="60" t="s">
        <v>330</v>
      </c>
      <c r="W125" s="59">
        <f t="shared" si="9"/>
        <v>2</v>
      </c>
      <c r="X125" s="78">
        <f t="shared" ca="1" si="10"/>
        <v>71</v>
      </c>
      <c r="Y125" s="78">
        <f t="shared" ca="1" si="11"/>
        <v>64</v>
      </c>
      <c r="Z125" s="60" t="str">
        <f t="shared" ca="1" si="12"/>
        <v/>
      </c>
      <c r="AA125" s="59" t="str">
        <f t="shared" ca="1" si="13"/>
        <v/>
      </c>
      <c r="AB125" s="58" t="str">
        <f t="shared" ca="1" si="14"/>
        <v/>
      </c>
      <c r="AD125" s="136" t="str">
        <f ca="1">IF(Y125&lt;=74,"en este rango, el puntaje no permite realizar una interpretación válida sobre la presencia de características asociadas a la faceta de Dinámicas de irreflexión",IF(Y125&gt;=75,"evita las tensiones internas expresando, sin limitación alguna, pensamientos ofensivos y llevando a cabo acciones malintencionadas. No transforma los"&amp;" impulsos socialmente repulsivos en formas sublimadas, socialmente aceptables, sino que los libera directa e impetuosamente, por lo general sin sentimiento de culpa ni remordimientos. Se ve a sí mismo "&amp;"como víctima y no siente la necesidad de racionalizar sus arrebatos."))</f>
        <v>en este rango, el puntaje no permite realizar una interpretación válida sobre la presencia de características asociadas a la faceta de Dinámicas de irreflexión</v>
      </c>
    </row>
    <row r="126" spans="2:30" ht="17.25">
      <c r="B126" s="55"/>
      <c r="C126" s="55"/>
      <c r="D126" s="55"/>
      <c r="E126" s="55"/>
      <c r="F126" s="55"/>
      <c r="G126" s="56"/>
      <c r="H126" s="56"/>
      <c r="I126" s="57"/>
      <c r="J126" s="55"/>
      <c r="K126" s="55"/>
      <c r="L126" s="55"/>
      <c r="M126" s="55"/>
      <c r="N126" s="55"/>
      <c r="O126" s="56"/>
      <c r="P126" s="56"/>
      <c r="Q126" s="56"/>
      <c r="U126" s="59"/>
      <c r="V126" s="59"/>
      <c r="Z126" s="60" t="str">
        <f t="shared" ca="1" si="12"/>
        <v/>
      </c>
      <c r="AA126" s="59" t="str">
        <f t="shared" ca="1" si="13"/>
        <v/>
      </c>
      <c r="AB126" s="58" t="str">
        <f t="shared" ca="1" si="14"/>
        <v/>
      </c>
    </row>
    <row r="127" spans="2:30" ht="17.25">
      <c r="B127" s="55"/>
      <c r="C127" s="55"/>
      <c r="D127" s="55"/>
      <c r="E127" s="55"/>
      <c r="F127" s="55"/>
      <c r="G127" s="56"/>
      <c r="H127" s="56"/>
      <c r="I127" s="57"/>
      <c r="J127" s="55"/>
      <c r="K127" s="55"/>
      <c r="L127" s="55"/>
      <c r="M127" s="55"/>
      <c r="N127" s="55"/>
      <c r="O127" s="56"/>
      <c r="P127" s="56"/>
      <c r="Q127" s="56"/>
      <c r="T127" s="59" t="s">
        <v>205</v>
      </c>
      <c r="U127" s="58" t="str">
        <f>+L88</f>
        <v>Expresivamente precipitado</v>
      </c>
      <c r="V127" s="59" t="s">
        <v>331</v>
      </c>
      <c r="W127" s="59">
        <f>+O88</f>
        <v>2</v>
      </c>
      <c r="X127" s="78">
        <f ca="1">+P88</f>
        <v>42</v>
      </c>
      <c r="Y127" s="78">
        <f ca="1">+Q88</f>
        <v>40</v>
      </c>
      <c r="Z127" s="60" t="str">
        <f t="shared" ca="1" si="12"/>
        <v/>
      </c>
      <c r="AA127" s="59" t="str">
        <f t="shared" ca="1" si="13"/>
        <v/>
      </c>
      <c r="AB127" s="58" t="str">
        <f t="shared" ca="1" si="14"/>
        <v/>
      </c>
      <c r="AD127" s="136" t="str">
        <f ca="1">IF(Y127&lt;=74,"en este rango, el puntaje no permite realizar una interpretación válida sobre la presencia de características asociadas a la faceta de Expresivamente precipitado",IF(Y127&gt;=75,"carece de sensibilidad hacia los demás, "&amp;"le gusta discutir y polemizar, y tiende a reaccionar con arrebatos repentinos, inesperados e injustificados."&amp;" Se muestra impávido ante el dolor y no lo amedrentan los posibles peligros o castigos. Reacciona agresivamente con facilidad y es probable que, si se siente insultado u ofendido, actúe por venganza"))</f>
        <v>en este rango, el puntaje no permite realizar una interpretación válida sobre la presencia de características asociadas a la faceta de Expresivamente precipitado</v>
      </c>
    </row>
    <row r="128" spans="2:30" ht="17.25">
      <c r="B128" s="55"/>
      <c r="C128" s="55"/>
      <c r="D128" s="55"/>
      <c r="E128" s="55"/>
      <c r="F128" s="55"/>
      <c r="G128" s="56"/>
      <c r="H128" s="56"/>
      <c r="I128" s="57"/>
      <c r="J128" s="55"/>
      <c r="K128" s="55"/>
      <c r="L128" s="55"/>
      <c r="M128" s="55"/>
      <c r="N128" s="55"/>
      <c r="O128" s="56"/>
      <c r="P128" s="56"/>
      <c r="Q128" s="56"/>
      <c r="T128" s="59" t="s">
        <v>205</v>
      </c>
      <c r="U128" s="58" t="str">
        <f t="shared" ref="U128:U149" si="15">+L89</f>
        <v>Interpers. desagradable</v>
      </c>
      <c r="V128" s="59" t="s">
        <v>332</v>
      </c>
      <c r="W128" s="59">
        <f>+O89</f>
        <v>3</v>
      </c>
      <c r="X128" s="78">
        <f ca="1">+P89</f>
        <v>77</v>
      </c>
      <c r="Y128" s="78">
        <f t="shared" ref="Y128:Y129" ca="1" si="16">+Q89</f>
        <v>68</v>
      </c>
      <c r="Z128" s="60" t="str">
        <f t="shared" ca="1" si="12"/>
        <v/>
      </c>
      <c r="AA128" s="59" t="str">
        <f t="shared" ca="1" si="13"/>
        <v/>
      </c>
      <c r="AB128" s="58" t="str">
        <f t="shared" ca="1" si="14"/>
        <v/>
      </c>
      <c r="AD128" s="136" t="str">
        <f ca="1">IF(Y128&lt;=74,"en este rango, el puntaje no permite realizar una interpretación válida sobre la presencia de características asociadas a la faceta de Interpersonalmente desagradable",IF(Y128&gt;=75,"encuentra placer o satisfacción al intimidar, coaccionar, humillar o menospreciar a los demás. Tiende a ser ofensivo verbalmente y, "&amp;"muy posiblemente, agresivo física o sexualmente; y ello le proporciona una gratificación psicológica inmediata"))</f>
        <v>en este rango, el puntaje no permite realizar una interpretación válida sobre la presencia de características asociadas a la faceta de Interpersonalmente desagradable</v>
      </c>
    </row>
    <row r="129" spans="2:31" ht="17.25">
      <c r="B129" s="55"/>
      <c r="C129" s="55"/>
      <c r="D129" s="55"/>
      <c r="E129" s="55"/>
      <c r="F129" s="55"/>
      <c r="G129" s="56"/>
      <c r="H129" s="56"/>
      <c r="I129" s="57"/>
      <c r="J129" s="55"/>
      <c r="K129" s="55"/>
      <c r="L129" s="55"/>
      <c r="M129" s="55"/>
      <c r="N129" s="55"/>
      <c r="O129" s="56"/>
      <c r="P129" s="56"/>
      <c r="Q129" s="56"/>
      <c r="T129" s="59" t="s">
        <v>205</v>
      </c>
      <c r="U129" s="58" t="str">
        <f t="shared" si="15"/>
        <v>Arquitectura eruptiva</v>
      </c>
      <c r="V129" s="60" t="s">
        <v>333</v>
      </c>
      <c r="W129" s="59">
        <f>+O90</f>
        <v>1</v>
      </c>
      <c r="X129" s="78">
        <f ca="1">+P90</f>
        <v>47</v>
      </c>
      <c r="Y129" s="78">
        <f t="shared" ca="1" si="16"/>
        <v>60</v>
      </c>
      <c r="Z129" s="60" t="str">
        <f t="shared" ca="1" si="12"/>
        <v/>
      </c>
      <c r="AA129" s="59" t="str">
        <f t="shared" ca="1" si="13"/>
        <v/>
      </c>
      <c r="AB129" s="58" t="str">
        <f t="shared" ca="1" si="14"/>
        <v/>
      </c>
      <c r="AD129" s="136" t="str">
        <f ca="1">IF(Y129&lt;=74,"en este rango, el puntaje no permite realizar una interpretación válida sobre la presencia de características asociadas a la faceta de Arquitectura eruptiva",IF(Y129&gt;=75,"tiene en su interior una energía de naturaleza agresiva o sexual que va creciendo y acaba manifestándose en forma de arrebatos impetuosos que amenazan con"&amp;" aniquilar su autocontrol, que en otras circunstancias es efectivo. Es probable que las experiencias dolorosas"&amp;" tempranas hayan dado lugar a intensas emociones residuales que expresa con inmediatez y de forma persistente y manifiesta. La idea de ser vulnerable, engañado y humillado lo lleva a un estado constante de miedo intenso"))</f>
        <v>en este rango, el puntaje no permite realizar una interpretación válida sobre la presencia de características asociadas a la faceta de Arquitectura eruptiva</v>
      </c>
    </row>
    <row r="130" spans="2:31" ht="18.75" customHeight="1">
      <c r="B130" s="62"/>
      <c r="C130" s="62"/>
      <c r="D130" s="62"/>
      <c r="E130" s="62"/>
      <c r="F130" s="62"/>
      <c r="G130" s="64"/>
      <c r="H130" s="64"/>
      <c r="I130" s="65"/>
      <c r="J130" s="62"/>
      <c r="K130" s="62"/>
      <c r="L130" s="62"/>
      <c r="M130" s="62"/>
      <c r="N130" s="62"/>
      <c r="O130" s="64"/>
      <c r="P130" s="64"/>
      <c r="Q130" s="64"/>
      <c r="Z130" s="60" t="str">
        <f t="shared" ca="1" si="12"/>
        <v/>
      </c>
      <c r="AA130" s="59" t="str">
        <f t="shared" ca="1" si="13"/>
        <v/>
      </c>
      <c r="AB130" s="58" t="str">
        <f t="shared" ca="1" si="14"/>
        <v/>
      </c>
    </row>
    <row r="131" spans="2:31" ht="6" customHeight="1">
      <c r="B131" s="55"/>
      <c r="C131" s="55"/>
      <c r="D131" s="55"/>
      <c r="E131" s="55"/>
      <c r="F131" s="55"/>
      <c r="G131" s="56"/>
      <c r="H131" s="56"/>
      <c r="I131" s="57"/>
      <c r="J131" s="55"/>
      <c r="K131" s="55"/>
      <c r="L131" s="55"/>
      <c r="M131" s="55"/>
      <c r="N131" s="55"/>
      <c r="O131" s="56"/>
      <c r="P131" s="56"/>
      <c r="Q131" s="56"/>
      <c r="U131" s="59"/>
      <c r="V131" s="59"/>
      <c r="Z131" s="60" t="str">
        <f t="shared" ca="1" si="12"/>
        <v/>
      </c>
      <c r="AA131" s="59" t="str">
        <f t="shared" ca="1" si="13"/>
        <v/>
      </c>
      <c r="AB131" s="58" t="str">
        <f t="shared" ca="1" si="14"/>
        <v/>
      </c>
    </row>
    <row r="132" spans="2:31" ht="17.25">
      <c r="B132" s="70" t="str">
        <f>+$B$61</f>
        <v>MCMI-IV</v>
      </c>
      <c r="C132" s="55"/>
      <c r="D132" s="55"/>
      <c r="E132" s="55"/>
      <c r="F132" s="55"/>
      <c r="G132" s="56"/>
      <c r="H132" s="56"/>
      <c r="I132" s="57"/>
      <c r="J132" s="55"/>
      <c r="K132" s="55"/>
      <c r="L132" s="55"/>
      <c r="M132" s="209" t="str">
        <f>+M61</f>
        <v>Jose Anibal Motaño</v>
      </c>
      <c r="N132" s="209"/>
      <c r="O132" s="209"/>
      <c r="P132" s="211" t="str">
        <f>+P61</f>
        <v>MCMI-IV</v>
      </c>
      <c r="Q132" s="211"/>
      <c r="T132" s="59" t="s">
        <v>206</v>
      </c>
      <c r="U132" s="58" t="str">
        <f t="shared" si="15"/>
        <v>Expresivamente disciplinado</v>
      </c>
      <c r="V132" s="60" t="s">
        <v>334</v>
      </c>
      <c r="W132" s="59">
        <f t="shared" ref="W132:X132" si="17">+O93</f>
        <v>7</v>
      </c>
      <c r="X132" s="78">
        <f t="shared" ca="1" si="17"/>
        <v>88</v>
      </c>
      <c r="Y132" s="78">
        <f t="shared" ref="Y132:Y149" ca="1" si="18">+Q93</f>
        <v>85</v>
      </c>
      <c r="Z132" s="60" t="str">
        <f t="shared" ca="1" si="12"/>
        <v/>
      </c>
      <c r="AA132" s="59" t="str">
        <f t="shared" ca="1" si="13"/>
        <v/>
      </c>
      <c r="AB132" s="58" t="str">
        <f t="shared" ca="1" si="14"/>
        <v/>
      </c>
      <c r="AD132" s="136" t="str">
        <f ca="1">IF(Y132&lt;=74,"en este rango, el puntaje no permite realizar una interpretación válida sobre la presencia de características asociadas a la faceta de Expresivamente disciplinado",IF(Y132&gt;=75,"lleva una vida muy estructurada y estrictamente organizada. Tiende a ser estricto y responsable y muestra la necesidad de mantener sus emociones bajo"&amp;" control. Puede hablar con mucha precisión, así como vestir de un modo muy formal y correcto. Su búsqueda del perfeccionismo puede ser limitante y dificultarle la completa realización de las tareas habituales"))</f>
        <v>lleva una vida muy estructurada y estrictamente organizada. Tiende a ser estricto y responsable y muestra la necesidad de mantener sus emociones bajo control. Puede hablar con mucha precisión, así como vestir de un modo muy formal y correcto. Su búsqueda del perfeccionismo puede ser limitante y dificultarle la completa realización de las tareas habituales</v>
      </c>
    </row>
    <row r="133" spans="2:31" ht="17.25">
      <c r="B133" s="212">
        <f ca="1">+$B$62</f>
        <v>46162</v>
      </c>
      <c r="C133" s="212"/>
      <c r="D133" s="212"/>
      <c r="E133" s="55"/>
      <c r="F133" s="55"/>
      <c r="G133" s="56"/>
      <c r="H133" s="56"/>
      <c r="I133" s="57"/>
      <c r="J133" s="55"/>
      <c r="K133" s="55"/>
      <c r="L133" s="55"/>
      <c r="M133" s="55"/>
      <c r="N133" s="55"/>
      <c r="O133" s="56"/>
      <c r="P133" s="56"/>
      <c r="Q133" s="56"/>
      <c r="T133" s="59" t="s">
        <v>206</v>
      </c>
      <c r="U133" s="58" t="str">
        <f t="shared" si="15"/>
        <v>Cognitivamente constreñido</v>
      </c>
      <c r="V133" s="60" t="s">
        <v>335</v>
      </c>
      <c r="W133" s="59">
        <f t="shared" ref="W133:X133" si="19">+O94</f>
        <v>5</v>
      </c>
      <c r="X133" s="78">
        <f t="shared" ca="1" si="19"/>
        <v>39</v>
      </c>
      <c r="Y133" s="78">
        <f t="shared" ca="1" si="18"/>
        <v>43</v>
      </c>
      <c r="Z133" s="60" t="str">
        <f t="shared" ca="1" si="12"/>
        <v/>
      </c>
      <c r="AA133" s="59" t="str">
        <f t="shared" ca="1" si="13"/>
        <v/>
      </c>
      <c r="AB133" s="58" t="str">
        <f t="shared" ca="1" si="14"/>
        <v/>
      </c>
      <c r="AD133" s="136" t="str">
        <f ca="1">IF(Y133&lt;=74,"en este rango, el puntaje no permite realizar una interpretación válida sobre la presencia de características asociadas a la faceta de Cognitivamente constreñido",IF(Y133&gt;=75,"construye el mundo en términos de reglas, normas, planificaciones y jerarquías sociales. Se disgusta fácilmente ante acontecimientos o"&amp;" costumbres que no le son familiares. Tiende a ser inflexible y obstinado respecto al cumplimiento de las normas convencionales u oficiales. Cuando se enfrenta a una situación incierta, a menudo acaba bloqueado y es incapaz de tomar una decisión"))</f>
        <v>en este rango, el puntaje no permite realizar una interpretación válida sobre la presencia de características asociadas a la faceta de Cognitivamente constreñido</v>
      </c>
    </row>
    <row r="134" spans="2:31" ht="6" customHeight="1">
      <c r="B134" s="137"/>
      <c r="C134" s="137"/>
      <c r="D134" s="137"/>
      <c r="E134" s="137"/>
      <c r="F134" s="137"/>
      <c r="G134" s="138"/>
      <c r="H134" s="138"/>
      <c r="I134" s="139"/>
      <c r="J134" s="137"/>
      <c r="K134" s="137"/>
      <c r="L134" s="137"/>
      <c r="M134" s="137"/>
      <c r="N134" s="137"/>
      <c r="O134" s="138"/>
      <c r="P134" s="138"/>
      <c r="Q134" s="138"/>
      <c r="T134" s="59" t="s">
        <v>206</v>
      </c>
      <c r="U134" s="58" t="str">
        <f t="shared" si="15"/>
        <v>Autoimagen responsable</v>
      </c>
      <c r="V134" s="60" t="s">
        <v>336</v>
      </c>
      <c r="W134" s="59">
        <f t="shared" ref="W134:X134" si="20">+O95</f>
        <v>8</v>
      </c>
      <c r="X134" s="78">
        <f t="shared" ca="1" si="20"/>
        <v>81</v>
      </c>
      <c r="Y134" s="78">
        <f t="shared" ca="1" si="18"/>
        <v>75</v>
      </c>
      <c r="Z134" s="60" t="str">
        <f t="shared" ca="1" si="12"/>
        <v/>
      </c>
      <c r="AA134" s="59" t="str">
        <f t="shared" ca="1" si="13"/>
        <v/>
      </c>
      <c r="AB134" s="58" t="str">
        <f t="shared" ca="1" si="14"/>
        <v/>
      </c>
      <c r="AD134" s="136" t="str">
        <f ca="1">IF(Y134&lt;=74,"en este rango, el puntaje no permite realizar una interpretación válida sobre la presencia de características asociadas a la faceta de Autoimagen responsable",IF(Y134&gt;=75,"se ve a sí mismo como eficiente, disciplinado, meticuloso y diligente. Se consagra al trabajo y a cumplir sus responsabilidades, y tiende a restar importancia a las actividades recreativas "&amp;"y de ocio. Su temor a ser visto como irresponsable, como alguien que no "&amp;"cumple las expectativas de los demás o que suele cometer errores, puede llevarlo a sobrevalorar la disciplina, la perfección, la prudencia y la lealtad"))</f>
        <v>se ve a sí mismo como eficiente, disciplinado, meticuloso y diligente. Se consagra al trabajo y a cumplir sus responsabilidades, y tiende a restar importancia a las actividades recreativas y de ocio. Su temor a ser visto como irresponsable, como alguien que no cumple las expectativas de los demás o que suele cometer errores, puede llevarlo a sobrevalorar la disciplina, la perfección, la prudencia y la lealtad</v>
      </c>
    </row>
    <row r="135" spans="2:31" ht="30" customHeight="1">
      <c r="B135" s="188" t="s">
        <v>619</v>
      </c>
      <c r="C135" s="55"/>
      <c r="D135" s="55"/>
      <c r="E135" s="55"/>
      <c r="F135" s="55"/>
      <c r="G135" s="56"/>
      <c r="H135" s="56"/>
      <c r="I135" s="57"/>
      <c r="J135" s="55"/>
      <c r="K135" s="55"/>
      <c r="L135" s="55"/>
      <c r="M135" s="55"/>
      <c r="N135" s="55"/>
      <c r="O135" s="56"/>
      <c r="P135" s="56"/>
      <c r="Q135" s="56"/>
    </row>
    <row r="136" spans="2:31" ht="32.25" customHeight="1">
      <c r="B136" s="191" t="s">
        <v>616</v>
      </c>
      <c r="C136" s="191"/>
      <c r="D136" s="191"/>
      <c r="E136" s="191"/>
      <c r="F136" s="191"/>
      <c r="G136" s="191"/>
      <c r="H136" s="191"/>
      <c r="I136" s="191"/>
      <c r="J136" s="191"/>
      <c r="K136" s="191"/>
      <c r="L136" s="191"/>
      <c r="M136" s="191"/>
      <c r="N136" s="191"/>
      <c r="O136" s="191"/>
      <c r="P136" s="191"/>
      <c r="Q136" s="191"/>
      <c r="U136" s="59"/>
      <c r="V136" s="59"/>
    </row>
    <row r="137" spans="2:31" ht="32.25" customHeight="1">
      <c r="B137" s="191"/>
      <c r="C137" s="191"/>
      <c r="D137" s="191"/>
      <c r="E137" s="191"/>
      <c r="F137" s="191"/>
      <c r="G137" s="191"/>
      <c r="H137" s="191"/>
      <c r="I137" s="191"/>
      <c r="J137" s="191"/>
      <c r="K137" s="191"/>
      <c r="L137" s="191"/>
      <c r="M137" s="191"/>
      <c r="N137" s="191"/>
      <c r="O137" s="191"/>
      <c r="P137" s="191"/>
      <c r="Q137" s="191"/>
      <c r="T137" s="59" t="s">
        <v>207</v>
      </c>
      <c r="U137" s="58" t="str">
        <f t="shared" si="15"/>
        <v>Expresivamente resentido</v>
      </c>
      <c r="V137" s="60" t="s">
        <v>337</v>
      </c>
      <c r="W137" s="59">
        <f t="shared" ref="W137:X137" si="21">+O98</f>
        <v>2</v>
      </c>
      <c r="X137" s="78">
        <f t="shared" ca="1" si="21"/>
        <v>43</v>
      </c>
      <c r="Y137" s="78">
        <f t="shared" ca="1" si="18"/>
        <v>40</v>
      </c>
      <c r="Z137" s="60" t="str">
        <f t="shared" ca="1" si="12"/>
        <v/>
      </c>
      <c r="AA137" s="59" t="str">
        <f t="shared" ca="1" si="13"/>
        <v/>
      </c>
      <c r="AB137" s="58" t="str">
        <f t="shared" ca="1" si="14"/>
        <v/>
      </c>
      <c r="AD137" s="136" t="str">
        <f ca="1">IF(Y137&lt;=74,"en este rango, el puntaje no permite realizar una interpretación válida sobre la presencia de características asociadas a la faceta de Expresivamente resentido",IF(Y137&gt;=75,"se resiste a cumplir las expectativas"&amp;" de los demás y, por ello, a menudo actúa con procrastinación e ineficiencia, y se muestra obstinado, "&amp;"oposicionista e irritante. Fácilmente se siente impulsado a comportarse con resentimiento y exterioriza la satisfacción que le produce socavar los placeres y las aspiraciones de los demás"))</f>
        <v>en este rango, el puntaje no permite realizar una interpretación válida sobre la presencia de características asociadas a la faceta de Expresivamente resentido</v>
      </c>
    </row>
    <row r="138" spans="2:31" ht="32.25" customHeight="1">
      <c r="B138" s="191"/>
      <c r="C138" s="191"/>
      <c r="D138" s="191"/>
      <c r="E138" s="191"/>
      <c r="F138" s="191"/>
      <c r="G138" s="191"/>
      <c r="H138" s="191"/>
      <c r="I138" s="191"/>
      <c r="J138" s="191"/>
      <c r="K138" s="191"/>
      <c r="L138" s="191"/>
      <c r="M138" s="191"/>
      <c r="N138" s="191"/>
      <c r="O138" s="191"/>
      <c r="P138" s="191"/>
      <c r="Q138" s="191"/>
      <c r="T138" s="59" t="s">
        <v>207</v>
      </c>
      <c r="U138" s="58" t="str">
        <f t="shared" si="15"/>
        <v>Autoimagen descontenta</v>
      </c>
      <c r="V138" s="60" t="s">
        <v>338</v>
      </c>
      <c r="W138" s="59">
        <f t="shared" ref="W138:X138" si="22">+O99</f>
        <v>1</v>
      </c>
      <c r="X138" s="78">
        <f t="shared" ca="1" si="22"/>
        <v>15</v>
      </c>
      <c r="Y138" s="78">
        <f t="shared" ca="1" si="18"/>
        <v>15</v>
      </c>
      <c r="Z138" s="60" t="str">
        <f t="shared" ca="1" si="12"/>
        <v/>
      </c>
      <c r="AA138" s="59" t="str">
        <f t="shared" ca="1" si="13"/>
        <v/>
      </c>
      <c r="AB138" s="58" t="str">
        <f t="shared" ca="1" si="14"/>
        <v/>
      </c>
      <c r="AD138" s="136" t="str">
        <f ca="1">IF(Y138&lt;=74,"en este rango, el puntaje no permite realizar una interpretación válida sobre la presencia de características asociadas a la faceta de Autoimagen descontenta",IF(Y138&gt;=75,"se ve a sí mismo como incomprendido, desafortunado, poco"&amp;" valorado, gafado y menospreciado por los demás. Reconoce que está particularmente resentido, insatisfecho y desilusionado con la vida. Tiende a mostrar envidia y resentimiento hacia las personas que, a su modo de ver, tienen una vida más fácil"))</f>
        <v>en este rango, el puntaje no permite realizar una interpretación válida sobre la presencia de características asociadas a la faceta de Autoimagen descontenta</v>
      </c>
    </row>
    <row r="139" spans="2:31" ht="32.25" customHeight="1">
      <c r="B139" s="191"/>
      <c r="C139" s="191"/>
      <c r="D139" s="191"/>
      <c r="E139" s="191"/>
      <c r="F139" s="191"/>
      <c r="G139" s="191"/>
      <c r="H139" s="191"/>
      <c r="I139" s="191"/>
      <c r="J139" s="191"/>
      <c r="K139" s="191"/>
      <c r="L139" s="191"/>
      <c r="M139" s="191"/>
      <c r="N139" s="191"/>
      <c r="O139" s="191"/>
      <c r="P139" s="191"/>
      <c r="Q139" s="191"/>
      <c r="T139" s="59" t="s">
        <v>207</v>
      </c>
      <c r="U139" s="58" t="str">
        <f t="shared" si="15"/>
        <v>Temperamentalmente irritable</v>
      </c>
      <c r="V139" s="60" t="s">
        <v>339</v>
      </c>
      <c r="W139" s="59">
        <f t="shared" ref="W139:X139" si="23">+O100</f>
        <v>1</v>
      </c>
      <c r="X139" s="78">
        <f t="shared" ca="1" si="23"/>
        <v>32</v>
      </c>
      <c r="Y139" s="78">
        <f t="shared" ca="1" si="18"/>
        <v>20</v>
      </c>
      <c r="Z139" s="60" t="str">
        <f t="shared" ca="1" si="12"/>
        <v/>
      </c>
      <c r="AA139" s="59" t="str">
        <f t="shared" ca="1" si="13"/>
        <v/>
      </c>
      <c r="AB139" s="58" t="str">
        <f t="shared" ca="1" si="14"/>
        <v/>
      </c>
      <c r="AD139" s="136" t="str">
        <f ca="1">IF(Y139&lt;=74,"en este rango, el puntaje no permite realizar una interpretación válida sobre la presencia de características asociadas a la faceta de Temperamentalmente irritable",IF(Y139&gt;=75,"es malhumorado y obstinado y se muestra resentido; fácilmente se molesta y se exaspera por lo que hacen los demás, y, consecuentemente, "&amp;"tiende a replegarse enfurruñado y en silencio. Tiene baja tolerancia a la frustración, y puede ser persistentemente impaciente, irritable e inquieto a menos que las cosas salgan como quiere"))</f>
        <v>en este rango, el puntaje no permite realizar una interpretación válida sobre la presencia de características asociadas a la faceta de Temperamentalmente irritable</v>
      </c>
    </row>
    <row r="140" spans="2:31" ht="32.25" customHeight="1">
      <c r="B140" s="191"/>
      <c r="C140" s="191"/>
      <c r="D140" s="191"/>
      <c r="E140" s="191"/>
      <c r="F140" s="191"/>
      <c r="G140" s="191"/>
      <c r="H140" s="191"/>
      <c r="I140" s="191"/>
      <c r="J140" s="191"/>
      <c r="K140" s="191"/>
      <c r="L140" s="191"/>
      <c r="M140" s="191"/>
      <c r="N140" s="191"/>
      <c r="O140" s="191"/>
      <c r="P140" s="191"/>
      <c r="Q140" s="191"/>
      <c r="Z140" s="60" t="str">
        <f t="shared" ca="1" si="12"/>
        <v/>
      </c>
      <c r="AA140" s="59" t="str">
        <f t="shared" ca="1" si="13"/>
        <v/>
      </c>
      <c r="AB140" s="58" t="str">
        <f t="shared" ca="1" si="14"/>
        <v/>
      </c>
    </row>
    <row r="141" spans="2:31" ht="32.25" customHeight="1">
      <c r="B141" s="191"/>
      <c r="C141" s="191"/>
      <c r="D141" s="191"/>
      <c r="E141" s="191"/>
      <c r="F141" s="191"/>
      <c r="G141" s="191"/>
      <c r="H141" s="191"/>
      <c r="I141" s="191"/>
      <c r="J141" s="191"/>
      <c r="K141" s="191"/>
      <c r="L141" s="191"/>
      <c r="M141" s="191"/>
      <c r="N141" s="191"/>
      <c r="O141" s="191"/>
      <c r="P141" s="191"/>
      <c r="Q141" s="191"/>
      <c r="U141" s="59"/>
      <c r="V141" s="59"/>
      <c r="Z141" s="60" t="str">
        <f t="shared" ca="1" si="12"/>
        <v/>
      </c>
      <c r="AA141" s="59" t="str">
        <f t="shared" ca="1" si="13"/>
        <v/>
      </c>
      <c r="AB141" s="58" t="str">
        <f t="shared" ca="1" si="14"/>
        <v/>
      </c>
    </row>
    <row r="142" spans="2:31" ht="32.25" customHeight="1">
      <c r="B142" s="191" t="str">
        <f>Portada!C19&amp;" es una "&amp;IF(Portada!C22="Mujer","mujer","hombre")&amp;" de "&amp;Portada!C21&amp;" años de edad, con un nivel educativo de "&amp;Portada!C24&amp;". Actualmente "&amp;AE142&amp;". Refiere que "&amp;'Datos del Sujeto'!Y12&amp;", mientras que "&amp;'Datos del Sujeto'!Y13&amp;"."</f>
        <v>Jose Anibal Motaño es una hombre de 63 años de edad, con un nivel educativo de bachillerato superior o formación profesional. Actualmente su estado civil es [sin datos]. Refiere que su principal preocupación es Confrontación legal en la que me encuentro actualmente, mientras que .</v>
      </c>
      <c r="C142" s="191"/>
      <c r="D142" s="191"/>
      <c r="E142" s="191"/>
      <c r="F142" s="191"/>
      <c r="G142" s="191"/>
      <c r="H142" s="191"/>
      <c r="I142" s="191"/>
      <c r="J142" s="191"/>
      <c r="K142" s="191"/>
      <c r="L142" s="191"/>
      <c r="M142" s="191"/>
      <c r="N142" s="191"/>
      <c r="O142" s="191"/>
      <c r="P142" s="191"/>
      <c r="Q142" s="191"/>
      <c r="S142" s="78" t="str">
        <f>IF(Portada!C22="Mujer",IF(Portada!C26="Soltero","se encuentra soltera",IF(Portada!C26="Casado","se encuentra casada",IF(Portada!C26="Divorciado","se encuentra divorciada",IF(Portada!C26="Viudo","se encuentra viuda",IF(Portada!C26="Separado","se encuentra separada","su estado civil es "&amp;LOWER(Portada!C26)))))),IF(Portada!C26="Soltero","se encuentra soltero",IF(Portada!C26="Casado","se encuentra casado",IF(Portada!C26="Divorciado","se encuentra divorciado",IF(Portada!C26="Viudo","se encuentra viudo",IF(Portada!C26="Separado","se encuentra separado","su estado civil es "&amp;LOWER(Portada!C26)))))))</f>
        <v>su estado civil es [sin datos]</v>
      </c>
      <c r="T142" s="59" t="s">
        <v>208</v>
      </c>
      <c r="U142" s="58" t="str">
        <f t="shared" si="15"/>
        <v>Autoimagen desmerecedora</v>
      </c>
      <c r="V142" s="60" t="s">
        <v>340</v>
      </c>
      <c r="W142" s="59">
        <f t="shared" ref="W142:X142" si="24">+O103</f>
        <v>3</v>
      </c>
      <c r="X142" s="78">
        <f t="shared" ca="1" si="24"/>
        <v>44</v>
      </c>
      <c r="Y142" s="78">
        <f t="shared" ca="1" si="18"/>
        <v>60</v>
      </c>
      <c r="Z142" s="60" t="str">
        <f t="shared" ca="1" si="12"/>
        <v/>
      </c>
      <c r="AA142" s="59" t="str">
        <f t="shared" ca="1" si="13"/>
        <v/>
      </c>
      <c r="AB142" s="58" t="str">
        <f t="shared" ca="1" si="14"/>
        <v/>
      </c>
      <c r="AD142" s="136" t="str">
        <f ca="1">IF(Y142&lt;=74,"en este rango, el puntaje no permite realizar una interpretación válida sobre la presencia de características asociadas a la faceta de Autoimagen desmerecedora",IF(Y142&gt;=75,"se humilla a sí mismo y se considera merecedor de deshonras, reproches y menosprecios. Por lo general, se centra en intensificar sus peores "&amp;"características. Es probable que, si recibe reconocimientos y elogios, considere que son observaciones erróneas; y que, si no cumple las expectativas de los demás, sienta que merece sufrir consecuencias dolorosas"))</f>
        <v>en este rango, el puntaje no permite realizar una interpretación válida sobre la presencia de características asociadas a la faceta de Autoimagen desmerecedora</v>
      </c>
      <c r="AE142" s="58" t="str">
        <f>IF(Portada!C22="Mujer",IF(Portada!C26="Soltero","se encuentra soltera",IF(Portada!C26="Casado","se encuentra casada",IF(Portada!C26="Divorciado","se encuentra divorciada",IF(Portada!C26="Viudo","se encuentra viuda",IF(Portada!C26="Separado","se encuentra separada","su estado civil es "&amp;LOWER(Portada!C26)))))),IF(Portada!C26="Soltero","se encuentra soltero",IF(Portada!C26="Casado","se encuentra casado",IF(Portada!C26="Divorciado","se encuentra divorciado",IF(Portada!C26="Viudo","se encuentra viudo",IF(Portada!C26="Separado","se encuentra separado","su estado civil es "&amp;LOWER(Portada!C26)))))))</f>
        <v>su estado civil es [sin datos]</v>
      </c>
    </row>
    <row r="143" spans="2:31" ht="32.25" customHeight="1">
      <c r="B143" s="191"/>
      <c r="C143" s="191"/>
      <c r="D143" s="191"/>
      <c r="E143" s="191"/>
      <c r="F143" s="191"/>
      <c r="G143" s="191"/>
      <c r="H143" s="191"/>
      <c r="I143" s="191"/>
      <c r="J143" s="191"/>
      <c r="K143" s="191"/>
      <c r="L143" s="191"/>
      <c r="M143" s="191"/>
      <c r="N143" s="191"/>
      <c r="O143" s="191"/>
      <c r="P143" s="191"/>
      <c r="Q143" s="191"/>
      <c r="T143" s="59" t="s">
        <v>208</v>
      </c>
      <c r="U143" s="58" t="str">
        <f t="shared" si="15"/>
        <v>Arquitectura invertida</v>
      </c>
      <c r="V143" s="60" t="s">
        <v>341</v>
      </c>
      <c r="W143" s="59">
        <f t="shared" ref="W143:X143" si="25">+O104</f>
        <v>4</v>
      </c>
      <c r="X143" s="78">
        <f t="shared" ca="1" si="25"/>
        <v>60</v>
      </c>
      <c r="Y143" s="78">
        <f t="shared" ca="1" si="18"/>
        <v>65</v>
      </c>
      <c r="Z143" s="60" t="str">
        <f t="shared" ca="1" si="12"/>
        <v/>
      </c>
      <c r="AA143" s="59" t="str">
        <f t="shared" ca="1" si="13"/>
        <v/>
      </c>
      <c r="AB143" s="58" t="str">
        <f t="shared" ca="1" si="14"/>
        <v/>
      </c>
      <c r="AD143" s="136" t="str">
        <f ca="1">IF(Y143&lt;=74,"en este rango, el puntaje no permite realizar una interpretación válida sobre la presencia de características asociadas a la faceta de Arquitectura invertida",IF(Y143&gt;=75,"tiende a sentir placer cuando la reacción más apropiada es el dolor, y dolor cuando la más adecuada es el placer. Estas cualidades opuestas"&amp;" se manifiestan en la inversión recurrente de los sentimientos y las motivaciones. Esta constante transposición de la gratificación de las necesidades da lugar a la frustración y, a veces, al autosabotaje"))</f>
        <v>en este rango, el puntaje no permite realizar una interpretación válida sobre la presencia de características asociadas a la faceta de Arquitectura invertida</v>
      </c>
    </row>
    <row r="144" spans="2:31" ht="32.25" customHeight="1">
      <c r="B144" s="191"/>
      <c r="C144" s="191"/>
      <c r="D144" s="191"/>
      <c r="E144" s="191"/>
      <c r="F144" s="191"/>
      <c r="G144" s="191"/>
      <c r="H144" s="191"/>
      <c r="I144" s="191"/>
      <c r="J144" s="191"/>
      <c r="K144" s="191"/>
      <c r="L144" s="191"/>
      <c r="M144" s="191"/>
      <c r="N144" s="191"/>
      <c r="O144" s="191"/>
      <c r="P144" s="191"/>
      <c r="Q144" s="191"/>
      <c r="T144" s="59" t="s">
        <v>208</v>
      </c>
      <c r="U144" s="58" t="str">
        <f t="shared" si="15"/>
        <v>Temperamentalmente disfórico</v>
      </c>
      <c r="V144" s="60" t="s">
        <v>342</v>
      </c>
      <c r="W144" s="59">
        <f t="shared" ref="W144:X144" si="26">+O105</f>
        <v>3</v>
      </c>
      <c r="X144" s="78">
        <f t="shared" ca="1" si="26"/>
        <v>33</v>
      </c>
      <c r="Y144" s="78">
        <f t="shared" ca="1" si="18"/>
        <v>36</v>
      </c>
      <c r="Z144" s="60" t="str">
        <f t="shared" ca="1" si="12"/>
        <v/>
      </c>
      <c r="AA144" s="59" t="str">
        <f t="shared" ca="1" si="13"/>
        <v/>
      </c>
      <c r="AB144" s="58" t="str">
        <f t="shared" ca="1" si="14"/>
        <v/>
      </c>
      <c r="AD144" s="136" t="str">
        <f ca="1">IF(Y144&lt;=74,"en este rango, el puntaje no permite realizar una interpretación válida sobre la presencia de características asociadas a la faceta de Temperamentalmente disfórico",IF(Y144&gt;=75,"a veces está ansioso e inquieto; y a veces, apenado y triste. Con frecuencia se siente angustiado y atormentado, y puede mostrarse "&amp;"deliberadamente quejumbroso y melancólico para intentar provocar sentimientos de culpabilidad y malestar en los demás"))</f>
        <v>en este rango, el puntaje no permite realizar una interpretación válida sobre la presencia de características asociadas a la faceta de Temperamentalmente disfórico</v>
      </c>
    </row>
    <row r="145" spans="2:44" ht="21.75" customHeight="1">
      <c r="B145" s="169"/>
      <c r="C145" s="169"/>
      <c r="D145" s="169"/>
      <c r="E145" s="169"/>
      <c r="F145" s="169"/>
      <c r="G145" s="169"/>
      <c r="H145" s="169"/>
      <c r="I145" s="169"/>
      <c r="J145" s="169"/>
      <c r="K145" s="169"/>
      <c r="L145" s="169"/>
      <c r="M145" s="169"/>
      <c r="N145" s="169"/>
      <c r="O145" s="169"/>
      <c r="P145" s="169"/>
      <c r="Q145" s="169"/>
      <c r="AR145" s="58" t="str">
        <f>V12</f>
        <v>El perfil es interpretable: las escalas V (Invalidez) y W (Inconsistencia) no muestran un patrón compatible con respuestas aleatorias, de modo que el perfil puede analizarse a partir de las elevaciones que presenta.</v>
      </c>
    </row>
    <row r="146" spans="2:44" ht="53.25" customHeight="1">
      <c r="B146" s="191" t="str">
        <f ca="1">TRIM(AR145&amp;AR146&amp;AR147&amp;AR148&amp;AR149&amp;AR150)</f>
        <v>El perfil es interpretable: las escalas V (Invalidez) y W (Inconsistencia) no muestran un patrón compatible con respuestas aleatorias, de modo que el perfil puede analizarse a partir de las elevaciones que presenta. En cuanto al estilo de respuesta, la elevación de la escala Y (Deseabilidad social) refleja la tendencia del evaluado(a) a parecer socialmente agradable, moralmente admirable o emocionalmente equilibrada; cuanto más alta es la puntuación, más probable resulta que haya ocultado ciertos aspectos de sus dificultades psicológicas o interpersonales, por lo que resulta pertinente contrastar las elevaciones del resto del perfil con la información obtenida más allá del inventario. Sobre los resultados obtenidos, las tasas base de las escalas 2B (Melancólico), 8B (Masoquista) y C (Límite) se han disminuido en función de las escalas A (Ansiedad generalizada) y CC (Depresión mayor); este ajuste se basa en el principio de que las puntuaciones del evaluado(a) pueden estar distorsionadas si, al cumplimentar el inventario, se encuentra en un estado emocional de ansiedad o depresión profunda; asimismo se aplica sobre las escalas 2A (Evitativo) y S (Esquizotípico). Sobre esta base, se observan elevaciones con tasas base iguales o superiores a 60 en una o más escalas de los patrones clínicos de la personalidad, lo que indica que las respuestas del evaluado(a) son similares a las de los sujetos de la muestra de tipificación que presentan rasgos de un patrón determinado y posiblemente reflejan estilos adaptativos de la personalidad con problemas moderados u ocasionales en áreas específicas; las elevaciones iguales o superiores a 75 indican tipos de personalidad menos adaptativos con rasgos problemáticos propios del constructo correspondiente, en tanto que las elevaciones iguales o superiores a 85 reflejan una patología suficientemente generalizada como para considerarla un trastorno clínico de la personalidad.</v>
      </c>
      <c r="C146" s="191"/>
      <c r="D146" s="191"/>
      <c r="E146" s="191"/>
      <c r="F146" s="191"/>
      <c r="G146" s="191"/>
      <c r="H146" s="191"/>
      <c r="I146" s="191"/>
      <c r="J146" s="191"/>
      <c r="K146" s="191"/>
      <c r="L146" s="191"/>
      <c r="M146" s="191"/>
      <c r="N146" s="191"/>
      <c r="O146" s="191"/>
      <c r="P146" s="191"/>
      <c r="Q146" s="191"/>
      <c r="U146" s="59"/>
      <c r="V146" s="59"/>
      <c r="AR146" s="58" t="str">
        <f>IF(OR(ISNUMBER(SEARCH("fuera de los límites",V12)),ISNUMBER(SEARCH("debe considerarse inválido",V12))),"",IF(ISNUMBER(SEARCH("considerados cuestionables",V12))," Por tal motivo, las puntuaciones obtenidas y el contenido interpretativo que se desarrolla a continuación deben analizarse con cautela.",""))</f>
        <v/>
      </c>
    </row>
    <row r="147" spans="2:44" ht="53.25" customHeight="1">
      <c r="B147" s="191"/>
      <c r="C147" s="191"/>
      <c r="D147" s="191"/>
      <c r="E147" s="191"/>
      <c r="F147" s="191"/>
      <c r="G147" s="191"/>
      <c r="H147" s="191"/>
      <c r="I147" s="191"/>
      <c r="J147" s="191"/>
      <c r="K147" s="191"/>
      <c r="L147" s="191"/>
      <c r="M147" s="191"/>
      <c r="N147" s="191"/>
      <c r="O147" s="191"/>
      <c r="P147" s="191"/>
      <c r="Q147" s="191"/>
      <c r="T147" s="59" t="s">
        <v>431</v>
      </c>
      <c r="U147" s="96" t="str">
        <f t="shared" si="15"/>
        <v>Cognitivamente circunstancial</v>
      </c>
      <c r="V147" s="60" t="s">
        <v>343</v>
      </c>
      <c r="W147" s="59">
        <f t="shared" ref="W147:X147" si="27">+O108</f>
        <v>8</v>
      </c>
      <c r="X147" s="78">
        <f t="shared" ca="1" si="27"/>
        <v>90</v>
      </c>
      <c r="Y147" s="78">
        <f t="shared" ca="1" si="18"/>
        <v>85</v>
      </c>
      <c r="Z147" s="60" t="str">
        <f t="shared" ca="1" si="12"/>
        <v/>
      </c>
      <c r="AA147" s="59" t="str">
        <f t="shared" ca="1" si="13"/>
        <v/>
      </c>
      <c r="AB147" s="58" t="str">
        <f t="shared" ca="1" si="14"/>
        <v/>
      </c>
      <c r="AD147" s="136" t="str">
        <f ca="1">IF(Y147&lt;=74,"en este rango, el puntaje no permite realizar una interpretación válida sobre la presencia de características asociadas a la faceta de Cognitivamente circunstancial",IF(Y147&gt;=75,"mezcla la comunicación social con irrelevancias personales, lenguaje circunstancial, ideas de referencia y apartes metafóricos. A menudo está pensativo, "&amp;"parece absorto en sí mismo y sumido en sus fantasías; de vez en cuando presenta pensamiento mágico, ilusiones corporales, extrañas suspicacias, creencias raras y distorsión de la realidad y la fantasía"))</f>
        <v>mezcla la comunicación social con irrelevancias personales, lenguaje circunstancial, ideas de referencia y apartes metafóricos. A menudo está pensativo, parece absorto en sí mismo y sumido en sus fantasías; de vez en cuando presenta pensamiento mágico, ilusiones corporales, extrañas suspicacias, creencias raras y distorsión de la realidad y la fantasía</v>
      </c>
      <c r="AR147" s="58" t="str">
        <f ca="1">IF(OR(ISNUMBER(SEARCH("fuera de los límites",V12)),ISNUMBER(SEARCH("debe considerarse inválido",V12))),""," En cuanto al estilo de respuesta, "&amp;W19)</f>
        <v xml:space="preserve"> En cuanto al estilo de respuesta, la elevación de la escala Y (Deseabilidad social) refleja la tendencia del evaluado(a) a parecer socialmente agradable, moralmente admirable o emocionalmente equilibrada; cuanto más alta es la puntuación, más probable resulta que haya ocultado ciertos aspectos de sus dificultades psicológicas o interpersonales, por lo que resulta pertinente contrastar las elevaciones del resto del perfil con la información obtenida más allá del inventario.</v>
      </c>
    </row>
    <row r="148" spans="2:44" ht="53.25" customHeight="1">
      <c r="B148" s="191"/>
      <c r="C148" s="191"/>
      <c r="D148" s="191"/>
      <c r="E148" s="191"/>
      <c r="F148" s="191"/>
      <c r="G148" s="191"/>
      <c r="H148" s="191"/>
      <c r="I148" s="191"/>
      <c r="J148" s="191"/>
      <c r="K148" s="191"/>
      <c r="L148" s="191"/>
      <c r="M148" s="191"/>
      <c r="N148" s="191"/>
      <c r="O148" s="191"/>
      <c r="P148" s="191"/>
      <c r="Q148" s="191"/>
      <c r="T148" s="59" t="s">
        <v>431</v>
      </c>
      <c r="U148" s="96" t="str">
        <f t="shared" si="15"/>
        <v>Autoimagen disociada</v>
      </c>
      <c r="V148" s="60" t="s">
        <v>344</v>
      </c>
      <c r="W148" s="59">
        <f t="shared" ref="W148:X148" si="28">+O109</f>
        <v>1</v>
      </c>
      <c r="X148" s="78">
        <f t="shared" ca="1" si="28"/>
        <v>27</v>
      </c>
      <c r="Y148" s="78">
        <f t="shared" ca="1" si="18"/>
        <v>20</v>
      </c>
      <c r="Z148" s="60" t="str">
        <f t="shared" ca="1" si="12"/>
        <v/>
      </c>
      <c r="AA148" s="59" t="str">
        <f t="shared" ca="1" si="13"/>
        <v/>
      </c>
      <c r="AB148" s="58" t="str">
        <f t="shared" ca="1" si="14"/>
        <v/>
      </c>
      <c r="AD148" s="136" t="str">
        <f ca="1">IF(Y148&lt;=74,"en este rango, el puntaje no permite realizar una interpretación válida sobre la presencia de características asociadas a la faceta de Autoimagen disociada",IF(Y148&gt;=75,"se siente confuso respecto a sí mismo y perplejo respecto a la sociedad, por ello tiene experiencias aisladas de despersonalización y alteración de "&amp;"la consciencia. Se ve a sí mismo como apenado, con pensamientos recurrentes sobre el vacío y el sinsentido de la vida. Su percepción deficiente y su afectividad disonante son la causa de que solo pueda vivir los acontecimientos"&amp;" con desánimo e incomprensión"))</f>
        <v>en este rango, el puntaje no permite realizar una interpretación válida sobre la presencia de características asociadas a la faceta de Autoimagen disociada</v>
      </c>
      <c r="AR148" s="58" t="str">
        <f ca="1">IF(OR(ISNUMBER(SEARCH("fuera de los límites",V12)),ISNUMBER(SEARCH("debe considerarse inválido",V12))),"",IF(AND(SUM(Ajustes!F10:F37)=0,SUM(Ajustes!G10:G37)=0),_xlfn._LONGTEXT(" No se ha realizado ningún ajuste sobre las tasas base del perfil, dado que la puntuación directa de la escala X (Sinceridad) no se sitúa por debajo de 21 ni por encima de 60 y la suma de los puntos de las tasas base de las escalas A (Ansiedad generalizad","a) y CC (Depresión mayor) que exceden de 75 no alcanza el umbral que justifique su corrección."),IF(AND(SUM(Ajustes!F10:F37)&lt;&gt;0,H20&lt;21),_xlfn._LONGTEXT(" Sobre los resultados obtenidos, las tasas base de las escalas de los patrones de la personalidad y de los síndromes clínicos se han aumentado en función de la escala X (Sinceridad), a fin de compensar la probable minimización de los síntomas asociada a u","n estilo de respuesta reservado."),"")&amp;IF(AND(SUM(Ajustes!F10:F37)&lt;&gt;0,H20&gt;60),_xlfn._LONGTEXT(" Sobre los resultados obtenidos, las tasas base de las escalas de los patrones de la personalidad y de los síndromes clínicos se han disminuido en función de la escala X (Sinceridad), a fin de compensar la probable exageración de los síntomas asociada a u","n estilo de respuesta abierto y autorrevelador."),"")&amp;IF(SUM(Ajustes!G10:G37)&lt;&gt;0,IF(SUM(Ajustes!F10:F37)&lt;&gt;0,"Asimismo, las tasas base de "," Sobre los resultados obtenidos, las tasas base de ")&amp;IF(AND(Ajustes!G12&lt;&gt;0,Ajustes!G21&lt;&gt;0,Ajustes!G24&lt;&gt;0),"las escalas 2B (Melancólico), 8B (Masoquista) y C (Límite)",IF(AND(Ajustes!G12&lt;&gt;0,Ajustes!G21&lt;&gt;0),"las escalas 2B (Melancólico) y 8B (Masoquista)",IF(AND(Ajustes!G12&lt;&gt;0,Ajustes!G24&lt;&gt;0),"las escalas 2B (Melancólico) y C (Límite)",IF(AND(Ajustes!G21&lt;&gt;0,Ajustes!G24&lt;&gt;0),"las escalas 8B (Masoquista) y C (Límite)",IF(Ajustes!G12&lt;&gt;0,"la escala 2B (Melancólico)",IF(Ajustes!G21&lt;&gt;0,"la escala 8B (Masoquista)",IF(Ajustes!G24&lt;&gt;0,"la escala C (Límite)","")))))))&amp;_xlfn._LONGTEXT(" se han disminuido en función de las escalas A (Ansiedad generalizada) y CC (Depresión mayor); este ajuste se basa en el principio de que las puntuaciones del evaluado(a) pueden estar distorsionadas si, al cumplimentar el inventario, se encuentra en un es","tado emocional de ansiedad o depresión profunda")&amp;IF(OR(Ajustes!G11&lt;&gt;0,Ajustes!G23&lt;&gt;0),"; asimismo se aplica sobre "&amp;IF(AND(Ajustes!G11&lt;&gt;0,Ajustes!G23&lt;&gt;0),"las escalas 2A (Evitativo) y S (Esquizotípico)",IF(Ajustes!G11&lt;&gt;0,"la escala 2A (Evitativo)","la escala S (Esquizotípico)"))&amp;".","."),"")))</f>
        <v xml:space="preserve"> Sobre los resultados obtenidos, las tasas base de las escalas 2B (Melancólico), 8B (Masoquista) y C (Límite) se han disminuido en función de las escalas A (Ansiedad generalizada) y CC (Depresión mayor); este ajuste se basa en el principio de que las puntuaciones del evaluado(a) pueden estar distorsionadas si, al cumplimentar el inventario, se encuentra en un estado emocional de ansiedad o depresión profunda; asimismo se aplica sobre las escalas 2A (Evitativo) y S (Esquizotípico).</v>
      </c>
    </row>
    <row r="149" spans="2:44" ht="53.25" customHeight="1">
      <c r="B149" s="191"/>
      <c r="C149" s="191"/>
      <c r="D149" s="191"/>
      <c r="E149" s="191"/>
      <c r="F149" s="191"/>
      <c r="G149" s="191"/>
      <c r="H149" s="191"/>
      <c r="I149" s="191"/>
      <c r="J149" s="191"/>
      <c r="K149" s="191"/>
      <c r="L149" s="191"/>
      <c r="M149" s="191"/>
      <c r="N149" s="191"/>
      <c r="O149" s="191"/>
      <c r="P149" s="191"/>
      <c r="Q149" s="191"/>
      <c r="T149" s="59" t="s">
        <v>431</v>
      </c>
      <c r="U149" s="96" t="str">
        <f t="shared" si="15"/>
        <v>Contenido caótico</v>
      </c>
      <c r="V149" s="60" t="s">
        <v>345</v>
      </c>
      <c r="W149" s="59">
        <f t="shared" ref="W149:X149" si="29">+O110</f>
        <v>3</v>
      </c>
      <c r="X149" s="78">
        <f t="shared" ca="1" si="29"/>
        <v>58</v>
      </c>
      <c r="Y149" s="78">
        <f t="shared" ca="1" si="18"/>
        <v>64</v>
      </c>
      <c r="Z149" s="60" t="str">
        <f t="shared" ca="1" si="12"/>
        <v/>
      </c>
      <c r="AA149" s="59" t="str">
        <f t="shared" ca="1" si="13"/>
        <v/>
      </c>
      <c r="AB149" s="58" t="str">
        <f t="shared" ca="1" si="14"/>
        <v/>
      </c>
      <c r="AD149" s="136" t="str">
        <f ca="1">IF(Y149&lt;=74,"en este rango, el puntaje no permite realizar una interpretación válida sobre la presencia de características asociadas a la faceta de Contenido caótico",IF(Y149&gt;=75,"las representaciones interiorizadas son una maraña de recuerdos diversos, impulsos erráticos y canales desorganizados de regulación de la tensión o de"&amp;" mediación en los conflictos intrapsíquicos. Esta mezcla caótica de objetos, impulsos y pensamientos es casi aleatoria; por ello, esta estructura resulta ineficaz y desorganizada para la regulación de tensiones, necesidades y objetivos"))</f>
        <v>en este rango, el puntaje no permite realizar una interpretación válida sobre la presencia de características asociadas a la faceta de Contenido caótico</v>
      </c>
    </row>
    <row r="150" spans="2:44" ht="53.25" customHeight="1">
      <c r="B150" s="191"/>
      <c r="C150" s="191"/>
      <c r="D150" s="191"/>
      <c r="E150" s="191"/>
      <c r="F150" s="191"/>
      <c r="G150" s="191"/>
      <c r="H150" s="191"/>
      <c r="I150" s="191"/>
      <c r="J150" s="191"/>
      <c r="K150" s="191"/>
      <c r="L150" s="191"/>
      <c r="M150" s="191"/>
      <c r="N150" s="191"/>
      <c r="O150" s="191"/>
      <c r="P150" s="191"/>
      <c r="Q150" s="191"/>
      <c r="AR150" s="58" t="str">
        <f ca="1">IF(OR(ISNUMBER(SEARCH("fuera de los límites",V12)),ISNUMBER(SEARCH("debe considerarse inválido",V12))),""," Sobre esta base, "&amp;V16)</f>
        <v xml:space="preserve"> Sobre esta base, se observan elevaciones con tasas base iguales o superiores a 60 en una o más escalas de los patrones clínicos de la personalidad, lo que indica que las respuestas del evaluado(a) son similares a las de los sujetos de la muestra de tipificación que presentan rasgos de un patrón determinado y posiblemente reflejan estilos adaptativos de la personalidad con problemas moderados u ocasionales en áreas específicas; las elevaciones iguales o superiores a 75 indican tipos de personalidad menos adaptativos con rasgos problemáticos propios del constructo correspondiente, en tanto que las elevaciones iguales o superiores a 85 reflejan una patología suficientemente generalizada como para considerarla un trastorno clínico de la personalidad.</v>
      </c>
    </row>
    <row r="151" spans="2:44" ht="53.25" customHeight="1">
      <c r="B151" s="191"/>
      <c r="C151" s="191"/>
      <c r="D151" s="191"/>
      <c r="E151" s="191"/>
      <c r="F151" s="191"/>
      <c r="G151" s="191"/>
      <c r="H151" s="191"/>
      <c r="I151" s="191"/>
      <c r="J151" s="191"/>
      <c r="K151" s="191"/>
      <c r="L151" s="191"/>
      <c r="M151" s="191"/>
      <c r="N151" s="191"/>
      <c r="O151" s="191"/>
      <c r="P151" s="191"/>
      <c r="Q151" s="191"/>
      <c r="U151" s="59"/>
      <c r="V151" s="59"/>
    </row>
    <row r="152" spans="2:44" s="78" customFormat="1" ht="53.25" customHeight="1">
      <c r="B152" s="191"/>
      <c r="C152" s="191"/>
      <c r="D152" s="191"/>
      <c r="E152" s="191"/>
      <c r="F152" s="191"/>
      <c r="G152" s="191"/>
      <c r="H152" s="191"/>
      <c r="I152" s="191"/>
      <c r="J152" s="191"/>
      <c r="K152" s="191"/>
      <c r="L152" s="191"/>
      <c r="M152" s="191"/>
      <c r="N152" s="191"/>
      <c r="O152" s="191"/>
      <c r="P152" s="191"/>
      <c r="Q152" s="191"/>
      <c r="T152" s="59" t="s">
        <v>244</v>
      </c>
      <c r="U152" s="78" t="str">
        <f>+L113</f>
        <v>Autoimagen inestable</v>
      </c>
      <c r="V152" s="59" t="s">
        <v>346</v>
      </c>
      <c r="W152" s="59">
        <f t="shared" ref="W152:Y154" si="30">+O113</f>
        <v>3</v>
      </c>
      <c r="X152" s="59">
        <f t="shared" ca="1" si="30"/>
        <v>52</v>
      </c>
      <c r="Y152" s="59">
        <f t="shared" ca="1" si="30"/>
        <v>60</v>
      </c>
      <c r="Z152" s="59" t="str">
        <f ca="1">IF(TRIM(LOWER(T152))=TRIM(LOWER($B$71)), ROW(), "")</f>
        <v/>
      </c>
      <c r="AA152" s="59" t="str">
        <f ca="1">IF(TRIM(LOWER(T152))=TRIM(LOWER($B$75)), ROW(), "")</f>
        <v/>
      </c>
      <c r="AB152" s="59" t="str">
        <f ca="1">IF(TRIM(LOWER(T152))=TRIM(LOWER($B$79)), ROW(), "")</f>
        <v/>
      </c>
      <c r="AD152" s="187" t="str">
        <f ca="1">IF(Y152&lt;=74,"en este rango, el puntaje no permite realizar una interpretación válida sobre la presencia de características asociadas a la faceta de Autoimagen inestable",IF(Y152&gt;=75,"experimenta confusión causada por un sentido de la identidad inmaduro, indefinido o fluctuante; y a menudo tiene sentimientos subyacentes de vacío."&amp;" Aparentemente, es incapaz de elegir un rumbo o un rol a partir del cual formarse un sentido de sí mismo homogéneo y "&amp;"duradero. Puede intentar redimir sus actos impulsivos y su autoimagen cambiante con expresiones de remordimiento y conductas autopunitivas"))</f>
        <v>en este rango, el puntaje no permite realizar una interpretación válida sobre la presencia de características asociadas a la faceta de Autoimagen inestable</v>
      </c>
    </row>
    <row r="153" spans="2:44" ht="53.25" customHeight="1">
      <c r="B153" s="191"/>
      <c r="C153" s="191"/>
      <c r="D153" s="191"/>
      <c r="E153" s="191"/>
      <c r="F153" s="191"/>
      <c r="G153" s="191"/>
      <c r="H153" s="191"/>
      <c r="I153" s="191"/>
      <c r="J153" s="191"/>
      <c r="K153" s="191"/>
      <c r="L153" s="191"/>
      <c r="M153" s="191"/>
      <c r="N153" s="191"/>
      <c r="O153" s="191"/>
      <c r="P153" s="191"/>
      <c r="Q153" s="191"/>
      <c r="T153" s="59" t="s">
        <v>244</v>
      </c>
      <c r="U153" s="91" t="str">
        <f>+L114</f>
        <v>Arquitectura disgregada</v>
      </c>
      <c r="V153" s="60" t="s">
        <v>347</v>
      </c>
      <c r="W153" s="59">
        <f t="shared" si="30"/>
        <v>3</v>
      </c>
      <c r="X153" s="78">
        <f t="shared" ca="1" si="30"/>
        <v>52</v>
      </c>
      <c r="Y153" s="78">
        <f t="shared" ca="1" si="30"/>
        <v>60</v>
      </c>
      <c r="Z153" s="60" t="str">
        <f t="shared" ref="Z153:Z159" ca="1" si="31">IF(TRIM(LOWER(T153))=TRIM(LOWER($B$71)), ROW(), "")</f>
        <v/>
      </c>
      <c r="AA153" s="59" t="str">
        <f t="shared" ref="AA153:AA159" ca="1" si="32">IF(TRIM(LOWER(T153))=TRIM(LOWER($B$75)), ROW(), "")</f>
        <v/>
      </c>
      <c r="AB153" s="58" t="str">
        <f t="shared" ref="AB153:AB159" ca="1" si="33">IF(TRIM(LOWER(T153))=TRIM(LOWER($B$79)), ROW(), "")</f>
        <v/>
      </c>
      <c r="AD153" s="136" t="str">
        <f ca="1">IF(Y153&lt;=74,"en este rango, el puntaje no permite realizar una interpretación válida sobre la presencia de características asociadas a la faceta de Arquitectura disgregada",IF(Y153&gt;=75,"la estructura psíquica interior es inconsistente e incongruente y está caracterizada por una inusual combinación de elementos claramente "&amp;"segmentados. Los niveles de conciencia pueden cambiar de repente y dar lugar a percepciones, recuerdos y afectos opuestos. Estos cambios pueden causar escisiones periódicas en un sistema psíquico"&amp;" ya limitado e inestable, lo cual conlleva episodios minipsicóticos transitorios relacionados con el estrés"))</f>
        <v>en este rango, el puntaje no permite realizar una interpretación válida sobre la presencia de características asociadas a la faceta de Arquitectura disgregada</v>
      </c>
    </row>
    <row r="154" spans="2:44" ht="53.25" customHeight="1">
      <c r="B154" s="191"/>
      <c r="C154" s="191"/>
      <c r="D154" s="191"/>
      <c r="E154" s="191"/>
      <c r="F154" s="191"/>
      <c r="G154" s="191"/>
      <c r="H154" s="191"/>
      <c r="I154" s="191"/>
      <c r="J154" s="191"/>
      <c r="K154" s="191"/>
      <c r="L154" s="191"/>
      <c r="M154" s="191"/>
      <c r="N154" s="191"/>
      <c r="O154" s="191"/>
      <c r="P154" s="191"/>
      <c r="Q154" s="191"/>
      <c r="T154" s="59" t="s">
        <v>244</v>
      </c>
      <c r="U154" s="91" t="str">
        <f>+L115</f>
        <v>Temperamentalmente lábil</v>
      </c>
      <c r="V154" s="60" t="s">
        <v>348</v>
      </c>
      <c r="W154" s="59">
        <f t="shared" si="30"/>
        <v>3</v>
      </c>
      <c r="X154" s="78">
        <f t="shared" ca="1" si="30"/>
        <v>54</v>
      </c>
      <c r="Y154" s="78">
        <f t="shared" ca="1" si="30"/>
        <v>60</v>
      </c>
      <c r="Z154" s="60" t="str">
        <f t="shared" ca="1" si="31"/>
        <v/>
      </c>
      <c r="AA154" s="59" t="str">
        <f t="shared" ca="1" si="32"/>
        <v/>
      </c>
      <c r="AB154" s="58" t="str">
        <f t="shared" ca="1" si="33"/>
        <v/>
      </c>
      <c r="AD154" s="136" t="str">
        <f ca="1">IF(Y154&lt;=74,"en este rango, el puntaje no permite realizar una interpretación válida sobre la presencia de características asociadas a la faceta de Temperamentalmente lábil",IF(Y154&gt;=75,"es emocionalmente inestable, y su estado de ánimo no suele ser acorde a la realidad. Su desánimo y apatía crónicos a menudo se intercalan"&amp;" con periodos breves de ira, euforia o ansiedad. Puede dominar en su temperamento un componente depresivo autocomplaciente, que periódicamente da paso a una agitación ansiosa o a arrebatos impulsivos de ira o resentimiento"))</f>
        <v>en este rango, el puntaje no permite realizar una interpretación válida sobre la presencia de características asociadas a la faceta de Temperamentalmente lábil</v>
      </c>
    </row>
    <row r="155" spans="2:44" ht="21.75" customHeight="1">
      <c r="B155" s="189" t="s">
        <v>617</v>
      </c>
      <c r="C155" s="170"/>
      <c r="D155" s="170"/>
      <c r="E155" s="170"/>
      <c r="F155" s="170"/>
      <c r="G155" s="170"/>
      <c r="H155" s="170"/>
      <c r="I155" s="170"/>
      <c r="J155" s="170"/>
      <c r="K155" s="170"/>
      <c r="L155" s="170"/>
      <c r="M155" s="170"/>
      <c r="N155" s="170"/>
      <c r="O155" s="170"/>
      <c r="P155" s="170"/>
      <c r="Q155" s="170"/>
      <c r="U155" s="91"/>
    </row>
    <row r="156" spans="2:44" ht="33" customHeight="1">
      <c r="B156" s="193" t="s">
        <v>618</v>
      </c>
      <c r="C156" s="193"/>
      <c r="D156" s="193"/>
      <c r="E156" s="193"/>
      <c r="F156" s="193"/>
      <c r="G156" s="193"/>
      <c r="H156" s="193"/>
      <c r="I156" s="193"/>
      <c r="J156" s="193"/>
      <c r="K156" s="193"/>
      <c r="L156" s="193"/>
      <c r="M156" s="193"/>
      <c r="N156" s="193"/>
      <c r="O156" s="193"/>
      <c r="P156" s="193"/>
      <c r="Q156" s="193"/>
      <c r="U156" s="78"/>
      <c r="V156" s="59"/>
    </row>
    <row r="157" spans="2:44" ht="33" customHeight="1">
      <c r="B157" s="193"/>
      <c r="C157" s="193"/>
      <c r="D157" s="193"/>
      <c r="E157" s="193"/>
      <c r="F157" s="193"/>
      <c r="G157" s="193"/>
      <c r="H157" s="193"/>
      <c r="I157" s="193"/>
      <c r="J157" s="193"/>
      <c r="K157" s="193"/>
      <c r="L157" s="193"/>
      <c r="M157" s="193"/>
      <c r="N157" s="193"/>
      <c r="O157" s="193"/>
      <c r="P157" s="193"/>
      <c r="Q157" s="193"/>
      <c r="T157" s="59" t="s">
        <v>245</v>
      </c>
      <c r="U157" s="91" t="str">
        <f>+L118</f>
        <v>Expresivamente defensivo</v>
      </c>
      <c r="V157" s="60" t="s">
        <v>349</v>
      </c>
      <c r="W157" s="59">
        <f t="shared" ref="W157:Y159" si="34">+O118</f>
        <v>2</v>
      </c>
      <c r="X157" s="78">
        <f t="shared" ca="1" si="34"/>
        <v>41</v>
      </c>
      <c r="Y157" s="78">
        <f t="shared" ca="1" si="34"/>
        <v>40</v>
      </c>
      <c r="Z157" s="60" t="str">
        <f t="shared" ca="1" si="31"/>
        <v/>
      </c>
      <c r="AA157" s="59" t="str">
        <f t="shared" ca="1" si="32"/>
        <v/>
      </c>
      <c r="AB157" s="58" t="str">
        <f t="shared" ca="1" si="33"/>
        <v/>
      </c>
      <c r="AD157" s="136" t="str">
        <f ca="1">IF(Y157&lt;=74,"en este rango, el puntaje no permite realizar una interpretación válida sobre la presencia de características asociadas a la faceta de Expresivamente defensivo",IF(Y157&gt;=75,"está siempre en alerta, actúa con cautela y con una extremada desconfianza para protegerse anticipadamente de los engaños y la malicia de los"&amp;" demás. Es tenaz y se resiste firmemente a las influencias externas que pueda recibir y a ser controlado "&amp;"de algún modo. Se muestra tenso e inquieto, con una irritabilidad desagradable y una actitud defensiva constante que lo lleva a reaccionar ante la más mínima ofensa real o percibida"))</f>
        <v>en este rango, el puntaje no permite realizar una interpretación válida sobre la presencia de características asociadas a la faceta de Expresivamente defensivo</v>
      </c>
    </row>
    <row r="158" spans="2:44" ht="33" customHeight="1">
      <c r="B158" s="193"/>
      <c r="C158" s="193"/>
      <c r="D158" s="193"/>
      <c r="E158" s="193"/>
      <c r="F158" s="193"/>
      <c r="G158" s="193"/>
      <c r="H158" s="193"/>
      <c r="I158" s="193"/>
      <c r="J158" s="193"/>
      <c r="K158" s="193"/>
      <c r="L158" s="193"/>
      <c r="M158" s="193"/>
      <c r="N158" s="193"/>
      <c r="O158" s="193"/>
      <c r="P158" s="193"/>
      <c r="Q158" s="193"/>
      <c r="T158" s="59" t="s">
        <v>245</v>
      </c>
      <c r="U158" s="91" t="str">
        <f>+L119</f>
        <v>Cognitivamente desconfiado</v>
      </c>
      <c r="V158" s="60" t="s">
        <v>350</v>
      </c>
      <c r="W158" s="59">
        <f t="shared" si="34"/>
        <v>1</v>
      </c>
      <c r="X158" s="78">
        <f t="shared" ca="1" si="34"/>
        <v>32</v>
      </c>
      <c r="Y158" s="78">
        <f t="shared" ca="1" si="34"/>
        <v>30</v>
      </c>
      <c r="Z158" s="60" t="str">
        <f t="shared" ca="1" si="31"/>
        <v/>
      </c>
      <c r="AA158" s="59" t="str">
        <f t="shared" ca="1" si="32"/>
        <v/>
      </c>
      <c r="AB158" s="58" t="str">
        <f t="shared" ca="1" si="33"/>
        <v/>
      </c>
      <c r="AD158" s="136" t="str">
        <f ca="1">IF(Y158&lt;=74,"en este rango, el puntaje no permite realizar una interpretación válida sobre la presencia de características asociadas a la faceta de Cognitivamente desconfiado",IF(Y158&gt;=75,"desconfía de las "&amp;"intenciones de los demás y tiende a interpretar erróneamente acciones inofensivas como pruebas de hipocresía o de conspiración. Dominado por su suspicacia, es particularmente hipersensible y propenso a detectar "&amp;"indicios de estratagemas o engaños en todo momento. Capta cualquier detalle por minúsculo que sea, lo magnifica y lo distorsiona para confirmar sus peores expectativas"))</f>
        <v>en este rango, el puntaje no permite realizar una interpretación válida sobre la presencia de características asociadas a la faceta de Cognitivamente desconfiado</v>
      </c>
    </row>
    <row r="159" spans="2:44" ht="33" customHeight="1">
      <c r="B159" s="193"/>
      <c r="C159" s="193"/>
      <c r="D159" s="193"/>
      <c r="E159" s="193"/>
      <c r="F159" s="193"/>
      <c r="G159" s="193"/>
      <c r="H159" s="193"/>
      <c r="I159" s="193"/>
      <c r="J159" s="193"/>
      <c r="K159" s="193"/>
      <c r="L159" s="193"/>
      <c r="M159" s="193"/>
      <c r="N159" s="193"/>
      <c r="O159" s="193"/>
      <c r="P159" s="193"/>
      <c r="Q159" s="193"/>
      <c r="T159" s="59" t="s">
        <v>245</v>
      </c>
      <c r="U159" s="91" t="str">
        <f>+L120</f>
        <v>Dinámicas de proyección</v>
      </c>
      <c r="V159" s="60" t="s">
        <v>351</v>
      </c>
      <c r="W159" s="59">
        <f t="shared" si="34"/>
        <v>2</v>
      </c>
      <c r="X159" s="78">
        <f t="shared" ca="1" si="34"/>
        <v>53</v>
      </c>
      <c r="Y159" s="78">
        <f t="shared" ca="1" si="34"/>
        <v>60</v>
      </c>
      <c r="Z159" s="60" t="str">
        <f t="shared" ca="1" si="31"/>
        <v/>
      </c>
      <c r="AA159" s="59" t="str">
        <f t="shared" ca="1" si="32"/>
        <v/>
      </c>
      <c r="AB159" s="58" t="str">
        <f t="shared" ca="1" si="33"/>
        <v/>
      </c>
      <c r="AD159" s="136" t="str">
        <f ca="1">IF(Y159&lt;=74,"en este rango, el puntaje no permite realizar una interpretación válida sobre la presencia de características asociadas a la faceta de Dinámicas de proyección",IF(Y159&gt;=75,"no acepta sus cualidades e intenciones despreciables y las atribuye a los demás. Permanece ciego a su conducta y a sus rasgos indeseables, pero"&amp;" advierte los defectos más intrascendentes de los demás. Su susceptibilidad e irritabilidad lo mantienen siempre a punto para humillar y despreciar a cualquiera cuya actitud o comportamiento le parezca dudosa o despreciativa"))</f>
        <v>en este rango, el puntaje no permite realizar una interpretación válida sobre la presencia de características asociadas a la faceta de Dinámicas de proyección</v>
      </c>
    </row>
    <row r="160" spans="2:44" ht="26.25" customHeight="1">
      <c r="B160" s="193"/>
      <c r="C160" s="193"/>
      <c r="D160" s="193"/>
      <c r="E160" s="193"/>
      <c r="F160" s="193"/>
      <c r="G160" s="193"/>
      <c r="H160" s="193"/>
      <c r="I160" s="193"/>
      <c r="J160" s="193"/>
      <c r="K160" s="193"/>
      <c r="L160" s="193"/>
      <c r="M160" s="193"/>
      <c r="N160" s="193"/>
      <c r="O160" s="193"/>
      <c r="P160" s="193"/>
      <c r="Q160" s="193"/>
    </row>
    <row r="161" spans="2:49" ht="45.75" customHeight="1">
      <c r="B161" s="191" t="str">
        <f ca="1">TRIM(AR186&amp;AR190&amp;AR191&amp;AR193&amp;AR195)</f>
        <v>El perfil del evaluado(a) refleja, como configuración principal del estilo básico de la personalidad, un tipo de personalidad histriónico. El evaluado(a), al igual que los sujetos dependientes, recurre a los demás, pero maximiza la atención y los favores que recibe, manipulando los hechos de una forma superficial y entusiasta; su comportamiento social inteligente y a menudo ingenioso transmite confianza y seguridad en sí mismo, si bien, bajo esta apariencia, subyace el miedo a la autonomía real y la necesidad de recibir señales recurrentes de aceptación y aprobación casi constantemente. A este cuadro central se añaden, asimismo, rasgos propios de un tipo de personalidad dependiente, que se manifiestan en el evaluado(a) como una falta de iniciativa y autonomía, la búsqueda de figuras protectoras que orienten su conducta y la sumisión voluntaria a los deseos de los demás a fin de conservar su afecto. A los rasgos anteriores se asocian, asimismo, manifestaciones propias de un tipo de personalidad tempestuoso, que se concretan en el evaluado(a) como la persistente euforia, el entrometimiento y la volubilidad que pueden derivar en arrebatos impulsivos.</v>
      </c>
      <c r="C161" s="191"/>
      <c r="D161" s="191"/>
      <c r="E161" s="191"/>
      <c r="F161" s="191"/>
      <c r="G161" s="191"/>
      <c r="H161" s="191"/>
      <c r="I161" s="191"/>
      <c r="J161" s="191"/>
      <c r="K161" s="191"/>
      <c r="L161" s="191"/>
      <c r="M161" s="191"/>
      <c r="N161" s="191"/>
      <c r="O161" s="191"/>
      <c r="P161" s="191"/>
      <c r="Q161" s="191"/>
      <c r="R161" s="169"/>
      <c r="AT161" s="91"/>
      <c r="AU161" s="91"/>
      <c r="AV161" s="60"/>
      <c r="AW161" s="59"/>
    </row>
    <row r="162" spans="2:49" ht="45.75" customHeight="1">
      <c r="B162" s="191"/>
      <c r="C162" s="191"/>
      <c r="D162" s="191"/>
      <c r="E162" s="191"/>
      <c r="F162" s="191"/>
      <c r="G162" s="191"/>
      <c r="H162" s="191"/>
      <c r="I162" s="191"/>
      <c r="J162" s="191"/>
      <c r="K162" s="191"/>
      <c r="L162" s="191"/>
      <c r="M162" s="191"/>
      <c r="N162" s="191"/>
      <c r="O162" s="191"/>
      <c r="P162" s="191"/>
      <c r="Q162" s="191"/>
      <c r="R162" s="169"/>
      <c r="AT162" s="91"/>
      <c r="AU162" s="91"/>
      <c r="AV162" s="60"/>
      <c r="AW162" s="59"/>
    </row>
    <row r="163" spans="2:49" ht="45.75" customHeight="1">
      <c r="B163" s="191"/>
      <c r="C163" s="191"/>
      <c r="D163" s="191"/>
      <c r="E163" s="191"/>
      <c r="F163" s="191"/>
      <c r="G163" s="191"/>
      <c r="H163" s="191"/>
      <c r="I163" s="191"/>
      <c r="J163" s="191"/>
      <c r="K163" s="191"/>
      <c r="L163" s="191"/>
      <c r="M163" s="191"/>
      <c r="N163" s="191"/>
      <c r="O163" s="191"/>
      <c r="P163" s="191"/>
      <c r="Q163" s="191"/>
      <c r="R163" s="169"/>
      <c r="AT163" s="91"/>
      <c r="AU163" s="91"/>
      <c r="AV163" s="60"/>
      <c r="AW163" s="59"/>
    </row>
    <row r="164" spans="2:49" ht="45.75" customHeight="1">
      <c r="B164" s="191"/>
      <c r="C164" s="191"/>
      <c r="D164" s="191"/>
      <c r="E164" s="191"/>
      <c r="F164" s="191"/>
      <c r="G164" s="191"/>
      <c r="H164" s="191"/>
      <c r="I164" s="191"/>
      <c r="J164" s="191"/>
      <c r="K164" s="191"/>
      <c r="L164" s="191"/>
      <c r="M164" s="191"/>
      <c r="N164" s="191"/>
      <c r="O164" s="191"/>
      <c r="P164" s="191"/>
      <c r="Q164" s="191"/>
      <c r="R164" s="169"/>
      <c r="AT164" s="91"/>
      <c r="AU164" s="91"/>
      <c r="AV164" s="60"/>
      <c r="AW164" s="59"/>
    </row>
    <row r="165" spans="2:49" ht="45.75" customHeight="1">
      <c r="B165" s="191"/>
      <c r="C165" s="191"/>
      <c r="D165" s="191"/>
      <c r="E165" s="191"/>
      <c r="F165" s="191"/>
      <c r="G165" s="191"/>
      <c r="H165" s="191"/>
      <c r="I165" s="191"/>
      <c r="J165" s="191"/>
      <c r="K165" s="191"/>
      <c r="L165" s="191"/>
      <c r="M165" s="191"/>
      <c r="N165" s="191"/>
      <c r="O165" s="191"/>
      <c r="P165" s="191"/>
      <c r="Q165" s="191"/>
      <c r="R165" s="169"/>
      <c r="AT165" s="91"/>
      <c r="AU165" s="91"/>
      <c r="AV165" s="60"/>
      <c r="AW165" s="59"/>
    </row>
    <row r="166" spans="2:49" ht="45.75" customHeight="1">
      <c r="B166" s="191"/>
      <c r="C166" s="191"/>
      <c r="D166" s="191"/>
      <c r="E166" s="191"/>
      <c r="F166" s="191"/>
      <c r="G166" s="191"/>
      <c r="H166" s="191"/>
      <c r="I166" s="191"/>
      <c r="J166" s="191"/>
      <c r="K166" s="191"/>
      <c r="L166" s="191"/>
      <c r="M166" s="191"/>
      <c r="N166" s="191"/>
      <c r="O166" s="191"/>
      <c r="P166" s="191"/>
      <c r="Q166" s="191"/>
      <c r="R166" s="169"/>
      <c r="AT166" s="91"/>
      <c r="AU166" s="91"/>
      <c r="AV166" s="60"/>
      <c r="AW166" s="59"/>
    </row>
    <row r="167" spans="2:49" ht="45.75" customHeight="1">
      <c r="B167" s="191"/>
      <c r="C167" s="191"/>
      <c r="D167" s="191"/>
      <c r="E167" s="191"/>
      <c r="F167" s="191"/>
      <c r="G167" s="191"/>
      <c r="H167" s="191"/>
      <c r="I167" s="191"/>
      <c r="J167" s="191"/>
      <c r="K167" s="191"/>
      <c r="L167" s="191"/>
      <c r="M167" s="191"/>
      <c r="N167" s="191"/>
      <c r="O167" s="191"/>
      <c r="P167" s="191"/>
      <c r="Q167" s="191"/>
      <c r="R167" s="169"/>
      <c r="AT167" s="91"/>
      <c r="AU167" s="91"/>
      <c r="AV167" s="60"/>
      <c r="AW167" s="59"/>
    </row>
    <row r="168" spans="2:49" ht="45.75" customHeight="1">
      <c r="B168" s="191"/>
      <c r="C168" s="191"/>
      <c r="D168" s="191"/>
      <c r="E168" s="191"/>
      <c r="F168" s="191"/>
      <c r="G168" s="191"/>
      <c r="H168" s="191"/>
      <c r="I168" s="191"/>
      <c r="J168" s="191"/>
      <c r="K168" s="191"/>
      <c r="L168" s="191"/>
      <c r="M168" s="191"/>
      <c r="N168" s="191"/>
      <c r="O168" s="191"/>
      <c r="P168" s="191"/>
      <c r="Q168" s="191"/>
      <c r="R168" s="169"/>
      <c r="AT168" s="91"/>
      <c r="AU168" s="91"/>
      <c r="AV168" s="60"/>
      <c r="AW168" s="59"/>
    </row>
    <row r="169" spans="2:49" ht="45.75" customHeight="1">
      <c r="B169" s="191"/>
      <c r="C169" s="191"/>
      <c r="D169" s="191"/>
      <c r="E169" s="191"/>
      <c r="F169" s="191"/>
      <c r="G169" s="191"/>
      <c r="H169" s="191"/>
      <c r="I169" s="191"/>
      <c r="J169" s="191"/>
      <c r="K169" s="191"/>
      <c r="L169" s="191"/>
      <c r="M169" s="191"/>
      <c r="N169" s="191"/>
      <c r="O169" s="191"/>
      <c r="P169" s="191"/>
      <c r="Q169" s="191"/>
      <c r="R169" s="169"/>
      <c r="AT169" s="91"/>
      <c r="AU169" s="91"/>
      <c r="AV169" s="60"/>
      <c r="AW169" s="59"/>
    </row>
    <row r="170" spans="2:49" ht="45.75" customHeight="1">
      <c r="B170" s="191"/>
      <c r="C170" s="191"/>
      <c r="D170" s="191"/>
      <c r="E170" s="191"/>
      <c r="F170" s="191"/>
      <c r="G170" s="191"/>
      <c r="H170" s="191"/>
      <c r="I170" s="191"/>
      <c r="J170" s="191"/>
      <c r="K170" s="191"/>
      <c r="L170" s="191"/>
      <c r="M170" s="191"/>
      <c r="N170" s="191"/>
      <c r="O170" s="191"/>
      <c r="P170" s="191"/>
      <c r="Q170" s="191"/>
      <c r="R170" s="169"/>
      <c r="AT170" s="91"/>
      <c r="AU170" s="91"/>
      <c r="AV170" s="60"/>
      <c r="AW170" s="59"/>
    </row>
    <row r="171" spans="2:49" ht="45.75" customHeight="1">
      <c r="B171" s="191"/>
      <c r="C171" s="191"/>
      <c r="D171" s="191"/>
      <c r="E171" s="191"/>
      <c r="F171" s="191"/>
      <c r="G171" s="191"/>
      <c r="H171" s="191"/>
      <c r="I171" s="191"/>
      <c r="J171" s="191"/>
      <c r="K171" s="191"/>
      <c r="L171" s="191"/>
      <c r="M171" s="191"/>
      <c r="N171" s="191"/>
      <c r="O171" s="191"/>
      <c r="P171" s="191"/>
      <c r="Q171" s="191"/>
      <c r="R171" s="169"/>
      <c r="AQ171" s="59"/>
      <c r="AT171" s="78"/>
      <c r="AU171" s="78"/>
      <c r="AV171" s="60"/>
      <c r="AW171" s="59"/>
    </row>
    <row r="172" spans="2:49" ht="45.75" customHeight="1">
      <c r="B172" s="191"/>
      <c r="C172" s="191"/>
      <c r="D172" s="191"/>
      <c r="E172" s="191"/>
      <c r="F172" s="191"/>
      <c r="G172" s="191"/>
      <c r="H172" s="191"/>
      <c r="I172" s="191"/>
      <c r="J172" s="191"/>
      <c r="K172" s="191"/>
      <c r="L172" s="191"/>
      <c r="M172" s="191"/>
      <c r="N172" s="191"/>
      <c r="O172" s="191"/>
      <c r="P172" s="191"/>
      <c r="Q172" s="191"/>
      <c r="AQ172" s="59"/>
      <c r="AT172" s="78"/>
      <c r="AU172" s="78"/>
      <c r="AV172" s="60"/>
      <c r="AW172" s="59"/>
    </row>
    <row r="173" spans="2:49" ht="20.25" customHeight="1">
      <c r="B173" s="189" t="s">
        <v>742</v>
      </c>
      <c r="C173" s="169"/>
      <c r="D173" s="169"/>
      <c r="E173" s="169"/>
      <c r="F173" s="169"/>
      <c r="G173" s="169"/>
      <c r="H173" s="169"/>
      <c r="I173" s="169"/>
      <c r="J173" s="169"/>
      <c r="K173" s="169"/>
      <c r="L173" s="169"/>
      <c r="M173" s="169"/>
      <c r="N173" s="169"/>
      <c r="O173" s="169"/>
      <c r="P173" s="169"/>
      <c r="Q173" s="169"/>
      <c r="AQ173" s="59"/>
      <c r="AT173" s="78"/>
      <c r="AU173" s="78"/>
      <c r="AV173" s="60"/>
      <c r="AW173" s="59"/>
    </row>
    <row r="174" spans="2:49" ht="47.25" customHeight="1">
      <c r="B174" s="191" t="s">
        <v>741</v>
      </c>
      <c r="C174" s="191"/>
      <c r="D174" s="191"/>
      <c r="E174" s="191"/>
      <c r="F174" s="191"/>
      <c r="G174" s="191"/>
      <c r="H174" s="191"/>
      <c r="I174" s="191"/>
      <c r="J174" s="191"/>
      <c r="K174" s="191"/>
      <c r="L174" s="191"/>
      <c r="M174" s="191"/>
      <c r="N174" s="191"/>
      <c r="O174" s="191"/>
      <c r="P174" s="191"/>
      <c r="Q174" s="191"/>
      <c r="AQ174" s="59"/>
      <c r="AT174" s="78"/>
      <c r="AU174" s="78"/>
      <c r="AV174" s="60"/>
      <c r="AW174" s="59"/>
    </row>
    <row r="175" spans="2:49" ht="47.25" customHeight="1">
      <c r="B175" s="191"/>
      <c r="C175" s="191"/>
      <c r="D175" s="191"/>
      <c r="E175" s="191"/>
      <c r="F175" s="191"/>
      <c r="G175" s="191"/>
      <c r="H175" s="191"/>
      <c r="I175" s="191"/>
      <c r="J175" s="191"/>
      <c r="K175" s="191"/>
      <c r="L175" s="191"/>
      <c r="M175" s="191"/>
      <c r="N175" s="191"/>
      <c r="O175" s="191"/>
      <c r="P175" s="191"/>
      <c r="Q175" s="191"/>
      <c r="AQ175" s="59">
        <f ca="1">COUNTIF(I27:I42,"&gt;=75")</f>
        <v>3</v>
      </c>
      <c r="AR175" s="58" t="str">
        <f>""</f>
        <v/>
      </c>
      <c r="AT175" s="78"/>
      <c r="AU175" s="78"/>
      <c r="AV175" s="60"/>
      <c r="AW175" s="59"/>
    </row>
    <row r="176" spans="2:49" ht="47.25" customHeight="1">
      <c r="B176" s="191"/>
      <c r="C176" s="191"/>
      <c r="D176" s="191"/>
      <c r="E176" s="191"/>
      <c r="F176" s="191"/>
      <c r="G176" s="191"/>
      <c r="H176" s="191"/>
      <c r="I176" s="191"/>
      <c r="J176" s="191"/>
      <c r="K176" s="191"/>
      <c r="L176" s="191"/>
      <c r="M176" s="191"/>
      <c r="N176" s="191"/>
      <c r="O176" s="191"/>
      <c r="P176" s="191"/>
      <c r="Q176" s="191"/>
      <c r="AQ176" s="59">
        <f ca="1">COUNTIF(I27:I42,"&gt;=85")</f>
        <v>0</v>
      </c>
      <c r="AR176" s="58" t="str">
        <f>""</f>
        <v/>
      </c>
      <c r="AT176" s="78"/>
      <c r="AU176" s="78"/>
      <c r="AV176" s="60"/>
      <c r="AW176" s="59"/>
    </row>
    <row r="177" spans="2:49" ht="55.5" customHeight="1">
      <c r="B177" s="191" t="str">
        <f ca="1">TRIM(AR203&amp;AR204&amp;AR205&amp;AR206&amp;AR207&amp;AR208)</f>
        <v>Asimismo, mediante el análisis de las facetas de Grossman elevadas en las escalas de los patrones clínicos de la personalidad y de la patología grave de la personalidad, resulta posible identificar los dominios funcionales y estructurales más problemáticos o clínicamente significativos del evaluado(a), tales como la autoimagen, la expresión emocional o el comportamiento interpersonal. Un análisis detenido de dichas puntuaciones indica que las siguientes características figuran entre los rasgos más prominentes de su personalidad. Lo más destacable es una búsqueda activa de elogios y la manipulación de los demás para obtener la seguridad, atención y aprobación que necesita; tiende a mostrarse exigente, coqueto, engreído y seductoramente exhibicionista, en particular cuando quiere ser el centro de atención. Asimismo sobresale una conducta enérgica, decidida, emocionalmente excitable y entusiasta, sobre un sustrato de vitalidad sostenida y una inquietud que rara vez se aplaca; este ánimo sostenido, no obstante, no se traduce necesariamente en logros efectivos y, cuando esto sucede, puede derivar en obstinación con los demás y en conductas cáusticas o agresivas. Es también digna de atención una disposición optimista y animada en los vínculos sociales, junto con el intento de atraer a los demás mediante un entusiasmo contagioso; no obstante, bajo presión o en estados eufóricos puede volverse entrometido, autoritario e innecesariamente intruso. Merece asimismo señalarse una sensibilidad emocional y la expresión de sentimientos, positivos y negativos, que cambian con facilidad; pasa con rapidez de la alegría y el entusiasmo a la impulsividad, el enfado o el aburrimiento, sobre un alto nivel de activación autónoma. Los esfuerzos terapéuticos iniciales tenderán a producir resultados óptimos si se orientan a la modificación de estos rasgos de la personalidad.</v>
      </c>
      <c r="C177" s="191"/>
      <c r="D177" s="191"/>
      <c r="E177" s="191"/>
      <c r="F177" s="191"/>
      <c r="G177" s="191"/>
      <c r="H177" s="191"/>
      <c r="I177" s="191"/>
      <c r="J177" s="191"/>
      <c r="K177" s="191"/>
      <c r="L177" s="191"/>
      <c r="M177" s="191"/>
      <c r="N177" s="191"/>
      <c r="O177" s="191"/>
      <c r="P177" s="191"/>
      <c r="Q177" s="191"/>
      <c r="AQ177" s="59" t="str">
        <f ca="1">IF(AND(AQ187&lt;&gt;"S",AQ187&lt;&gt;"C",AQ187&lt;&gt;"P"),AQ187,IF(AND(AQ189&lt;&gt;"S",AQ189&lt;&gt;"C",AQ189&lt;&gt;"P"),AQ189,IF(AND(AQ191&lt;&gt;"S",AQ191&lt;&gt;"C",AQ191&lt;&gt;"P"),AQ191,"")))</f>
        <v>4A</v>
      </c>
      <c r="AR177" s="58" t="str">
        <f>""</f>
        <v/>
      </c>
      <c r="AT177" s="78"/>
      <c r="AU177" s="78"/>
      <c r="AV177" s="60"/>
      <c r="AW177" s="59"/>
    </row>
    <row r="178" spans="2:49" ht="55.5" customHeight="1">
      <c r="B178" s="191"/>
      <c r="C178" s="191"/>
      <c r="D178" s="191"/>
      <c r="E178" s="191"/>
      <c r="F178" s="191"/>
      <c r="G178" s="191"/>
      <c r="H178" s="191"/>
      <c r="I178" s="191"/>
      <c r="J178" s="191"/>
      <c r="K178" s="191"/>
      <c r="L178" s="191"/>
      <c r="M178" s="191"/>
      <c r="N178" s="191"/>
      <c r="O178" s="191"/>
      <c r="P178" s="191"/>
      <c r="Q178" s="191"/>
      <c r="AQ178" s="59">
        <f ca="1">IF(AND(AQ187&lt;&gt;"S",AQ187&lt;&gt;"C",AQ187&lt;&gt;"P"),AQ188,IF(AND(AQ189&lt;&gt;"S",AQ189&lt;&gt;"C",AQ189&lt;&gt;"P"),AQ190,IF(AND(AQ191&lt;&gt;"S",AQ191&lt;&gt;"C",AQ191&lt;&gt;"P"),AQ192,0)))</f>
        <v>78</v>
      </c>
      <c r="AT178" s="78"/>
      <c r="AU178" s="78"/>
      <c r="AV178" s="60"/>
      <c r="AW178" s="59"/>
    </row>
    <row r="179" spans="2:49" ht="55.5" customHeight="1">
      <c r="B179" s="191"/>
      <c r="C179" s="191"/>
      <c r="D179" s="191"/>
      <c r="E179" s="191"/>
      <c r="F179" s="191"/>
      <c r="G179" s="191"/>
      <c r="H179" s="191"/>
      <c r="I179" s="191"/>
      <c r="J179" s="191"/>
      <c r="K179" s="191"/>
      <c r="L179" s="191"/>
      <c r="M179" s="191"/>
      <c r="N179" s="191"/>
      <c r="O179" s="191"/>
      <c r="P179" s="191"/>
      <c r="Q179" s="191"/>
      <c r="AQ179" s="59">
        <f ca="1">IF(AND(AQ187&lt;&gt;AQ177,AQ187&lt;&gt;"S",AQ187&lt;&gt;"C",AQ187&lt;&gt;"P"),AQ187,IF(AND(AQ189&lt;&gt;AQ177,AQ189&lt;&gt;"S",AQ189&lt;&gt;"C",AQ189&lt;&gt;"P"),AQ189,IF(AND(AQ191&lt;&gt;AQ177,AQ191&lt;&gt;"S",AQ191&lt;&gt;"C",AQ191&lt;&gt;"P"),AQ191,"")))</f>
        <v>3</v>
      </c>
      <c r="AT179" s="78"/>
      <c r="AU179" s="78"/>
      <c r="AV179" s="60"/>
      <c r="AW179" s="59"/>
    </row>
    <row r="180" spans="2:49" ht="55.5" customHeight="1">
      <c r="B180" s="191"/>
      <c r="C180" s="191"/>
      <c r="D180" s="191"/>
      <c r="E180" s="191"/>
      <c r="F180" s="191"/>
      <c r="G180" s="191"/>
      <c r="H180" s="191"/>
      <c r="I180" s="191"/>
      <c r="J180" s="191"/>
      <c r="K180" s="191"/>
      <c r="L180" s="191"/>
      <c r="M180" s="191"/>
      <c r="N180" s="191"/>
      <c r="O180" s="191"/>
      <c r="P180" s="191"/>
      <c r="Q180" s="191"/>
      <c r="AQ180" s="59"/>
      <c r="AT180" s="78"/>
      <c r="AU180" s="78"/>
      <c r="AV180" s="60"/>
      <c r="AW180" s="59"/>
    </row>
    <row r="181" spans="2:49" ht="55.5" customHeight="1">
      <c r="B181" s="191"/>
      <c r="C181" s="191"/>
      <c r="D181" s="191"/>
      <c r="E181" s="191"/>
      <c r="F181" s="191"/>
      <c r="G181" s="191"/>
      <c r="H181" s="191"/>
      <c r="I181" s="191"/>
      <c r="J181" s="191"/>
      <c r="K181" s="191"/>
      <c r="L181" s="191"/>
      <c r="M181" s="191"/>
      <c r="N181" s="191"/>
      <c r="O181" s="191"/>
      <c r="P181" s="191"/>
      <c r="Q181" s="191"/>
      <c r="AQ181" s="59">
        <f ca="1">IF(AND(AQ187&lt;&gt;AQ177,AQ187&lt;&gt;"S",AQ187&lt;&gt;"C",AQ187&lt;&gt;"P"),AQ188,IF(AND(AQ189&lt;&gt;AQ177,AQ189&lt;&gt;"S",AQ189&lt;&gt;"C",AQ189&lt;&gt;"P"),AQ190,IF(AND(AQ191&lt;&gt;AQ177,AQ191&lt;&gt;"S",AQ191&lt;&gt;"C",AQ191&lt;&gt;"P"),AQ192,0)))</f>
        <v>78</v>
      </c>
      <c r="AR181" s="58" t="str">
        <f>""</f>
        <v/>
      </c>
      <c r="AT181" s="78"/>
      <c r="AU181" s="78"/>
      <c r="AV181" s="60"/>
      <c r="AW181" s="59"/>
    </row>
    <row r="182" spans="2:49" ht="55.5" customHeight="1">
      <c r="B182" s="191"/>
      <c r="C182" s="191"/>
      <c r="D182" s="191"/>
      <c r="E182" s="191"/>
      <c r="F182" s="191"/>
      <c r="G182" s="191"/>
      <c r="H182" s="191"/>
      <c r="I182" s="191"/>
      <c r="J182" s="191"/>
      <c r="K182" s="191"/>
      <c r="L182" s="191"/>
      <c r="M182" s="191"/>
      <c r="N182" s="191"/>
      <c r="O182" s="191"/>
      <c r="P182" s="191"/>
      <c r="Q182" s="191"/>
      <c r="AQ182" s="59" t="str">
        <f ca="1">IF(AND(AQ187&lt;&gt;AQ177,AQ187&lt;&gt;AQ179,AQ187&lt;&gt;"S",AQ187&lt;&gt;"C",AQ187&lt;&gt;"P"),AQ187,IF(AND(AQ189&lt;&gt;AQ177,AQ189&lt;&gt;AQ179,AQ189&lt;&gt;"S",AQ189&lt;&gt;"C",AQ189&lt;&gt;"P"),AQ189,IF(AND(AQ191&lt;&gt;AQ177,AQ191&lt;&gt;AQ179,AQ191&lt;&gt;"S",AQ191&lt;&gt;"C",AQ191&lt;&gt;"P"),AQ191,IF(AND(AQ194&lt;&gt;AQ177,AQ194&lt;&gt;AQ179,AQ194&lt;&gt;"S",AQ194&lt;&gt;"C",AQ194&lt;&gt;"P"),AQ194,IF(AND(AQ196&lt;&gt;AQ177,AQ196&lt;&gt;AQ179,AQ196&lt;&gt;"S",AQ196&lt;&gt;"C",AQ196&lt;&gt;"P"),AQ196,"")))))</f>
        <v>4B</v>
      </c>
      <c r="AR182" s="58" t="str">
        <f>""</f>
        <v/>
      </c>
      <c r="AT182" s="78"/>
      <c r="AU182" s="78"/>
      <c r="AV182" s="60"/>
      <c r="AW182" s="59"/>
    </row>
    <row r="183" spans="2:49" ht="55.5" customHeight="1">
      <c r="B183" s="191"/>
      <c r="C183" s="191"/>
      <c r="D183" s="191"/>
      <c r="E183" s="191"/>
      <c r="F183" s="191"/>
      <c r="G183" s="191"/>
      <c r="H183" s="191"/>
      <c r="I183" s="191"/>
      <c r="J183" s="191"/>
      <c r="K183" s="191"/>
      <c r="L183" s="191"/>
      <c r="M183" s="191"/>
      <c r="N183" s="191"/>
      <c r="O183" s="191"/>
      <c r="P183" s="191"/>
      <c r="Q183" s="191"/>
      <c r="AQ183" s="59">
        <f ca="1">IF(AND(AQ187&lt;&gt;AQ177,AQ187&lt;&gt;AQ179,AQ187&lt;&gt;"S",AQ187&lt;&gt;"C",AQ187&lt;&gt;"P"),AQ188,IF(AND(AQ189&lt;&gt;AQ177,AQ189&lt;&gt;AQ179,AQ189&lt;&gt;"S",AQ189&lt;&gt;"C",AQ189&lt;&gt;"P"),AQ190,IF(AND(AQ191&lt;&gt;AQ177,AQ191&lt;&gt;AQ179,AQ191&lt;&gt;"S",AQ191&lt;&gt;"C",AQ191&lt;&gt;"P"),AQ192,IF(AND(AQ194&lt;&gt;AQ177,AQ194&lt;&gt;AQ179,AQ194&lt;&gt;"S",AQ194&lt;&gt;"C",AQ194&lt;&gt;"P"),AQ195,IF(AND(AQ196&lt;&gt;AQ177,AQ196&lt;&gt;AQ179,AQ196&lt;&gt;"S",AQ196&lt;&gt;"C",AQ196&lt;&gt;"P"),AQ197,0)))))</f>
        <v>75</v>
      </c>
      <c r="AT183" s="78"/>
      <c r="AU183" s="78"/>
      <c r="AV183" s="60"/>
      <c r="AW183" s="59"/>
    </row>
    <row r="184" spans="2:49" ht="55.5" customHeight="1">
      <c r="B184" s="191"/>
      <c r="C184" s="191"/>
      <c r="D184" s="191"/>
      <c r="E184" s="191"/>
      <c r="F184" s="191"/>
      <c r="G184" s="191"/>
      <c r="H184" s="191"/>
      <c r="I184" s="191"/>
      <c r="J184" s="191"/>
      <c r="K184" s="191"/>
      <c r="L184" s="191"/>
      <c r="M184" s="191"/>
      <c r="N184" s="191"/>
      <c r="O184" s="191"/>
      <c r="P184" s="191"/>
      <c r="Q184" s="191"/>
      <c r="AQ184" s="59" t="str">
        <f ca="1">IF(MAX(I40:I42)&gt;=60,INDEX(F40:F42,MATCH(MAX(I40:I42),I40:I42,0)),"")</f>
        <v/>
      </c>
      <c r="AR184" s="58" t="str">
        <f>""</f>
        <v/>
      </c>
      <c r="AT184" s="78"/>
      <c r="AU184" s="78"/>
      <c r="AV184" s="60"/>
      <c r="AW184" s="59"/>
    </row>
    <row r="185" spans="2:49" ht="55.5" customHeight="1">
      <c r="B185" s="191"/>
      <c r="C185" s="191"/>
      <c r="D185" s="191"/>
      <c r="E185" s="191"/>
      <c r="F185" s="191"/>
      <c r="G185" s="191"/>
      <c r="H185" s="191"/>
      <c r="I185" s="191"/>
      <c r="J185" s="191"/>
      <c r="K185" s="191"/>
      <c r="L185" s="191"/>
      <c r="M185" s="191"/>
      <c r="N185" s="191"/>
      <c r="O185" s="191"/>
      <c r="P185" s="191"/>
      <c r="Q185" s="191"/>
      <c r="AQ185" s="59">
        <f ca="1">IF(MAX(I40:I42)&gt;=60,MAX(I40:I42),0)</f>
        <v>0</v>
      </c>
      <c r="AR185" s="58" t="str">
        <f>""</f>
        <v/>
      </c>
      <c r="AT185" s="78"/>
      <c r="AU185" s="78"/>
      <c r="AV185" s="60"/>
      <c r="AW185" s="59"/>
    </row>
    <row r="186" spans="2:49" ht="55.5" customHeight="1">
      <c r="B186" s="191"/>
      <c r="C186" s="191"/>
      <c r="D186" s="191"/>
      <c r="E186" s="191"/>
      <c r="F186" s="191"/>
      <c r="G186" s="191"/>
      <c r="H186" s="191"/>
      <c r="I186" s="191"/>
      <c r="J186" s="191"/>
      <c r="K186" s="191"/>
      <c r="L186" s="191"/>
      <c r="M186" s="191"/>
      <c r="N186" s="191"/>
      <c r="O186" s="191"/>
      <c r="P186" s="191"/>
      <c r="Q186" s="191"/>
      <c r="AP186" s="184" t="s">
        <v>743</v>
      </c>
      <c r="AQ186" s="59"/>
      <c r="AR186" s="58" t="str">
        <f ca="1">IF(AQ212&gt;=60,"Sobresale como configuración nuclear del perfil un cuadro "&amp;IF(AQ211="S","esquizotípico",IF(AQ211="C","límite",IF(AQ211="P","paranoide","")))&amp;", que "&amp;IF(AQ212&gt;=85,"alcanza el rango de un trastorno clínicamente significativo de la personalidad y organiza ",IF(AQ212&gt;=75,"alcanza el rango de un tipo de personalidad y organiza ","se sitúa en el rango de un estilo de personalidad y matiza, en consecuencia, "))&amp;"la interpretación del resto del perfil. ","")&amp;IF(AND(AQ212&gt;=60,AQ211="S"),"El evaluado(a) "&amp;IF(AQ212&gt;=85,"prefiere","muestra preferencia por")&amp;_xlfn._LONGTEXT(" estar aislado socialmente y sostener mínimos vínculos y obligaciones personales; su funcionamiento cognitivo tiende a ser desorganizado, piensa tangencialmente y a menudo parece estar absorto en sí mismo y pensativo, se distingue por sus excentricidades ","y a menudo es visto por los demás como una persona rara o diferente, en tanto que si su patrón básico es activo muestra desconfianza ansiosa e hipersensibilidad y si es pasivo muestra aplanamiento emocional y afecto deficiente. "),"")&amp;IF(AND(AQ212&gt;=60,AQ211="C"),"El evaluado(a) se "&amp;IF(AQ212&gt;=85,"caracteriza","manifiesta")&amp;_xlfn._LONGTEXT(" por su inestabilidad y labilidad afectiva, experimenta estados de ánimo endógenos intensos, con periodos recurrentes de abatimiento y apatía, a menudo intercalados con periodos de ira, ansiedad o euforia, alberga pensamientos recurrentes de autolesiones ","y suicidio, parece extremadamente preocupado por conservar el afecto de los demás y tiene dificultades para mantener el sentido de su propia identidad, en tanto que a menudo muestra una ambivalencia cognitivo-afectiva que se evidencia en sentimientos conf","lictivos de rabia, amor y culpa hacia los demás. "),"")&amp;IF(AND(AQ212&gt;=60,AQ211="P"),"El evaluado(a) se "&amp;IF(AQ212&gt;=85,"muestra","manifiesta")&amp;_xlfn._LONGTEXT(" desconfiado y en alerta hacia los demás, tenso y a la defensiva ante posibles críticas y engaños, presenta una irritabilidad desabrida y tiende a hacer que los demás se exasperen o se enfaden, se distingue, asimismo, por la inmutabilidad de sus sentimien","tos y la inflexibilidad de su pensamiento, en tanto que a menudo expresa miedo a perder la independencia, lo que lo lleva a resistirse enérgicamente a las influencias y al control externo. "),"")</f>
        <v/>
      </c>
      <c r="AT186" s="78"/>
      <c r="AU186" s="78"/>
      <c r="AV186" s="60"/>
      <c r="AW186" s="59"/>
    </row>
    <row r="187" spans="2:49" ht="55.5" customHeight="1">
      <c r="B187" s="191"/>
      <c r="C187" s="191"/>
      <c r="D187" s="191"/>
      <c r="E187" s="191"/>
      <c r="F187" s="191"/>
      <c r="G187" s="191"/>
      <c r="H187" s="191"/>
      <c r="I187" s="191"/>
      <c r="J187" s="191"/>
      <c r="K187" s="191"/>
      <c r="L187" s="191"/>
      <c r="M187" s="191"/>
      <c r="N187" s="191"/>
      <c r="O187" s="191"/>
      <c r="P187" s="191"/>
      <c r="Q187" s="191"/>
      <c r="AP187" s="183" t="s">
        <v>744</v>
      </c>
      <c r="AQ187" s="59" t="str">
        <f ca="1">INDEX($F$27:$F$42,MATCH(LARGE($S$27:$S$42,1),$S$27:$S$42,0))</f>
        <v>4A</v>
      </c>
      <c r="AR187" s="58" t="str">
        <f>""</f>
        <v/>
      </c>
      <c r="AT187" s="78"/>
      <c r="AU187" s="78"/>
      <c r="AV187" s="60"/>
      <c r="AW187" s="59"/>
    </row>
    <row r="188" spans="2:49" ht="21.75" customHeight="1">
      <c r="B188" s="170"/>
      <c r="C188" s="170"/>
      <c r="D188" s="170"/>
      <c r="E188" s="170"/>
      <c r="F188" s="170"/>
      <c r="G188" s="171"/>
      <c r="H188" s="171"/>
      <c r="I188" s="172"/>
      <c r="J188" s="170"/>
      <c r="K188" s="170"/>
      <c r="L188" s="170"/>
      <c r="M188" s="170"/>
      <c r="N188" s="170"/>
      <c r="O188" s="171"/>
      <c r="P188" s="171"/>
      <c r="Q188" s="171"/>
      <c r="AP188" s="183" t="s">
        <v>745</v>
      </c>
      <c r="AQ188" s="59">
        <f ca="1">INDEX($I$27:$I$42,MATCH(LARGE($S$27:$S$42,1),$S$27:$S$42,0))</f>
        <v>78</v>
      </c>
      <c r="AR188" s="58" t="str">
        <f>""</f>
        <v/>
      </c>
      <c r="AT188" s="78"/>
      <c r="AU188" s="78"/>
      <c r="AV188" s="60"/>
      <c r="AW188" s="59"/>
    </row>
    <row r="189" spans="2:49" ht="21.75" customHeight="1">
      <c r="B189" s="190" t="s">
        <v>633</v>
      </c>
      <c r="C189" s="170"/>
      <c r="D189" s="170"/>
      <c r="E189" s="170"/>
      <c r="F189" s="170"/>
      <c r="G189" s="171"/>
      <c r="H189" s="171"/>
      <c r="I189" s="172"/>
      <c r="J189" s="170"/>
      <c r="K189" s="170"/>
      <c r="L189" s="170"/>
      <c r="M189" s="170"/>
      <c r="N189" s="170"/>
      <c r="O189" s="171"/>
      <c r="P189" s="171"/>
      <c r="Q189" s="171"/>
      <c r="AP189" s="183" t="s">
        <v>746</v>
      </c>
      <c r="AQ189" s="59">
        <f ca="1">INDEX($F$27:$F$42,MATCH(LARGE($S$27:$S$42,2),$S$27:$S$42,0))</f>
        <v>3</v>
      </c>
      <c r="AR189" s="58" t="str">
        <f>""</f>
        <v/>
      </c>
      <c r="AT189" s="78"/>
      <c r="AU189" s="78"/>
      <c r="AV189" s="60"/>
      <c r="AW189" s="59"/>
    </row>
    <row r="190" spans="2:49" ht="36" customHeight="1">
      <c r="B190" s="191" t="s">
        <v>730</v>
      </c>
      <c r="C190" s="191"/>
      <c r="D190" s="191"/>
      <c r="E190" s="191"/>
      <c r="F190" s="191"/>
      <c r="G190" s="191"/>
      <c r="H190" s="191"/>
      <c r="I190" s="191"/>
      <c r="J190" s="191"/>
      <c r="K190" s="191"/>
      <c r="L190" s="191"/>
      <c r="M190" s="191"/>
      <c r="N190" s="191"/>
      <c r="O190" s="191"/>
      <c r="P190" s="191"/>
      <c r="Q190" s="191"/>
      <c r="AP190" s="183" t="s">
        <v>747</v>
      </c>
      <c r="AQ190" s="59">
        <f ca="1">INDEX($I$27:$I$42,MATCH(LARGE($S$27:$S$42,2),$S$27:$S$42,0))</f>
        <v>78</v>
      </c>
      <c r="AR190" s="58" t="str">
        <f ca="1">IF(AQ206&lt;60,"",IF(AQ212&gt;=60,"Sobre esta configuración nuclear se manifiesta, a la manera de un patrón clínico premórbido, ","El perfil del evaluado(a) refleja, como configuración principal del estilo básico de la personalidad, ")&amp;IF(AQ206&gt;=85,"un trastorno clínicamente significativo de la personalidad de tipo ",IF(AQ206&gt;=75,"un tipo de personalidad ","un estilo de personalidad "))&amp;IF(AQ205=1,_xlfn._LONGTEXT("esquizoide. El evaluado(a) se caracteriza por su falta de deseo y su incapacidad para sentir placer o dolor intenso, se muestra indiferente ante las relaciones sociales y tiende a ser apático, distante y asocial; sus emociones y necesidades afectivas son ","mínimas y actúa como un observador pasivo, desligado del beneficio y del afecto que aportan las relaciones humanas, así como de los requerimientos de las mismas. "),"")&amp;IF(AQ205="2A",_xlfn._LONGTEXT("evitativo. El evaluado(a) experimenta pocos refuerzos positivos procedentes de sí mismo o de los demás y está siempre alerta, preparado para distanciarse de las experiencias dolorosas o negativas de la vida; su estrategia adaptativa refleja miedo y descon","fianza hacia los demás, en virtud de la cual mantiene una vigilancia constante para evitar que su anhelo de afecto resulte en la repetición del dolor y la angustia que ha experimentado con otras personas, de modo que, a pesar de sus deseos de relacionarse"," con los demás, ha aprendido que es mejor negar estos sentimientos y mantener la distancia interpersonal necesaria. "),"")&amp;IF(AQ205="2B",_xlfn._LONGTEXT("melancólico. El evaluado(a) experimenta el dolor como un estado permanente en el que el placer ya no se considera posible y muestra un estilo de desesperanza ante las pérdidas importantes, todo lo cual configura una perspectiva sin esperanzas que puede es","tar determinada tanto por una predisposición biológica o química hacia el pesimismo y el desánimo como por la experiencia de un entorno sin interés. "),"")&amp;IF(AQ205=3,_xlfn._LONGTEXT("dependiente. El evaluado(a) destaca por su falta de iniciativa y autonomía, habiendo aprendido no solo a recurrir a los demás para obtener afecto, cuidados y seguridad, sino también a esperar pasivamente a que sean ellos quienes lo dirijan; tiende a busca","r relaciones en las que pueda apoyarse para conseguir afecto y orientación, a asumir un rol pasivo en las relaciones interpersonales, a aceptar las atenciones y el apoyo que pueda encontrar y a someterse voluntariamente a los deseos de los demás a fin de ","conservar su afecto. "),"")&amp;IF(AQ205="4A",_xlfn._LONGTEXT("histriónico. El evaluado(a), al igual que los sujetos dependientes, recurre a los demás, pero maximiza la atención y los favores que recibe, manipulando los hechos de una forma superficial y entusiasta; su comportamiento social inteligente y a menudo inge","nioso transmite confianza y seguridad en sí mismo, si bien, bajo esta apariencia, subyace el miedo a la autonomía real y la necesidad de recibir señales recurrentes de aceptación y aprobación casi constantemente. "),"")&amp;IF(AQ205="4B",_xlfn._LONGTEXT("tempestuoso. El evaluado(a) se muestra muy alegre y animado, si bien su persistente euforia, entrometimiento y volubilidad pueden resultar irritantes para los demás; aunque apasionado y entusiasta, se aburre con demasiada facilidad y carece de los recurso","s y la regularidad necesarios para llevar a término sus objetivos y planes, todo lo cual da lugar a un patrón de conducta impredecible, de pensamiento disperso y de acciones y estados de ánimo impetuosos e impulsivos, interrumpidos por arrebatos de ira mo","mentánea y ansiedad temerosa que, sin control, pueden derivar en una conducta más extrema, temeraria y errática y conducir, con bastante frecuencia, al agotamiento depresivo. "),""))</f>
        <v xml:space="preserve">El perfil del evaluado(a) refleja, como configuración principal del estilo básico de la personalidad, un tipo de personalidad histriónico. El evaluado(a), al igual que los sujetos dependientes, recurre a los demás, pero maximiza la atención y los favores que recibe, manipulando los hechos de una forma superficial y entusiasta; su comportamiento social inteligente y a menudo ingenioso transmite confianza y seguridad en sí mismo, si bien, bajo esta apariencia, subyace el miedo a la autonomía real y la necesidad de recibir señales recurrentes de aceptación y aprobación casi constantemente. </v>
      </c>
      <c r="AT190" s="78"/>
      <c r="AU190" s="78"/>
      <c r="AV190" s="60"/>
      <c r="AW190" s="59"/>
    </row>
    <row r="191" spans="2:49" ht="36" customHeight="1">
      <c r="B191" s="191"/>
      <c r="C191" s="191"/>
      <c r="D191" s="191"/>
      <c r="E191" s="191"/>
      <c r="F191" s="191"/>
      <c r="G191" s="191"/>
      <c r="H191" s="191"/>
      <c r="I191" s="191"/>
      <c r="J191" s="191"/>
      <c r="K191" s="191"/>
      <c r="L191" s="191"/>
      <c r="M191" s="191"/>
      <c r="N191" s="191"/>
      <c r="O191" s="191"/>
      <c r="P191" s="191"/>
      <c r="Q191" s="191"/>
      <c r="AP191" s="183" t="s">
        <v>748</v>
      </c>
      <c r="AQ191" s="59" t="str">
        <f ca="1">INDEX($F$27:$F$42,MATCH(LARGE($S$27:$S$42,3),$S$27:$S$42,0))</f>
        <v>4B</v>
      </c>
      <c r="AR191" t="str">
        <f ca="1">IF(AQ206&lt;60,"",IF(AQ205=5,_xlfn._LONGTEXT("narcisista. El evaluado(a) destaca por su egocentrismo egotista, por sentir placer simplemente centrándose en sí mismo; sus sentimientos de superioridad pueden no estar basados en logros reales o maduros, si bien conserva un aire arrogante de seguridad en"," sí mismo y, sin pensarlo demasiado ni pretenderlo conscientemente, explota a los demás en beneficio propio, no necesitando logros reales o aprobación social para mantener su aire de esnobismo y superioridad pretenciosa, todo lo cual da lugar a una confia","nza extrema que hace que no se sienta motivado a implicarse en las interacciones propias de la vida social. "),"")&amp;IF(AQ205="6A",_xlfn._LONGTEXT("antisocial. El evaluado(a) destaca por su desconfianza hacia los demás, su deseo de autonomía y su anhelo de venganza y recompensa por lo que considera injusticias del pasado; para contrarrestar el dolor y los estragos que prevé que le causen otras person","as, se comporta de forma engañosa o comete actos ilegales en beneficio propio, es irresponsable e impulsivo y justifica estas cualidades porque considera que los demás son desleales y no se puede confiar en ellos, en tanto que su insensibilidad y crueldad"," constituyen sus únicos medios de evitar el abuso y la victimización. "),"")&amp;IF(AQ205="6B",_xlfn._LONGTEXT("sádico. El evaluado(a), a diferencia de los sujetos antisociales, puede buscar placer y satisfacción personal humillando a otras personas y dejando a un lado sus derechos y sentimientos; por lo general es hostil y sumamente combativo y parece que las cons","ecuencias destructivas de su conducta conflictiva, ofensiva y brutal le resultan indiferentes o satisfactorias; aunque puede encubrir sus tendencias más maliciosas y de búsqueda del poder con acciones o profesiones públicamente aceptadas, sus actos domina","ntes, hostiles y a menudo persecutorios lo delatan. "),"")&amp;IF(AQ205=7,_xlfn._LONGTEXT("compulsivo. El evaluado(a) ha sido intimidado y coaccionado para que acepte las exigencias y decisiones que los demás le imponen, de modo que su prudencia, control y perfeccionismo derivan de un conflicto entre la hostilidad hacia los demás y el miedo a l","a desaprobación social; resuelve esta ambivalencia suprimiendo su resentimiento y exigiéndose mucho a sí mismo y exigiéndolo a los demás, en tanto que su disciplinada autocontención le permite controlar los sentimientos oposicionistas intensos, aunque ocu","ltos, de lo cual resulta una pasividad manifiesta y una aparente sumisión pública. "),"")&amp;IF(AQ205="8A",_xlfn._LONGTEXT("negativista. El evaluado(a) se debate entre aceptar las gratificaciones que los demás le ofrecen o perseguir sus propios deseos, vacilando entre la deferencia y el desafío y, a veces, entre la obediencia y la oposición agresiva, de modo que se enfrenta a ","interminables disputas y decepciones; esta batalla representa una incapacidad para resolver conflictos similar a la de los sujetos compulsivos, si bien sus conflictos persisten y permanecen cerca de la conciencia, en el contexto de una conducta caracteriz","ada por un patrón errático de ira explosiva o resistencia completamente mezclado con periodos de culpa y vergüenza. "),"")&amp;IF(AQ205="8B",_xlfn._LONGTEXT("masoquista. El evaluado(a) se relaciona con los demás de una forma servil y autosacrificada, les permite que abusen o se aprovechen de él e, incluso, en ocasiones, los alienta a hacerlo; cuando se muestran sus peores rasgos, puede llegar a sostener que me","rece ser avergonzado y humillado, y para agravar su dolor y angustia, que puede vivirlos como reconfortantes, rememora activa y reiteradamente sus desgracias del pasado, en tanto que ante situaciones afortunadas espera que el resultado sea problemático. "),""))</f>
        <v/>
      </c>
      <c r="AT191" s="78"/>
      <c r="AU191" s="78"/>
      <c r="AV191" s="60"/>
      <c r="AW191" s="59"/>
    </row>
    <row r="192" spans="2:49" ht="36" customHeight="1">
      <c r="B192" s="191"/>
      <c r="C192" s="191"/>
      <c r="D192" s="191"/>
      <c r="E192" s="191"/>
      <c r="F192" s="191"/>
      <c r="G192" s="191"/>
      <c r="H192" s="191"/>
      <c r="I192" s="191"/>
      <c r="J192" s="191"/>
      <c r="K192" s="191"/>
      <c r="L192" s="191"/>
      <c r="M192" s="191"/>
      <c r="N192" s="191"/>
      <c r="O192" s="191"/>
      <c r="P192" s="191"/>
      <c r="Q192" s="191"/>
      <c r="AP192" s="183" t="s">
        <v>749</v>
      </c>
      <c r="AQ192" s="59">
        <f ca="1">INDEX($I$27:$I$42,MATCH(LARGE($S$27:$S$42,3),$S$27:$S$42,0))</f>
        <v>75</v>
      </c>
      <c r="AR192" t="str">
        <f>""</f>
        <v/>
      </c>
      <c r="AS192" s="58" t="s">
        <v>931</v>
      </c>
      <c r="AT192" s="78" t="s">
        <v>930</v>
      </c>
      <c r="AU192" s="78"/>
      <c r="AV192" s="60" t="s">
        <v>933</v>
      </c>
      <c r="AW192" s="59" t="s">
        <v>934</v>
      </c>
    </row>
    <row r="193" spans="2:49" ht="36" customHeight="1">
      <c r="B193" s="191"/>
      <c r="C193" s="191"/>
      <c r="D193" s="191"/>
      <c r="E193" s="191"/>
      <c r="F193" s="191"/>
      <c r="G193" s="191"/>
      <c r="H193" s="191"/>
      <c r="I193" s="191"/>
      <c r="J193" s="191"/>
      <c r="K193" s="191"/>
      <c r="L193" s="191"/>
      <c r="M193" s="191"/>
      <c r="N193" s="191"/>
      <c r="O193" s="191"/>
      <c r="P193" s="191"/>
      <c r="Q193" s="191"/>
      <c r="AP193" s="183" t="s">
        <v>750</v>
      </c>
      <c r="AQ193" s="59">
        <f ca="1">MAX(I40,I41,I42)</f>
        <v>59</v>
      </c>
      <c r="AR193" t="str">
        <f ca="1">IF(AQ208&gt;=60,"A este cuadro central se añaden, asimismo, "&amp;IF(AQ208&gt;=85,"rasgos propios de un trastorno clínicamente significativo de la personalidad de tipo ",IF(AQ208&gt;=75,"rasgos propios de un tipo de personalidad ","rasgos propios de un estilo de personalidad "))&amp;IF(AQ207=1,"esquizoide, ",IF(AQ207="2A","evitativo, ",IF(AQ207="2B","melancólico, ",IF(AQ207=3,"dependiente, ",IF(AQ207="4A","histriónico, ",IF(AQ207="4B","tempestuoso, ",IF(AQ207=5,"narcisista, ",IF(AQ207="6A","antisocial, ",IF(AQ207="6B","sádico, ",IF(AQ207=7,"compulsivo, ",IF(AQ207="8A","negativista, ",IF(AQ207="8B","masoquista, ",""))))))))))))&amp;"que se manifiestan en el evaluado(a) como ","")&amp;IF(AND(AQ208&gt;=60,AQ207=1),"una falta de deseo y una incapacidad para sentir placer o dolor intenso, una indiferencia ante las relaciones sociales y una desvinculación afectiva propia de un observador pasivo. ","")&amp;IF(AND(AQ208&gt;=60,AQ207="2A"),"una vigilancia constante ante las experiencias dolorosas, un miedo y desconfianza hacia los demás y la negación de los deseos de relación para mantener la distancia interpersonal necesaria. ","")&amp;IF(AND(AQ208&gt;=60,AQ207="2B"),"la vivencia del dolor como un estado permanente en el que el placer ya no se considera posible y un estilo de desesperanza ante las pérdidas importantes. ","")&amp;IF(AND(AQ208&gt;=60,AQ207=3),"una falta de iniciativa y autonomía, la búsqueda de figuras protectoras que orienten su conducta y la sumisión voluntaria a los deseos de los demás a fin de conservar su afecto. ","")&amp;IF(AND(AQ208&gt;=60,AQ207="4A"),"la búsqueda de la atención y los favores de los demás mediante una manipulación superficial y entusiasta de los hechos, una apariencia de confianza y seguridad bajo la cual subyace la necesidad de aceptación y aprobación constantes. ","")&amp;IF(AND(AQ208&gt;=60,AQ207="4B"),"una persistente euforia, entrometimiento y volubilidad, un entusiasmo apasionado que se aburre con facilidad y una conducta impredecible interrumpida por arrebatos de ira momentánea. ","")&amp;IF(AND(AQ208&gt;=60,AQ207=5),"un egocentrismo egotista, un aire arrogante de seguridad en sí mismo y la explotación de los demás en beneficio propio, sostenidos por sentimientos de superioridad no siempre basados en logros reales. ","")&amp;IF(AND(AQ208&gt;=60,AQ207="6A"),"la desconfianza hacia los demás, el deseo de autonomía y la justificación de conductas engañosas en beneficio propio sobre la base de que los demás son desleales. ","")&amp;IF(AND(AQ208&gt;=60,AQ207="6B"),"la búsqueda de placer y satisfacción personal humillando a los demás, una hostilidad sumamente combativa y la indiferencia ante las consecuencias destructivas de su conducta. ","")&amp;IF(AND(AQ208&gt;=60,AQ207=7),"una prudencia, control y perfeccionismo derivados del conflicto entre la hostilidad hacia los demás y el miedo a la desaprobación social, resuelto mediante la supresión del resentimiento y la disciplinada autocontención. ","")&amp;IF(AND(AQ208&gt;=60,AQ207="8A"),"la vacilación entre la deferencia y el desafío, las interminables disputas y decepciones y un patrón errático de ira explosiva o resistencia mezclado con periodos de culpa y vergüenza. ","")&amp;IF(AND(AQ208&gt;=60,AQ207="8B"),"una relación servil y autosacrificada con los demás, la sostenida convicción de merecer ser avergonzado y humillado y la rememoración activa y reiterada de las desgracias del pasado. ","")</f>
        <v xml:space="preserve">A este cuadro central se añaden, asimismo, rasgos propios de un tipo de personalidad dependiente, que se manifiestan en el evaluado(a) como una falta de iniciativa y autonomía, la búsqueda de figuras protectoras que orienten su conducta y la sumisión voluntaria a los deseos de los demás a fin de conservar su afecto. </v>
      </c>
      <c r="AS193" s="58">
        <f ca="1">IF(AR193="",0,I72*100-ROW()*0.01)</f>
        <v>-1.93</v>
      </c>
      <c r="AT193" s="78" t="str">
        <f ca="1">IFERROR(INDEX(AR193:AR201, MATCH(LARGE(AS193:AS201,1), AS193:AS201, 0)), "")</f>
        <v>4B.2</v>
      </c>
      <c r="AU193" s="78"/>
      <c r="AV193" s="60">
        <v>1.1000000000000001</v>
      </c>
      <c r="AW193" s="59" t="s">
        <v>1006</v>
      </c>
    </row>
    <row r="194" spans="2:49" ht="8.25" customHeight="1">
      <c r="B194" s="191"/>
      <c r="C194" s="191"/>
      <c r="D194" s="191"/>
      <c r="E194" s="191"/>
      <c r="F194" s="191"/>
      <c r="G194" s="191"/>
      <c r="H194" s="191"/>
      <c r="I194" s="191"/>
      <c r="J194" s="191"/>
      <c r="K194" s="191"/>
      <c r="L194" s="191"/>
      <c r="M194" s="191"/>
      <c r="N194" s="191"/>
      <c r="O194" s="191"/>
      <c r="P194" s="191"/>
      <c r="Q194" s="191"/>
      <c r="AP194" s="183" t="s">
        <v>751</v>
      </c>
      <c r="AQ194" s="59">
        <f ca="1">INDEX($F$27:$F$42,MATCH(LARGE($S$27:$S$42,4),$S$27:$S$42,0))</f>
        <v>7</v>
      </c>
      <c r="AR194" t="str">
        <f>""</f>
        <v/>
      </c>
      <c r="AS194" s="58">
        <f>IF(AR194="",0,I73*100-ROW()*0.01)</f>
        <v>0</v>
      </c>
      <c r="AT194" s="78" t="str">
        <f ca="1">IFERROR(INDEX(AR193:AR201, MATCH(LARGE(AS193:AS201,2), AS193:AS201, 0)), "")</f>
        <v xml:space="preserve">A los rasgos anteriores se asocian, asimismo, manifestaciones propias de un tipo de personalidad tempestuoso, que se concretan en el evaluado(a) como la persistente euforia, el entrometimiento y la volubilidad que pueden derivar en arrebatos impulsivos. </v>
      </c>
      <c r="AU194" s="78"/>
      <c r="AV194" s="60">
        <v>1.2</v>
      </c>
      <c r="AW194" s="59" t="s">
        <v>1007</v>
      </c>
    </row>
    <row r="195" spans="2:49" ht="8.25" customHeight="1">
      <c r="B195" s="191"/>
      <c r="C195" s="191"/>
      <c r="D195" s="191"/>
      <c r="E195" s="191"/>
      <c r="F195" s="191"/>
      <c r="G195" s="191"/>
      <c r="H195" s="191"/>
      <c r="I195" s="191"/>
      <c r="J195" s="191"/>
      <c r="K195" s="191"/>
      <c r="L195" s="191"/>
      <c r="M195" s="191"/>
      <c r="N195" s="191"/>
      <c r="O195" s="191"/>
      <c r="P195" s="191"/>
      <c r="Q195" s="191"/>
      <c r="AP195" s="183" t="s">
        <v>752</v>
      </c>
      <c r="AQ195" s="59">
        <f ca="1">INDEX($I$27:$I$42,MATCH(LARGE($S$27:$S$42,4),$S$27:$S$42,0))</f>
        <v>71</v>
      </c>
      <c r="AR195" t="str">
        <f ca="1">IF(AND(AQ212&lt;60,AQ210&gt;=60),"A los rasgos anteriores se asocian, asimismo, "&amp;IF(AQ210&gt;=85,"manifestaciones propias de un trastorno clínicamente significativo de la personalidad de tipo ",IF(AQ210&gt;=75,"manifestaciones propias de un tipo de personalidad ","manifestaciones propias de un estilo de personalidad "))&amp;IF(AQ209=1,"esquizoide, ",IF(AQ209="2A","evitativo, ",IF(AQ209="2B","melancólico, ",IF(AQ209=3,"dependiente, ",IF(AQ209="4A","histriónico, ",IF(AQ209="4B","tempestuoso, ",IF(AQ209=5,"narcisista, ",IF(AQ209="6A","antisocial, ",IF(AQ209="6B","sádico, ",IF(AQ209=7,"compulsivo, ",IF(AQ209="8A","negativista, ",IF(AQ209="8B","masoquista, ",""))))))))))))&amp;"que se concretan en el evaluado(a) como ","")&amp;IF(AND(AQ212&lt;60,AQ210&gt;=60,AQ209=1),"una indiferencia ante las relaciones sociales y una desvinculación afectiva que aminoran la reactividad emocional general. ","")&amp;IF(AND(AQ212&lt;60,AQ210&gt;=60,AQ209="2A"),"la vigilancia constante ante las experiencias dolorosas y la negación de los deseos de relación para mantener la distancia interpersonal. ","")&amp;IF(AND(AQ212&lt;60,AQ210&gt;=60,AQ209="2B"),"la vivencia del dolor como un estado permanente y una perspectiva sin esperanzas frente a las pérdidas y los proyectos. ","")&amp;IF(AND(AQ212&lt;60,AQ210&gt;=60,AQ209=3),"la falta de iniciativa y la búsqueda de figuras protectoras que orienten su conducta. ","")&amp;IF(AND(AQ212&lt;60,AQ210&gt;=60,AQ209="4A"),"la búsqueda de atención mediante una manipulación superficial y entusiasta de los hechos. ","")&amp;IF(AND(AQ212&lt;60,AQ210&gt;=60,AQ209="4B"),"la persistente euforia, el entrometimiento y la volubilidad que pueden derivar en arrebatos impulsivos. ","")&amp;IF(AND(AQ212&lt;60,AQ210&gt;=60,AQ209=5),"el egocentrismo egotista y la explotación de los demás en beneficio propio. ","")&amp;IF(AND(AQ212&lt;60,AQ210&gt;=60,AQ209="6A"),"la desconfianza hacia los demás y la justificación de conductas engañosas en beneficio propio. ","")&amp;IF(AND(AQ212&lt;60,AQ210&gt;=60,AQ209="6B"),"la hostilidad combativa y la indiferencia ante las consecuencias destructivas de su conducta. ","")&amp;IF(AND(AQ212&lt;60,AQ210&gt;=60,AQ209=7),"la prudencia, el control y el perfeccionismo derivados de la supresión del resentimiento. ","")&amp;IF(AND(AQ212&lt;60,AQ210&gt;=60,AQ209="8A"),"la vacilación entre la deferencia y el desafío y un patrón errático de ira explosiva o resistencia. ","")&amp;IF(AND(AQ212&lt;60,AQ210&gt;=60,AQ209="8B"),"la relación servil y autosacrificada con los demás y la rememoración reiterada de las desgracias del pasado. ","")</f>
        <v xml:space="preserve">A los rasgos anteriores se asocian, asimismo, manifestaciones propias de un tipo de personalidad tempestuoso, que se concretan en el evaluado(a) como la persistente euforia, el entrometimiento y la volubilidad que pueden derivar en arrebatos impulsivos. </v>
      </c>
      <c r="AS195" s="58">
        <f ca="1">IF(AR195="",0,I74*100-ROW()*0.01)</f>
        <v>7498.05</v>
      </c>
      <c r="AT195" s="78" t="str">
        <f ca="1">IFERROR(INDEX(AR193:AR201, MATCH(LARGE(AS193:AS201,3), AS193:AS201, 0)), "")</f>
        <v/>
      </c>
      <c r="AU195" s="78"/>
      <c r="AV195" s="60">
        <v>1.3</v>
      </c>
      <c r="AW195" s="59" t="s">
        <v>1026</v>
      </c>
    </row>
    <row r="196" spans="2:49" ht="29.25" customHeight="1">
      <c r="B196" s="191" t="str">
        <f ca="1">TRIM(AR231&amp;AR232&amp;AR233&amp;AR234&amp;AR235&amp;AR236)</f>
        <v>En el perfil obtenido se identifican elevaciones en las escalas de síndromes clínicos cuya descripción se desarrolla a continuación, priorizando las elevaciones en las escalas de síndromes graves dado que, por su mayor vulnerabilidad clínica, pueden matizar el sentido de los restantes cuadros sintomáticos. Se identifica una elevación en la escala de depresión mayor, que indica una incapacidad para funcionar en un entorno normal, una visión pesimista del futuro, ideación suicida y un sentimiento generalizado de resignación sin esperanza, con miedos repetitivos y un estado meditabundo; físicamente puede observarse un notable deterioro motor o, por el contrario, una inquietud incesante con lamentos sobre su deplorable estado, así como insomnio, una sensación de cansancio acentuado y pérdida o ganancia de peso, cuadro cuya manifestación podría considerarse transitoria y no persistente, sin afectación significativa del funcionamiento general. Se identifica, asimismo, una elevación significativa en la escala de ansiedad generalizada, que indica un estado generalizado de tensión que se traduce en la incapacidad de relajarse, en movimientos nerviosos y en una tendencia a reaccionar y sobresaltarse fácilmente, sobre un sustrato de quejas frecuentes por molestias físicas de distinto tipo (dolores musculares mal definidos, sudoración excesiva, náuseas), junto con inquietud y temor por problemas que cree inminentes, un estado de alerta excesivo hacia todo lo que lo rodea y una irritabilidad generalizada, cuadro que refleja una afectación significativa del funcionamiento general del evaluado(a). Se constata, además, una elevación en la escala del espectro bipolar, que indica la experiencia de síntomas que pueden ir desde rasgos ciclotímicos hasta cuadros bipolares de mayor gravedad, con periodos de euforia superficial, autoestima exagerada, hiperactividad y falta de atención, nerviosismo, presión del habla, impulsividad e irritabilidad; actúa con un entusiasmo poco selectivo, planifica en exceso objetivos poco realistas y es entrometido, cuando no dominante y exigente, en las relaciones interpersonales, en tanto que necesita dormir menos, tiene fugas de ideas y cambios de humor rápidos e inestables, todo lo cual, en los casos extremos, puede dar lugar a procesos psicóticos, como delirios y alucinaciones, cuadro cuya manifestación podría considerarse transitoria y no persistente, sin afectación significativa del funcionamiento general. Estos síndromes reflejan y acentúan, por consiguiente, varios de los aspectos más persistentes y arraigados del patrón personológico básico del evaluado(a), de modo que su evolución dependerá tanto del manejo terapéutico inmediato de los síntomas como del abordaje de la configuración personológica subyacente.</v>
      </c>
      <c r="C196" s="191"/>
      <c r="D196" s="191"/>
      <c r="E196" s="191"/>
      <c r="F196" s="191"/>
      <c r="G196" s="191"/>
      <c r="H196" s="191"/>
      <c r="I196" s="191"/>
      <c r="J196" s="191"/>
      <c r="K196" s="191"/>
      <c r="L196" s="191"/>
      <c r="M196" s="191"/>
      <c r="N196" s="191"/>
      <c r="O196" s="191"/>
      <c r="P196" s="191"/>
      <c r="Q196" s="191"/>
      <c r="AP196" s="183" t="s">
        <v>753</v>
      </c>
      <c r="AQ196" s="59">
        <f ca="1">INDEX($F$27:$F$42,MATCH(LARGE($S$27:$S$42,5),$S$27:$S$42,0))</f>
        <v>5</v>
      </c>
      <c r="AR196" t="str">
        <f>""</f>
        <v/>
      </c>
      <c r="AS196" s="58">
        <f>IF(AR196="",0,I76*100-ROW()*0.01)</f>
        <v>0</v>
      </c>
      <c r="AT196" s="78" t="str">
        <f ca="1">IFERROR(INDEX(AR193:AR201, MATCH(LARGE(AS193:AS201,4), AS193:AS201, 0)), "")</f>
        <v/>
      </c>
      <c r="AU196" s="78"/>
      <c r="AV196" s="60" t="s">
        <v>310</v>
      </c>
      <c r="AW196" s="59" t="s">
        <v>935</v>
      </c>
    </row>
    <row r="197" spans="2:49" ht="29.25" customHeight="1">
      <c r="B197" s="191"/>
      <c r="C197" s="191"/>
      <c r="D197" s="191"/>
      <c r="E197" s="191"/>
      <c r="F197" s="191"/>
      <c r="G197" s="191"/>
      <c r="H197" s="191"/>
      <c r="I197" s="191"/>
      <c r="J197" s="191"/>
      <c r="K197" s="191"/>
      <c r="L197" s="191"/>
      <c r="M197" s="191"/>
      <c r="N197" s="191"/>
      <c r="O197" s="191"/>
      <c r="P197" s="191"/>
      <c r="Q197" s="191"/>
      <c r="AP197" s="183" t="s">
        <v>754</v>
      </c>
      <c r="AQ197" s="59">
        <f ca="1">INDEX($I$27:$I$42,MATCH(LARGE($S$27:$S$42,5),$S$27:$S$42,0))</f>
        <v>62</v>
      </c>
      <c r="AR197" t="str">
        <f>""</f>
        <v/>
      </c>
      <c r="AS197" s="58">
        <f>IF(AR197="",0,I77*100-ROW()*0.01)</f>
        <v>0</v>
      </c>
      <c r="AT197" s="78" t="s">
        <v>932</v>
      </c>
      <c r="AU197" s="78"/>
      <c r="AV197" s="60" t="s">
        <v>311</v>
      </c>
      <c r="AW197" s="59" t="s">
        <v>936</v>
      </c>
    </row>
    <row r="198" spans="2:49" ht="29.25" customHeight="1">
      <c r="B198" s="191"/>
      <c r="C198" s="191"/>
      <c r="D198" s="191"/>
      <c r="E198" s="191"/>
      <c r="F198" s="191"/>
      <c r="G198" s="191"/>
      <c r="H198" s="191"/>
      <c r="I198" s="191"/>
      <c r="J198" s="191"/>
      <c r="K198" s="191"/>
      <c r="L198" s="191"/>
      <c r="M198" s="191"/>
      <c r="N198" s="191"/>
      <c r="O198" s="191"/>
      <c r="P198" s="191"/>
      <c r="Q198" s="191"/>
      <c r="AP198" s="183" t="s">
        <v>755</v>
      </c>
      <c r="AQ198" s="59">
        <f ca="1">INDEX($I$27:$I$38,MATCH(LARGE($S$27:$S$38,1),$S$27:$S$38,0))</f>
        <v>78</v>
      </c>
      <c r="AR198" t="str">
        <f>""</f>
        <v/>
      </c>
      <c r="AS198" s="58">
        <f>IF(AR198="",0,I78*100-ROW()*0.01)</f>
        <v>0</v>
      </c>
      <c r="AT198" s="78">
        <f ca="1">COUNTIF(AS193:AS201,"&gt;0")</f>
        <v>2</v>
      </c>
      <c r="AU198" s="78"/>
      <c r="AV198" s="60" t="s">
        <v>312</v>
      </c>
      <c r="AW198" s="59" t="s">
        <v>1027</v>
      </c>
    </row>
    <row r="199" spans="2:49" ht="29.25" customHeight="1">
      <c r="B199" s="191"/>
      <c r="C199" s="191"/>
      <c r="D199" s="191"/>
      <c r="E199" s="191"/>
      <c r="F199" s="191"/>
      <c r="G199" s="191"/>
      <c r="H199" s="191"/>
      <c r="I199" s="191"/>
      <c r="J199" s="191"/>
      <c r="K199" s="191"/>
      <c r="L199" s="191"/>
      <c r="M199" s="191"/>
      <c r="N199" s="191"/>
      <c r="O199" s="191"/>
      <c r="P199" s="191"/>
      <c r="Q199" s="191"/>
      <c r="AP199" s="183" t="s">
        <v>756</v>
      </c>
      <c r="AQ199" s="59">
        <f ca="1">INDEX($F$27:$F$38,MATCH(LARGE($S$27:$S$38,2),$S$27:$S$38,0))</f>
        <v>3</v>
      </c>
      <c r="AR199" t="str">
        <f>""</f>
        <v/>
      </c>
      <c r="AS199" s="58">
        <f>IF(AR199="",0,I80*100-ROW()*0.01)</f>
        <v>0</v>
      </c>
      <c r="AT199" s="78"/>
      <c r="AU199" s="78"/>
      <c r="AV199" s="60" t="s">
        <v>313</v>
      </c>
      <c r="AW199" s="59" t="s">
        <v>1008</v>
      </c>
    </row>
    <row r="200" spans="2:49" ht="29.25" customHeight="1">
      <c r="B200" s="191"/>
      <c r="C200" s="191"/>
      <c r="D200" s="191"/>
      <c r="E200" s="191"/>
      <c r="F200" s="191"/>
      <c r="G200" s="191"/>
      <c r="H200" s="191"/>
      <c r="I200" s="191"/>
      <c r="J200" s="191"/>
      <c r="K200" s="191"/>
      <c r="L200" s="191"/>
      <c r="M200" s="191"/>
      <c r="N200" s="191"/>
      <c r="O200" s="191"/>
      <c r="P200" s="191"/>
      <c r="Q200" s="191"/>
      <c r="AP200" s="183" t="s">
        <v>757</v>
      </c>
      <c r="AQ200" s="59">
        <f ca="1">INDEX($I$27:$I$38,MATCH(LARGE($S$27:$S$38,2),$S$27:$S$38,0))</f>
        <v>78</v>
      </c>
      <c r="AR200" t="str">
        <f ca="1">IF(AND(INT(LARGE($S$27:$S$42,3))&gt;=60,I81&gt;=75),F81,"")</f>
        <v>4B.2</v>
      </c>
      <c r="AS200" s="58">
        <f ca="1">IF(AR200="",0,I81*100-ROW()*0.01)</f>
        <v>8498</v>
      </c>
      <c r="AT200" s="78"/>
      <c r="AU200" s="78"/>
      <c r="AV200" s="60" t="s">
        <v>314</v>
      </c>
      <c r="AW200" s="59" t="s">
        <v>1009</v>
      </c>
    </row>
    <row r="201" spans="2:49" ht="29.25" customHeight="1">
      <c r="B201" s="191"/>
      <c r="C201" s="191"/>
      <c r="D201" s="191"/>
      <c r="E201" s="191"/>
      <c r="F201" s="191"/>
      <c r="G201" s="191"/>
      <c r="H201" s="191"/>
      <c r="I201" s="191"/>
      <c r="J201" s="191"/>
      <c r="K201" s="191"/>
      <c r="L201" s="191"/>
      <c r="M201" s="191"/>
      <c r="N201" s="191"/>
      <c r="O201" s="191"/>
      <c r="P201" s="191"/>
      <c r="Q201" s="191"/>
      <c r="AP201" s="183" t="s">
        <v>758</v>
      </c>
      <c r="AQ201" s="59" t="str">
        <f ca="1">INDEX($F$27:$F$38,MATCH(LARGE($S$27:$S$38,3),$S$27:$S$38,0))</f>
        <v>4B</v>
      </c>
      <c r="AR201" s="58" t="str">
        <f ca="1">IF(AND(INT(LARGE($S$27:$S$42,3))&gt;=60,I82&gt;=75),F82,"")</f>
        <v/>
      </c>
      <c r="AS201" s="58">
        <f ca="1">IF(AR201="",0,I82*100-ROW()*0.01)</f>
        <v>0</v>
      </c>
      <c r="AT201" s="78"/>
      <c r="AU201" s="78"/>
      <c r="AV201" s="60" t="s">
        <v>315</v>
      </c>
      <c r="AW201" s="59" t="s">
        <v>1028</v>
      </c>
    </row>
    <row r="202" spans="2:49" ht="29.25" customHeight="1">
      <c r="B202" s="191"/>
      <c r="C202" s="191"/>
      <c r="D202" s="191"/>
      <c r="E202" s="191"/>
      <c r="F202" s="191"/>
      <c r="G202" s="191"/>
      <c r="H202" s="191"/>
      <c r="I202" s="191"/>
      <c r="J202" s="191"/>
      <c r="K202" s="191"/>
      <c r="L202" s="191"/>
      <c r="M202" s="191"/>
      <c r="N202" s="191"/>
      <c r="O202" s="191"/>
      <c r="P202" s="191"/>
      <c r="Q202" s="191"/>
      <c r="AP202" s="183" t="s">
        <v>759</v>
      </c>
      <c r="AQ202" s="59">
        <f ca="1">INDEX($I$27:$I$38,MATCH(LARGE($S$27:$S$38,3),$S$27:$S$38,0))</f>
        <v>75</v>
      </c>
      <c r="AR202" s="58">
        <f ca="1">AT215</f>
        <v>4</v>
      </c>
      <c r="AT202" s="78"/>
      <c r="AU202" s="78"/>
      <c r="AV202" s="60">
        <v>3.1</v>
      </c>
      <c r="AW202" s="59" t="s">
        <v>1029</v>
      </c>
    </row>
    <row r="203" spans="2:49" ht="29.25" customHeight="1">
      <c r="B203" s="191"/>
      <c r="C203" s="191"/>
      <c r="D203" s="191"/>
      <c r="E203" s="191"/>
      <c r="F203" s="191"/>
      <c r="G203" s="191"/>
      <c r="H203" s="191"/>
      <c r="I203" s="191"/>
      <c r="J203" s="191"/>
      <c r="K203" s="191"/>
      <c r="L203" s="191"/>
      <c r="M203" s="191"/>
      <c r="N203" s="191"/>
      <c r="O203" s="191"/>
      <c r="P203" s="191"/>
      <c r="Q203" s="191"/>
      <c r="AQ203" s="59">
        <f ca="1">COUNTIF(I27:I42,"&gt;=75")</f>
        <v>3</v>
      </c>
      <c r="AR203" s="58" t="str">
        <f ca="1">IF(AR202&gt;=1,_xlfn._LONGTEXT("Asimismo, mediante el análisis de las facetas de Grossman elevadas en las escalas de los patrones clínicos de la personalidad y de la patología grave de la personalidad, resulta posible identificar los dominios funcionales y estructurales más problemático","s o clínicamente significativos del evaluado(a), tales como la autoimagen, la expresión emocional o el comportamiento interpersonal. Un análisis detenido de dichas puntuaciones indica que las siguientes características figuran entre los rasgos más promine","ntes de su personalidad. "),_xlfn._LONGTEXT("En el conjunto de las facetas de Grossman no se identifican puntuaciones que alcancen el umbral de significación clínica considerado; por consiguiente, el nivel más molecular del análisis de los dominios funcionales y estructurales no aporta, en este caso",", información adicional relevante a la ya derivada de la interpretación de los patrones de personalidad. "))</f>
        <v xml:space="preserve">Asimismo, mediante el análisis de las facetas de Grossman elevadas en las escalas de los patrones clínicos de la personalidad y de la patología grave de la personalidad, resulta posible identificar los dominios funcionales y estructurales más problemáticos o clínicamente significativos del evaluado(a), tales como la autoimagen, la expresión emocional o el comportamiento interpersonal. Un análisis detenido de dichas puntuaciones indica que las siguientes características figuran entre los rasgos más prominentes de su personalidad. </v>
      </c>
      <c r="AT203" s="78"/>
      <c r="AU203" s="78"/>
      <c r="AV203" s="60">
        <v>3.2</v>
      </c>
      <c r="AW203" s="59" t="s">
        <v>1030</v>
      </c>
    </row>
    <row r="204" spans="2:49" ht="29.25" customHeight="1">
      <c r="B204" s="191"/>
      <c r="C204" s="191"/>
      <c r="D204" s="191"/>
      <c r="E204" s="191"/>
      <c r="F204" s="191"/>
      <c r="G204" s="191"/>
      <c r="H204" s="191"/>
      <c r="I204" s="191"/>
      <c r="J204" s="191"/>
      <c r="K204" s="191"/>
      <c r="L204" s="191"/>
      <c r="M204" s="191"/>
      <c r="N204" s="191"/>
      <c r="O204" s="191"/>
      <c r="P204" s="191"/>
      <c r="Q204" s="191"/>
      <c r="AQ204" s="58">
        <f ca="1">COUNTIF(I27:I42,"&gt;=85")</f>
        <v>0</v>
      </c>
      <c r="AR204" s="59" t="str">
        <f ca="1">IF(AT210="","","Lo más destacable es "&amp;IFERROR(INDEX($AW$193:$AW$237,MATCH(AT210,$AV$193:$AV$237,0)),"")&amp;". ")</f>
        <v xml:space="preserve">Lo más destacable es una búsqueda activa de elogios y la manipulación de los demás para obtener la seguridad, atención y aprobación que necesita; tiende a mostrarse exigente, coqueto, engreído y seductoramente exhibicionista, en particular cuando quiere ser el centro de atención. </v>
      </c>
      <c r="AT204" s="78"/>
      <c r="AU204" s="78"/>
      <c r="AV204" s="60">
        <v>3.3</v>
      </c>
      <c r="AW204" s="59" t="s">
        <v>1031</v>
      </c>
    </row>
    <row r="205" spans="2:49" ht="29.25" customHeight="1">
      <c r="B205" s="191"/>
      <c r="C205" s="191"/>
      <c r="D205" s="191"/>
      <c r="E205" s="191"/>
      <c r="F205" s="191"/>
      <c r="G205" s="191"/>
      <c r="H205" s="191"/>
      <c r="I205" s="191"/>
      <c r="J205" s="191"/>
      <c r="K205" s="191"/>
      <c r="L205" s="191"/>
      <c r="M205" s="191"/>
      <c r="N205" s="191"/>
      <c r="O205" s="191"/>
      <c r="P205" s="191"/>
      <c r="Q205" s="191"/>
      <c r="AQ205" s="58" t="str">
        <f ca="1">IF(AND(AQ187&lt;&gt;"S",AQ187&lt;&gt;"C",AQ187&lt;&gt;"P"),AQ187,IF(AND(AQ189&lt;&gt;"S",AQ189&lt;&gt;"C",AQ189&lt;&gt;"P"),AQ189,IF(AND(AQ191&lt;&gt;"S",AQ191&lt;&gt;"C",AQ191&lt;&gt;"P"),AQ191,IF(AND(AQ194&lt;&gt;"S",AQ194&lt;&gt;"C",AQ194&lt;&gt;"P"),AQ194,IF(AND(AQ196&lt;&gt;"S",AQ196&lt;&gt;"C",AQ196&lt;&gt;"P"),AQ196,"")))))</f>
        <v>4A</v>
      </c>
      <c r="AR205" s="78" t="str">
        <f ca="1">IF(AT211="","","Asimismo sobresale "&amp;IFERROR(INDEX($AW$193:$AW$237,MATCH(AT211,$AV$193:$AV$237,0)),"")&amp;". ")</f>
        <v xml:space="preserve">Asimismo sobresale una conducta enérgica, decidida, emocionalmente excitable y entusiasta, sobre un sustrato de vitalidad sostenida y una inquietud que rara vez se aplaca; este ánimo sostenido, no obstante, no se traduce necesariamente en logros efectivos y, cuando esto sucede, puede derivar en obstinación con los demás y en conductas cáusticas o agresivas. </v>
      </c>
      <c r="AT205" s="78"/>
      <c r="AU205" s="78"/>
      <c r="AV205" s="60" t="s">
        <v>319</v>
      </c>
      <c r="AW205" s="59" t="s">
        <v>1032</v>
      </c>
    </row>
    <row r="206" spans="2:49" ht="29.25" customHeight="1">
      <c r="B206" s="191"/>
      <c r="C206" s="191"/>
      <c r="D206" s="191"/>
      <c r="E206" s="191"/>
      <c r="F206" s="191"/>
      <c r="G206" s="191"/>
      <c r="H206" s="191"/>
      <c r="I206" s="191"/>
      <c r="J206" s="191"/>
      <c r="K206" s="191"/>
      <c r="L206" s="191"/>
      <c r="M206" s="191"/>
      <c r="N206" s="191"/>
      <c r="O206" s="191"/>
      <c r="P206" s="191"/>
      <c r="Q206" s="191"/>
      <c r="AQ206" s="58">
        <f ca="1">IF(AND(AQ187&lt;&gt;"S",AQ187&lt;&gt;"C",AQ187&lt;&gt;"P"),AQ188,IF(AND(AQ189&lt;&gt;"S",AQ189&lt;&gt;"C",AQ189&lt;&gt;"P"),AQ190,IF(AND(AQ191&lt;&gt;"S",AQ191&lt;&gt;"C",AQ191&lt;&gt;"P"),AQ192,IF(AND(AQ194&lt;&gt;"S",AQ194&lt;&gt;"C",AQ194&lt;&gt;"P"),AQ195,IF(AND(AQ196&lt;&gt;"S",AQ196&lt;&gt;"C",AQ196&lt;&gt;"P"),AQ197,0)))))</f>
        <v>78</v>
      </c>
      <c r="AR206" s="78" t="str">
        <f ca="1">IF(AT212="","","Es también digna de atención "&amp;IFERROR(INDEX($AW$193:$AW$237,MATCH(AT212,$AV$193:$AV$237,0)),"")&amp;". ")</f>
        <v xml:space="preserve">Es también digna de atención una disposición optimista y animada en los vínculos sociales, junto con el intento de atraer a los demás mediante un entusiasmo contagioso; no obstante, bajo presión o en estados eufóricos puede volverse entrometido, autoritario e innecesariamente intruso. </v>
      </c>
      <c r="AT206" s="78"/>
      <c r="AU206" s="78"/>
      <c r="AV206" s="60" t="s">
        <v>320</v>
      </c>
      <c r="AW206" s="59" t="s">
        <v>937</v>
      </c>
    </row>
    <row r="207" spans="2:49" ht="29.25" customHeight="1">
      <c r="B207" s="191"/>
      <c r="C207" s="191"/>
      <c r="D207" s="191"/>
      <c r="E207" s="191"/>
      <c r="F207" s="191"/>
      <c r="G207" s="191"/>
      <c r="H207" s="191"/>
      <c r="I207" s="191"/>
      <c r="J207" s="191"/>
      <c r="K207" s="191"/>
      <c r="L207" s="191"/>
      <c r="M207" s="191"/>
      <c r="N207" s="191"/>
      <c r="O207" s="191"/>
      <c r="P207" s="191"/>
      <c r="Q207" s="191"/>
      <c r="AQ207" s="58">
        <f ca="1">IF(AND(AQ189&lt;&gt;AQ205,AQ189&lt;&gt;"S",AQ189&lt;&gt;"C",AQ189&lt;&gt;"P"),AQ189,IF(AND(AQ191&lt;&gt;AQ205,AQ191&lt;&gt;"S",AQ191&lt;&gt;"C",AQ191&lt;&gt;"P"),AQ191,IF(AND(AQ194&lt;&gt;AQ205,AQ194&lt;&gt;"S",AQ194&lt;&gt;"C",AQ194&lt;&gt;"P"),AQ194,IF(AND(AQ196&lt;&gt;AQ205,AQ196&lt;&gt;"S",AQ196&lt;&gt;"C",AQ196&lt;&gt;"P"),AQ196,""))))</f>
        <v>3</v>
      </c>
      <c r="AR207" s="78" t="str">
        <f ca="1">IF(AT213="","","Merece asimismo señalarse "&amp;IFERROR(INDEX($AW$193:$AW$237,MATCH(AT213,$AV$193:$AV$237,0)),"")&amp;". ")</f>
        <v xml:space="preserve">Merece asimismo señalarse una sensibilidad emocional y la expresión de sentimientos, positivos y negativos, que cambian con facilidad; pasa con rapidez de la alegría y el entusiasmo a la impulsividad, el enfado o el aburrimiento, sobre un alto nivel de activación autónoma. </v>
      </c>
      <c r="AT207" s="78"/>
      <c r="AU207" s="78"/>
      <c r="AV207" s="60" t="s">
        <v>321</v>
      </c>
      <c r="AW207" s="59" t="s">
        <v>1033</v>
      </c>
    </row>
    <row r="208" spans="2:49" ht="29.25" customHeight="1">
      <c r="B208" s="191"/>
      <c r="C208" s="191"/>
      <c r="D208" s="191"/>
      <c r="E208" s="191"/>
      <c r="F208" s="191"/>
      <c r="G208" s="191"/>
      <c r="H208" s="191"/>
      <c r="I208" s="191"/>
      <c r="J208" s="191"/>
      <c r="K208" s="191"/>
      <c r="L208" s="191"/>
      <c r="M208" s="191"/>
      <c r="N208" s="191"/>
      <c r="O208" s="191"/>
      <c r="P208" s="191"/>
      <c r="Q208" s="191"/>
      <c r="AQ208" s="58">
        <f ca="1">IF(AND(AQ189&lt;&gt;AQ205,AQ189&lt;&gt;"S",AQ189&lt;&gt;"C",AQ189&lt;&gt;"P"),AQ190,IF(AND(AQ191&lt;&gt;AQ205,AQ191&lt;&gt;"S",AQ191&lt;&gt;"C",AQ191&lt;&gt;"P"),AQ192,IF(AND(AQ194&lt;&gt;AQ205,AQ194&lt;&gt;"S",AQ194&lt;&gt;"C",AQ194&lt;&gt;"P"),AQ195,IF(AND(AQ196&lt;&gt;AQ205,AQ196&lt;&gt;"S",AQ196&lt;&gt;"C",AQ196&lt;&gt;"P"),AQ197,0))))</f>
        <v>78</v>
      </c>
      <c r="AR208" s="78" t="str">
        <f ca="1">IF(AT215&gt;=1,"Los esfuerzos terapéuticos iniciales tenderán a producir resultados óptimos si se orientan a la modificación de estos rasgos de la personalidad.","")</f>
        <v>Los esfuerzos terapéuticos iniciales tenderán a producir resultados óptimos si se orientan a la modificación de estos rasgos de la personalidad.</v>
      </c>
      <c r="AT208" s="78"/>
      <c r="AU208" s="78"/>
      <c r="AV208" s="60" t="s">
        <v>322</v>
      </c>
      <c r="AW208" s="59" t="s">
        <v>1034</v>
      </c>
    </row>
    <row r="209" spans="2:56" ht="29.25" customHeight="1">
      <c r="B209" s="191"/>
      <c r="C209" s="191"/>
      <c r="D209" s="191"/>
      <c r="E209" s="191"/>
      <c r="F209" s="191"/>
      <c r="G209" s="191"/>
      <c r="H209" s="191"/>
      <c r="I209" s="191"/>
      <c r="J209" s="191"/>
      <c r="K209" s="191"/>
      <c r="L209" s="191"/>
      <c r="M209" s="191"/>
      <c r="N209" s="191"/>
      <c r="O209" s="191"/>
      <c r="P209" s="191"/>
      <c r="Q209" s="191"/>
      <c r="AQ209" s="58" t="str">
        <f ca="1">IF(AND(AQ191&lt;&gt;AQ205,AQ191&lt;&gt;AQ207,AQ191&lt;&gt;"S",AQ191&lt;&gt;"C",AQ191&lt;&gt;"P"),AQ191,IF(AND(AQ194&lt;&gt;AQ205,AQ194&lt;&gt;AQ207,AQ194&lt;&gt;"S",AQ194&lt;&gt;"C",AQ194&lt;&gt;"P"),AQ194,IF(AND(AQ196&lt;&gt;AQ205,AQ196&lt;&gt;AQ207,AQ196&lt;&gt;"S",AQ196&lt;&gt;"C",AQ196&lt;&gt;"P"),AQ196,"")))</f>
        <v>4B</v>
      </c>
      <c r="AR209" s="59"/>
      <c r="AT209" s="78"/>
      <c r="AU209" s="78"/>
      <c r="AV209" s="60" t="s">
        <v>323</v>
      </c>
      <c r="AW209" s="59" t="s">
        <v>1010</v>
      </c>
    </row>
    <row r="210" spans="2:56" ht="29.25" customHeight="1">
      <c r="B210" s="191"/>
      <c r="C210" s="191"/>
      <c r="D210" s="191"/>
      <c r="E210" s="191"/>
      <c r="F210" s="191"/>
      <c r="G210" s="191"/>
      <c r="H210" s="191"/>
      <c r="I210" s="191"/>
      <c r="J210" s="191"/>
      <c r="K210" s="191"/>
      <c r="L210" s="191"/>
      <c r="M210" s="191"/>
      <c r="N210" s="191"/>
      <c r="O210" s="191"/>
      <c r="P210" s="191"/>
      <c r="Q210" s="191"/>
      <c r="AQ210" s="58">
        <f ca="1">IF(AND(AQ191&lt;&gt;AQ205,AQ191&lt;&gt;AQ207,AQ191&lt;&gt;"S",AQ191&lt;&gt;"C",AQ191&lt;&gt;"P"),AQ192,IF(AND(AQ194&lt;&gt;AQ205,AQ194&lt;&gt;AQ207,AQ194&lt;&gt;"S",AQ194&lt;&gt;"C",AQ194&lt;&gt;"P"),AQ195,IF(AND(AQ196&lt;&gt;AQ205,AQ196&lt;&gt;AQ207,AQ196&lt;&gt;"S",AQ196&lt;&gt;"C",AQ196&lt;&gt;"P"),AQ197,0)))</f>
        <v>75</v>
      </c>
      <c r="AR210" s="59"/>
      <c r="AS210" s="58">
        <f ca="1">IF(AND(INT(LARGE($S$27:$S$42,1))&gt;=60,I72&gt;=75),I72+0.009,0)</f>
        <v>0</v>
      </c>
      <c r="AT210" s="78" t="str">
        <f ca="1">IFERROR(INDEX(CHOOSE(MATCH(LARGE($AS$210:$AS$218,1),$AS$210:$AS$218,0),F72,F73,F74,F76,F77,F78,F80,F81,F82),1),"")</f>
        <v>4A.2</v>
      </c>
      <c r="AU210" s="78"/>
      <c r="AV210" s="60" t="s">
        <v>324</v>
      </c>
      <c r="AW210" s="59" t="s">
        <v>938</v>
      </c>
      <c r="BD210" s="181"/>
    </row>
    <row r="211" spans="2:56" ht="29.25" customHeight="1">
      <c r="B211" s="191"/>
      <c r="C211" s="191"/>
      <c r="D211" s="191"/>
      <c r="E211" s="191"/>
      <c r="F211" s="191"/>
      <c r="G211" s="191"/>
      <c r="H211" s="191"/>
      <c r="I211" s="191"/>
      <c r="J211" s="191"/>
      <c r="K211" s="191"/>
      <c r="L211" s="191"/>
      <c r="M211" s="191"/>
      <c r="N211" s="191"/>
      <c r="O211" s="191"/>
      <c r="P211" s="191"/>
      <c r="Q211" s="191"/>
      <c r="AQ211" s="58" t="str">
        <f ca="1">IF(MAX(I40:I42)&gt;=60,INDEX(F40:F42,MATCH(MAX(I40:I42),I40:I42,0)),"")</f>
        <v/>
      </c>
      <c r="AR211" s="59"/>
      <c r="AS211" s="58">
        <f ca="1">IF(AND(INT(LARGE($S$27:$S$42,1))&gt;=60,I73&gt;=75),I73+0.008,0)</f>
        <v>93.007999999999996</v>
      </c>
      <c r="AT211" s="78" t="str">
        <f ca="1">IFERROR(INDEX(CHOOSE(MATCH(LARGE($AS$210:$AS$218,2),$AS$210:$AS$218,0),F72,F73,F74,F76,F77,F78,F80,F81,F82),1),"")</f>
        <v>4B.1</v>
      </c>
      <c r="AU211" s="78"/>
      <c r="AV211" s="60">
        <v>5.0999999999999996</v>
      </c>
      <c r="AW211" s="59" t="s">
        <v>1035</v>
      </c>
      <c r="BD211" s="181"/>
    </row>
    <row r="212" spans="2:56" ht="29.25" customHeight="1">
      <c r="B212" s="191"/>
      <c r="C212" s="191"/>
      <c r="D212" s="191"/>
      <c r="E212" s="191"/>
      <c r="F212" s="191"/>
      <c r="G212" s="191"/>
      <c r="H212" s="191"/>
      <c r="I212" s="191"/>
      <c r="J212" s="191"/>
      <c r="K212" s="191"/>
      <c r="L212" s="191"/>
      <c r="M212" s="191"/>
      <c r="N212" s="191"/>
      <c r="O212" s="191"/>
      <c r="P212" s="191"/>
      <c r="Q212" s="191"/>
      <c r="AQ212" s="58">
        <f ca="1">IF(MAX(I40:I42)&gt;=60,MAX(I40:I42),0)</f>
        <v>0</v>
      </c>
      <c r="AR212" s="59"/>
      <c r="AS212" s="58">
        <f ca="1">IF(AND(INT(LARGE($S$27:$S$42,1))&gt;=60,I74&gt;=75),I74+0.007,0)</f>
        <v>75.007000000000005</v>
      </c>
      <c r="AT212" s="78" t="str">
        <f ca="1">IFERROR(INDEX(CHOOSE(MATCH(LARGE($AS$210:$AS$218,3),$AS$210:$AS$218,0),F72,F73,F74,F76,F77,F78,F80,F81,F82),1),"")</f>
        <v>4B.2</v>
      </c>
      <c r="AU212" s="78"/>
      <c r="AV212" s="60">
        <v>5.2</v>
      </c>
      <c r="AW212" s="59" t="s">
        <v>1011</v>
      </c>
      <c r="BD212" s="181"/>
    </row>
    <row r="213" spans="2:56" ht="29.25" customHeight="1">
      <c r="B213" s="191"/>
      <c r="C213" s="191"/>
      <c r="D213" s="191"/>
      <c r="E213" s="191"/>
      <c r="F213" s="191"/>
      <c r="G213" s="191"/>
      <c r="H213" s="191"/>
      <c r="I213" s="191"/>
      <c r="J213" s="191"/>
      <c r="K213" s="191"/>
      <c r="L213" s="191"/>
      <c r="M213" s="191"/>
      <c r="N213" s="191"/>
      <c r="O213" s="191"/>
      <c r="P213" s="191"/>
      <c r="Q213" s="191"/>
      <c r="AR213" s="59"/>
      <c r="AS213" s="58">
        <f ca="1">IF(AND(INT(LARGE($S$27:$S$42,2))&gt;=60,I76&gt;=75),I76+0.006,0)</f>
        <v>0</v>
      </c>
      <c r="AT213" s="78" t="str">
        <f ca="1">IFERROR(INDEX(CHOOSE(MATCH(LARGE($AS$210:$AS$218,4),$AS$210:$AS$218,0),F72,F73,F74,F76,F77,F78,F80,F81,F82),1),"")</f>
        <v>4A.3</v>
      </c>
      <c r="AU213" s="78"/>
      <c r="AV213" s="60">
        <v>5.3</v>
      </c>
      <c r="AW213" s="59" t="s">
        <v>1036</v>
      </c>
      <c r="BD213" s="181"/>
    </row>
    <row r="214" spans="2:56" ht="29.25" customHeight="1">
      <c r="B214" s="191"/>
      <c r="C214" s="191"/>
      <c r="D214" s="191"/>
      <c r="E214" s="191"/>
      <c r="F214" s="191"/>
      <c r="G214" s="191"/>
      <c r="H214" s="191"/>
      <c r="I214" s="191"/>
      <c r="J214" s="191"/>
      <c r="K214" s="191"/>
      <c r="L214" s="191"/>
      <c r="M214" s="191"/>
      <c r="N214" s="191"/>
      <c r="O214" s="191"/>
      <c r="P214" s="191"/>
      <c r="Q214" s="191"/>
      <c r="AR214" s="59"/>
      <c r="AS214" s="58">
        <f ca="1">IF(AND(INT(LARGE($S$27:$S$42,2))&gt;=60,I77&gt;=75),I77+0.005,0)</f>
        <v>0</v>
      </c>
      <c r="AT214" s="78"/>
      <c r="AU214" s="78"/>
      <c r="AV214" s="60" t="s">
        <v>328</v>
      </c>
      <c r="AW214" s="59" t="s">
        <v>939</v>
      </c>
      <c r="BD214" s="181"/>
    </row>
    <row r="215" spans="2:56" ht="29.25" customHeight="1">
      <c r="B215" s="191"/>
      <c r="C215" s="191"/>
      <c r="D215" s="191"/>
      <c r="E215" s="191"/>
      <c r="F215" s="191"/>
      <c r="G215" s="191"/>
      <c r="H215" s="191"/>
      <c r="I215" s="191"/>
      <c r="J215" s="191"/>
      <c r="K215" s="191"/>
      <c r="L215" s="191"/>
      <c r="M215" s="191"/>
      <c r="N215" s="191"/>
      <c r="O215" s="191"/>
      <c r="P215" s="191"/>
      <c r="Q215" s="191"/>
      <c r="AR215" s="59" t="str">
        <f ca="1">IFERROR(INDEX(F47:F57,MATCH(LARGE(S47:S57,1),S47:S57,0)),"")</f>
        <v>A</v>
      </c>
      <c r="AS215" s="58">
        <f ca="1">IF(AND(INT(LARGE($S$27:$S$42,2))&gt;=60,I78&gt;=75),I78+0.004,0)</f>
        <v>0</v>
      </c>
      <c r="AT215" s="78">
        <f ca="1">COUNTIF(AS210:AS218,"&gt;0")</f>
        <v>4</v>
      </c>
      <c r="AU215" s="78"/>
      <c r="AV215" s="60" t="s">
        <v>329</v>
      </c>
      <c r="AW215" s="59" t="s">
        <v>940</v>
      </c>
      <c r="BD215" s="181"/>
    </row>
    <row r="216" spans="2:56" ht="29.25" customHeight="1">
      <c r="B216" s="191"/>
      <c r="C216" s="191"/>
      <c r="D216" s="191"/>
      <c r="E216" s="191"/>
      <c r="F216" s="191"/>
      <c r="G216" s="191"/>
      <c r="H216" s="191"/>
      <c r="I216" s="191"/>
      <c r="J216" s="191"/>
      <c r="K216" s="191"/>
      <c r="L216" s="191"/>
      <c r="M216" s="191"/>
      <c r="N216" s="191"/>
      <c r="O216" s="191"/>
      <c r="P216" s="191"/>
      <c r="Q216" s="191"/>
      <c r="AR216" s="59">
        <f ca="1">IFERROR(INDEX(I47:I57,MATCH(LARGE(S47:S57,1),S47:S57,0)),0)</f>
        <v>90</v>
      </c>
      <c r="AS216" s="58">
        <f ca="1">IF(AND(INT(LARGE($S$27:$S$42,3))&gt;=60,I80&gt;=75),I80+0.003,0)</f>
        <v>85.003</v>
      </c>
      <c r="AT216" s="78"/>
      <c r="AU216" s="78"/>
      <c r="AV216" s="60" t="s">
        <v>330</v>
      </c>
      <c r="AW216" s="59" t="s">
        <v>941</v>
      </c>
      <c r="BD216" s="181"/>
    </row>
    <row r="217" spans="2:56" ht="29.25" customHeight="1">
      <c r="B217" s="191"/>
      <c r="C217" s="191"/>
      <c r="D217" s="191"/>
      <c r="E217" s="191"/>
      <c r="F217" s="191"/>
      <c r="G217" s="191"/>
      <c r="H217" s="191"/>
      <c r="I217" s="191"/>
      <c r="J217" s="191"/>
      <c r="K217" s="191"/>
      <c r="L217" s="191"/>
      <c r="M217" s="191"/>
      <c r="N217" s="191"/>
      <c r="O217" s="191"/>
      <c r="P217" s="191"/>
      <c r="Q217" s="191"/>
      <c r="AR217" s="59" t="str">
        <f ca="1">IFERROR(INDEX(F47:F57,MATCH(LARGE(S47:S57,2),S47:S57,0)),"")</f>
        <v>CC</v>
      </c>
      <c r="AS217" s="58">
        <f ca="1">IF(AND(INT(LARGE($S$27:$S$42,3))&gt;=60,I81&gt;=75),I81+0.002,0)</f>
        <v>85.001999999999995</v>
      </c>
      <c r="AT217" s="78"/>
      <c r="AU217" s="78"/>
      <c r="AV217" s="60" t="s">
        <v>331</v>
      </c>
      <c r="AW217" s="59" t="s">
        <v>1037</v>
      </c>
      <c r="BD217" s="181"/>
    </row>
    <row r="218" spans="2:56" ht="29.25" customHeight="1">
      <c r="B218" s="191"/>
      <c r="C218" s="191"/>
      <c r="D218" s="191"/>
      <c r="E218" s="191"/>
      <c r="F218" s="191"/>
      <c r="G218" s="191"/>
      <c r="H218" s="191"/>
      <c r="I218" s="191"/>
      <c r="J218" s="191"/>
      <c r="K218" s="191"/>
      <c r="L218" s="191"/>
      <c r="M218" s="191"/>
      <c r="N218" s="191"/>
      <c r="O218" s="191"/>
      <c r="P218" s="191"/>
      <c r="Q218" s="191"/>
      <c r="AQ218" s="59"/>
      <c r="AR218" s="58">
        <f ca="1">IFERROR(INDEX(I47:I57,MATCH(LARGE(S47:S57,2),S47:S57,0)),0)</f>
        <v>82</v>
      </c>
      <c r="AS218" s="58">
        <f ca="1">IF(AND(INT(LARGE($S$27:$S$42,3))&gt;=60,I82&gt;=75),I82+0.001,0)</f>
        <v>0</v>
      </c>
      <c r="AT218" s="78"/>
      <c r="AU218" s="78"/>
      <c r="AV218" s="60" t="s">
        <v>332</v>
      </c>
      <c r="AW218" s="59" t="s">
        <v>942</v>
      </c>
      <c r="BD218" s="181"/>
    </row>
    <row r="219" spans="2:56" ht="29.25" customHeight="1">
      <c r="B219" s="191"/>
      <c r="C219" s="191"/>
      <c r="D219" s="191"/>
      <c r="E219" s="191"/>
      <c r="F219" s="191"/>
      <c r="G219" s="191"/>
      <c r="H219" s="191"/>
      <c r="I219" s="191"/>
      <c r="J219" s="191"/>
      <c r="K219" s="191"/>
      <c r="L219" s="191"/>
      <c r="M219" s="191"/>
      <c r="N219" s="191"/>
      <c r="O219" s="191"/>
      <c r="P219" s="191"/>
      <c r="Q219" s="191"/>
      <c r="AP219" s="78"/>
      <c r="AQ219" s="78"/>
      <c r="AR219" s="78" t="str">
        <f ca="1">IFERROR(INDEX(F47:F57,MATCH(LARGE(S47:S57,3),S47:S57,0)),"")</f>
        <v>N</v>
      </c>
      <c r="AS219" s="78"/>
      <c r="AT219" s="78"/>
      <c r="AU219" s="78"/>
      <c r="AV219" s="60" t="s">
        <v>333</v>
      </c>
      <c r="AW219" s="59" t="s">
        <v>1038</v>
      </c>
      <c r="BD219" s="181"/>
    </row>
    <row r="220" spans="2:56" ht="29.25" customHeight="1">
      <c r="B220" s="191"/>
      <c r="C220" s="191"/>
      <c r="D220" s="191"/>
      <c r="E220" s="191"/>
      <c r="F220" s="191"/>
      <c r="G220" s="191"/>
      <c r="H220" s="191"/>
      <c r="I220" s="191"/>
      <c r="J220" s="191"/>
      <c r="K220" s="191"/>
      <c r="L220" s="191"/>
      <c r="M220" s="191"/>
      <c r="N220" s="191"/>
      <c r="O220" s="191"/>
      <c r="P220" s="191"/>
      <c r="Q220" s="191"/>
      <c r="AP220" s="78"/>
      <c r="AQ220" s="78"/>
      <c r="AR220" s="78">
        <f ca="1">IFERROR(INDEX(I47:I57,MATCH(LARGE(S47:S57,3),S47:S57,0)),0)</f>
        <v>75</v>
      </c>
      <c r="AS220" s="78"/>
      <c r="AT220" s="78"/>
      <c r="AU220" s="78"/>
      <c r="AV220" s="60">
        <v>7.1</v>
      </c>
      <c r="AW220" s="59" t="s">
        <v>943</v>
      </c>
      <c r="BD220" s="181"/>
    </row>
    <row r="221" spans="2:56" ht="21.75" customHeight="1">
      <c r="B221" s="170"/>
      <c r="C221" s="170"/>
      <c r="D221" s="170"/>
      <c r="E221" s="170"/>
      <c r="F221" s="170"/>
      <c r="G221" s="171"/>
      <c r="H221" s="171"/>
      <c r="I221" s="172"/>
      <c r="J221" s="170"/>
      <c r="K221" s="170"/>
      <c r="L221" s="170"/>
      <c r="M221" s="170"/>
      <c r="N221" s="170"/>
      <c r="O221" s="171"/>
      <c r="P221" s="171"/>
      <c r="Q221" s="171"/>
      <c r="AF221" s="78"/>
      <c r="AG221" s="78"/>
      <c r="AH221" s="78"/>
      <c r="AI221" s="78"/>
      <c r="AJ221" s="78"/>
      <c r="AK221" s="78"/>
      <c r="AL221" s="78"/>
      <c r="AM221" s="78"/>
      <c r="AN221" s="78"/>
      <c r="AP221" s="78"/>
      <c r="AQ221" s="78"/>
      <c r="AR221" s="78" t="str">
        <f ca="1">IFERROR(INDEX(F55:F57,MATCH(LARGE(S55:S57,1),S55:S57,0)),"")</f>
        <v>CC</v>
      </c>
      <c r="AS221" s="78"/>
      <c r="AT221" s="78"/>
      <c r="AU221" s="78"/>
      <c r="AV221" s="60">
        <v>7.2</v>
      </c>
      <c r="AW221" s="59" t="s">
        <v>944</v>
      </c>
      <c r="BD221" s="181"/>
    </row>
    <row r="222" spans="2:56" ht="21.75" customHeight="1">
      <c r="B222" s="190" t="s">
        <v>550</v>
      </c>
      <c r="C222" s="170"/>
      <c r="D222" s="170"/>
      <c r="E222" s="170"/>
      <c r="F222" s="170"/>
      <c r="G222" s="171"/>
      <c r="H222" s="171"/>
      <c r="I222" s="172"/>
      <c r="J222" s="170"/>
      <c r="K222" s="170"/>
      <c r="L222" s="170"/>
      <c r="M222" s="170"/>
      <c r="N222" s="170"/>
      <c r="O222" s="171"/>
      <c r="P222" s="171"/>
      <c r="Q222" s="171"/>
      <c r="AF222" s="78"/>
      <c r="AG222" s="78"/>
      <c r="AH222" s="78"/>
      <c r="AI222" s="78"/>
      <c r="AJ222" s="78"/>
      <c r="AK222" s="78"/>
      <c r="AL222" s="78"/>
      <c r="AM222" s="78"/>
      <c r="AN222" s="78"/>
      <c r="AP222" s="78"/>
      <c r="AQ222" s="78"/>
      <c r="AR222" s="78">
        <f ca="1">IFERROR(INDEX(I55:I57,MATCH(LARGE(S55:S57,1),S55:S57,0)),0)</f>
        <v>82</v>
      </c>
      <c r="AS222" s="78"/>
      <c r="AT222" s="78"/>
      <c r="AU222" s="78"/>
      <c r="AV222" s="78">
        <v>7.3</v>
      </c>
      <c r="AW222" s="78" t="s">
        <v>1039</v>
      </c>
      <c r="AX222" s="78"/>
      <c r="AY222" s="78"/>
      <c r="AZ222" s="78"/>
      <c r="BA222" s="78"/>
      <c r="BD222" s="181"/>
    </row>
    <row r="223" spans="2:56" ht="10.5" customHeight="1">
      <c r="B223" s="170"/>
      <c r="C223" s="170"/>
      <c r="D223" s="170"/>
      <c r="E223" s="170"/>
      <c r="F223" s="170"/>
      <c r="G223" s="171"/>
      <c r="H223" s="171"/>
      <c r="I223" s="172"/>
      <c r="J223" s="170"/>
      <c r="K223" s="170"/>
      <c r="L223" s="170"/>
      <c r="M223" s="170"/>
      <c r="N223" s="170"/>
      <c r="O223" s="171"/>
      <c r="P223" s="171"/>
      <c r="Q223" s="171"/>
      <c r="AF223" s="78"/>
      <c r="AG223" s="78"/>
      <c r="AH223" s="78"/>
      <c r="AI223" s="78"/>
      <c r="AJ223" s="78"/>
      <c r="AK223" s="78"/>
      <c r="AL223" s="78"/>
      <c r="AM223" s="78"/>
      <c r="AN223" s="78"/>
      <c r="AP223" s="78"/>
      <c r="AQ223" s="78"/>
      <c r="AR223" s="78">
        <f ca="1">COUNTIF(I47:I57,"&gt;=75")</f>
        <v>4</v>
      </c>
      <c r="AS223" s="78"/>
      <c r="AT223" s="78"/>
      <c r="AU223" s="78"/>
      <c r="AV223" s="78" t="s">
        <v>337</v>
      </c>
      <c r="AW223" s="78" t="s">
        <v>1040</v>
      </c>
      <c r="AX223" s="78"/>
      <c r="AY223" s="78"/>
      <c r="AZ223" s="78"/>
      <c r="BA223" s="78"/>
      <c r="BD223" s="181"/>
    </row>
    <row r="224" spans="2:56" ht="21.75" customHeight="1">
      <c r="B224" s="191" t="s">
        <v>739</v>
      </c>
      <c r="C224" s="191"/>
      <c r="D224" s="191"/>
      <c r="E224" s="191"/>
      <c r="F224" s="191"/>
      <c r="G224" s="191"/>
      <c r="H224" s="191"/>
      <c r="I224" s="191"/>
      <c r="J224" s="191"/>
      <c r="K224" s="191"/>
      <c r="L224" s="191"/>
      <c r="M224" s="191"/>
      <c r="N224" s="191"/>
      <c r="O224" s="191"/>
      <c r="P224" s="191"/>
      <c r="Q224" s="191"/>
      <c r="AF224" s="78"/>
      <c r="AG224" s="78"/>
      <c r="AH224" s="78"/>
      <c r="AI224" s="78"/>
      <c r="AJ224" s="78"/>
      <c r="AK224" s="78"/>
      <c r="AL224" s="78"/>
      <c r="AM224" s="78"/>
      <c r="AN224" s="78"/>
      <c r="AP224" s="78"/>
      <c r="AQ224" s="78"/>
      <c r="AR224" s="78">
        <f ca="1">IF(AND(I50&gt;=75,I56&gt;=75),1,0)</f>
        <v>0</v>
      </c>
      <c r="AS224" s="78"/>
      <c r="AT224" s="78"/>
      <c r="AU224" s="78"/>
      <c r="AV224" s="78" t="s">
        <v>338</v>
      </c>
      <c r="AW224" s="78" t="s">
        <v>945</v>
      </c>
      <c r="AX224" s="78"/>
      <c r="AY224" s="78"/>
      <c r="AZ224" s="78"/>
      <c r="BA224" s="78"/>
      <c r="BD224" s="181"/>
    </row>
    <row r="225" spans="2:56" ht="21.75" customHeight="1">
      <c r="B225" s="191"/>
      <c r="C225" s="191"/>
      <c r="D225" s="191"/>
      <c r="E225" s="191"/>
      <c r="F225" s="191"/>
      <c r="G225" s="191"/>
      <c r="H225" s="191"/>
      <c r="I225" s="191"/>
      <c r="J225" s="191"/>
      <c r="K225" s="191"/>
      <c r="L225" s="191"/>
      <c r="M225" s="191"/>
      <c r="N225" s="191"/>
      <c r="O225" s="191"/>
      <c r="P225" s="191"/>
      <c r="Q225" s="191"/>
      <c r="AF225" s="78"/>
      <c r="AG225" s="78"/>
      <c r="AH225" s="78"/>
      <c r="AI225" s="78"/>
      <c r="AJ225" s="78"/>
      <c r="AK225" s="78"/>
      <c r="AL225" s="78"/>
      <c r="AM225" s="78"/>
      <c r="AN225" s="78"/>
      <c r="AP225" s="78"/>
      <c r="AQ225" s="78"/>
      <c r="AR225" s="78" t="str">
        <f ca="1">IF(OR(AR215="SS",AR215="CC",AR215="PP"),AR215,IF(OR(AR217="SS",AR217="CC",AR217="PP"),AR217,IF(OR(AR219="SS",AR219="CC",AR219="PP"),AR219,AR215)))</f>
        <v>CC</v>
      </c>
      <c r="AS225" s="78"/>
      <c r="AT225" s="78"/>
      <c r="AU225" s="78"/>
      <c r="AV225" s="78" t="s">
        <v>339</v>
      </c>
      <c r="AW225" s="78" t="s">
        <v>1041</v>
      </c>
      <c r="AX225" s="78"/>
      <c r="AY225" s="78"/>
      <c r="AZ225" s="78"/>
      <c r="BA225" s="78"/>
      <c r="BD225" s="181"/>
    </row>
    <row r="226" spans="2:56" ht="6.75" customHeight="1">
      <c r="B226" s="143"/>
      <c r="C226" s="143"/>
      <c r="D226" s="143"/>
      <c r="E226" s="170"/>
      <c r="F226" s="170"/>
      <c r="G226" s="171"/>
      <c r="H226" s="171"/>
      <c r="I226" s="172"/>
      <c r="J226" s="170"/>
      <c r="K226" s="170"/>
      <c r="L226" s="170"/>
      <c r="M226" s="170"/>
      <c r="N226" s="170"/>
      <c r="O226" s="171"/>
      <c r="P226" s="171"/>
      <c r="Q226" s="171"/>
      <c r="AF226" s="78"/>
      <c r="AG226" s="78"/>
      <c r="AH226" s="78"/>
      <c r="AI226" s="78"/>
      <c r="AJ226" s="78"/>
      <c r="AK226" s="78"/>
      <c r="AL226" s="78"/>
      <c r="AM226" s="78"/>
      <c r="AN226" s="78"/>
      <c r="AP226" s="78"/>
      <c r="AQ226" s="78"/>
      <c r="AR226" s="78">
        <f ca="1">IF(OR(AR215="SS",AR215="CC",AR215="PP"),AR216,IF(OR(AR217="SS",AR217="CC",AR217="PP"),AR218,IF(OR(AR219="SS",AR219="CC",AR219="PP"),AR220,AR216)))</f>
        <v>82</v>
      </c>
      <c r="AS226" s="78"/>
      <c r="AT226" s="78"/>
      <c r="AU226" s="78"/>
      <c r="AV226" s="78" t="s">
        <v>340</v>
      </c>
      <c r="AW226" s="78" t="s">
        <v>969</v>
      </c>
      <c r="AX226" s="78"/>
      <c r="AY226" s="78"/>
      <c r="AZ226" s="78"/>
      <c r="BA226" s="78"/>
      <c r="BD226" s="181"/>
    </row>
    <row r="227" spans="2:56" ht="21.75" customHeight="1">
      <c r="B227" s="270" t="str" cm="1">
        <f t="array" ref="B227">IF(SUMPRODUCT(--(LEN(TRIM(B228:B234))&gt;0))=0,"","Preocupación por su salud (" &amp;SUMPRODUCT(--(LEN(TRIM(B228:B234))&gt;0)) &amp;"/6)")</f>
        <v>Preocupación por su salud (4/6)</v>
      </c>
      <c r="C227" s="270"/>
      <c r="D227" s="270"/>
      <c r="E227" s="264"/>
      <c r="F227" s="264"/>
      <c r="G227" s="266"/>
      <c r="H227" s="266"/>
      <c r="I227" s="267"/>
      <c r="J227" s="264"/>
      <c r="K227" s="264"/>
      <c r="L227" s="264"/>
      <c r="M227" s="264"/>
      <c r="N227" s="264"/>
      <c r="O227" s="266"/>
      <c r="P227" s="266"/>
      <c r="Q227" s="266"/>
      <c r="AF227" s="78"/>
      <c r="AG227" s="78"/>
      <c r="AH227" s="78"/>
      <c r="AI227" s="78"/>
      <c r="AJ227" s="78"/>
      <c r="AK227" s="78"/>
      <c r="AL227" s="78"/>
      <c r="AM227" s="78"/>
      <c r="AN227" s="78"/>
      <c r="AP227" s="78"/>
      <c r="AQ227" s="78"/>
      <c r="AR227" s="78" t="str">
        <f ca="1">IF(AR215&lt;&gt;AR225,AR215,IF(AR217&lt;&gt;AR225,AR217,AR219))</f>
        <v>A</v>
      </c>
      <c r="AS227" s="78"/>
      <c r="AT227" s="78"/>
      <c r="AU227" s="78"/>
      <c r="AV227" s="78" t="s">
        <v>341</v>
      </c>
      <c r="AW227" s="78" t="s">
        <v>946</v>
      </c>
      <c r="AX227" s="78"/>
      <c r="AY227" s="78"/>
      <c r="AZ227" s="78"/>
      <c r="BA227" s="78"/>
      <c r="BD227" s="181"/>
    </row>
    <row r="228" spans="2:56" ht="21.75" customHeight="1">
      <c r="B228" s="264" t="str">
        <f>IF(LEN(TRIM(Protocolo!I44))=0, " ", Protocolo!H44 &amp; ". " &amp; Protocolo!I44 &amp; " (Verdadero)")</f>
        <v>7. Me cuesta mantener el equilibrio cuando camino. (Verdadero)</v>
      </c>
      <c r="C228" s="264"/>
      <c r="D228" s="264"/>
      <c r="E228" s="264"/>
      <c r="F228" s="264"/>
      <c r="G228" s="266"/>
      <c r="H228" s="266"/>
      <c r="I228" s="267"/>
      <c r="J228" s="264"/>
      <c r="K228" s="264"/>
      <c r="L228" s="264"/>
      <c r="M228" s="264"/>
      <c r="N228" s="264"/>
      <c r="O228" s="266"/>
      <c r="P228" s="266"/>
      <c r="Q228" s="266"/>
      <c r="AF228" s="78"/>
      <c r="AG228" s="78"/>
      <c r="AH228" s="78"/>
      <c r="AI228" s="78"/>
      <c r="AJ228" s="78"/>
      <c r="AK228" s="78"/>
      <c r="AL228" s="78"/>
      <c r="AM228" s="78"/>
      <c r="AN228" s="78"/>
      <c r="AP228" s="78"/>
      <c r="AQ228" s="78"/>
      <c r="AR228" s="78">
        <f ca="1">IF(AR215&lt;&gt;AR225,AR216,IF(AR217&lt;&gt;AR225,AR218,AR220))</f>
        <v>90</v>
      </c>
      <c r="AS228" s="78"/>
      <c r="AT228" s="78"/>
      <c r="AU228" s="78"/>
      <c r="AV228" s="78" t="s">
        <v>342</v>
      </c>
      <c r="AW228" s="78" t="s">
        <v>1042</v>
      </c>
      <c r="AX228" s="78"/>
      <c r="AY228" s="78"/>
      <c r="AZ228" s="78"/>
      <c r="BA228" s="78"/>
      <c r="BD228" s="181"/>
    </row>
    <row r="229" spans="2:56" ht="21.75" customHeight="1">
      <c r="B229" s="264" t="str">
        <f>IF(LEN(TRIM(Protocolo!I45))=0, " ", Protocolo!H45 &amp; ". " &amp; Protocolo!I45 &amp; " (Verdadero)")</f>
        <v>41. Tengo la sensación de que no duermo, y me levanto tan cansado como al acostarme. (Verdadero)</v>
      </c>
      <c r="C229" s="264"/>
      <c r="D229" s="264"/>
      <c r="E229" s="264"/>
      <c r="F229" s="264"/>
      <c r="G229" s="266"/>
      <c r="H229" s="266"/>
      <c r="I229" s="267"/>
      <c r="J229" s="264"/>
      <c r="K229" s="264"/>
      <c r="L229" s="264"/>
      <c r="M229" s="264"/>
      <c r="N229" s="264"/>
      <c r="O229" s="266"/>
      <c r="P229" s="266"/>
      <c r="Q229" s="266"/>
      <c r="AF229" s="78"/>
      <c r="AG229" s="78"/>
      <c r="AH229" s="78"/>
      <c r="AI229" s="78"/>
      <c r="AJ229" s="78"/>
      <c r="AK229" s="78"/>
      <c r="AL229" s="78"/>
      <c r="AM229" s="78"/>
      <c r="AN229" s="78"/>
      <c r="AP229" s="78"/>
      <c r="AQ229" s="78"/>
      <c r="AR229" s="78" t="str">
        <f ca="1">IF(AND(AR215&lt;&gt;AR225,AR215&lt;&gt;AR227),AR215,IF(AND(AR217&lt;&gt;AR225,AR217&lt;&gt;AR227),AR217,AR219))</f>
        <v>N</v>
      </c>
      <c r="AS229" s="78"/>
      <c r="AT229" s="78"/>
      <c r="AU229" s="78"/>
      <c r="AV229" s="78" t="s">
        <v>343</v>
      </c>
      <c r="AW229" s="78" t="s">
        <v>1043</v>
      </c>
      <c r="AX229" s="78"/>
      <c r="AY229" s="78"/>
      <c r="AZ229" s="78"/>
      <c r="BA229" s="78"/>
      <c r="BD229" s="181"/>
    </row>
    <row r="230" spans="2:56" ht="21.75" customHeight="1">
      <c r="B230" s="264" t="str">
        <f>IF(LEN(TRIM(Protocolo!I46))=0, " ", Protocolo!H46 &amp; ". " &amp; Protocolo!I46 &amp; " (Verdadero)")</f>
        <v xml:space="preserve"> </v>
      </c>
      <c r="C230" s="264"/>
      <c r="D230" s="264"/>
      <c r="E230" s="264"/>
      <c r="F230" s="264"/>
      <c r="G230" s="266"/>
      <c r="H230" s="266"/>
      <c r="I230" s="267"/>
      <c r="J230" s="264"/>
      <c r="K230" s="264"/>
      <c r="L230" s="264"/>
      <c r="M230" s="264"/>
      <c r="N230" s="264"/>
      <c r="O230" s="266"/>
      <c r="P230" s="266"/>
      <c r="Q230" s="266"/>
      <c r="AF230" s="78"/>
      <c r="AG230" s="78"/>
      <c r="AH230" s="78"/>
      <c r="AI230" s="78"/>
      <c r="AJ230" s="78"/>
      <c r="AK230" s="78"/>
      <c r="AL230" s="78"/>
      <c r="AM230" s="78"/>
      <c r="AN230" s="78"/>
      <c r="AP230" s="78"/>
      <c r="AQ230" s="78"/>
      <c r="AR230" s="78">
        <f ca="1">IF(AND(AR215&lt;&gt;AR225,AR215&lt;&gt;AR227),AR216,IF(AND(AR217&lt;&gt;AR225,AR217&lt;&gt;AR227),AR218,AR220))</f>
        <v>75</v>
      </c>
      <c r="AS230" s="78"/>
      <c r="AT230" s="78"/>
      <c r="AU230" s="78"/>
      <c r="AV230" s="78" t="s">
        <v>344</v>
      </c>
      <c r="AW230" s="78" t="s">
        <v>1044</v>
      </c>
      <c r="AX230" s="78"/>
      <c r="AY230" s="78"/>
      <c r="AZ230" s="78"/>
      <c r="BA230" s="78"/>
      <c r="BD230" s="181"/>
    </row>
    <row r="231" spans="2:56" ht="21.75" customHeight="1">
      <c r="B231" s="264" t="str">
        <f>IF(LEN(TRIM(Protocolo!I47))=0, " ", Protocolo!H47 &amp; ". " &amp; Protocolo!I47 &amp; " (Verdadero)")</f>
        <v>113. Últimamente sudo mucho y me siento muy tenso. (Verdadero)</v>
      </c>
      <c r="C231" s="264"/>
      <c r="D231" s="264"/>
      <c r="E231" s="264"/>
      <c r="F231" s="264"/>
      <c r="G231" s="266"/>
      <c r="H231" s="266"/>
      <c r="I231" s="267"/>
      <c r="J231" s="264"/>
      <c r="K231" s="264"/>
      <c r="L231" s="264"/>
      <c r="M231" s="264"/>
      <c r="N231" s="264"/>
      <c r="O231" s="266"/>
      <c r="P231" s="266"/>
      <c r="Q231" s="266"/>
      <c r="AF231" s="78"/>
      <c r="AG231" s="78"/>
      <c r="AH231" s="78"/>
      <c r="AI231" s="78"/>
      <c r="AJ231" s="78"/>
      <c r="AK231" s="78"/>
      <c r="AL231" s="78"/>
      <c r="AM231" s="78"/>
      <c r="AN231" s="78"/>
      <c r="AP231" s="78"/>
      <c r="AQ231" s="78"/>
      <c r="AR231" s="78" t="str">
        <f ca="1">IF(AR226&lt;60,_xlfn._LONGTEXT("En el perfil obtenido no se evidencian elevaciones en las escalas de síndromes; las tasas base se sitúan por debajo del rango interpretativo, por lo que no se identifican estados sintomáticos que requieran ser leídos como ampliaciones manifiestas del patr","ón premórbido. "),IF(AR226&lt;75,_xlfn._LONGTEXT("En el perfil obtenido las elevaciones en las escalas de síndromes se sitúan en el rango sugerente, es decir, entre tasas base 60 y 74; estas puntuaciones sugieren los síntomas patológicos de la escala correspondiente pero no son suficientemente indicativa","s de ellos, por lo que no se considera que el síndrome esté presente y no se desarrolla, por consiguiente, su descripción detallada. "),_xlfn._LONGTEXT("En el perfil obtenido se identifican elevaciones en las escalas de síndromes clínicos cuya descripción se desarrolla a continuación, priorizando las elevaciones en las escalas de síndromes graves dado que, por su mayor vulnerabilidad clínica, pueden matiz","ar el sentido de los restantes cuadros sintomáticos. ")))</f>
        <v xml:space="preserve">En el perfil obtenido se identifican elevaciones en las escalas de síndromes clínicos cuya descripción se desarrolla a continuación, priorizando las elevaciones en las escalas de síndromes graves dado que, por su mayor vulnerabilidad clínica, pueden matizar el sentido de los restantes cuadros sintomáticos. </v>
      </c>
      <c r="AS231" s="78"/>
      <c r="AT231" s="78"/>
      <c r="AU231" s="78"/>
      <c r="AV231" s="78" t="s">
        <v>345</v>
      </c>
      <c r="AW231" s="78" t="s">
        <v>947</v>
      </c>
      <c r="AX231" s="78"/>
      <c r="AY231" s="78"/>
      <c r="AZ231" s="78"/>
      <c r="BA231" s="78"/>
      <c r="BD231" s="181"/>
    </row>
    <row r="232" spans="2:56" ht="21.75" customHeight="1">
      <c r="B232" s="264" t="str">
        <f>IF(LEN(TRIM(Protocolo!I48))=0, " ", Protocolo!H48 &amp; ". " &amp; Protocolo!I48 &amp; " (Verdadero)")</f>
        <v>120. Me siento débil y cansado la mayor parte del tiempo. (Verdadero)</v>
      </c>
      <c r="C232" s="264"/>
      <c r="D232" s="264"/>
      <c r="E232" s="264"/>
      <c r="F232" s="264"/>
      <c r="G232" s="266"/>
      <c r="H232" s="266"/>
      <c r="I232" s="267"/>
      <c r="J232" s="264"/>
      <c r="K232" s="264"/>
      <c r="L232" s="264"/>
      <c r="M232" s="264"/>
      <c r="N232" s="264"/>
      <c r="O232" s="266"/>
      <c r="P232" s="266"/>
      <c r="Q232" s="266"/>
      <c r="AF232" s="78"/>
      <c r="AG232" s="78"/>
      <c r="AH232" s="78"/>
      <c r="AI232" s="78"/>
      <c r="AJ232" s="78"/>
      <c r="AK232" s="78"/>
      <c r="AL232" s="78"/>
      <c r="AM232" s="78"/>
      <c r="AN232" s="78"/>
      <c r="AP232" s="78"/>
      <c r="AQ232" s="78"/>
      <c r="AR232" s="78" t="str">
        <f ca="1">IF(AR226&lt;75,"","Se identifica una elevación "&amp;IF(AR226&gt;=85,"significativa ","")&amp;"en la escala "&amp;IFERROR(INDEX($AX$241:$AX$250,MATCH(AR225,$AV$241:$AV$250,0)),"")&amp;", que indica "&amp;IFERROR(INDEX($AW$241:$AW$250,MATCH(AR225,$AV$241:$AV$250,0)),"")&amp;IF(AR226&gt;=85,", cuadro que refleja una afectación significativa del funcionamiento general del evaluado(a). ",", cuadro cuya manifestación podría considerarse transitoria y no persistente, sin afectación significativa del funcionamiento general. "))</f>
        <v xml:space="preserve">Se identifica una elevación en la escala de depresión mayor, que indica una incapacidad para funcionar en un entorno normal, una visión pesimista del futuro, ideación suicida y un sentimiento generalizado de resignación sin esperanza, con miedos repetitivos y un estado meditabundo; físicamente puede observarse un notable deterioro motor o, por el contrario, una inquietud incesante con lamentos sobre su deplorable estado, así como insomnio, una sensación de cansancio acentuado y pérdida o ganancia de peso, cuadro cuya manifestación podría considerarse transitoria y no persistente, sin afectación significativa del funcionamiento general. </v>
      </c>
      <c r="AS232" s="78"/>
      <c r="AT232" s="78"/>
      <c r="AU232" s="78"/>
      <c r="AV232" s="78" t="s">
        <v>346</v>
      </c>
      <c r="AW232" s="78" t="s">
        <v>948</v>
      </c>
      <c r="AX232" s="78"/>
      <c r="AY232" s="78"/>
      <c r="AZ232" s="78"/>
      <c r="BA232" s="78"/>
      <c r="BD232" s="181"/>
    </row>
    <row r="233" spans="2:56" ht="21.75" customHeight="1">
      <c r="B233" s="264" t="str">
        <f>IF(LEN(TRIM(Protocolo!I49))=0, " ", Protocolo!H49 &amp; ". " &amp; Protocolo!I49 &amp; " (Verdadero)")</f>
        <v xml:space="preserve"> </v>
      </c>
      <c r="C233" s="264"/>
      <c r="D233" s="264"/>
      <c r="E233" s="264"/>
      <c r="F233" s="264"/>
      <c r="G233" s="266"/>
      <c r="H233" s="266"/>
      <c r="I233" s="267"/>
      <c r="J233" s="264"/>
      <c r="K233" s="264"/>
      <c r="L233" s="264"/>
      <c r="M233" s="264"/>
      <c r="N233" s="264"/>
      <c r="O233" s="266"/>
      <c r="P233" s="266"/>
      <c r="Q233" s="266"/>
      <c r="AF233" s="78"/>
      <c r="AG233" s="78"/>
      <c r="AH233" s="78"/>
      <c r="AI233" s="78"/>
      <c r="AJ233" s="78"/>
      <c r="AK233" s="78"/>
      <c r="AL233" s="78"/>
      <c r="AM233" s="78"/>
      <c r="AN233" s="78"/>
      <c r="AP233" s="78"/>
      <c r="AQ233" s="78"/>
      <c r="AR233" s="78" t="str">
        <f ca="1">IF(AR228&lt;75,"","Se identifica, asimismo, una elevación "&amp;IF(AR228&gt;=85,"significativa ","")&amp;"en la escala "&amp;IFERROR(INDEX($AX$241:$AX$250,MATCH(AR227,$AV$241:$AV$250,0)),"")&amp;", que indica "&amp;IFERROR(INDEX($AW$241:$AW$250,MATCH(AR227,$AV$241:$AV$250,0)),"")&amp;IF(AR228&gt;=85,", cuadro que refleja una afectación significativa del funcionamiento general del evaluado(a). ",", cuadro cuya manifestación podría considerarse transitoria y no persistente, sin afectación significativa del funcionamiento general. "))</f>
        <v xml:space="preserve">Se identifica, asimismo, una elevación significativa en la escala de ansiedad generalizada, que indica un estado generalizado de tensión que se traduce en la incapacidad de relajarse, en movimientos nerviosos y en una tendencia a reaccionar y sobresaltarse fácilmente, sobre un sustrato de quejas frecuentes por molestias físicas de distinto tipo (dolores musculares mal definidos, sudoración excesiva, náuseas), junto con inquietud y temor por problemas que cree inminentes, un estado de alerta excesivo hacia todo lo que lo rodea y una irritabilidad generalizada, cuadro que refleja una afectación significativa del funcionamiento general del evaluado(a). </v>
      </c>
      <c r="AS233" s="78"/>
      <c r="AT233" s="78"/>
      <c r="AU233" s="78"/>
      <c r="AV233" s="78" t="s">
        <v>347</v>
      </c>
      <c r="AW233" s="78" t="s">
        <v>1045</v>
      </c>
      <c r="AX233" s="78"/>
      <c r="AY233" s="78"/>
      <c r="AZ233" s="78"/>
      <c r="BA233" s="78"/>
      <c r="BD233" s="181"/>
    </row>
    <row r="234" spans="2:56" ht="21.75" customHeight="1">
      <c r="B234" s="264"/>
      <c r="C234" s="264"/>
      <c r="D234" s="264"/>
      <c r="E234" s="264"/>
      <c r="F234" s="264"/>
      <c r="G234" s="266"/>
      <c r="H234" s="266"/>
      <c r="I234" s="267"/>
      <c r="J234" s="264"/>
      <c r="K234" s="264"/>
      <c r="L234" s="264"/>
      <c r="M234" s="264"/>
      <c r="N234" s="264"/>
      <c r="O234" s="266"/>
      <c r="P234" s="266"/>
      <c r="Q234" s="266"/>
      <c r="AF234" s="78"/>
      <c r="AG234" s="78"/>
      <c r="AH234" s="78"/>
      <c r="AI234" s="78"/>
      <c r="AJ234" s="78"/>
      <c r="AK234" s="78"/>
      <c r="AL234" s="78"/>
      <c r="AM234" s="78"/>
      <c r="AN234" s="78"/>
      <c r="AP234" s="78"/>
      <c r="AQ234" s="78"/>
      <c r="AR234" s="78" t="str">
        <f ca="1">IF(AR230&lt;75,"","Se constata, además, una elevación "&amp;IF(AR230&gt;=85,"significativa ","")&amp;"en la escala "&amp;IFERROR(INDEX($AX$241:$AX$250,MATCH(AR229,$AV$241:$AV$250,0)),"")&amp;", que indica "&amp;IFERROR(INDEX($AW$241:$AW$250,MATCH(AR229,$AV$241:$AV$250,0)),"")&amp;IF(AR230&gt;=85,", cuadro que refleja una afectación significativa del funcionamiento general del evaluado(a). ",", cuadro cuya manifestación podría considerarse transitoria y no persistente, sin afectación significativa del funcionamiento general. "))</f>
        <v xml:space="preserve">Se constata, además, una elevación en la escala del espectro bipolar, que indica la experiencia de síntomas que pueden ir desde rasgos ciclotímicos hasta cuadros bipolares de mayor gravedad, con periodos de euforia superficial, autoestima exagerada, hiperactividad y falta de atención, nerviosismo, presión del habla, impulsividad e irritabilidad; actúa con un entusiasmo poco selectivo, planifica en exceso objetivos poco realistas y es entrometido, cuando no dominante y exigente, en las relaciones interpersonales, en tanto que necesita dormir menos, tiene fugas de ideas y cambios de humor rápidos e inestables, todo lo cual, en los casos extremos, puede dar lugar a procesos psicóticos, como delirios y alucinaciones, cuadro cuya manifestación podría considerarse transitoria y no persistente, sin afectación significativa del funcionamiento general. </v>
      </c>
      <c r="AS234" s="78"/>
      <c r="AT234" s="78"/>
      <c r="AU234" s="78"/>
      <c r="AV234" s="78" t="s">
        <v>348</v>
      </c>
      <c r="AW234" s="78" t="s">
        <v>1046</v>
      </c>
      <c r="AX234" s="78"/>
      <c r="AY234" s="78"/>
      <c r="AZ234" s="78"/>
      <c r="BA234" s="78"/>
      <c r="BD234" s="181"/>
    </row>
    <row r="235" spans="2:56" ht="21.75" customHeight="1">
      <c r="B235" s="269" t="str" cm="1">
        <f t="array" ref="B235">IF(SUMPRODUCT(--(LEN(TRIM(B236:B240))&gt;0))=0,"","Alienación interpersonal (" &amp;SUMPRODUCT(--(LEN(TRIM(B236:B240))&gt;0)) &amp;"/4)")</f>
        <v>Alienación interpersonal (1/4)</v>
      </c>
      <c r="C235" s="264"/>
      <c r="D235" s="264"/>
      <c r="E235" s="264"/>
      <c r="F235" s="264"/>
      <c r="G235" s="266"/>
      <c r="H235" s="266"/>
      <c r="I235" s="267"/>
      <c r="J235" s="264"/>
      <c r="K235" s="264"/>
      <c r="L235" s="264"/>
      <c r="M235" s="264"/>
      <c r="N235" s="264"/>
      <c r="O235" s="266"/>
      <c r="P235" s="266"/>
      <c r="Q235" s="266"/>
      <c r="AF235" s="78"/>
      <c r="AG235" s="78"/>
      <c r="AH235" s="78"/>
      <c r="AI235" s="78"/>
      <c r="AJ235" s="78"/>
      <c r="AK235" s="78"/>
      <c r="AL235" s="78"/>
      <c r="AM235" s="78"/>
      <c r="AN235" s="78"/>
      <c r="AP235" s="78"/>
      <c r="AQ235" s="78"/>
      <c r="AR235" s="78" t="str">
        <f ca="1">IF(AR224=1,_xlfn._LONGTEXT("La coelevación simultánea de las escalas Depresión mayor y Depresión persistente configura el cuadro clínicamente reconocido como doble depresión, situación cualitativa y cuantitativamente distinta a la presencia aislada de cualquiera de los dos síndromes"," y que conlleva vulnerabilidades específicas, en particular la tendencia a evitar o retrasar el tratamiento, en la medida en que el evaluado(a) puede llegar a aceptar el empeoramiento sintomático como inevitable. "),"")</f>
        <v/>
      </c>
      <c r="AS235" s="78"/>
      <c r="AT235" s="78"/>
      <c r="AU235" s="78"/>
      <c r="AV235" s="78" t="s">
        <v>349</v>
      </c>
      <c r="AW235" s="78" t="s">
        <v>1047</v>
      </c>
      <c r="AX235" s="78"/>
      <c r="AY235" s="78"/>
      <c r="AZ235" s="78"/>
      <c r="BA235" s="78"/>
      <c r="BD235" s="181"/>
    </row>
    <row r="236" spans="2:56" ht="21.75" customHeight="1">
      <c r="B236" s="265" t="str">
        <f>IF(LEN(TRIM(Protocolo!K44))=0, " ",Protocolo!J44 &amp; ". " &amp; Protocolo!K44 &amp; " (Verdadero)")</f>
        <v>4. Me preocupa que las personas de las que dependo me abandonen. (Verdadero)</v>
      </c>
      <c r="C236" s="264"/>
      <c r="D236" s="264"/>
      <c r="E236" s="264"/>
      <c r="F236" s="264"/>
      <c r="G236" s="266"/>
      <c r="H236" s="266"/>
      <c r="I236" s="267"/>
      <c r="J236" s="264"/>
      <c r="K236" s="264"/>
      <c r="L236" s="264"/>
      <c r="M236" s="264"/>
      <c r="N236" s="264"/>
      <c r="O236" s="266"/>
      <c r="P236" s="266"/>
      <c r="Q236" s="266"/>
      <c r="AF236" s="78"/>
      <c r="AG236" s="78"/>
      <c r="AH236" s="78"/>
      <c r="AI236" s="78"/>
      <c r="AJ236" s="78"/>
      <c r="AK236" s="78"/>
      <c r="AL236" s="78"/>
      <c r="AM236" s="78"/>
      <c r="AN236" s="78"/>
      <c r="AR236" s="58" t="str">
        <f ca="1">IF(AR223&gt;=1,_xlfn._LONGTEXT("Estos síndromes reflejan y acentúan, por consiguiente, varios de los aspectos más persistentes y arraigados del patrón personológico básico del evaluado(a), de modo que su evolución dependerá tanto del manejo terapéutico inmediato de los síntomas como del"," abordaje de la configuración personológica subyacente."),"")</f>
        <v>Estos síndromes reflejan y acentúan, por consiguiente, varios de los aspectos más persistentes y arraigados del patrón personológico básico del evaluado(a), de modo que su evolución dependerá tanto del manejo terapéutico inmediato de los síntomas como del abordaje de la configuración personológica subyacente.</v>
      </c>
      <c r="AT236" s="78"/>
      <c r="AU236" s="78"/>
      <c r="AV236" s="78" t="s">
        <v>350</v>
      </c>
      <c r="AW236" s="78" t="s">
        <v>1012</v>
      </c>
      <c r="AX236" s="78"/>
      <c r="AY236" s="78"/>
      <c r="AZ236" s="78"/>
      <c r="BA236" s="78"/>
      <c r="BD236" s="181"/>
    </row>
    <row r="237" spans="2:56" ht="21.75" customHeight="1">
      <c r="B237" s="264" t="str">
        <f>IF(LEN(TRIM(Protocolo!K45))=0, " ",Protocolo!J45 &amp; ". " &amp; Protocolo!K45 &amp; " (Verdadero)")</f>
        <v xml:space="preserve"> </v>
      </c>
      <c r="C237" s="264"/>
      <c r="D237" s="264"/>
      <c r="E237" s="264"/>
      <c r="F237" s="264"/>
      <c r="G237" s="266"/>
      <c r="H237" s="266"/>
      <c r="I237" s="267"/>
      <c r="J237" s="264"/>
      <c r="K237" s="264"/>
      <c r="L237" s="264"/>
      <c r="M237" s="264"/>
      <c r="N237" s="264"/>
      <c r="O237" s="266"/>
      <c r="P237" s="266"/>
      <c r="Q237" s="266"/>
      <c r="AF237" s="78"/>
      <c r="AG237" s="78"/>
      <c r="AH237" s="78"/>
      <c r="AI237" s="78"/>
      <c r="AJ237" s="78"/>
      <c r="AK237" s="78"/>
      <c r="AL237" s="78"/>
      <c r="AM237" s="78"/>
      <c r="AN237" s="78"/>
      <c r="AT237" s="78"/>
      <c r="AU237" s="78"/>
      <c r="AV237" s="78" t="s">
        <v>351</v>
      </c>
      <c r="AW237" s="78" t="s">
        <v>1013</v>
      </c>
      <c r="AX237" s="78"/>
      <c r="AY237" s="78"/>
      <c r="AZ237" s="78"/>
      <c r="BA237" s="78"/>
      <c r="BD237" s="181"/>
    </row>
    <row r="238" spans="2:56" ht="21.75" customHeight="1">
      <c r="B238" s="264" t="str">
        <f>IF(LEN(TRIM(Protocolo!K46))=0, " ",Protocolo!J46 &amp; ". " &amp; Protocolo!K46 &amp; " (Verdadero)")</f>
        <v xml:space="preserve"> </v>
      </c>
      <c r="C238" s="264"/>
      <c r="D238" s="264"/>
      <c r="E238" s="264"/>
      <c r="F238" s="264"/>
      <c r="G238" s="266"/>
      <c r="H238" s="266"/>
      <c r="I238" s="267"/>
      <c r="J238" s="264"/>
      <c r="K238" s="264"/>
      <c r="L238" s="264"/>
      <c r="M238" s="264"/>
      <c r="N238" s="264"/>
      <c r="O238" s="266"/>
      <c r="P238" s="266"/>
      <c r="Q238" s="266"/>
      <c r="AF238" s="78"/>
      <c r="AG238" s="78"/>
      <c r="AH238" s="78"/>
      <c r="AI238" s="78"/>
      <c r="AJ238" s="78"/>
      <c r="AK238" s="78"/>
      <c r="AL238" s="78"/>
      <c r="AM238" s="78"/>
      <c r="AN238" s="78"/>
      <c r="AT238" s="78"/>
      <c r="AU238" s="78"/>
      <c r="AV238" s="78"/>
      <c r="AW238" s="78"/>
      <c r="AX238" s="78"/>
      <c r="AY238" s="78"/>
      <c r="AZ238" s="78"/>
      <c r="BA238" s="78"/>
      <c r="BD238" s="181"/>
    </row>
    <row r="239" spans="2:56" ht="21.75" customHeight="1">
      <c r="B239" s="264" t="str">
        <f>IF(LEN(TRIM(Protocolo!K47))=0, " ",Protocolo!J47 &amp; ". " &amp; Protocolo!K47 &amp; " (Verdadero)")</f>
        <v xml:space="preserve"> </v>
      </c>
      <c r="C239" s="264"/>
      <c r="D239" s="264"/>
      <c r="E239" s="264"/>
      <c r="F239" s="264"/>
      <c r="G239" s="266"/>
      <c r="H239" s="266"/>
      <c r="I239" s="267"/>
      <c r="J239" s="264"/>
      <c r="K239" s="264"/>
      <c r="L239" s="264"/>
      <c r="M239" s="264"/>
      <c r="N239" s="264"/>
      <c r="O239" s="266"/>
      <c r="P239" s="266"/>
      <c r="Q239" s="266"/>
      <c r="AF239" s="78"/>
      <c r="AG239" s="78"/>
      <c r="AH239" s="78"/>
      <c r="AI239" s="78"/>
      <c r="AJ239" s="78"/>
      <c r="AK239" s="78"/>
      <c r="AL239" s="78"/>
      <c r="AM239" s="78"/>
      <c r="AN239" s="78"/>
      <c r="AP239" s="78"/>
      <c r="AQ239" s="78"/>
      <c r="AR239" s="78"/>
      <c r="AS239" s="78"/>
      <c r="AT239" s="78"/>
      <c r="AU239" s="78"/>
      <c r="AV239" s="78"/>
      <c r="AW239" s="78"/>
      <c r="AX239" s="78"/>
      <c r="AY239" s="78"/>
      <c r="AZ239" s="78"/>
      <c r="BA239" s="78"/>
      <c r="BD239" s="181"/>
    </row>
    <row r="240" spans="2:56" ht="21.75" customHeight="1">
      <c r="B240" s="264"/>
      <c r="C240" s="264"/>
      <c r="D240" s="264"/>
      <c r="E240" s="264"/>
      <c r="F240" s="264"/>
      <c r="G240" s="266"/>
      <c r="H240" s="266"/>
      <c r="I240" s="267"/>
      <c r="J240" s="264"/>
      <c r="K240" s="264"/>
      <c r="L240" s="264"/>
      <c r="M240" s="264"/>
      <c r="N240" s="264"/>
      <c r="O240" s="266"/>
      <c r="P240" s="266"/>
      <c r="Q240" s="266"/>
      <c r="AF240" s="78"/>
      <c r="AG240" s="78"/>
      <c r="AH240" s="78"/>
      <c r="AI240" s="78"/>
      <c r="AJ240" s="78"/>
      <c r="AK240" s="78"/>
      <c r="AL240" s="78"/>
      <c r="AM240" s="78"/>
      <c r="AN240" s="78"/>
      <c r="AP240" s="78"/>
      <c r="AQ240" s="78"/>
      <c r="AR240" s="78"/>
      <c r="AS240" s="78"/>
      <c r="AT240" s="78"/>
      <c r="AU240" s="78"/>
      <c r="AV240" s="78" t="s">
        <v>953</v>
      </c>
      <c r="AW240" s="78" t="s">
        <v>934</v>
      </c>
      <c r="AX240" s="78" t="s">
        <v>954</v>
      </c>
      <c r="AY240" s="78"/>
      <c r="AZ240" s="78"/>
      <c r="BA240" s="78"/>
      <c r="BD240" s="181"/>
    </row>
    <row r="241" spans="2:56" ht="21.75" customHeight="1">
      <c r="B241" s="269" t="str" cm="1">
        <f t="array" ref="B241">IF(SUMPRODUCT(--(LEN(TRIM(B242:B251))&gt;0))=0,"","Falta de control emocional (" &amp;SUMPRODUCT(--(LEN(TRIM(B242:B251))&gt;0)) &amp;"/8)")</f>
        <v>Falta de control emocional (4/8)</v>
      </c>
      <c r="C241" s="264"/>
      <c r="D241" s="264"/>
      <c r="E241" s="264"/>
      <c r="F241" s="264"/>
      <c r="G241" s="266"/>
      <c r="H241" s="266"/>
      <c r="I241" s="267"/>
      <c r="J241" s="264"/>
      <c r="K241" s="264"/>
      <c r="L241" s="264"/>
      <c r="M241" s="264"/>
      <c r="N241" s="264"/>
      <c r="O241" s="266"/>
      <c r="P241" s="266"/>
      <c r="Q241" s="266"/>
      <c r="AF241" s="78"/>
      <c r="AG241" s="78"/>
      <c r="AH241" s="78"/>
      <c r="AI241" s="78"/>
      <c r="AJ241" s="78"/>
      <c r="AK241" s="78"/>
      <c r="AL241" s="78"/>
      <c r="AM241" s="78"/>
      <c r="AN241" s="78"/>
      <c r="AP241" s="78"/>
      <c r="AQ241" s="78"/>
      <c r="AR241" s="78"/>
      <c r="AS241" s="78"/>
      <c r="AT241" s="78"/>
      <c r="AU241" s="78"/>
      <c r="AV241" s="78" t="s">
        <v>260</v>
      </c>
      <c r="AW241" s="78" t="s">
        <v>1137</v>
      </c>
      <c r="AX241" s="78" t="s">
        <v>955</v>
      </c>
      <c r="AY241" s="78"/>
      <c r="AZ241" s="78"/>
      <c r="BA241" s="78"/>
      <c r="BD241" s="181"/>
    </row>
    <row r="242" spans="2:56" ht="21.75" customHeight="1">
      <c r="B242" s="264" t="str">
        <f>IF(LEN(TRIM(Protocolo!M44))=0, " ",Protocolo!L44 &amp; ". " &amp; Protocolo!M44 &amp; " (Verdadero)")</f>
        <v>27. Muchas veces me siento muy alegre y animado sin ninguna razón. (Verdadero)</v>
      </c>
      <c r="C242" s="264"/>
      <c r="D242" s="264"/>
      <c r="E242" s="264"/>
      <c r="F242" s="264"/>
      <c r="G242" s="266"/>
      <c r="H242" s="266"/>
      <c r="I242" s="267"/>
      <c r="J242" s="264"/>
      <c r="K242" s="264"/>
      <c r="L242" s="264"/>
      <c r="M242" s="264"/>
      <c r="N242" s="264"/>
      <c r="O242" s="266"/>
      <c r="P242" s="266"/>
      <c r="Q242" s="266"/>
      <c r="AF242" s="78"/>
      <c r="AG242" s="78"/>
      <c r="AH242" s="78"/>
      <c r="AI242" s="78"/>
      <c r="AJ242" s="78"/>
      <c r="AK242" s="78"/>
      <c r="AL242" s="78"/>
      <c r="AM242" s="78"/>
      <c r="AN242" s="78"/>
      <c r="AP242" s="78"/>
      <c r="AQ242" s="78"/>
      <c r="AR242" s="78"/>
      <c r="AS242" s="78"/>
      <c r="AT242" s="78"/>
      <c r="AU242" s="78"/>
      <c r="AV242" s="78" t="s">
        <v>261</v>
      </c>
      <c r="AW242" s="78" t="s">
        <v>1064</v>
      </c>
      <c r="AX242" s="78" t="s">
        <v>956</v>
      </c>
      <c r="AY242" s="78"/>
      <c r="AZ242" s="78"/>
      <c r="BA242" s="78"/>
      <c r="BD242" s="181"/>
    </row>
    <row r="243" spans="2:56" ht="21.75" customHeight="1">
      <c r="B243" s="264" t="str">
        <f>IF(LEN(TRIM(Protocolo!M45))=0, " ",Protocolo!L45 &amp; ". " &amp; Protocolo!M45 &amp; " (Verdadero)")</f>
        <v xml:space="preserve"> </v>
      </c>
      <c r="C243" s="264"/>
      <c r="D243" s="264"/>
      <c r="E243" s="264"/>
      <c r="F243" s="264"/>
      <c r="G243" s="266"/>
      <c r="H243" s="266"/>
      <c r="I243" s="267"/>
      <c r="J243" s="264"/>
      <c r="K243" s="264"/>
      <c r="L243" s="264"/>
      <c r="M243" s="264"/>
      <c r="N243" s="264"/>
      <c r="O243" s="266"/>
      <c r="P243" s="266"/>
      <c r="Q243" s="266"/>
      <c r="AF243" s="78"/>
      <c r="AG243" s="78"/>
      <c r="AH243" s="78"/>
      <c r="AI243" s="78"/>
      <c r="AJ243" s="78"/>
      <c r="AK243" s="78"/>
      <c r="AL243" s="78"/>
      <c r="AM243" s="78"/>
      <c r="AN243" s="78"/>
      <c r="AP243" s="78"/>
      <c r="AQ243" s="78"/>
      <c r="AR243"/>
      <c r="AS243" s="78"/>
      <c r="AT243" s="78"/>
      <c r="AU243" s="78"/>
      <c r="AV243" s="78" t="s">
        <v>262</v>
      </c>
      <c r="AW243" s="78" t="s">
        <v>1141</v>
      </c>
      <c r="AX243" s="78" t="s">
        <v>957</v>
      </c>
      <c r="AY243" s="78"/>
      <c r="AZ243" s="78"/>
      <c r="BA243" s="78"/>
      <c r="BD243" s="181"/>
    </row>
    <row r="244" spans="2:56" ht="21.75" customHeight="1">
      <c r="B244" s="264" t="str">
        <f>IF(LEN(TRIM(Protocolo!M46))=0, " ",Protocolo!L46 &amp; ". " &amp; Protocolo!M46 &amp; " (Verdadero)")</f>
        <v xml:space="preserve"> </v>
      </c>
      <c r="C244" s="264"/>
      <c r="D244" s="264"/>
      <c r="E244" s="264"/>
      <c r="F244" s="264"/>
      <c r="G244" s="266"/>
      <c r="H244" s="266"/>
      <c r="I244" s="267"/>
      <c r="J244" s="264"/>
      <c r="K244" s="264"/>
      <c r="L244" s="264"/>
      <c r="M244" s="264"/>
      <c r="N244" s="264"/>
      <c r="O244" s="266"/>
      <c r="P244" s="266"/>
      <c r="Q244" s="266"/>
      <c r="AF244" s="78"/>
      <c r="AG244" s="78"/>
      <c r="AH244" s="78"/>
      <c r="AI244" s="78"/>
      <c r="AJ244" s="78"/>
      <c r="AK244" s="78"/>
      <c r="AL244" s="78"/>
      <c r="AM244" s="78"/>
      <c r="AN244" s="78"/>
      <c r="AP244" s="78"/>
      <c r="AQ244" s="78"/>
      <c r="AR244"/>
      <c r="AS244" s="78"/>
      <c r="AT244" s="78"/>
      <c r="AU244" s="78"/>
      <c r="AV244" s="78" t="s">
        <v>263</v>
      </c>
      <c r="AW244" s="78" t="s">
        <v>1138</v>
      </c>
      <c r="AX244" s="78" t="s">
        <v>958</v>
      </c>
      <c r="AY244" s="78"/>
      <c r="AZ244" s="78"/>
      <c r="BA244" s="78"/>
      <c r="BD244" s="181"/>
    </row>
    <row r="245" spans="2:56" ht="21.75" customHeight="1">
      <c r="B245" s="264" t="str">
        <f>IF(LEN(TRIM(Protocolo!M47))=0, " ",Protocolo!L47 &amp; ". " &amp; Protocolo!M47 &amp; " (Verdadero)")</f>
        <v xml:space="preserve"> </v>
      </c>
      <c r="C245" s="264"/>
      <c r="D245" s="264"/>
      <c r="E245" s="264"/>
      <c r="F245" s="264"/>
      <c r="G245" s="266"/>
      <c r="H245" s="266"/>
      <c r="I245" s="267"/>
      <c r="J245" s="264"/>
      <c r="K245" s="264"/>
      <c r="L245" s="264"/>
      <c r="M245" s="264"/>
      <c r="N245" s="264"/>
      <c r="O245" s="266"/>
      <c r="P245" s="266"/>
      <c r="Q245" s="266"/>
      <c r="AF245" s="78"/>
      <c r="AG245" s="78"/>
      <c r="AH245" s="78"/>
      <c r="AI245" s="78"/>
      <c r="AJ245" s="78"/>
      <c r="AK245" s="78"/>
      <c r="AL245" s="78"/>
      <c r="AM245" s="78"/>
      <c r="AN245" s="78"/>
      <c r="AP245" s="78"/>
      <c r="AQ245" s="78"/>
      <c r="AR245"/>
      <c r="AS245" s="78"/>
      <c r="AT245" s="78"/>
      <c r="AU245" s="78"/>
      <c r="AV245" s="78" t="s">
        <v>264</v>
      </c>
      <c r="AW245" s="78" t="s">
        <v>1065</v>
      </c>
      <c r="AX245" s="78" t="s">
        <v>959</v>
      </c>
      <c r="AY245" s="78"/>
      <c r="AZ245" s="78"/>
      <c r="BA245" s="78"/>
      <c r="BD245" s="181"/>
    </row>
    <row r="246" spans="2:56" ht="24.75" customHeight="1">
      <c r="B246" s="271" t="str">
        <f>IF(LEN(TRIM(Protocolo!M48))=0, " ",Protocolo!L48 &amp; ". " &amp; Protocolo!M48 &amp; " (Verdadero)")</f>
        <v>72. Cuando estoy solo y lejos de casa a menudo comienzo a sentirme tenso y entro en pánico. (Verdadero)</v>
      </c>
      <c r="C246" s="271"/>
      <c r="D246" s="271"/>
      <c r="E246" s="271"/>
      <c r="F246" s="271"/>
      <c r="G246" s="271"/>
      <c r="H246" s="271"/>
      <c r="I246" s="271"/>
      <c r="J246" s="271"/>
      <c r="K246" s="271"/>
      <c r="L246" s="271"/>
      <c r="M246" s="271"/>
      <c r="N246" s="271"/>
      <c r="O246" s="271"/>
      <c r="P246" s="271"/>
      <c r="Q246" s="271"/>
      <c r="AF246" s="78"/>
      <c r="AG246" s="78"/>
      <c r="AH246" s="78"/>
      <c r="AI246" s="78"/>
      <c r="AJ246" s="78"/>
      <c r="AK246" s="78"/>
      <c r="AL246" s="78"/>
      <c r="AM246" s="78"/>
      <c r="AN246" s="78"/>
      <c r="AP246" s="78"/>
      <c r="AQ246" s="78"/>
      <c r="AR246"/>
      <c r="AS246" s="78"/>
      <c r="AT246" s="78"/>
      <c r="AU246" s="78"/>
      <c r="AV246" s="78" t="s">
        <v>265</v>
      </c>
      <c r="AW246" s="78" t="s">
        <v>1070</v>
      </c>
      <c r="AX246" s="78" t="s">
        <v>960</v>
      </c>
      <c r="AY246" s="78"/>
      <c r="AZ246" s="78"/>
      <c r="BA246" s="78"/>
      <c r="BD246" s="181"/>
    </row>
    <row r="247" spans="2:56" ht="17.25">
      <c r="B247" s="271"/>
      <c r="C247" s="271"/>
      <c r="D247" s="271"/>
      <c r="E247" s="271"/>
      <c r="F247" s="271"/>
      <c r="G247" s="271"/>
      <c r="H247" s="271"/>
      <c r="I247" s="271"/>
      <c r="J247" s="271"/>
      <c r="K247" s="271"/>
      <c r="L247" s="271"/>
      <c r="M247" s="271"/>
      <c r="N247" s="271"/>
      <c r="O247" s="271"/>
      <c r="P247" s="271"/>
      <c r="Q247" s="271"/>
      <c r="AF247" s="78"/>
      <c r="AG247" s="78"/>
      <c r="AH247" s="78"/>
      <c r="AI247" s="78"/>
      <c r="AJ247" s="78"/>
      <c r="AK247" s="78"/>
      <c r="AL247" s="78"/>
      <c r="AM247" s="78"/>
      <c r="AN247" s="78"/>
      <c r="AP247" s="78"/>
      <c r="AQ247" s="78"/>
      <c r="AR247"/>
      <c r="AS247" s="78"/>
      <c r="AT247" s="78"/>
      <c r="AU247" s="78"/>
      <c r="AV247" s="78" t="s">
        <v>266</v>
      </c>
      <c r="AW247" s="78" t="s">
        <v>1139</v>
      </c>
      <c r="AX247" s="78" t="s">
        <v>961</v>
      </c>
      <c r="AY247" s="78"/>
      <c r="AZ247" s="78"/>
      <c r="BA247" s="78"/>
      <c r="BD247" s="181"/>
    </row>
    <row r="248" spans="2:56" ht="21.75" customHeight="1">
      <c r="B248" s="264" t="str">
        <f>IF(LEN(TRIM(Protocolo!M49))=0, " ",Protocolo!L49 &amp; ". " &amp; Protocolo!M49 &amp; " (Verdadero)")</f>
        <v>80. Últimamente estoy destrozado. (Verdadero)</v>
      </c>
      <c r="C248" s="264"/>
      <c r="D248" s="264"/>
      <c r="E248" s="264"/>
      <c r="F248" s="264"/>
      <c r="G248" s="266"/>
      <c r="H248" s="266"/>
      <c r="I248" s="267"/>
      <c r="J248" s="264"/>
      <c r="K248" s="264"/>
      <c r="L248" s="264"/>
      <c r="M248" s="264"/>
      <c r="N248" s="264"/>
      <c r="O248" s="266"/>
      <c r="P248" s="266"/>
      <c r="Q248" s="266"/>
      <c r="AF248" s="78"/>
      <c r="AG248" s="78"/>
      <c r="AH248" s="78"/>
      <c r="AI248" s="78"/>
      <c r="AJ248" s="78"/>
      <c r="AK248" s="78"/>
      <c r="AL248" s="78"/>
      <c r="AM248" s="78"/>
      <c r="AN248" s="78"/>
      <c r="AP248" s="78"/>
      <c r="AQ248" s="78"/>
      <c r="AR248"/>
      <c r="AS248" s="78"/>
      <c r="AT248" s="78"/>
      <c r="AU248" s="78"/>
      <c r="AV248" s="78" t="s">
        <v>267</v>
      </c>
      <c r="AW248" s="78" t="s">
        <v>1071</v>
      </c>
      <c r="AX248" s="78" t="s">
        <v>962</v>
      </c>
      <c r="AY248" s="78"/>
      <c r="AZ248" s="78"/>
      <c r="BA248" s="78"/>
      <c r="BD248" s="181"/>
    </row>
    <row r="249" spans="2:56" ht="21.75" customHeight="1">
      <c r="B249" s="264" t="str">
        <f>IF(LEN(TRIM(Protocolo!M50))=0, " ",Protocolo!L50 &amp; ". " &amp; Protocolo!M50 &amp; " (Verdadero)")</f>
        <v xml:space="preserve"> </v>
      </c>
      <c r="C249" s="264"/>
      <c r="D249" s="264"/>
      <c r="E249" s="264"/>
      <c r="F249" s="264"/>
      <c r="G249" s="266"/>
      <c r="H249" s="266"/>
      <c r="I249" s="267"/>
      <c r="J249" s="264"/>
      <c r="K249" s="264"/>
      <c r="L249" s="264"/>
      <c r="M249" s="264"/>
      <c r="N249" s="264"/>
      <c r="O249" s="266"/>
      <c r="P249" s="266"/>
      <c r="Q249" s="266"/>
      <c r="AF249" s="78"/>
      <c r="AG249" s="78"/>
      <c r="AH249" s="78"/>
      <c r="AI249" s="78"/>
      <c r="AJ249" s="78"/>
      <c r="AK249" s="78"/>
      <c r="AL249" s="78"/>
      <c r="AM249" s="78"/>
      <c r="AN249" s="78"/>
      <c r="AP249" s="78"/>
      <c r="AQ249" s="78"/>
      <c r="AR249"/>
      <c r="AS249" s="78"/>
      <c r="AT249" s="78"/>
      <c r="AU249" s="78"/>
      <c r="AV249" s="78" t="s">
        <v>268</v>
      </c>
      <c r="AW249" s="78" t="s">
        <v>1140</v>
      </c>
      <c r="AX249" s="78" t="s">
        <v>963</v>
      </c>
      <c r="AY249" s="78"/>
      <c r="AZ249" s="78"/>
      <c r="BA249" s="78"/>
      <c r="BD249" s="181"/>
    </row>
    <row r="250" spans="2:56" ht="21.75" customHeight="1">
      <c r="B250" s="268" t="str">
        <f>IF(LEN(TRIM(Protocolo!M51))=0, " ",Protocolo!L51 &amp; ". " &amp; Protocolo!M51 &amp; " (Verdadero)")</f>
        <v>177. En muchos periodos de mi vida he estado tan animado y he consumido tanta energía que luego me he sentido muy bajo de ánimo. (Verdadero)</v>
      </c>
      <c r="C250" s="268"/>
      <c r="D250" s="268"/>
      <c r="E250" s="268"/>
      <c r="F250" s="268"/>
      <c r="G250" s="268"/>
      <c r="H250" s="268"/>
      <c r="I250" s="268"/>
      <c r="J250" s="268"/>
      <c r="K250" s="268"/>
      <c r="L250" s="268"/>
      <c r="M250" s="268"/>
      <c r="N250" s="268"/>
      <c r="O250" s="268"/>
      <c r="P250" s="268"/>
      <c r="Q250" s="268"/>
      <c r="AF250" s="78"/>
      <c r="AG250" s="78"/>
      <c r="AH250" s="78"/>
      <c r="AI250" s="78"/>
      <c r="AJ250" s="78"/>
      <c r="AK250" s="78"/>
      <c r="AL250" s="78"/>
      <c r="AM250" s="78"/>
      <c r="AN250" s="78"/>
      <c r="AP250" s="78"/>
      <c r="AQ250" s="78"/>
      <c r="AR250" s="78"/>
      <c r="AS250" s="78"/>
      <c r="AT250" s="78"/>
      <c r="AU250" s="78"/>
      <c r="AV250" s="78" t="s">
        <v>269</v>
      </c>
      <c r="AW250" s="78" t="s">
        <v>1072</v>
      </c>
      <c r="AX250" s="78" t="s">
        <v>964</v>
      </c>
      <c r="AY250" s="78"/>
      <c r="AZ250" s="78"/>
      <c r="BA250" s="78"/>
      <c r="BD250" s="181"/>
    </row>
    <row r="251" spans="2:56" ht="21.75" customHeight="1">
      <c r="B251" s="268"/>
      <c r="C251" s="268"/>
      <c r="D251" s="268"/>
      <c r="E251" s="268"/>
      <c r="F251" s="268"/>
      <c r="G251" s="268"/>
      <c r="H251" s="268"/>
      <c r="I251" s="268"/>
      <c r="J251" s="268"/>
      <c r="K251" s="268"/>
      <c r="L251" s="268"/>
      <c r="M251" s="268"/>
      <c r="N251" s="268"/>
      <c r="O251" s="268"/>
      <c r="P251" s="268"/>
      <c r="Q251" s="268"/>
      <c r="AF251" s="78"/>
      <c r="AG251" s="78"/>
      <c r="AH251" s="78"/>
      <c r="AI251" s="78"/>
      <c r="AJ251" s="78"/>
      <c r="AK251" s="78"/>
      <c r="AL251" s="78"/>
      <c r="AM251" s="78"/>
      <c r="AN251" s="78"/>
      <c r="AP251" s="78"/>
      <c r="AQ251" s="78"/>
      <c r="AR251" s="78"/>
      <c r="AS251" s="78"/>
      <c r="AT251" s="78"/>
      <c r="AU251" s="78"/>
      <c r="AY251" s="78"/>
      <c r="AZ251" s="78"/>
      <c r="BA251" s="78"/>
      <c r="BD251" s="181"/>
    </row>
    <row r="252" spans="2:56" ht="21.75" customHeight="1">
      <c r="B252" s="269" t="str" cm="1">
        <f t="array" ref="B252">IF(SUMPRODUCT(--(LEN(TRIM(B253:B265))&gt;0))=0,"","Potencial conducta autodestructiva (" &amp;SUMPRODUCT(--(LEN(TRIM(B253:B265))&gt;0)) &amp;"/12)")</f>
        <v>Potencial conducta autodestructiva (5/12)</v>
      </c>
      <c r="C252" s="264"/>
      <c r="D252" s="264"/>
      <c r="E252" s="264"/>
      <c r="F252" s="264"/>
      <c r="G252" s="266"/>
      <c r="H252" s="266"/>
      <c r="I252" s="267"/>
      <c r="J252" s="264"/>
      <c r="K252" s="264"/>
      <c r="L252" s="264"/>
      <c r="M252" s="264"/>
      <c r="N252" s="264"/>
      <c r="O252" s="266"/>
      <c r="P252" s="266"/>
      <c r="Q252" s="266"/>
      <c r="AF252" s="78"/>
      <c r="AG252" s="78"/>
      <c r="AH252" s="78"/>
      <c r="AI252" s="78"/>
      <c r="AJ252" s="78"/>
      <c r="AK252" s="78"/>
      <c r="AL252" s="78"/>
      <c r="AM252" s="78"/>
      <c r="AN252" s="78"/>
      <c r="AP252" s="78"/>
      <c r="AQ252" s="78"/>
      <c r="AR252" s="78"/>
      <c r="AS252" s="78"/>
      <c r="AT252" s="78"/>
      <c r="AU252" s="78"/>
      <c r="AV252" s="78"/>
      <c r="AW252" s="78"/>
      <c r="AX252" s="78"/>
      <c r="AY252" s="78"/>
      <c r="AZ252" s="78"/>
      <c r="BA252" s="78"/>
      <c r="BD252" s="181"/>
    </row>
    <row r="253" spans="2:56" ht="21.75" customHeight="1">
      <c r="B253" s="264" t="str">
        <f>IF(LEN(TRIM(Protocolo!O44))=0, " ",Protocolo!N44 &amp; ". " &amp; Protocolo!O44 &amp; " (Verdadero)")</f>
        <v xml:space="preserve"> </v>
      </c>
      <c r="C253" s="264"/>
      <c r="D253" s="264"/>
      <c r="E253" s="264"/>
      <c r="F253" s="264"/>
      <c r="G253" s="266"/>
      <c r="H253" s="266"/>
      <c r="I253" s="267"/>
      <c r="J253" s="264"/>
      <c r="K253" s="264"/>
      <c r="L253" s="264"/>
      <c r="M253" s="264"/>
      <c r="N253" s="264"/>
      <c r="O253" s="266"/>
      <c r="P253" s="266"/>
      <c r="Q253" s="266"/>
      <c r="AF253" s="78"/>
      <c r="AG253" s="78"/>
      <c r="AH253" s="78"/>
      <c r="AI253" s="78"/>
      <c r="AJ253" s="78"/>
      <c r="AK253" s="78"/>
      <c r="AL253" s="78"/>
      <c r="AM253" s="78"/>
      <c r="AN253" s="78"/>
      <c r="AP253" s="78"/>
      <c r="AQ253" s="78"/>
      <c r="AR253" s="78"/>
      <c r="AS253" s="78"/>
      <c r="AT253" s="78"/>
      <c r="AU253" s="78"/>
      <c r="AV253" s="78"/>
      <c r="AW253" s="78"/>
      <c r="AX253" s="78"/>
      <c r="AY253" s="78"/>
      <c r="AZ253" s="78"/>
      <c r="BA253" s="78"/>
      <c r="BD253" s="181"/>
    </row>
    <row r="254" spans="2:56" ht="21.75" customHeight="1">
      <c r="B254" s="264" t="str">
        <f>IF(LEN(TRIM(Protocolo!O45))=0, " ",Protocolo!N45 &amp; ". " &amp; Protocolo!O45 &amp; " (Verdadero)")</f>
        <v xml:space="preserve"> </v>
      </c>
      <c r="C254" s="264"/>
      <c r="D254" s="264"/>
      <c r="E254" s="264"/>
      <c r="F254" s="264"/>
      <c r="G254" s="266"/>
      <c r="H254" s="266"/>
      <c r="I254" s="267"/>
      <c r="J254" s="264"/>
      <c r="K254" s="264"/>
      <c r="L254" s="264"/>
      <c r="M254" s="264"/>
      <c r="N254" s="264"/>
      <c r="O254" s="266"/>
      <c r="P254" s="266"/>
      <c r="Q254" s="266"/>
      <c r="AF254" s="78"/>
      <c r="AG254" s="78"/>
      <c r="AH254" s="78"/>
      <c r="AI254" s="78"/>
      <c r="AJ254" s="78"/>
      <c r="AK254" s="78"/>
      <c r="AL254" s="78"/>
      <c r="AM254" s="78"/>
      <c r="AN254" s="78"/>
      <c r="AP254" s="78"/>
      <c r="AQ254" s="78"/>
      <c r="AR254" s="78"/>
      <c r="AS254" s="78"/>
      <c r="AT254" s="78"/>
      <c r="AU254" s="78"/>
      <c r="AV254" s="78"/>
      <c r="AW254" s="78"/>
      <c r="AX254" s="78"/>
      <c r="AY254" s="78"/>
      <c r="AZ254" s="78"/>
      <c r="BA254" s="78"/>
      <c r="BD254" s="181"/>
    </row>
    <row r="255" spans="2:56" ht="21.75" customHeight="1">
      <c r="B255" s="272" t="str">
        <f>IF(LEN(TRIM(Protocolo!O46))=0, " ",Protocolo!N46 &amp; ". " &amp; Protocolo!O46 &amp; " (Verdadero)")</f>
        <v>34. Desde hace uno o dos años, al pensar sobre la vida, me siento muy triste y desanimado. (Verdadero)</v>
      </c>
      <c r="C255" s="272"/>
      <c r="D255" s="272"/>
      <c r="E255" s="272"/>
      <c r="F255" s="272"/>
      <c r="G255" s="272"/>
      <c r="H255" s="272"/>
      <c r="I255" s="272"/>
      <c r="J255" s="272"/>
      <c r="K255" s="272"/>
      <c r="L255" s="272"/>
      <c r="M255" s="272"/>
      <c r="N255" s="272"/>
      <c r="O255" s="272"/>
      <c r="P255" s="272"/>
      <c r="Q255" s="272"/>
      <c r="AF255" s="78"/>
      <c r="AG255" s="78"/>
      <c r="AH255" s="78"/>
      <c r="AI255" s="78"/>
      <c r="AJ255" s="78"/>
      <c r="AK255" s="78"/>
      <c r="AL255" s="78"/>
      <c r="AM255" s="78"/>
      <c r="AN255" s="78"/>
      <c r="AP255" s="78"/>
      <c r="AQ255" s="78"/>
      <c r="AR255" s="78"/>
      <c r="AS255" s="78"/>
      <c r="AT255" s="78"/>
      <c r="AU255" s="78"/>
      <c r="AV255" s="78"/>
      <c r="AW255" s="78"/>
      <c r="AX255" s="78"/>
      <c r="AY255" s="78"/>
      <c r="AZ255" s="78"/>
      <c r="BA255" s="78"/>
      <c r="BD255" s="181"/>
    </row>
    <row r="256" spans="2:56" ht="21.75" customHeight="1">
      <c r="B256" s="272"/>
      <c r="C256" s="272"/>
      <c r="D256" s="272"/>
      <c r="E256" s="272"/>
      <c r="F256" s="272"/>
      <c r="G256" s="272"/>
      <c r="H256" s="272"/>
      <c r="I256" s="272"/>
      <c r="J256" s="272"/>
      <c r="K256" s="272"/>
      <c r="L256" s="272"/>
      <c r="M256" s="272"/>
      <c r="N256" s="272"/>
      <c r="O256" s="272"/>
      <c r="P256" s="272"/>
      <c r="Q256" s="272"/>
      <c r="AF256" s="78"/>
      <c r="AG256" s="78"/>
      <c r="AH256" s="78"/>
      <c r="AI256" s="78"/>
      <c r="AJ256" s="78"/>
      <c r="AK256" s="78"/>
      <c r="AL256" s="78"/>
      <c r="AM256" s="78"/>
      <c r="AN256" s="78"/>
      <c r="AP256" s="78"/>
      <c r="AQ256" s="78"/>
      <c r="AR256" s="78"/>
      <c r="AS256" s="78"/>
      <c r="AT256" s="78"/>
      <c r="AU256" s="78"/>
      <c r="AV256" s="78"/>
      <c r="AW256" s="78"/>
      <c r="AX256" s="78"/>
      <c r="AY256" s="78"/>
      <c r="AZ256" s="78"/>
      <c r="BA256" s="78"/>
      <c r="BD256" s="181"/>
    </row>
    <row r="257" spans="2:53" ht="21.75" customHeight="1">
      <c r="B257" s="264" t="str">
        <f>IF(LEN(TRIM(Protocolo!O47))=0, " ",Protocolo!N47 &amp; ". " &amp; Protocolo!O47 &amp; " (Verdadero)")</f>
        <v xml:space="preserve"> </v>
      </c>
      <c r="C257" s="264"/>
      <c r="D257" s="264"/>
      <c r="E257" s="264"/>
      <c r="F257" s="264"/>
      <c r="G257" s="266"/>
      <c r="H257" s="266"/>
      <c r="I257" s="267"/>
      <c r="J257" s="264"/>
      <c r="K257" s="264"/>
      <c r="L257" s="264"/>
      <c r="M257" s="264"/>
      <c r="N257" s="264"/>
      <c r="O257" s="266"/>
      <c r="P257" s="266"/>
      <c r="Q257" s="266"/>
      <c r="AF257" s="78"/>
      <c r="AG257" s="78"/>
      <c r="AH257" s="78"/>
      <c r="AI257" s="78"/>
      <c r="AJ257" s="78"/>
      <c r="AK257" s="78"/>
      <c r="AL257" s="78"/>
      <c r="AM257" s="78"/>
      <c r="AN257" s="78"/>
      <c r="AP257" s="78"/>
      <c r="AQ257" s="78"/>
      <c r="AR257" s="78"/>
      <c r="AS257" s="78"/>
      <c r="AT257" s="78"/>
      <c r="AU257" s="78"/>
      <c r="AV257" s="78"/>
      <c r="AW257" s="78"/>
      <c r="AX257" s="78"/>
      <c r="AY257" s="78"/>
      <c r="AZ257" s="78"/>
      <c r="BA257" s="78"/>
    </row>
    <row r="258" spans="2:53" ht="21.75" customHeight="1">
      <c r="B258" s="264" t="str">
        <f>IF(LEN(TRIM(Protocolo!O48))=0, " ",Protocolo!N48 &amp; ". " &amp; Protocolo!O48 &amp; " (Verdadero)")</f>
        <v xml:space="preserve"> </v>
      </c>
      <c r="C258" s="264"/>
      <c r="D258" s="264"/>
      <c r="E258" s="264"/>
      <c r="F258" s="264"/>
      <c r="G258" s="266"/>
      <c r="H258" s="266"/>
      <c r="I258" s="267"/>
      <c r="J258" s="264"/>
      <c r="K258" s="264"/>
      <c r="L258" s="264"/>
      <c r="M258" s="264"/>
      <c r="N258" s="264"/>
      <c r="O258" s="266"/>
      <c r="P258" s="266"/>
      <c r="Q258" s="266"/>
      <c r="AF258" s="78"/>
      <c r="AG258" s="78"/>
      <c r="AH258" s="78"/>
      <c r="AI258" s="78"/>
      <c r="AJ258" s="78"/>
      <c r="AK258" s="78"/>
      <c r="AL258" s="78"/>
      <c r="AM258" s="78"/>
      <c r="AN258" s="78"/>
      <c r="AP258" s="78"/>
      <c r="AQ258" s="78"/>
      <c r="AR258" s="78"/>
      <c r="AS258" s="78"/>
      <c r="AT258" s="78"/>
      <c r="AU258" s="78"/>
      <c r="AV258" s="78"/>
      <c r="AW258" s="78"/>
      <c r="AX258" s="78"/>
      <c r="AY258" s="78"/>
      <c r="AZ258" s="78"/>
      <c r="BA258" s="78"/>
    </row>
    <row r="259" spans="2:53" ht="21.75" customHeight="1">
      <c r="B259" s="264" t="str">
        <f>IF(LEN(TRIM(Protocolo!O49))=0, " ",Protocolo!N49 &amp; ". " &amp; Protocolo!O49 &amp; " (Verdadero)")</f>
        <v>78. Recientemente he pensado muy en serio en quitarme la vida. (Verdadero)</v>
      </c>
      <c r="C259" s="264"/>
      <c r="D259" s="264"/>
      <c r="E259" s="264"/>
      <c r="F259" s="264"/>
      <c r="G259" s="266"/>
      <c r="H259" s="266"/>
      <c r="I259" s="267"/>
      <c r="J259" s="264"/>
      <c r="K259" s="264"/>
      <c r="L259" s="264"/>
      <c r="M259" s="264"/>
      <c r="N259" s="264"/>
      <c r="O259" s="266"/>
      <c r="P259" s="266"/>
      <c r="Q259" s="266"/>
      <c r="AF259" s="78"/>
      <c r="AG259" s="78"/>
      <c r="AH259" s="78"/>
      <c r="AI259" s="78"/>
      <c r="AJ259" s="78"/>
      <c r="AK259" s="78"/>
      <c r="AL259" s="78"/>
      <c r="AM259" s="78"/>
      <c r="AN259" s="78"/>
      <c r="AP259" s="78"/>
      <c r="AQ259" s="78"/>
      <c r="AR259" s="78"/>
      <c r="AS259" s="78"/>
      <c r="AT259" s="78"/>
      <c r="AU259" s="78"/>
      <c r="AV259" s="78"/>
      <c r="AW259" s="78"/>
      <c r="AX259" s="78"/>
      <c r="AY259" s="78"/>
      <c r="AZ259" s="78"/>
      <c r="BA259" s="78"/>
    </row>
    <row r="260" spans="2:53" ht="21.75" customHeight="1">
      <c r="B260" s="264" t="str">
        <f>IF(LEN(TRIM(Protocolo!O50))=0, " ",Protocolo!N50 &amp; ". " &amp; Protocolo!O50 &amp; " (Verdadero)")</f>
        <v>101. Me siento profundamente deprimido sin saber por qué. (Verdadero)</v>
      </c>
      <c r="C260" s="264"/>
      <c r="D260" s="264"/>
      <c r="E260" s="264"/>
      <c r="F260" s="264"/>
      <c r="G260" s="266"/>
      <c r="H260" s="266"/>
      <c r="I260" s="267"/>
      <c r="J260" s="264"/>
      <c r="K260" s="264"/>
      <c r="L260" s="264"/>
      <c r="M260" s="264"/>
      <c r="N260" s="264"/>
      <c r="O260" s="266"/>
      <c r="P260" s="266"/>
      <c r="Q260" s="266"/>
      <c r="AF260" s="78"/>
      <c r="AG260" s="78"/>
      <c r="AH260" s="78"/>
      <c r="AI260" s="78"/>
      <c r="AJ260" s="78"/>
      <c r="AK260" s="78"/>
      <c r="AL260" s="78"/>
      <c r="AM260" s="78"/>
      <c r="AN260" s="78"/>
      <c r="AP260" s="78"/>
      <c r="AQ260" s="78"/>
      <c r="AR260" s="78"/>
      <c r="AS260" s="78"/>
      <c r="AT260" s="78"/>
      <c r="AU260" s="78"/>
      <c r="AV260" s="78"/>
      <c r="AW260" s="78"/>
      <c r="AX260" s="78"/>
      <c r="AY260" s="78"/>
      <c r="AZ260" s="78"/>
      <c r="BA260" s="78"/>
    </row>
    <row r="261" spans="2:53" ht="21.75" customHeight="1">
      <c r="B261" s="264" t="str">
        <f>IF(LEN(TRIM(Protocolo!O51))=0, " ",Protocolo!N51 &amp; ". " &amp; Protocolo!O51 &amp; " (Verdadero)")</f>
        <v xml:space="preserve"> </v>
      </c>
      <c r="C261" s="264"/>
      <c r="D261" s="264"/>
      <c r="E261" s="264"/>
      <c r="F261" s="264"/>
      <c r="G261" s="266"/>
      <c r="H261" s="266"/>
      <c r="I261" s="267"/>
      <c r="J261" s="264"/>
      <c r="K261" s="264"/>
      <c r="L261" s="264"/>
      <c r="M261" s="264"/>
      <c r="N261" s="264"/>
      <c r="O261" s="266"/>
      <c r="P261" s="266"/>
      <c r="Q261" s="266"/>
      <c r="AF261" s="78"/>
      <c r="AG261" s="78"/>
      <c r="AH261" s="78"/>
      <c r="AI261" s="78"/>
      <c r="AJ261" s="78"/>
      <c r="AK261" s="78"/>
      <c r="AL261" s="78"/>
      <c r="AM261" s="78"/>
      <c r="AN261" s="78"/>
      <c r="AP261" s="78"/>
      <c r="AQ261" s="78"/>
      <c r="AR261" s="78"/>
      <c r="AS261" s="78"/>
      <c r="AT261" s="78"/>
      <c r="AU261" s="78"/>
      <c r="AV261" s="78"/>
      <c r="AW261" s="78"/>
      <c r="AX261" s="78"/>
      <c r="AY261" s="78"/>
      <c r="AZ261" s="78"/>
      <c r="BA261" s="78"/>
    </row>
    <row r="262" spans="2:53" ht="21.75" customHeight="1">
      <c r="B262" s="264" t="str">
        <f>IF(LEN(TRIM(Protocolo!O52))=0, " ",Protocolo!N52 &amp; ". " &amp; Protocolo!O52 &amp; " (Verdadero)")</f>
        <v>114. Estas últimas semanas me sentido cada vez más triste. (Verdadero)</v>
      </c>
      <c r="C262" s="264"/>
      <c r="D262" s="264"/>
      <c r="E262" s="264"/>
      <c r="F262" s="264"/>
      <c r="G262" s="266"/>
      <c r="H262" s="266"/>
      <c r="I262" s="267"/>
      <c r="J262" s="264"/>
      <c r="K262" s="264"/>
      <c r="L262" s="264"/>
      <c r="M262" s="264"/>
      <c r="N262" s="264"/>
      <c r="O262" s="266"/>
      <c r="P262" s="266"/>
      <c r="Q262" s="266"/>
      <c r="AF262" s="78"/>
      <c r="AG262" s="78"/>
      <c r="AH262" s="78"/>
      <c r="AI262" s="78"/>
      <c r="AJ262" s="78"/>
      <c r="AK262" s="78"/>
      <c r="AL262" s="78"/>
      <c r="AM262" s="78"/>
      <c r="AN262" s="78"/>
      <c r="AP262" s="78"/>
      <c r="AQ262" s="78"/>
      <c r="AR262" s="78"/>
      <c r="AS262" s="78"/>
      <c r="AT262" s="78"/>
      <c r="AU262" s="78"/>
      <c r="AV262" s="78"/>
      <c r="AW262" s="78"/>
      <c r="AX262" s="78"/>
      <c r="AY262" s="78"/>
      <c r="AZ262" s="78"/>
      <c r="BA262" s="78"/>
    </row>
    <row r="263" spans="2:53" ht="21.75" customHeight="1">
      <c r="B263" s="264" t="str">
        <f>IF(LEN(TRIM(Protocolo!O53))=0, " ",Protocolo!N53 &amp; ". " &amp; Protocolo!O53 &amp; " (Verdadero)")</f>
        <v>126. A menudo echo a perder las cosas buenas que me ocurren. (Verdadero)</v>
      </c>
      <c r="C263" s="264"/>
      <c r="D263" s="264"/>
      <c r="E263" s="264"/>
      <c r="F263" s="264"/>
      <c r="G263" s="266"/>
      <c r="H263" s="266"/>
      <c r="I263" s="267"/>
      <c r="J263" s="264"/>
      <c r="K263" s="264"/>
      <c r="L263" s="264"/>
      <c r="M263" s="264"/>
      <c r="N263" s="264"/>
      <c r="O263" s="266"/>
      <c r="P263" s="266"/>
      <c r="Q263" s="266"/>
      <c r="AF263" s="78"/>
      <c r="AG263" s="78"/>
      <c r="AH263" s="78"/>
      <c r="AI263" s="78"/>
      <c r="AJ263" s="78"/>
      <c r="AK263" s="78"/>
      <c r="AL263" s="78"/>
      <c r="AM263" s="78"/>
      <c r="AN263" s="78"/>
      <c r="AP263" s="78"/>
      <c r="AQ263" s="78"/>
      <c r="AR263" s="78"/>
      <c r="AS263" s="78"/>
      <c r="AT263" s="78"/>
      <c r="AU263" s="78"/>
      <c r="AV263" s="78"/>
      <c r="AW263" s="78"/>
      <c r="AX263" s="78"/>
      <c r="AY263" s="78"/>
      <c r="AZ263" s="78"/>
      <c r="BA263" s="78"/>
    </row>
    <row r="264" spans="2:53" ht="21.75" customHeight="1">
      <c r="B264" s="264" t="str">
        <f>IF(LEN(TRIM(Protocolo!O54))=0, " ",Protocolo!N54 &amp; ". " &amp; Protocolo!O54 &amp; " (Verdadero)")</f>
        <v xml:space="preserve"> </v>
      </c>
      <c r="C264" s="264"/>
      <c r="D264" s="264"/>
      <c r="E264" s="264"/>
      <c r="F264" s="264"/>
      <c r="G264" s="266"/>
      <c r="H264" s="266"/>
      <c r="I264" s="267"/>
      <c r="J264" s="264"/>
      <c r="K264" s="264"/>
      <c r="L264" s="264"/>
      <c r="M264" s="264"/>
      <c r="N264" s="264"/>
      <c r="O264" s="266"/>
      <c r="P264" s="266"/>
      <c r="Q264" s="266"/>
      <c r="AF264" s="78"/>
      <c r="AG264" s="78"/>
      <c r="AH264" s="78"/>
      <c r="AI264" s="78"/>
      <c r="AJ264" s="78"/>
      <c r="AK264" s="78"/>
      <c r="AL264" s="78"/>
      <c r="AM264" s="78"/>
      <c r="AN264" s="78"/>
      <c r="AP264" s="78"/>
      <c r="AQ264" s="78"/>
      <c r="AR264" s="78"/>
      <c r="AS264" s="78"/>
      <c r="AT264" s="78"/>
      <c r="AU264" s="78"/>
      <c r="AV264" s="78"/>
      <c r="AW264" s="78"/>
      <c r="AX264" s="78"/>
      <c r="AY264" s="78"/>
      <c r="AZ264" s="78"/>
      <c r="BA264" s="78"/>
    </row>
    <row r="265" spans="2:53" ht="21.75" customHeight="1">
      <c r="B265" s="264" t="str">
        <f>IF(LEN(TRIM(Protocolo!O55))=0, " ",Protocolo!N55 &amp; ". " &amp; Protocolo!O55 &amp; " (Verdadero)")</f>
        <v xml:space="preserve"> </v>
      </c>
      <c r="C265" s="264"/>
      <c r="D265" s="264"/>
      <c r="E265" s="264"/>
      <c r="F265" s="264"/>
      <c r="G265" s="266"/>
      <c r="H265" s="266"/>
      <c r="I265" s="267"/>
      <c r="J265" s="264"/>
      <c r="K265" s="264"/>
      <c r="L265" s="264"/>
      <c r="M265" s="264"/>
      <c r="N265" s="264"/>
      <c r="O265" s="266"/>
      <c r="P265" s="266"/>
      <c r="Q265" s="266"/>
      <c r="AF265" s="78"/>
      <c r="AG265" s="78"/>
      <c r="AH265" s="78"/>
      <c r="AI265" s="78"/>
      <c r="AJ265" s="78"/>
      <c r="AK265" s="78"/>
      <c r="AL265" s="78"/>
      <c r="AM265" s="78"/>
      <c r="AN265" s="78"/>
      <c r="AP265" s="78"/>
      <c r="AQ265" s="78"/>
      <c r="AR265" s="78"/>
      <c r="AS265" s="78"/>
      <c r="AT265" s="78"/>
      <c r="AU265" s="78"/>
      <c r="AV265" s="78"/>
      <c r="AW265" s="78"/>
      <c r="AX265" s="78"/>
      <c r="AY265" s="78"/>
      <c r="AZ265" s="78"/>
      <c r="BA265" s="78"/>
    </row>
    <row r="266" spans="2:53" ht="21.75" customHeight="1">
      <c r="B266" s="264"/>
      <c r="C266" s="264"/>
      <c r="D266" s="264"/>
      <c r="E266" s="264"/>
      <c r="F266" s="264"/>
      <c r="G266" s="266"/>
      <c r="H266" s="266"/>
      <c r="I266" s="267"/>
      <c r="J266" s="264"/>
      <c r="K266" s="264"/>
      <c r="L266" s="264"/>
      <c r="M266" s="264"/>
      <c r="N266" s="264"/>
      <c r="O266" s="266"/>
      <c r="P266" s="266"/>
      <c r="Q266" s="266"/>
      <c r="AF266" s="78"/>
      <c r="AG266" s="78"/>
      <c r="AH266" s="78"/>
      <c r="AI266" s="78"/>
      <c r="AJ266" s="78"/>
      <c r="AK266" s="78"/>
      <c r="AL266" s="78"/>
      <c r="AM266" s="78"/>
      <c r="AN266" s="78"/>
      <c r="AP266" s="78"/>
      <c r="AQ266" s="78"/>
      <c r="AR266" s="78"/>
      <c r="AS266" s="78"/>
      <c r="AT266" s="78"/>
      <c r="AU266" s="78"/>
      <c r="AV266" s="78"/>
      <c r="AW266" s="78"/>
      <c r="AX266" s="78"/>
      <c r="AY266" s="78"/>
      <c r="AZ266" s="78"/>
      <c r="BA266" s="78"/>
    </row>
    <row r="267" spans="2:53" ht="21.75" customHeight="1">
      <c r="B267" s="269" t="str" cm="1">
        <f t="array" ref="B267">IF(SUMPRODUCT(--(LEN(TRIM(B268:B269))&gt;0))=0,"","Maltrato infantil (" &amp;SUMPRODUCT(--(LEN(TRIM(B268:B269))&gt;0)) &amp;"/2)")</f>
        <v/>
      </c>
      <c r="C267" s="264"/>
      <c r="D267" s="264"/>
      <c r="E267" s="264"/>
      <c r="F267" s="264"/>
      <c r="G267" s="266"/>
      <c r="H267" s="266"/>
      <c r="I267" s="267"/>
      <c r="J267" s="264"/>
      <c r="K267" s="264"/>
      <c r="L267" s="264"/>
      <c r="M267" s="264"/>
      <c r="N267" s="264"/>
      <c r="O267" s="266"/>
      <c r="P267" s="266"/>
      <c r="Q267" s="266"/>
      <c r="AF267" s="78"/>
      <c r="AG267" s="78"/>
      <c r="AH267" s="78"/>
      <c r="AI267" s="78"/>
      <c r="AJ267" s="78"/>
      <c r="AK267" s="78"/>
      <c r="AL267" s="78"/>
      <c r="AM267" s="78"/>
      <c r="AN267" s="78"/>
      <c r="AP267" s="78"/>
      <c r="AQ267" s="78"/>
      <c r="AR267" s="78"/>
      <c r="AS267" s="78"/>
      <c r="AT267" s="78"/>
      <c r="AU267" s="78"/>
      <c r="AV267" s="78"/>
      <c r="AW267" s="78"/>
      <c r="AX267" s="78"/>
      <c r="AY267" s="78"/>
      <c r="AZ267" s="78"/>
      <c r="BA267" s="78"/>
    </row>
    <row r="268" spans="2:53" ht="21.75" customHeight="1">
      <c r="B268" s="264" t="str">
        <f>IF(LEN(TRIM(Protocolo!Q44))=0, " ",Protocolo!P44 &amp; ". " &amp; Protocolo!Q44 &amp; " (Verdadero)")</f>
        <v xml:space="preserve"> </v>
      </c>
      <c r="C268" s="264"/>
      <c r="D268" s="264"/>
      <c r="E268" s="264"/>
      <c r="F268" s="264"/>
      <c r="G268" s="266"/>
      <c r="H268" s="266"/>
      <c r="I268" s="267"/>
      <c r="J268" s="264"/>
      <c r="K268" s="264"/>
      <c r="L268" s="264"/>
      <c r="M268" s="264"/>
      <c r="N268" s="264"/>
      <c r="O268" s="266"/>
      <c r="P268" s="266"/>
      <c r="Q268" s="266"/>
      <c r="AF268" s="78"/>
      <c r="AG268" s="78"/>
      <c r="AH268" s="78"/>
      <c r="AI268" s="78"/>
      <c r="AJ268" s="78"/>
      <c r="AK268" s="78"/>
      <c r="AL268" s="78"/>
      <c r="AM268" s="78"/>
      <c r="AN268" s="78"/>
      <c r="AP268" s="78"/>
      <c r="AQ268" s="78"/>
      <c r="AR268" s="78"/>
      <c r="AS268" s="78"/>
      <c r="AT268" s="78"/>
      <c r="AU268" s="78"/>
      <c r="AV268" s="78"/>
      <c r="AW268" s="78"/>
      <c r="AX268" s="78"/>
      <c r="AY268" s="78"/>
      <c r="AZ268" s="78"/>
      <c r="BA268" s="78"/>
    </row>
    <row r="269" spans="2:53" ht="21.75" customHeight="1">
      <c r="B269" s="264" t="str">
        <f>IF(LEN(TRIM(Protocolo!Q45))=0, " ",Protocolo!P45 &amp; ". " &amp; Protocolo!Q45 &amp; " (Verdadero)")</f>
        <v xml:space="preserve"> </v>
      </c>
      <c r="C269" s="264"/>
      <c r="D269" s="264"/>
      <c r="E269" s="264"/>
      <c r="F269" s="264"/>
      <c r="G269" s="266"/>
      <c r="H269" s="266"/>
      <c r="I269" s="267"/>
      <c r="J269" s="264"/>
      <c r="K269" s="264"/>
      <c r="L269" s="264"/>
      <c r="M269" s="264"/>
      <c r="N269" s="264"/>
      <c r="O269" s="266"/>
      <c r="P269" s="266"/>
      <c r="Q269" s="266"/>
      <c r="AF269" s="78"/>
      <c r="AG269" s="78"/>
      <c r="AH269" s="78"/>
      <c r="AI269" s="78"/>
      <c r="AJ269" s="78"/>
      <c r="AK269" s="78"/>
      <c r="AL269" s="78"/>
      <c r="AM269" s="78"/>
      <c r="AN269" s="78"/>
      <c r="AP269" s="78"/>
      <c r="AQ269" s="78"/>
      <c r="AR269" s="78"/>
      <c r="AS269" s="78"/>
      <c r="AT269" s="78"/>
      <c r="AU269" s="78"/>
      <c r="AV269" s="78"/>
      <c r="AW269" s="78"/>
      <c r="AX269" s="78"/>
      <c r="AY269" s="78"/>
      <c r="AZ269" s="78"/>
      <c r="BA269" s="78"/>
    </row>
    <row r="270" spans="2:53" ht="21.75" customHeight="1">
      <c r="B270" s="264"/>
      <c r="C270" s="264"/>
      <c r="D270" s="264"/>
      <c r="E270" s="264"/>
      <c r="F270" s="264"/>
      <c r="G270" s="266"/>
      <c r="H270" s="266"/>
      <c r="I270" s="267"/>
      <c r="J270" s="264"/>
      <c r="K270" s="264"/>
      <c r="L270" s="264"/>
      <c r="M270" s="264"/>
      <c r="N270" s="264"/>
      <c r="O270" s="266"/>
      <c r="P270" s="266"/>
      <c r="Q270" s="266"/>
      <c r="AF270" s="78"/>
      <c r="AG270" s="78"/>
      <c r="AH270" s="78"/>
      <c r="AI270" s="78"/>
      <c r="AJ270" s="78"/>
      <c r="AK270" s="78"/>
      <c r="AL270" s="78"/>
      <c r="AM270" s="78"/>
      <c r="AN270" s="78"/>
      <c r="AP270" s="78"/>
      <c r="AQ270" s="78"/>
      <c r="AR270" s="78"/>
      <c r="AS270" s="78"/>
      <c r="AT270" s="78"/>
      <c r="AU270" s="78"/>
      <c r="AV270" s="78"/>
      <c r="AW270" s="78"/>
      <c r="AX270" s="78"/>
      <c r="AY270" s="78"/>
      <c r="AZ270" s="78"/>
      <c r="BA270" s="78"/>
    </row>
    <row r="271" spans="2:53" ht="21.75" customHeight="1">
      <c r="B271" s="269" t="str" cm="1">
        <f t="array" ref="B271">IF(SUMPRODUCT(--(LEN(TRIM(B272:B275))&gt;0))=0,"","Trastorno de la conducta alimentaria (" &amp;SUMPRODUCT(--(LEN(TRIM(B272:B275))&gt;0)) &amp;"/4)")</f>
        <v>Trastorno de la conducta alimentaria (1/4)</v>
      </c>
      <c r="C271" s="264"/>
      <c r="D271" s="264"/>
      <c r="E271" s="264"/>
      <c r="F271" s="264"/>
      <c r="G271" s="266"/>
      <c r="H271" s="266"/>
      <c r="I271" s="267"/>
      <c r="J271" s="264"/>
      <c r="K271" s="264"/>
      <c r="L271" s="264"/>
      <c r="M271" s="264"/>
      <c r="N271" s="264"/>
      <c r="O271" s="266"/>
      <c r="P271" s="266"/>
      <c r="Q271" s="266"/>
      <c r="AF271" s="78"/>
      <c r="AG271" s="78"/>
      <c r="AH271" s="78"/>
      <c r="AI271" s="78"/>
      <c r="AJ271" s="78"/>
      <c r="AK271" s="78"/>
      <c r="AL271" s="78"/>
      <c r="AM271" s="78"/>
      <c r="AN271" s="78"/>
      <c r="AP271" s="78"/>
      <c r="AQ271" s="78"/>
      <c r="AR271" s="78"/>
      <c r="AS271" s="78"/>
      <c r="AT271" s="78"/>
      <c r="AU271" s="78"/>
      <c r="AV271" s="78"/>
      <c r="AW271" s="78"/>
      <c r="AX271" s="78"/>
      <c r="AY271" s="78"/>
      <c r="AZ271" s="78"/>
      <c r="BA271" s="78"/>
    </row>
    <row r="272" spans="2:53" ht="21.75" customHeight="1">
      <c r="B272" s="264" t="str">
        <f>IF(LEN(TRIM(Protocolo!S44))=0, " ",Protocolo!R44 &amp; ". " &amp; Protocolo!S44 &amp; " (Verdadero)")</f>
        <v>69. Me doy atracones de comida un par de veces en la semana. (Verdadero)</v>
      </c>
      <c r="C272" s="264"/>
      <c r="D272" s="264"/>
      <c r="E272" s="264"/>
      <c r="F272" s="264"/>
      <c r="G272" s="266"/>
      <c r="H272" s="266"/>
      <c r="I272" s="267"/>
      <c r="J272" s="264"/>
      <c r="K272" s="264"/>
      <c r="L272" s="264"/>
      <c r="M272" s="264"/>
      <c r="N272" s="264"/>
      <c r="O272" s="266"/>
      <c r="P272" s="266"/>
      <c r="Q272" s="266"/>
      <c r="AF272" s="78"/>
      <c r="AG272" s="78"/>
      <c r="AH272" s="78"/>
      <c r="AI272" s="78"/>
      <c r="AJ272" s="78"/>
      <c r="AK272" s="78"/>
      <c r="AL272" s="78"/>
      <c r="AM272" s="78"/>
      <c r="AN272" s="78"/>
      <c r="AP272" s="78"/>
      <c r="AQ272" s="78"/>
      <c r="AR272" s="78"/>
      <c r="AS272" s="78"/>
      <c r="AT272" s="78"/>
      <c r="AU272" s="78"/>
      <c r="AV272" s="78"/>
      <c r="AW272" s="78"/>
      <c r="AX272" s="78"/>
      <c r="AY272" s="78"/>
      <c r="AZ272" s="78"/>
      <c r="BA272" s="78"/>
    </row>
    <row r="273" spans="2:53" ht="21.75" customHeight="1">
      <c r="B273" s="264" t="str">
        <f>IF(LEN(TRIM(Protocolo!S45))=0, " ",Protocolo!R45 &amp; ". " &amp; Protocolo!S45 &amp; " (Verdadero)")</f>
        <v xml:space="preserve"> </v>
      </c>
      <c r="C273" s="264"/>
      <c r="D273" s="264"/>
      <c r="E273" s="264"/>
      <c r="F273" s="264"/>
      <c r="G273" s="266"/>
      <c r="H273" s="266"/>
      <c r="I273" s="267"/>
      <c r="J273" s="264"/>
      <c r="K273" s="264"/>
      <c r="L273" s="264"/>
      <c r="M273" s="264"/>
      <c r="N273" s="264"/>
      <c r="O273" s="266"/>
      <c r="P273" s="266"/>
      <c r="Q273" s="266"/>
      <c r="AF273" s="78"/>
      <c r="AG273" s="78"/>
      <c r="AH273" s="78"/>
      <c r="AI273" s="78"/>
      <c r="AJ273" s="78"/>
      <c r="AK273" s="78"/>
      <c r="AL273" s="78"/>
      <c r="AM273" s="78"/>
      <c r="AN273" s="78"/>
      <c r="AP273" s="78"/>
      <c r="AQ273" s="78"/>
      <c r="AR273" s="78"/>
      <c r="AS273" s="78"/>
      <c r="AT273" s="78"/>
      <c r="AU273" s="78"/>
      <c r="AV273" s="78"/>
      <c r="AW273" s="78"/>
      <c r="AX273" s="78"/>
      <c r="AY273" s="78"/>
      <c r="AZ273" s="78"/>
      <c r="BA273" s="78"/>
    </row>
    <row r="274" spans="2:53" ht="21.75" customHeight="1">
      <c r="B274" s="264" t="str">
        <f>IF(LEN(TRIM(Protocolo!S46))=0, " ",Protocolo!R46 &amp; ". " &amp; Protocolo!S46 &amp; " (Verdadero)")</f>
        <v xml:space="preserve"> </v>
      </c>
      <c r="C274" s="264"/>
      <c r="D274" s="264"/>
      <c r="E274" s="264"/>
      <c r="F274" s="264"/>
      <c r="G274" s="266"/>
      <c r="H274" s="266"/>
      <c r="I274" s="267"/>
      <c r="J274" s="264"/>
      <c r="K274" s="264"/>
      <c r="L274" s="264"/>
      <c r="M274" s="264"/>
      <c r="N274" s="264"/>
      <c r="O274" s="266"/>
      <c r="P274" s="266"/>
      <c r="Q274" s="266"/>
      <c r="AF274" s="78"/>
      <c r="AG274" s="78"/>
      <c r="AH274" s="78"/>
      <c r="AI274" s="78"/>
      <c r="AJ274" s="78"/>
      <c r="AK274" s="78"/>
      <c r="AL274" s="78"/>
      <c r="AM274" s="78"/>
      <c r="AN274" s="78"/>
      <c r="AP274" s="78"/>
      <c r="AQ274" s="78"/>
      <c r="AR274" s="78"/>
      <c r="AS274" s="78"/>
      <c r="AT274" s="78"/>
      <c r="AU274" s="78"/>
      <c r="AV274" s="78"/>
      <c r="AW274" s="78"/>
      <c r="AX274" s="78"/>
      <c r="AY274" s="78"/>
      <c r="AZ274" s="78"/>
      <c r="BA274" s="78"/>
    </row>
    <row r="275" spans="2:53" ht="21.75" customHeight="1">
      <c r="B275" s="264" t="str">
        <f>IF(LEN(TRIM(Protocolo!S47))=0, " ",Protocolo!R47 &amp; ". " &amp; Protocolo!S47 &amp; " (Verdadero)")</f>
        <v xml:space="preserve"> </v>
      </c>
      <c r="C275" s="264"/>
      <c r="D275" s="264"/>
      <c r="E275" s="264"/>
      <c r="F275" s="264"/>
      <c r="G275" s="266"/>
      <c r="H275" s="266"/>
      <c r="I275" s="267"/>
      <c r="J275" s="264"/>
      <c r="K275" s="264"/>
      <c r="L275" s="264"/>
      <c r="M275" s="264"/>
      <c r="N275" s="264"/>
      <c r="O275" s="266"/>
      <c r="P275" s="266"/>
      <c r="Q275" s="266"/>
      <c r="AF275" s="78"/>
      <c r="AG275" s="78"/>
      <c r="AH275" s="78"/>
      <c r="AI275" s="78"/>
      <c r="AJ275" s="78"/>
      <c r="AK275" s="78"/>
      <c r="AL275" s="78"/>
      <c r="AM275" s="78"/>
      <c r="AN275" s="78"/>
      <c r="AP275" s="78"/>
      <c r="AQ275" s="78"/>
      <c r="AR275" s="78"/>
      <c r="AS275" s="78"/>
      <c r="AT275" s="78"/>
      <c r="AU275" s="78"/>
      <c r="AV275" s="78"/>
      <c r="AW275" s="78"/>
      <c r="AX275" s="78"/>
      <c r="AY275" s="78"/>
      <c r="AZ275" s="78"/>
      <c r="BA275" s="78"/>
    </row>
    <row r="276" spans="2:53" ht="21.75" customHeight="1">
      <c r="B276" s="264"/>
      <c r="C276" s="264"/>
      <c r="D276" s="264"/>
      <c r="E276" s="264"/>
      <c r="F276" s="264"/>
      <c r="G276" s="266"/>
      <c r="H276" s="266"/>
      <c r="I276" s="267"/>
      <c r="J276" s="264"/>
      <c r="K276" s="264"/>
      <c r="L276" s="264"/>
      <c r="M276" s="264"/>
      <c r="N276" s="264"/>
      <c r="O276" s="266"/>
      <c r="P276" s="266"/>
      <c r="Q276" s="266"/>
      <c r="AF276" s="78"/>
      <c r="AG276" s="78"/>
      <c r="AH276" s="78"/>
      <c r="AI276" s="78"/>
      <c r="AJ276" s="78"/>
      <c r="AK276" s="78"/>
      <c r="AL276" s="78"/>
      <c r="AM276" s="78"/>
      <c r="AN276" s="78"/>
      <c r="AP276" s="78"/>
      <c r="AQ276" s="78"/>
      <c r="AR276" s="78"/>
      <c r="AS276" s="78"/>
      <c r="AT276" s="78"/>
      <c r="AU276" s="78"/>
      <c r="AV276" s="78"/>
      <c r="AW276" s="78"/>
      <c r="AX276" s="78"/>
      <c r="AY276" s="78"/>
      <c r="AZ276" s="78"/>
      <c r="BA276" s="78"/>
    </row>
    <row r="277" spans="2:53" ht="21.75" customHeight="1">
      <c r="B277" s="269" t="str" cm="1">
        <f t="array" ref="B277">IF(SUMPRODUCT(--(LEN(TRIM(B278:B286))&gt;0))=0,"","Tendencias vengativas (" &amp;SUMPRODUCT(--(LEN(TRIM(B278:B286))&gt;0)) &amp;"/9)")</f>
        <v>Tendencias vengativas (3/9)</v>
      </c>
      <c r="C277" s="264"/>
      <c r="D277" s="264"/>
      <c r="E277" s="264"/>
      <c r="F277" s="264"/>
      <c r="G277" s="266"/>
      <c r="H277" s="266"/>
      <c r="I277" s="267"/>
      <c r="J277" s="264"/>
      <c r="K277" s="264"/>
      <c r="L277" s="264"/>
      <c r="M277" s="264"/>
      <c r="N277" s="264"/>
      <c r="O277" s="266"/>
      <c r="P277" s="266"/>
      <c r="Q277" s="266"/>
      <c r="AF277" s="78"/>
      <c r="AG277" s="78"/>
      <c r="AH277" s="78"/>
      <c r="AI277" s="78"/>
      <c r="AJ277" s="78"/>
      <c r="AK277" s="78"/>
      <c r="AL277" s="78"/>
      <c r="AM277" s="78"/>
      <c r="AN277" s="78"/>
      <c r="AP277" s="78"/>
      <c r="AQ277" s="78"/>
      <c r="AR277" s="78"/>
      <c r="AS277" s="78"/>
      <c r="AT277" s="78"/>
      <c r="AU277" s="78"/>
      <c r="AV277" s="78"/>
      <c r="AW277" s="78"/>
      <c r="AX277" s="78"/>
      <c r="AY277" s="78"/>
      <c r="AZ277" s="78"/>
      <c r="BA277" s="78"/>
    </row>
    <row r="278" spans="2:53" ht="21.75" customHeight="1">
      <c r="B278" s="264" t="str">
        <f>IF(LEN(TRIM(Protocolo!U44))=0, " ",Protocolo!T44 &amp; ". " &amp; Protocolo!U44 &amp; " (Verdadero)")</f>
        <v>22. Me siento extremadamente deprimido y triste gran parte del tiempo. (Verdadero)</v>
      </c>
      <c r="C278" s="264"/>
      <c r="D278" s="264"/>
      <c r="E278" s="264"/>
      <c r="F278" s="264"/>
      <c r="G278" s="266"/>
      <c r="H278" s="266"/>
      <c r="I278" s="267"/>
      <c r="J278" s="264"/>
      <c r="K278" s="264"/>
      <c r="L278" s="264"/>
      <c r="M278" s="264"/>
      <c r="N278" s="264"/>
      <c r="O278" s="266"/>
      <c r="P278" s="266"/>
      <c r="Q278" s="266"/>
      <c r="AP278" s="78"/>
      <c r="AQ278" s="78"/>
      <c r="AR278" s="78"/>
      <c r="AS278" s="78"/>
      <c r="AT278" s="78"/>
      <c r="AU278" s="78"/>
      <c r="AV278" s="78"/>
      <c r="AW278" s="78"/>
      <c r="AX278" s="78"/>
      <c r="AY278" s="78"/>
      <c r="AZ278" s="78"/>
      <c r="BA278" s="78"/>
    </row>
    <row r="279" spans="2:53" ht="21.75" customHeight="1">
      <c r="B279" s="264" t="str">
        <f>IF(LEN(TRIM(Protocolo!U45))=0, " ",Protocolo!T45 &amp; ". " &amp; Protocolo!U45 &amp; " (Verdadero)")</f>
        <v xml:space="preserve"> </v>
      </c>
      <c r="C279" s="264"/>
      <c r="D279" s="264"/>
      <c r="E279" s="264"/>
      <c r="F279" s="264"/>
      <c r="G279" s="266"/>
      <c r="H279" s="266"/>
      <c r="I279" s="267"/>
      <c r="J279" s="264"/>
      <c r="K279" s="264"/>
      <c r="L279" s="264"/>
      <c r="M279" s="264"/>
      <c r="N279" s="264"/>
      <c r="O279" s="266"/>
      <c r="P279" s="266"/>
      <c r="Q279" s="266"/>
      <c r="AP279" s="59"/>
      <c r="AS279" s="59"/>
      <c r="AT279" s="78"/>
      <c r="AU279" s="78"/>
      <c r="AV279" s="60"/>
      <c r="AW279" s="59"/>
    </row>
    <row r="280" spans="2:53" ht="21.75" customHeight="1">
      <c r="B280" s="264" t="str">
        <f>IF(LEN(TRIM(Protocolo!U46))=0, " ",Protocolo!T46 &amp; ". " &amp; Protocolo!U46 &amp; " (Verdadero)")</f>
        <v xml:space="preserve"> </v>
      </c>
      <c r="C280" s="264"/>
      <c r="D280" s="264"/>
      <c r="E280" s="264"/>
      <c r="F280" s="264"/>
      <c r="G280" s="266"/>
      <c r="H280" s="266"/>
      <c r="I280" s="267"/>
      <c r="J280" s="264"/>
      <c r="K280" s="264"/>
      <c r="L280" s="264"/>
      <c r="M280" s="264"/>
      <c r="N280" s="264"/>
      <c r="O280" s="266"/>
      <c r="P280" s="266"/>
      <c r="Q280" s="266"/>
      <c r="AP280" s="59"/>
      <c r="AS280" s="59"/>
      <c r="AT280" s="78"/>
      <c r="AU280" s="78"/>
      <c r="AV280" s="60"/>
      <c r="AW280" s="59"/>
    </row>
    <row r="281" spans="2:53" ht="21.75" customHeight="1">
      <c r="B281" s="264" t="str">
        <f>IF(LEN(TRIM(Protocolo!U47))=0, " ",Protocolo!T47 &amp; ". " &amp; Protocolo!U47 &amp; " (Verdadero)")</f>
        <v xml:space="preserve"> </v>
      </c>
      <c r="C281" s="264"/>
      <c r="D281" s="264"/>
      <c r="E281" s="264"/>
      <c r="F281" s="264"/>
      <c r="G281" s="266"/>
      <c r="H281" s="266"/>
      <c r="I281" s="267"/>
      <c r="J281" s="264"/>
      <c r="K281" s="264"/>
      <c r="L281" s="264"/>
      <c r="M281" s="264"/>
      <c r="N281" s="264"/>
      <c r="O281" s="266"/>
      <c r="P281" s="266"/>
      <c r="Q281" s="266"/>
      <c r="AP281" s="78"/>
      <c r="AS281" s="59"/>
      <c r="AT281" s="78"/>
      <c r="AU281" s="78"/>
      <c r="AV281" s="60"/>
      <c r="AW281" s="59"/>
    </row>
    <row r="282" spans="2:53" ht="21.75" customHeight="1">
      <c r="B282" s="264" t="str">
        <f>IF(LEN(TRIM(Protocolo!U48))=0, " ",Protocolo!T48 &amp; ". " &amp; Protocolo!U48 &amp; " (Verdadero)")</f>
        <v xml:space="preserve"> </v>
      </c>
      <c r="C282" s="264"/>
      <c r="D282" s="264"/>
      <c r="E282" s="264"/>
      <c r="F282" s="264"/>
      <c r="G282" s="266"/>
      <c r="H282" s="266"/>
      <c r="I282" s="267"/>
      <c r="J282" s="264"/>
      <c r="K282" s="264"/>
      <c r="L282" s="264"/>
      <c r="M282" s="264"/>
      <c r="N282" s="264"/>
      <c r="O282" s="266"/>
      <c r="P282" s="266"/>
      <c r="Q282" s="266"/>
      <c r="AP282" s="78"/>
      <c r="AS282" s="59"/>
      <c r="AT282" s="78"/>
      <c r="AU282" s="78"/>
      <c r="AV282" s="60"/>
      <c r="AW282" s="59"/>
    </row>
    <row r="283" spans="2:53" ht="21.75" customHeight="1">
      <c r="B283" s="264" t="str">
        <f>IF(LEN(TRIM(Protocolo!U49))=0, " ",Protocolo!T49 &amp; ". " &amp; Protocolo!U49 &amp; " (Verdadero)")</f>
        <v xml:space="preserve"> </v>
      </c>
      <c r="C283" s="264"/>
      <c r="D283" s="264"/>
      <c r="E283" s="264"/>
      <c r="F283" s="264"/>
      <c r="G283" s="266"/>
      <c r="H283" s="266"/>
      <c r="I283" s="267"/>
      <c r="J283" s="264"/>
      <c r="K283" s="264"/>
      <c r="L283" s="264"/>
      <c r="M283" s="264"/>
      <c r="N283" s="264"/>
      <c r="O283" s="266"/>
      <c r="P283" s="266"/>
      <c r="Q283" s="266"/>
      <c r="AP283" s="78"/>
      <c r="AS283" s="59"/>
      <c r="AT283" s="78"/>
      <c r="AU283" s="78"/>
      <c r="AV283" s="60"/>
      <c r="AW283" s="59"/>
    </row>
    <row r="284" spans="2:53" ht="21.75" customHeight="1">
      <c r="B284" s="264" t="str">
        <f>IF(LEN(TRIM(Protocolo!U50))=0, " ",Protocolo!T50 &amp; ". " &amp; Protocolo!U50 &amp; " (Verdadero)")</f>
        <v>167. A menudo creo que me han tratado injustamente. (Verdadero)</v>
      </c>
      <c r="C284" s="264"/>
      <c r="D284" s="264"/>
      <c r="E284" s="264"/>
      <c r="F284" s="264"/>
      <c r="G284" s="266"/>
      <c r="H284" s="266"/>
      <c r="I284" s="267"/>
      <c r="J284" s="264"/>
      <c r="K284" s="264"/>
      <c r="L284" s="264"/>
      <c r="M284" s="264"/>
      <c r="N284" s="264"/>
      <c r="O284" s="266"/>
      <c r="P284" s="266"/>
      <c r="Q284" s="266"/>
      <c r="AP284" s="78"/>
      <c r="AS284" s="59"/>
      <c r="AT284" s="78"/>
      <c r="AU284" s="78"/>
      <c r="AV284" s="60"/>
      <c r="AW284" s="59"/>
    </row>
    <row r="285" spans="2:53" ht="21.75" customHeight="1">
      <c r="B285" s="264" t="str">
        <f>IF(LEN(TRIM(Protocolo!U51))=0, " ",Protocolo!T51 &amp; ". " &amp; Protocolo!U51 &amp; " (Verdadero)")</f>
        <v>178. A menudo me siento muy infeliz conmigo mismo. (Verdadero)</v>
      </c>
      <c r="C285" s="264"/>
      <c r="D285" s="264"/>
      <c r="E285" s="264"/>
      <c r="F285" s="264"/>
      <c r="G285" s="266"/>
      <c r="H285" s="266"/>
      <c r="I285" s="267"/>
      <c r="J285" s="264"/>
      <c r="K285" s="264"/>
      <c r="L285" s="264"/>
      <c r="M285" s="264"/>
      <c r="N285" s="264"/>
      <c r="O285" s="266"/>
      <c r="P285" s="266"/>
      <c r="Q285" s="266"/>
      <c r="AP285" s="78"/>
      <c r="AS285" s="59"/>
      <c r="AT285" s="78"/>
      <c r="AU285" s="78"/>
      <c r="AV285" s="60"/>
      <c r="AW285" s="59"/>
    </row>
    <row r="286" spans="2:53" ht="21.75" customHeight="1">
      <c r="B286" s="264" t="str">
        <f>IF(LEN(TRIM(Protocolo!U52))=0, " ",Protocolo!T52 &amp; ". " &amp; Protocolo!U52 &amp; " (Verdadero)")</f>
        <v xml:space="preserve"> </v>
      </c>
      <c r="C286" s="264"/>
      <c r="D286" s="264"/>
      <c r="E286" s="264"/>
      <c r="F286" s="264"/>
      <c r="G286" s="266"/>
      <c r="H286" s="266"/>
      <c r="I286" s="267"/>
      <c r="J286" s="264"/>
      <c r="K286" s="264"/>
      <c r="L286" s="264"/>
      <c r="M286" s="264"/>
      <c r="N286" s="264"/>
      <c r="O286" s="266"/>
      <c r="P286" s="266"/>
      <c r="Q286" s="266"/>
      <c r="AP286" s="78"/>
      <c r="AS286" s="59"/>
      <c r="AT286" s="78"/>
      <c r="AU286" s="78"/>
      <c r="AV286" s="60"/>
      <c r="AW286" s="59"/>
    </row>
    <row r="287" spans="2:53" ht="21.75" customHeight="1">
      <c r="B287" s="264"/>
      <c r="C287" s="264"/>
      <c r="D287" s="264"/>
      <c r="E287" s="264"/>
      <c r="F287" s="264"/>
      <c r="G287" s="266"/>
      <c r="H287" s="266"/>
      <c r="I287" s="267"/>
      <c r="J287" s="264"/>
      <c r="K287" s="264"/>
      <c r="L287" s="264"/>
      <c r="M287" s="264"/>
      <c r="N287" s="264"/>
      <c r="O287" s="266"/>
      <c r="P287" s="266"/>
      <c r="Q287" s="266"/>
      <c r="AP287" s="78"/>
      <c r="AS287" s="59"/>
      <c r="AT287" s="78"/>
      <c r="AU287" s="78"/>
      <c r="AV287" s="60"/>
      <c r="AW287" s="59"/>
    </row>
    <row r="288" spans="2:53" ht="21.75" customHeight="1">
      <c r="B288" s="269" t="str" cm="1">
        <f t="array" ref="B288">IF(SUMPRODUCT(--(LEN(TRIM(B289:B290))&gt;0))=0,"","Abuso de la medicación (" &amp;SUMPRODUCT(--(LEN(TRIM(B289:B290))&gt;0)) &amp;"/2)")</f>
        <v>Abuso de la medicación (2/2)</v>
      </c>
      <c r="C288" s="264"/>
      <c r="D288" s="264"/>
      <c r="E288" s="264"/>
      <c r="F288" s="264"/>
      <c r="G288" s="266"/>
      <c r="H288" s="266"/>
      <c r="I288" s="267"/>
      <c r="J288" s="264"/>
      <c r="K288" s="264"/>
      <c r="L288" s="264"/>
      <c r="M288" s="264"/>
      <c r="N288" s="264"/>
      <c r="O288" s="266"/>
      <c r="P288" s="266"/>
      <c r="Q288" s="266"/>
      <c r="AP288" s="78"/>
      <c r="AS288" s="59"/>
      <c r="AT288" s="78"/>
      <c r="AU288" s="78"/>
      <c r="AV288" s="60"/>
      <c r="AW288" s="59"/>
    </row>
    <row r="289" spans="2:49" ht="21.75" customHeight="1">
      <c r="B289" s="264" t="str">
        <f>IF(LEN(TRIM(Protocolo!AC44))=0, " ",Protocolo!AB44 &amp; ". " &amp; Protocolo!AC44 &amp; "(Verdadero)")</f>
        <v>124. He tomado medicación que me habían recetado.(Verdadero)</v>
      </c>
      <c r="C289" s="264"/>
      <c r="D289" s="264"/>
      <c r="E289" s="264"/>
      <c r="F289" s="264"/>
      <c r="G289" s="266"/>
      <c r="H289" s="266"/>
      <c r="I289" s="267"/>
      <c r="J289" s="264"/>
      <c r="K289" s="264"/>
      <c r="L289" s="264"/>
      <c r="M289" s="264"/>
      <c r="N289" s="264"/>
      <c r="O289" s="266"/>
      <c r="P289" s="266"/>
      <c r="Q289" s="266"/>
      <c r="AP289" s="78"/>
      <c r="AS289" s="59"/>
      <c r="AT289" s="78"/>
      <c r="AU289" s="78"/>
      <c r="AV289" s="60"/>
      <c r="AW289" s="59"/>
    </row>
    <row r="290" spans="2:49" ht="21.75" customHeight="1">
      <c r="B290" s="272" t="str">
        <f>IF(LEN(TRIM(Protocolo!AC45))=0, " ",Protocolo!AB45 &amp; ". " &amp; Protocolo!AC45 &amp;  " (Verdadero)")</f>
        <v>176. Si un medicamento no me hace efecto, es probable que lo tome con más frecuencia o aumente la dosis. (Verdadero)</v>
      </c>
      <c r="C290" s="272"/>
      <c r="D290" s="272"/>
      <c r="E290" s="272"/>
      <c r="F290" s="272"/>
      <c r="G290" s="272"/>
      <c r="H290" s="272"/>
      <c r="I290" s="272"/>
      <c r="J290" s="272"/>
      <c r="K290" s="272"/>
      <c r="L290" s="272"/>
      <c r="M290" s="272"/>
      <c r="N290" s="272"/>
      <c r="O290" s="272"/>
      <c r="P290" s="272"/>
      <c r="Q290" s="272"/>
      <c r="AP290" s="78"/>
      <c r="AS290" s="59"/>
      <c r="AT290" s="78"/>
      <c r="AU290" s="78"/>
      <c r="AV290" s="60"/>
      <c r="AW290" s="59"/>
    </row>
    <row r="291" spans="2:49" ht="21.75" customHeight="1">
      <c r="B291" s="272"/>
      <c r="C291" s="272"/>
      <c r="D291" s="272"/>
      <c r="E291" s="272"/>
      <c r="F291" s="272"/>
      <c r="G291" s="272"/>
      <c r="H291" s="272"/>
      <c r="I291" s="272"/>
      <c r="J291" s="272"/>
      <c r="K291" s="272"/>
      <c r="L291" s="272"/>
      <c r="M291" s="272"/>
      <c r="N291" s="272"/>
      <c r="O291" s="272"/>
      <c r="P291" s="272"/>
      <c r="Q291" s="272"/>
      <c r="AP291" s="59"/>
      <c r="AS291" s="59"/>
      <c r="AT291" s="78"/>
      <c r="AU291" s="78"/>
      <c r="AV291" s="60"/>
      <c r="AW291" s="59"/>
    </row>
    <row r="292" spans="2:49" ht="16.5" customHeight="1">
      <c r="B292" s="273"/>
      <c r="C292" s="273"/>
      <c r="D292" s="273"/>
      <c r="E292" s="273"/>
      <c r="F292" s="273"/>
      <c r="G292" s="273"/>
      <c r="H292" s="273"/>
      <c r="I292" s="273"/>
      <c r="J292" s="273"/>
      <c r="K292" s="273"/>
      <c r="L292" s="273"/>
      <c r="M292" s="273"/>
      <c r="N292" s="273"/>
      <c r="O292" s="273"/>
      <c r="P292" s="273"/>
      <c r="Q292" s="273"/>
      <c r="AP292" s="59"/>
      <c r="AS292" s="59"/>
      <c r="AT292" s="78"/>
      <c r="AU292" s="78"/>
      <c r="AV292" s="60"/>
      <c r="AW292" s="59"/>
    </row>
    <row r="293" spans="2:49" ht="21.75" customHeight="1">
      <c r="B293" s="269" t="str" cm="1">
        <f t="array" ref="B293">IF(SUMPRODUCT(--(LEN(TRIM(B294:B295))&gt;0))=0,"","Conductas/tendencias autolesivas (" &amp;SUMPRODUCT(--(LEN(TRIM(B294:B295))&gt;0)) &amp;"/2)")</f>
        <v/>
      </c>
      <c r="C293" s="264"/>
      <c r="D293" s="264"/>
      <c r="E293" s="264"/>
      <c r="F293" s="264"/>
      <c r="G293" s="266"/>
      <c r="H293" s="266"/>
      <c r="I293" s="267"/>
      <c r="J293" s="264"/>
      <c r="K293" s="264"/>
      <c r="L293" s="264"/>
      <c r="M293" s="264"/>
      <c r="N293" s="264"/>
      <c r="O293" s="266"/>
      <c r="P293" s="266"/>
      <c r="Q293" s="266"/>
      <c r="AP293" s="59"/>
      <c r="AS293" s="59"/>
      <c r="AT293" s="78"/>
      <c r="AU293" s="78"/>
      <c r="AV293" s="60"/>
      <c r="AW293" s="59"/>
    </row>
    <row r="294" spans="2:49" ht="21.75" customHeight="1">
      <c r="B294" s="264" t="str">
        <f>IF(LEN(TRIM(Protocolo!AE44))=0, " ",Protocolo!AD44 &amp; ". " &amp; Protocolo!AE44 &amp; " (Verdadero)")</f>
        <v xml:space="preserve"> </v>
      </c>
      <c r="C294" s="264"/>
      <c r="D294" s="264"/>
      <c r="E294" s="264"/>
      <c r="F294" s="264"/>
      <c r="G294" s="266"/>
      <c r="H294" s="266"/>
      <c r="I294" s="267"/>
      <c r="J294" s="264"/>
      <c r="K294" s="264"/>
      <c r="L294" s="264"/>
      <c r="M294" s="264"/>
      <c r="N294" s="264"/>
      <c r="O294" s="266"/>
      <c r="P294" s="266"/>
      <c r="Q294" s="266"/>
      <c r="AP294" s="59"/>
      <c r="AS294" s="59"/>
      <c r="AT294" s="78"/>
      <c r="AU294" s="78"/>
      <c r="AV294" s="60"/>
      <c r="AW294" s="59"/>
    </row>
    <row r="295" spans="2:49" ht="21.75" customHeight="1">
      <c r="B295" s="264" t="str">
        <f>IF(LEN(TRIM(Protocolo!AE45))=0, " ",Protocolo!AD45 &amp; ". " &amp; Protocolo!AE45 &amp; " (Verdadero)")</f>
        <v xml:space="preserve"> </v>
      </c>
      <c r="C295" s="264"/>
      <c r="D295" s="264"/>
      <c r="E295" s="264"/>
      <c r="F295" s="264"/>
      <c r="G295" s="266"/>
      <c r="H295" s="266"/>
      <c r="I295" s="267"/>
      <c r="J295" s="264"/>
      <c r="K295" s="264"/>
      <c r="L295" s="264"/>
      <c r="M295" s="264"/>
      <c r="N295" s="264"/>
      <c r="O295" s="266"/>
      <c r="P295" s="266"/>
      <c r="Q295" s="266"/>
      <c r="AP295" s="59"/>
      <c r="AS295" s="142"/>
      <c r="AT295" s="78"/>
      <c r="AU295" s="78"/>
      <c r="AV295" s="60"/>
      <c r="AW295" s="59"/>
    </row>
    <row r="296" spans="2:49" ht="21.75" customHeight="1">
      <c r="B296" s="264"/>
      <c r="C296" s="264"/>
      <c r="D296" s="264"/>
      <c r="E296" s="264"/>
      <c r="F296" s="264"/>
      <c r="G296" s="266"/>
      <c r="H296" s="266"/>
      <c r="I296" s="267"/>
      <c r="J296" s="264"/>
      <c r="K296" s="264"/>
      <c r="L296" s="264"/>
      <c r="M296" s="264"/>
      <c r="N296" s="264"/>
      <c r="O296" s="266"/>
      <c r="P296" s="266"/>
      <c r="Q296" s="266"/>
      <c r="AP296" s="59"/>
      <c r="AS296" s="142" t="s">
        <v>239</v>
      </c>
      <c r="AT296" s="142" t="s">
        <v>636</v>
      </c>
      <c r="AU296" s="142" t="s">
        <v>637</v>
      </c>
      <c r="AV296" s="144" t="s">
        <v>688</v>
      </c>
      <c r="AW296" s="135" t="s">
        <v>689</v>
      </c>
    </row>
    <row r="297" spans="2:49" ht="21.75" customHeight="1">
      <c r="B297" s="269" t="str" cm="1">
        <f t="array" ref="B297">IF(SUMPRODUCT(--(LEN(TRIM(B298:B303))&gt;0))=0,"","Explosiones de ira (" &amp;SUMPRODUCT(--(LEN(TRIM(B298:B303))&gt;0)) &amp;"/6)")</f>
        <v/>
      </c>
      <c r="C297" s="264"/>
      <c r="D297" s="264"/>
      <c r="E297" s="264"/>
      <c r="F297" s="264"/>
      <c r="G297" s="266"/>
      <c r="H297" s="266"/>
      <c r="I297" s="267"/>
      <c r="J297" s="264"/>
      <c r="K297" s="264"/>
      <c r="L297" s="264"/>
      <c r="M297" s="264"/>
      <c r="N297" s="264"/>
      <c r="O297" s="266"/>
      <c r="P297" s="266"/>
      <c r="Q297" s="266"/>
      <c r="AP297" s="59"/>
      <c r="AS297" s="78" t="s">
        <v>197</v>
      </c>
      <c r="AT297" s="78" t="s">
        <v>638</v>
      </c>
      <c r="AU297" s="78" t="s">
        <v>664</v>
      </c>
      <c r="AV297" s="59" t="s">
        <v>690</v>
      </c>
      <c r="AW297" s="59" t="s">
        <v>702</v>
      </c>
    </row>
    <row r="298" spans="2:49" ht="21.75" customHeight="1">
      <c r="B298" s="264" t="str">
        <f>IF(LEN(TRIM(Protocolo!W44))=0, " ",Protocolo!V44 &amp; ". " &amp; Protocolo!W44 &amp; " (Verdadero)")</f>
        <v xml:space="preserve"> </v>
      </c>
      <c r="C298" s="264"/>
      <c r="D298" s="264"/>
      <c r="E298" s="264"/>
      <c r="F298" s="264"/>
      <c r="G298" s="266"/>
      <c r="H298" s="266"/>
      <c r="I298" s="267"/>
      <c r="J298" s="264"/>
      <c r="K298" s="264"/>
      <c r="L298" s="264"/>
      <c r="M298" s="264"/>
      <c r="N298" s="264"/>
      <c r="O298" s="266"/>
      <c r="P298" s="266"/>
      <c r="Q298" s="266"/>
      <c r="AP298" s="59"/>
      <c r="AS298" s="78" t="s">
        <v>198</v>
      </c>
      <c r="AT298" s="78" t="s">
        <v>639</v>
      </c>
      <c r="AU298" s="78" t="s">
        <v>670</v>
      </c>
      <c r="AV298" s="59" t="s">
        <v>691</v>
      </c>
      <c r="AW298" s="59" t="s">
        <v>703</v>
      </c>
    </row>
    <row r="299" spans="2:49" ht="21.75" customHeight="1">
      <c r="B299" s="264" t="str">
        <f>IF(LEN(TRIM(Protocolo!W45))=0, " ",Protocolo!V45 &amp; ". " &amp; Protocolo!W45 &amp; " (Verdadero)")</f>
        <v xml:space="preserve"> </v>
      </c>
      <c r="C299" s="264"/>
      <c r="D299" s="264"/>
      <c r="E299" s="264"/>
      <c r="F299" s="264"/>
      <c r="G299" s="266"/>
      <c r="H299" s="266"/>
      <c r="I299" s="267"/>
      <c r="J299" s="264"/>
      <c r="K299" s="264"/>
      <c r="L299" s="264"/>
      <c r="M299" s="264"/>
      <c r="N299" s="264"/>
      <c r="O299" s="266"/>
      <c r="P299" s="266"/>
      <c r="Q299" s="266"/>
      <c r="AP299" s="59"/>
      <c r="AS299" s="78" t="s">
        <v>199</v>
      </c>
      <c r="AT299" s="78" t="s">
        <v>640</v>
      </c>
      <c r="AU299" s="78" t="s">
        <v>673</v>
      </c>
      <c r="AV299" s="59" t="s">
        <v>692</v>
      </c>
      <c r="AW299" s="59" t="s">
        <v>704</v>
      </c>
    </row>
    <row r="300" spans="2:49" ht="21.75" customHeight="1">
      <c r="B300" s="264" t="str">
        <f>IF(LEN(TRIM(Protocolo!W46))=0, " ",Protocolo!V46 &amp; ". " &amp; Protocolo!W46 &amp; " (Verdadero)")</f>
        <v xml:space="preserve"> </v>
      </c>
      <c r="C300" s="264"/>
      <c r="D300" s="264"/>
      <c r="E300" s="264"/>
      <c r="F300" s="264"/>
      <c r="G300" s="266"/>
      <c r="H300" s="266"/>
      <c r="I300" s="267"/>
      <c r="J300" s="264"/>
      <c r="K300" s="264"/>
      <c r="L300" s="264"/>
      <c r="M300" s="264"/>
      <c r="N300" s="264"/>
      <c r="O300" s="266"/>
      <c r="P300" s="266"/>
      <c r="Q300" s="266"/>
      <c r="AP300" s="59"/>
      <c r="AS300" s="78" t="s">
        <v>200</v>
      </c>
      <c r="AT300" s="78" t="s">
        <v>641</v>
      </c>
      <c r="AU300" s="78" t="s">
        <v>671</v>
      </c>
      <c r="AV300" s="59" t="s">
        <v>693</v>
      </c>
      <c r="AW300" s="59" t="s">
        <v>705</v>
      </c>
    </row>
    <row r="301" spans="2:49" ht="21.75" customHeight="1">
      <c r="B301" s="264" t="str">
        <f>IF(LEN(TRIM(Protocolo!W47))=0, " ",Protocolo!V47 &amp; ". " &amp; Protocolo!W47 &amp; " (Verdadero)")</f>
        <v xml:space="preserve"> </v>
      </c>
      <c r="C301" s="264"/>
      <c r="D301" s="264"/>
      <c r="E301" s="264"/>
      <c r="F301" s="264"/>
      <c r="G301" s="266"/>
      <c r="H301" s="266"/>
      <c r="I301" s="267"/>
      <c r="J301" s="264"/>
      <c r="K301" s="264"/>
      <c r="L301" s="264"/>
      <c r="M301" s="264"/>
      <c r="N301" s="264"/>
      <c r="O301" s="266"/>
      <c r="P301" s="266"/>
      <c r="Q301" s="266"/>
      <c r="AP301" s="59"/>
      <c r="AS301" s="78" t="s">
        <v>201</v>
      </c>
      <c r="AT301" s="78" t="s">
        <v>642</v>
      </c>
      <c r="AU301" s="78" t="s">
        <v>668</v>
      </c>
      <c r="AV301" s="59" t="s">
        <v>694</v>
      </c>
      <c r="AW301" s="59" t="s">
        <v>706</v>
      </c>
    </row>
    <row r="302" spans="2:49" ht="21.75" customHeight="1">
      <c r="B302" s="264" t="str">
        <f>IF(LEN(TRIM(Protocolo!W48))=0, " ",Protocolo!V48 &amp; ". " &amp; Protocolo!W48 &amp; " (Verdadero)")</f>
        <v xml:space="preserve"> </v>
      </c>
      <c r="C302" s="264"/>
      <c r="D302" s="264"/>
      <c r="E302" s="264"/>
      <c r="F302" s="264"/>
      <c r="G302" s="266"/>
      <c r="H302" s="266"/>
      <c r="I302" s="267"/>
      <c r="J302" s="264"/>
      <c r="K302" s="264"/>
      <c r="L302" s="264"/>
      <c r="M302" s="264"/>
      <c r="N302" s="264"/>
      <c r="O302" s="266"/>
      <c r="P302" s="266"/>
      <c r="Q302" s="266"/>
      <c r="AP302" s="59"/>
      <c r="AS302" s="78" t="s">
        <v>202</v>
      </c>
      <c r="AT302" s="78" t="s">
        <v>643</v>
      </c>
      <c r="AU302" s="78" t="s">
        <v>673</v>
      </c>
      <c r="AV302" s="59" t="s">
        <v>695</v>
      </c>
      <c r="AW302" s="59" t="s">
        <v>707</v>
      </c>
    </row>
    <row r="303" spans="2:49" ht="21.75" customHeight="1">
      <c r="B303" s="264" t="str">
        <f>IF(LEN(TRIM(Protocolo!W49))=0, " ",Protocolo!V49 &amp; ". " &amp; Protocolo!W49 &amp; " (Verdadero)")</f>
        <v xml:space="preserve"> </v>
      </c>
      <c r="C303" s="264"/>
      <c r="D303" s="264"/>
      <c r="E303" s="264"/>
      <c r="F303" s="264"/>
      <c r="G303" s="266"/>
      <c r="H303" s="266"/>
      <c r="I303" s="267"/>
      <c r="J303" s="264"/>
      <c r="K303" s="264"/>
      <c r="L303" s="264"/>
      <c r="M303" s="264"/>
      <c r="N303" s="264"/>
      <c r="O303" s="266"/>
      <c r="P303" s="266"/>
      <c r="Q303" s="266"/>
      <c r="AP303" s="59"/>
      <c r="AS303" s="78" t="s">
        <v>203</v>
      </c>
      <c r="AT303" s="78" t="s">
        <v>644</v>
      </c>
      <c r="AU303" s="78" t="s">
        <v>669</v>
      </c>
      <c r="AV303" s="59" t="s">
        <v>696</v>
      </c>
      <c r="AW303" s="59" t="s">
        <v>708</v>
      </c>
    </row>
    <row r="304" spans="2:49" ht="21.75" customHeight="1">
      <c r="B304" s="264"/>
      <c r="C304" s="264"/>
      <c r="D304" s="264"/>
      <c r="E304" s="264"/>
      <c r="F304" s="264"/>
      <c r="G304" s="266"/>
      <c r="H304" s="266"/>
      <c r="I304" s="267"/>
      <c r="J304" s="264"/>
      <c r="K304" s="264"/>
      <c r="L304" s="264"/>
      <c r="M304" s="264"/>
      <c r="N304" s="264"/>
      <c r="O304" s="266"/>
      <c r="P304" s="266"/>
      <c r="Q304" s="266"/>
      <c r="AP304" s="59"/>
      <c r="AS304" s="78" t="s">
        <v>204</v>
      </c>
      <c r="AT304" s="78" t="s">
        <v>645</v>
      </c>
      <c r="AU304" s="78" t="s">
        <v>666</v>
      </c>
      <c r="AV304" s="59" t="s">
        <v>697</v>
      </c>
      <c r="AW304" s="59" t="s">
        <v>709</v>
      </c>
    </row>
    <row r="305" spans="2:49" ht="21.75" customHeight="1">
      <c r="B305" s="269" t="str" cm="1">
        <f t="array" ref="B305">IF(SUMPRODUCT(--(LEN(TRIM(B306:B312))&gt;0))=0,"","TDAH (" &amp;SUMPRODUCT(--(LEN(TRIM(B306:B312))&gt;0)) &amp;"/6)")</f>
        <v>TDAH (2/6)</v>
      </c>
      <c r="C305" s="264"/>
      <c r="D305" s="264"/>
      <c r="E305" s="264"/>
      <c r="F305" s="264"/>
      <c r="G305" s="266"/>
      <c r="H305" s="266"/>
      <c r="I305" s="267"/>
      <c r="J305" s="264"/>
      <c r="K305" s="264"/>
      <c r="L305" s="264"/>
      <c r="M305" s="264"/>
      <c r="N305" s="264"/>
      <c r="O305" s="266"/>
      <c r="P305" s="266"/>
      <c r="Q305" s="266"/>
      <c r="AP305" s="59"/>
      <c r="AS305" s="78" t="s">
        <v>205</v>
      </c>
      <c r="AT305" s="78" t="s">
        <v>646</v>
      </c>
      <c r="AU305" s="78" t="s">
        <v>673</v>
      </c>
      <c r="AV305" s="59" t="s">
        <v>698</v>
      </c>
      <c r="AW305" s="59" t="s">
        <v>710</v>
      </c>
    </row>
    <row r="306" spans="2:49" ht="21.75" customHeight="1">
      <c r="B306" s="264" t="str">
        <f>IF(LEN(TRIM(Protocolo!Y44))=0, " ",Protocolo!X44 &amp; ". " &amp; Protocolo!Y44 &amp; "(Verdadero)")</f>
        <v xml:space="preserve"> </v>
      </c>
      <c r="C306" s="264"/>
      <c r="D306" s="264"/>
      <c r="E306" s="264"/>
      <c r="F306" s="264"/>
      <c r="G306" s="266"/>
      <c r="H306" s="266"/>
      <c r="I306" s="267"/>
      <c r="J306" s="264"/>
      <c r="K306" s="264"/>
      <c r="L306" s="264"/>
      <c r="M306" s="264"/>
      <c r="N306" s="264"/>
      <c r="O306" s="266"/>
      <c r="P306" s="266"/>
      <c r="Q306" s="266"/>
      <c r="AP306" s="59"/>
      <c r="AS306" s="78" t="s">
        <v>206</v>
      </c>
      <c r="AT306" s="78" t="s">
        <v>647</v>
      </c>
      <c r="AU306" s="78" t="s">
        <v>672</v>
      </c>
      <c r="AV306" s="59" t="s">
        <v>699</v>
      </c>
      <c r="AW306" s="59" t="s">
        <v>711</v>
      </c>
    </row>
    <row r="307" spans="2:49" ht="21.75" customHeight="1">
      <c r="B307" s="264" t="str">
        <f>IF(LEN(TRIM(Protocolo!Y45))=0, " ",Protocolo!X45 &amp; ". " &amp; Protocolo!Y45 &amp; "(Verdadero)")</f>
        <v>77. Me parece que necesito que alguien me oriente para hacer las cosas.(Verdadero)</v>
      </c>
      <c r="C307" s="264"/>
      <c r="D307" s="264"/>
      <c r="E307" s="264"/>
      <c r="F307" s="264"/>
      <c r="G307" s="266"/>
      <c r="H307" s="266"/>
      <c r="I307" s="267"/>
      <c r="J307" s="264"/>
      <c r="K307" s="264"/>
      <c r="L307" s="264"/>
      <c r="M307" s="264"/>
      <c r="N307" s="264"/>
      <c r="O307" s="266"/>
      <c r="P307" s="266"/>
      <c r="Q307" s="266"/>
      <c r="AP307" s="59"/>
      <c r="AS307" s="78" t="s">
        <v>207</v>
      </c>
      <c r="AT307" s="78" t="s">
        <v>648</v>
      </c>
      <c r="AU307" s="78" t="s">
        <v>673</v>
      </c>
      <c r="AV307" s="59" t="s">
        <v>700</v>
      </c>
      <c r="AW307" s="59" t="s">
        <v>712</v>
      </c>
    </row>
    <row r="308" spans="2:49" ht="21.75" customHeight="1">
      <c r="B308" s="264" t="str">
        <f>IF(LEN(TRIM(Protocolo!Y46))=0, " ",Protocolo!X46 &amp; ". " &amp; Protocolo!Y46 &amp; "(Verdadero)")</f>
        <v xml:space="preserve"> </v>
      </c>
      <c r="C308" s="264"/>
      <c r="D308" s="264"/>
      <c r="E308" s="264"/>
      <c r="F308" s="264"/>
      <c r="G308" s="266"/>
      <c r="H308" s="266"/>
      <c r="I308" s="267"/>
      <c r="J308" s="264"/>
      <c r="K308" s="264"/>
      <c r="L308" s="264"/>
      <c r="M308" s="264"/>
      <c r="N308" s="264"/>
      <c r="O308" s="266"/>
      <c r="P308" s="266"/>
      <c r="Q308" s="266"/>
      <c r="AP308" s="59"/>
      <c r="AS308" s="78" t="s">
        <v>208</v>
      </c>
      <c r="AT308" s="78" t="s">
        <v>649</v>
      </c>
      <c r="AU308" s="78" t="s">
        <v>673</v>
      </c>
      <c r="AV308" s="59" t="s">
        <v>701</v>
      </c>
      <c r="AW308" s="59" t="s">
        <v>713</v>
      </c>
    </row>
    <row r="309" spans="2:49" ht="21.75" customHeight="1">
      <c r="B309" s="271" t="str">
        <f>IF(LEN(TRIM(Protocolo!Y47))=0, " ",Protocolo!X47 &amp; ". " &amp; Protocolo!Y47 &amp; "(Verdadero)")</f>
        <v>92. A menudo me pierdo en mis pensamientos y me olvido de lo que está pasando a mi alrededor.(Verdadero)</v>
      </c>
      <c r="C309" s="271"/>
      <c r="D309" s="271"/>
      <c r="E309" s="271"/>
      <c r="F309" s="271"/>
      <c r="G309" s="271"/>
      <c r="H309" s="271"/>
      <c r="I309" s="271"/>
      <c r="J309" s="271"/>
      <c r="K309" s="271"/>
      <c r="L309" s="271"/>
      <c r="M309" s="271"/>
      <c r="N309" s="271"/>
      <c r="O309" s="271"/>
      <c r="P309" s="271"/>
      <c r="Q309" s="271"/>
      <c r="AP309" s="59"/>
      <c r="AS309" s="142" t="s">
        <v>240</v>
      </c>
      <c r="AT309" s="78"/>
      <c r="AU309" s="78"/>
      <c r="AV309" s="135" t="s">
        <v>240</v>
      </c>
      <c r="AW309" s="59"/>
    </row>
    <row r="310" spans="2:49" ht="21.75" customHeight="1">
      <c r="B310" s="271"/>
      <c r="C310" s="271"/>
      <c r="D310" s="271"/>
      <c r="E310" s="271"/>
      <c r="F310" s="271"/>
      <c r="G310" s="271"/>
      <c r="H310" s="271"/>
      <c r="I310" s="271"/>
      <c r="J310" s="271"/>
      <c r="K310" s="271"/>
      <c r="L310" s="271"/>
      <c r="M310" s="271"/>
      <c r="N310" s="271"/>
      <c r="O310" s="271"/>
      <c r="P310" s="271"/>
      <c r="Q310" s="271"/>
      <c r="AP310" s="59"/>
      <c r="AS310" s="142"/>
      <c r="AT310" s="78"/>
      <c r="AU310" s="78"/>
      <c r="AV310" s="135"/>
      <c r="AW310" s="59"/>
    </row>
    <row r="311" spans="2:49" ht="21.75" customHeight="1">
      <c r="B311" s="264" t="str">
        <f>IF(LEN(TRIM(Protocolo!Y48))=0, " ",Protocolo!X48 &amp; ". " &amp; Protocolo!Y48 &amp; "(Verdadero)")</f>
        <v xml:space="preserve"> </v>
      </c>
      <c r="C311" s="264"/>
      <c r="D311" s="264"/>
      <c r="E311" s="264"/>
      <c r="F311" s="264"/>
      <c r="G311" s="266"/>
      <c r="H311" s="266"/>
      <c r="I311" s="267"/>
      <c r="J311" s="264"/>
      <c r="K311" s="264"/>
      <c r="L311" s="264"/>
      <c r="M311" s="264"/>
      <c r="N311" s="264"/>
      <c r="O311" s="266"/>
      <c r="P311" s="266"/>
      <c r="Q311" s="266"/>
      <c r="AP311" s="59"/>
      <c r="AS311" s="78" t="s">
        <v>243</v>
      </c>
      <c r="AT311" s="78" t="s">
        <v>650</v>
      </c>
      <c r="AU311" s="78" t="s">
        <v>665</v>
      </c>
      <c r="AV311" s="59" t="s">
        <v>719</v>
      </c>
      <c r="AW311" s="59" t="s">
        <v>722</v>
      </c>
    </row>
    <row r="312" spans="2:49" ht="21.75" customHeight="1">
      <c r="B312" s="264" t="str">
        <f>IF(LEN(TRIM(Protocolo!Y49))=0, " ",Protocolo!X49 &amp; ". " &amp; Protocolo!Y49 &amp; " (Falso)")</f>
        <v xml:space="preserve"> </v>
      </c>
      <c r="C312" s="264"/>
      <c r="D312" s="264"/>
      <c r="E312" s="264"/>
      <c r="F312" s="264"/>
      <c r="G312" s="266"/>
      <c r="H312" s="266"/>
      <c r="I312" s="267"/>
      <c r="J312" s="264"/>
      <c r="K312" s="264"/>
      <c r="L312" s="264"/>
      <c r="M312" s="264"/>
      <c r="N312" s="264"/>
      <c r="O312" s="266"/>
      <c r="P312" s="266"/>
      <c r="Q312" s="266"/>
      <c r="AP312" s="59"/>
      <c r="AS312" s="78" t="s">
        <v>244</v>
      </c>
      <c r="AT312" s="78" t="s">
        <v>651</v>
      </c>
      <c r="AU312" s="78" t="s">
        <v>667</v>
      </c>
      <c r="AV312" s="59" t="s">
        <v>720</v>
      </c>
      <c r="AW312" s="59" t="s">
        <v>723</v>
      </c>
    </row>
    <row r="313" spans="2:49" ht="21.75" customHeight="1">
      <c r="B313" s="264"/>
      <c r="C313" s="264"/>
      <c r="D313" s="264"/>
      <c r="E313" s="264"/>
      <c r="F313" s="264"/>
      <c r="G313" s="266"/>
      <c r="H313" s="266"/>
      <c r="I313" s="267"/>
      <c r="J313" s="264"/>
      <c r="K313" s="264"/>
      <c r="L313" s="264"/>
      <c r="M313" s="264"/>
      <c r="N313" s="264"/>
      <c r="O313" s="266"/>
      <c r="P313" s="266"/>
      <c r="Q313" s="266"/>
      <c r="AP313" s="59"/>
      <c r="AS313" s="78" t="s">
        <v>245</v>
      </c>
      <c r="AT313" s="78" t="s">
        <v>652</v>
      </c>
      <c r="AU313" s="78" t="s">
        <v>663</v>
      </c>
      <c r="AV313" s="59" t="s">
        <v>721</v>
      </c>
      <c r="AW313" s="59" t="s">
        <v>724</v>
      </c>
    </row>
    <row r="314" spans="2:49" ht="21.75" customHeight="1">
      <c r="B314" s="269" t="str" cm="1">
        <f t="array" ref="B314">IF(SUMPRODUCT(--(LEN(TRIM(B315:B323))&gt;0))=0,"","Espectro autista (" &amp;SUMPRODUCT(--(LEN(TRIM(B315:B323))&gt;0)) &amp;"/7)")</f>
        <v>Espectro autista (2/7)</v>
      </c>
      <c r="C314" s="264"/>
      <c r="D314" s="264"/>
      <c r="E314" s="264"/>
      <c r="F314" s="264"/>
      <c r="G314" s="266"/>
      <c r="H314" s="266"/>
      <c r="I314" s="267"/>
      <c r="J314" s="264"/>
      <c r="K314" s="264"/>
      <c r="L314" s="264"/>
      <c r="M314" s="264"/>
      <c r="N314" s="264"/>
      <c r="O314" s="266"/>
      <c r="P314" s="266"/>
      <c r="Q314" s="266"/>
      <c r="AP314" s="59"/>
      <c r="AS314" s="78"/>
      <c r="AT314" s="78"/>
      <c r="AU314" s="78"/>
      <c r="AV314" s="60"/>
      <c r="AW314" s="59"/>
    </row>
    <row r="315" spans="2:49" ht="21.75" customHeight="1">
      <c r="B315" s="272" t="str">
        <f>IF(LEN(TRIM(Protocolo!AA44))=0, " ",Protocolo!Z44 &amp; ". " &amp; Protocolo!AA44 &amp; " (Verdadero)")</f>
        <v>92. A menudo me pierdo en mis pensamientos y me olvido de lo que está pasando a mi alrededor. (Verdadero)</v>
      </c>
      <c r="C315" s="272"/>
      <c r="D315" s="272"/>
      <c r="E315" s="272"/>
      <c r="F315" s="272"/>
      <c r="G315" s="272"/>
      <c r="H315" s="272"/>
      <c r="I315" s="272"/>
      <c r="J315" s="272"/>
      <c r="K315" s="272"/>
      <c r="L315" s="272"/>
      <c r="M315" s="272"/>
      <c r="N315" s="272"/>
      <c r="O315" s="272"/>
      <c r="P315" s="272"/>
      <c r="Q315" s="272"/>
      <c r="AP315" s="59"/>
      <c r="AS315" s="142" t="s">
        <v>635</v>
      </c>
      <c r="AT315" s="78"/>
      <c r="AU315" s="78"/>
      <c r="AV315" s="60"/>
      <c r="AW315" s="59"/>
    </row>
    <row r="316" spans="2:49" ht="21.75" customHeight="1">
      <c r="B316" s="272"/>
      <c r="C316" s="272"/>
      <c r="D316" s="272"/>
      <c r="E316" s="272"/>
      <c r="F316" s="272"/>
      <c r="G316" s="272"/>
      <c r="H316" s="272"/>
      <c r="I316" s="272"/>
      <c r="J316" s="272"/>
      <c r="K316" s="272"/>
      <c r="L316" s="272"/>
      <c r="M316" s="272"/>
      <c r="N316" s="272"/>
      <c r="O316" s="272"/>
      <c r="P316" s="272"/>
      <c r="Q316" s="272"/>
      <c r="AP316" s="59"/>
      <c r="AS316" s="78" t="s">
        <v>249</v>
      </c>
      <c r="AT316" s="78" t="s">
        <v>653</v>
      </c>
      <c r="AU316" s="78" t="s">
        <v>674</v>
      </c>
      <c r="AV316" s="60"/>
      <c r="AW316" s="59"/>
    </row>
    <row r="317" spans="2:49" ht="21.75" customHeight="1">
      <c r="B317" s="264" t="str">
        <f>IF(LEN(TRIM(Protocolo!AA45))=0, " ",Protocolo!Z45 &amp; ". " &amp; Protocolo!AA45 &amp; " (Verdadero)")</f>
        <v xml:space="preserve"> </v>
      </c>
      <c r="C317" s="264"/>
      <c r="D317" s="264"/>
      <c r="E317" s="264"/>
      <c r="F317" s="264"/>
      <c r="G317" s="266"/>
      <c r="H317" s="266"/>
      <c r="I317" s="267"/>
      <c r="J317" s="264"/>
      <c r="K317" s="264"/>
      <c r="L317" s="264"/>
      <c r="M317" s="264"/>
      <c r="N317" s="264"/>
      <c r="O317" s="266"/>
      <c r="P317" s="266"/>
      <c r="Q317" s="266"/>
      <c r="AP317" s="59"/>
      <c r="AS317" s="78" t="s">
        <v>250</v>
      </c>
      <c r="AT317" s="78" t="s">
        <v>654</v>
      </c>
      <c r="AU317" s="78" t="s">
        <v>675</v>
      </c>
      <c r="AV317" s="60"/>
      <c r="AW317" s="59"/>
    </row>
    <row r="318" spans="2:49" ht="21.75" customHeight="1">
      <c r="B318" s="264" t="str">
        <f>IF(LEN(TRIM(Protocolo!AA46))=0, " ",Protocolo!Z46 &amp; ". " &amp; Protocolo!AA46 &amp; " (Verdadero)")</f>
        <v xml:space="preserve"> </v>
      </c>
      <c r="C318" s="264"/>
      <c r="D318" s="264"/>
      <c r="E318" s="264"/>
      <c r="F318" s="264"/>
      <c r="G318" s="266"/>
      <c r="H318" s="266"/>
      <c r="I318" s="267"/>
      <c r="J318" s="264"/>
      <c r="K318" s="264"/>
      <c r="L318" s="264"/>
      <c r="M318" s="264"/>
      <c r="N318" s="264"/>
      <c r="O318" s="266"/>
      <c r="P318" s="266"/>
      <c r="Q318" s="266"/>
      <c r="AP318" s="59"/>
      <c r="AS318" s="78" t="s">
        <v>251</v>
      </c>
      <c r="AT318" s="78" t="s">
        <v>657</v>
      </c>
      <c r="AU318" s="78" t="s">
        <v>677</v>
      </c>
      <c r="AV318" s="60"/>
      <c r="AW318" s="59"/>
    </row>
    <row r="319" spans="2:49" ht="21.75" customHeight="1">
      <c r="B319" s="264" t="str">
        <f>IF(LEN(TRIM(Protocolo!AA47))=0, " ",Protocolo!Z47 &amp; ". " &amp; Protocolo!AA47 &amp; " (Verdadero)")</f>
        <v>163. A menudo me vienen ideas a la mente mucho más rápido de lo puedo expresarlas. (Verdadero)</v>
      </c>
      <c r="C319" s="264"/>
      <c r="D319" s="264"/>
      <c r="E319" s="264"/>
      <c r="F319" s="264"/>
      <c r="G319" s="266"/>
      <c r="H319" s="266"/>
      <c r="I319" s="267"/>
      <c r="J319" s="264"/>
      <c r="K319" s="264"/>
      <c r="L319" s="264"/>
      <c r="M319" s="264"/>
      <c r="N319" s="264"/>
      <c r="O319" s="266"/>
      <c r="P319" s="266"/>
      <c r="Q319" s="266"/>
      <c r="AP319" s="59"/>
      <c r="AS319" s="78" t="s">
        <v>252</v>
      </c>
      <c r="AT319" s="78" t="s">
        <v>658</v>
      </c>
      <c r="AU319" s="78" t="s">
        <v>676</v>
      </c>
      <c r="AV319" s="60"/>
      <c r="AW319" s="59"/>
    </row>
    <row r="320" spans="2:49" ht="21.75" customHeight="1">
      <c r="B320" s="264" t="str">
        <f>IF(LEN(TRIM(Protocolo!AA48))=0, " ",Protocolo!Z48 &amp; ". " &amp; Protocolo!AA48 &amp; " (Verdadero)")</f>
        <v xml:space="preserve"> </v>
      </c>
      <c r="C320" s="264"/>
      <c r="D320" s="264"/>
      <c r="E320" s="264"/>
      <c r="F320" s="264"/>
      <c r="G320" s="266"/>
      <c r="H320" s="266"/>
      <c r="I320" s="267"/>
      <c r="J320" s="264"/>
      <c r="K320" s="264"/>
      <c r="L320" s="264"/>
      <c r="M320" s="264"/>
      <c r="N320" s="264"/>
      <c r="O320" s="266"/>
      <c r="P320" s="266"/>
      <c r="Q320" s="266"/>
      <c r="AP320" s="59"/>
      <c r="AS320" s="78" t="s">
        <v>253</v>
      </c>
      <c r="AT320" s="78" t="s">
        <v>659</v>
      </c>
      <c r="AU320" s="78" t="s">
        <v>680</v>
      </c>
      <c r="AV320" s="60"/>
      <c r="AW320" s="59"/>
    </row>
    <row r="321" spans="2:49" ht="21.75" customHeight="1">
      <c r="B321" s="264" t="str">
        <f>IF(LEN(TRIM(Protocolo!AA49))=0, " ",Protocolo!Z49 &amp; ". " &amp; Protocolo!AA49 &amp; " (Verdadero)")</f>
        <v xml:space="preserve"> </v>
      </c>
      <c r="C321" s="264"/>
      <c r="D321" s="264"/>
      <c r="E321" s="264"/>
      <c r="F321" s="264"/>
      <c r="G321" s="266"/>
      <c r="H321" s="266"/>
      <c r="I321" s="267"/>
      <c r="J321" s="264"/>
      <c r="K321" s="264"/>
      <c r="L321" s="264"/>
      <c r="M321" s="264"/>
      <c r="N321" s="264"/>
      <c r="O321" s="266"/>
      <c r="P321" s="266"/>
      <c r="Q321" s="266"/>
      <c r="AP321" s="59"/>
      <c r="AS321" s="78" t="s">
        <v>254</v>
      </c>
      <c r="AT321" s="78" t="s">
        <v>660</v>
      </c>
      <c r="AU321" s="78" t="s">
        <v>681</v>
      </c>
      <c r="AV321" s="60"/>
      <c r="AW321" s="59"/>
    </row>
    <row r="322" spans="2:49" ht="21.75" customHeight="1">
      <c r="B322" s="264" t="str">
        <f>IF(LEN(TRIM(Protocolo!AA50))=0, " ",Protocolo!Z50 &amp; ". " &amp; Protocolo!AA50 &amp; " (Verdadero)")</f>
        <v xml:space="preserve"> </v>
      </c>
      <c r="C322" s="264"/>
      <c r="D322" s="264"/>
      <c r="E322" s="264"/>
      <c r="F322" s="264"/>
      <c r="G322" s="266"/>
      <c r="H322" s="266"/>
      <c r="I322" s="267"/>
      <c r="J322" s="264"/>
      <c r="K322" s="264"/>
      <c r="L322" s="264"/>
      <c r="M322" s="264"/>
      <c r="N322" s="264"/>
      <c r="O322" s="266"/>
      <c r="P322" s="266"/>
      <c r="Q322" s="266"/>
      <c r="AP322" s="59"/>
      <c r="AS322" s="78" t="s">
        <v>255</v>
      </c>
      <c r="AT322" s="78" t="s">
        <v>655</v>
      </c>
      <c r="AU322" s="78" t="s">
        <v>679</v>
      </c>
      <c r="AV322" s="60"/>
      <c r="AW322" s="59"/>
    </row>
    <row r="323" spans="2:49" ht="21.75" customHeight="1">
      <c r="B323" s="264"/>
      <c r="C323" s="264"/>
      <c r="D323" s="264"/>
      <c r="E323" s="264"/>
      <c r="F323" s="264"/>
      <c r="G323" s="266"/>
      <c r="H323" s="266"/>
      <c r="I323" s="267"/>
      <c r="J323" s="264"/>
      <c r="K323" s="264"/>
      <c r="L323" s="264"/>
      <c r="M323" s="264"/>
      <c r="N323" s="264"/>
      <c r="O323" s="266"/>
      <c r="P323" s="266"/>
      <c r="Q323" s="266"/>
      <c r="AP323" s="59"/>
      <c r="AS323" s="142" t="s">
        <v>256</v>
      </c>
      <c r="AT323" s="78"/>
      <c r="AU323" s="78"/>
      <c r="AV323" s="60"/>
      <c r="AW323" s="59"/>
    </row>
    <row r="324" spans="2:49" ht="21.75" customHeight="1">
      <c r="B324" s="269"/>
      <c r="C324" s="264"/>
      <c r="D324" s="264"/>
      <c r="E324" s="264"/>
      <c r="F324" s="264"/>
      <c r="G324" s="266"/>
      <c r="H324" s="266"/>
      <c r="I324" s="267"/>
      <c r="J324" s="264"/>
      <c r="K324" s="264"/>
      <c r="L324" s="264"/>
      <c r="M324" s="264"/>
      <c r="N324" s="264"/>
      <c r="O324" s="266"/>
      <c r="P324" s="266"/>
      <c r="Q324" s="266"/>
      <c r="AP324" s="59"/>
      <c r="AS324" s="78" t="s">
        <v>257</v>
      </c>
      <c r="AT324" s="78" t="s">
        <v>661</v>
      </c>
      <c r="AU324" s="78" t="s">
        <v>683</v>
      </c>
      <c r="AV324" s="60"/>
      <c r="AW324" s="59"/>
    </row>
    <row r="325" spans="2:49" ht="21.75" customHeight="1">
      <c r="B325" s="145" t="s">
        <v>634</v>
      </c>
      <c r="C325" s="170"/>
      <c r="D325" s="170"/>
      <c r="E325" s="170"/>
      <c r="F325" s="170"/>
      <c r="G325" s="171"/>
      <c r="H325" s="171"/>
      <c r="I325" s="172"/>
      <c r="J325" s="170"/>
      <c r="K325" s="170"/>
      <c r="L325" s="170"/>
      <c r="M325" s="170"/>
      <c r="N325" s="170"/>
      <c r="O325" s="171"/>
      <c r="P325" s="171"/>
      <c r="Q325" s="171"/>
      <c r="AP325" s="59"/>
      <c r="AS325" s="78" t="s">
        <v>258</v>
      </c>
      <c r="AT325" s="78" t="s">
        <v>656</v>
      </c>
      <c r="AU325" s="78" t="s">
        <v>678</v>
      </c>
      <c r="AV325" s="60"/>
      <c r="AW325" s="59"/>
    </row>
    <row r="326" spans="2:49" ht="3" customHeight="1">
      <c r="B326" s="170"/>
      <c r="C326" s="170"/>
      <c r="D326" s="170"/>
      <c r="E326" s="170"/>
      <c r="F326" s="170"/>
      <c r="G326" s="171"/>
      <c r="H326" s="171"/>
      <c r="I326" s="172"/>
      <c r="J326" s="170"/>
      <c r="K326" s="170"/>
      <c r="L326" s="170"/>
      <c r="M326" s="170"/>
      <c r="N326" s="170"/>
      <c r="O326" s="171"/>
      <c r="P326" s="171"/>
      <c r="Q326" s="171"/>
      <c r="AP326" s="59"/>
      <c r="AS326" s="78" t="s">
        <v>259</v>
      </c>
      <c r="AT326" s="78" t="s">
        <v>662</v>
      </c>
      <c r="AU326" s="78" t="s">
        <v>682</v>
      </c>
      <c r="AV326" s="60"/>
      <c r="AW326" s="59"/>
    </row>
    <row r="327" spans="2:49" ht="21.75" customHeight="1">
      <c r="B327" s="191" t="s">
        <v>716</v>
      </c>
      <c r="C327" s="193"/>
      <c r="D327" s="193"/>
      <c r="E327" s="193"/>
      <c r="F327" s="193"/>
      <c r="G327" s="193"/>
      <c r="H327" s="193"/>
      <c r="I327" s="193"/>
      <c r="J327" s="193"/>
      <c r="K327" s="193"/>
      <c r="L327" s="193"/>
      <c r="M327" s="193"/>
      <c r="N327" s="193"/>
      <c r="O327" s="193"/>
      <c r="P327" s="193"/>
      <c r="Q327" s="193"/>
      <c r="AP327" s="59"/>
      <c r="AW327" s="59"/>
    </row>
    <row r="328" spans="2:49" ht="21.75" customHeight="1">
      <c r="B328" s="193"/>
      <c r="C328" s="193"/>
      <c r="D328" s="193"/>
      <c r="E328" s="193"/>
      <c r="F328" s="193"/>
      <c r="G328" s="193"/>
      <c r="H328" s="193"/>
      <c r="I328" s="193"/>
      <c r="J328" s="193"/>
      <c r="K328" s="193"/>
      <c r="L328" s="193"/>
      <c r="M328" s="193"/>
      <c r="N328" s="193"/>
      <c r="O328" s="193"/>
      <c r="P328" s="193"/>
      <c r="Q328" s="193"/>
      <c r="AP328" s="59"/>
      <c r="AS328" s="59"/>
      <c r="AT328" s="78"/>
      <c r="AU328" s="78"/>
      <c r="AV328" s="60"/>
      <c r="AW328" s="59"/>
    </row>
    <row r="329" spans="2:49" ht="21.75" customHeight="1">
      <c r="B329" s="193"/>
      <c r="C329" s="193"/>
      <c r="D329" s="193"/>
      <c r="E329" s="193"/>
      <c r="F329" s="193"/>
      <c r="G329" s="193"/>
      <c r="H329" s="193"/>
      <c r="I329" s="193"/>
      <c r="J329" s="193"/>
      <c r="K329" s="193"/>
      <c r="L329" s="193"/>
      <c r="M329" s="193"/>
      <c r="N329" s="193"/>
      <c r="O329" s="193"/>
      <c r="P329" s="193"/>
      <c r="Q329" s="193"/>
      <c r="AP329" s="59"/>
      <c r="AS329" s="59"/>
      <c r="AT329" s="78"/>
      <c r="AU329" s="78"/>
      <c r="AV329" s="60"/>
      <c r="AW329" s="59"/>
    </row>
    <row r="330" spans="2:49" ht="21.75" customHeight="1">
      <c r="B330" s="193"/>
      <c r="C330" s="193"/>
      <c r="D330" s="193"/>
      <c r="E330" s="193"/>
      <c r="F330" s="193"/>
      <c r="G330" s="193"/>
      <c r="H330" s="193"/>
      <c r="I330" s="193"/>
      <c r="J330" s="193"/>
      <c r="K330" s="193"/>
      <c r="L330" s="193"/>
      <c r="M330" s="193"/>
      <c r="N330" s="193"/>
      <c r="O330" s="193"/>
      <c r="P330" s="193"/>
      <c r="Q330" s="193"/>
      <c r="AP330" s="59"/>
      <c r="AS330" s="59"/>
      <c r="AT330" s="78"/>
      <c r="AU330" s="78"/>
      <c r="AV330" s="60"/>
      <c r="AW330" s="59"/>
    </row>
    <row r="331" spans="2:49" ht="21.75" customHeight="1">
      <c r="B331" s="193"/>
      <c r="C331" s="193"/>
      <c r="D331" s="193"/>
      <c r="E331" s="193"/>
      <c r="F331" s="193"/>
      <c r="G331" s="193"/>
      <c r="H331" s="193"/>
      <c r="I331" s="193"/>
      <c r="J331" s="193"/>
      <c r="K331" s="193"/>
      <c r="L331" s="193"/>
      <c r="M331" s="193"/>
      <c r="N331" s="193"/>
      <c r="O331" s="193"/>
      <c r="P331" s="193"/>
      <c r="Q331" s="193"/>
      <c r="AP331" s="59"/>
      <c r="AS331" s="59"/>
      <c r="AT331" s="78"/>
      <c r="AU331" s="78"/>
      <c r="AV331" s="60"/>
      <c r="AW331" s="59"/>
    </row>
    <row r="332" spans="2:49" ht="21.75" customHeight="1">
      <c r="B332" s="193"/>
      <c r="C332" s="193"/>
      <c r="D332" s="193"/>
      <c r="E332" s="193"/>
      <c r="F332" s="193"/>
      <c r="G332" s="193"/>
      <c r="H332" s="193"/>
      <c r="I332" s="193"/>
      <c r="J332" s="193"/>
      <c r="K332" s="193"/>
      <c r="L332" s="193"/>
      <c r="M332" s="193"/>
      <c r="N332" s="193"/>
      <c r="O332" s="193"/>
      <c r="P332" s="193"/>
      <c r="Q332" s="193"/>
      <c r="AP332" s="59"/>
      <c r="AS332" s="59"/>
      <c r="AT332" s="78"/>
      <c r="AU332" s="78"/>
      <c r="AV332" s="60"/>
      <c r="AW332" s="59"/>
    </row>
    <row r="333" spans="2:49" ht="21.75" customHeight="1">
      <c r="B333" s="193"/>
      <c r="C333" s="193"/>
      <c r="D333" s="193"/>
      <c r="E333" s="193"/>
      <c r="F333" s="193"/>
      <c r="G333" s="193"/>
      <c r="H333" s="193"/>
      <c r="I333" s="193"/>
      <c r="J333" s="193"/>
      <c r="K333" s="193"/>
      <c r="L333" s="193"/>
      <c r="M333" s="193"/>
      <c r="N333" s="193"/>
      <c r="O333" s="193"/>
      <c r="P333" s="193"/>
      <c r="Q333" s="193"/>
      <c r="AP333" s="59"/>
      <c r="AS333" s="59"/>
      <c r="AT333" s="78"/>
      <c r="AU333" s="78"/>
      <c r="AV333" s="60"/>
      <c r="AW333" s="59"/>
    </row>
    <row r="334" spans="2:49" ht="21.75" customHeight="1">
      <c r="B334" s="170"/>
      <c r="C334" s="170"/>
      <c r="D334" s="170"/>
      <c r="E334" s="170"/>
      <c r="F334" s="170"/>
      <c r="G334" s="171"/>
      <c r="H334" s="171"/>
      <c r="I334" s="172"/>
      <c r="J334" s="170"/>
      <c r="K334" s="170"/>
      <c r="L334" s="170"/>
      <c r="M334" s="170"/>
      <c r="N334" s="170"/>
      <c r="O334" s="171"/>
      <c r="P334" s="171"/>
      <c r="Q334" s="171"/>
      <c r="AP334" s="59"/>
      <c r="AS334" s="59"/>
      <c r="AT334" s="78"/>
      <c r="AU334" s="78"/>
      <c r="AV334" s="60"/>
      <c r="AW334" s="59"/>
    </row>
    <row r="335" spans="2:49" ht="21.75" customHeight="1">
      <c r="B335" s="145" t="s">
        <v>635</v>
      </c>
      <c r="C335" s="170"/>
      <c r="D335" s="170"/>
      <c r="E335" s="170"/>
      <c r="F335" s="170"/>
      <c r="G335" s="171"/>
      <c r="H335" s="171"/>
      <c r="I335" s="172"/>
      <c r="J335" s="170"/>
      <c r="K335" s="170"/>
      <c r="L335" s="170"/>
      <c r="M335" s="170"/>
      <c r="N335" s="170"/>
      <c r="O335" s="171"/>
      <c r="P335" s="171"/>
      <c r="Q335" s="171"/>
      <c r="AP335" s="59"/>
      <c r="AS335" s="59"/>
      <c r="AT335" s="78"/>
      <c r="AU335" s="78"/>
      <c r="AV335" s="60"/>
      <c r="AW335" s="59"/>
    </row>
    <row r="336" spans="2:49" ht="21.75" customHeight="1">
      <c r="B336" s="191" t="s">
        <v>684</v>
      </c>
      <c r="C336" s="191"/>
      <c r="D336" s="191"/>
      <c r="E336" s="191"/>
      <c r="F336" s="191"/>
      <c r="G336" s="191"/>
      <c r="H336" s="191"/>
      <c r="I336" s="191"/>
      <c r="J336" s="191"/>
      <c r="K336" s="191"/>
      <c r="L336" s="191"/>
      <c r="M336" s="191"/>
      <c r="N336" s="191"/>
      <c r="O336" s="191"/>
      <c r="P336" s="191"/>
      <c r="Q336" s="191"/>
      <c r="AP336" s="59"/>
      <c r="AS336" s="59"/>
      <c r="AT336" s="78"/>
      <c r="AU336" s="78"/>
      <c r="AV336" s="60"/>
      <c r="AW336" s="59"/>
    </row>
    <row r="337" spans="2:49" ht="21.75" customHeight="1">
      <c r="B337" s="191"/>
      <c r="C337" s="191"/>
      <c r="D337" s="191"/>
      <c r="E337" s="191"/>
      <c r="F337" s="191"/>
      <c r="G337" s="191"/>
      <c r="H337" s="191"/>
      <c r="I337" s="191"/>
      <c r="J337" s="191"/>
      <c r="K337" s="191"/>
      <c r="L337" s="191"/>
      <c r="M337" s="191"/>
      <c r="N337" s="191"/>
      <c r="O337" s="191"/>
      <c r="P337" s="191"/>
      <c r="Q337" s="191"/>
      <c r="AP337" s="59"/>
      <c r="AS337" s="59"/>
      <c r="AT337" s="78"/>
      <c r="AU337" s="78"/>
      <c r="AV337" s="60"/>
      <c r="AW337" s="59"/>
    </row>
    <row r="338" spans="2:49" ht="21.75" customHeight="1">
      <c r="B338" s="192" t="str">
        <f ca="1">IF(
  COUNTBLANK(AQ339:AR341)=ROWS(AQ339:AR341)*COLUMNS(AQ339:AR341),
  "Las tasas base obtenidas en las escalas correspondientes a síndromes clínicos se encuentran por debajo del umbral menores (TB ≥ 75 a 85), por lo que, no se identifica la presencia de un cuadro clínico específico.",
  ""
)</f>
        <v/>
      </c>
      <c r="C338" s="192"/>
      <c r="D338" s="192"/>
      <c r="E338" s="192"/>
      <c r="F338" s="192"/>
      <c r="G338" s="192"/>
      <c r="H338" s="192"/>
      <c r="I338" s="192"/>
      <c r="J338" s="192"/>
      <c r="K338" s="192"/>
      <c r="L338" s="192"/>
      <c r="M338" s="192"/>
      <c r="N338" s="192"/>
      <c r="O338" s="192"/>
      <c r="P338" s="192"/>
      <c r="Q338" s="192"/>
      <c r="AP338" s="59"/>
      <c r="AQ338" s="141" t="s">
        <v>633</v>
      </c>
      <c r="AS338" s="59"/>
      <c r="AT338" s="78"/>
      <c r="AU338" s="78"/>
      <c r="AV338" s="60"/>
      <c r="AW338" s="59"/>
    </row>
    <row r="339" spans="2:49" ht="21.75" customHeight="1">
      <c r="B339" s="192"/>
      <c r="C339" s="192"/>
      <c r="D339" s="192"/>
      <c r="E339" s="192"/>
      <c r="F339" s="192"/>
      <c r="G339" s="192"/>
      <c r="H339" s="192"/>
      <c r="I339" s="192"/>
      <c r="J339" s="192"/>
      <c r="K339" s="192"/>
      <c r="L339" s="192"/>
      <c r="M339" s="192"/>
      <c r="N339" s="192"/>
      <c r="O339" s="192"/>
      <c r="P339" s="192"/>
      <c r="Q339" s="192"/>
      <c r="AP339" s="59"/>
      <c r="AQ339" s="58" t="str" cm="1">
        <f t="array" aca="1" ref="AQ339" ca="1">IF(
  SUMPRODUCT(($S$47:$S$57&gt;=85)*($S$47:$S$57&lt;=115.999))=0,
  "",
  INDEX(
    $B$47:$B$57,
    MATCH(
      _xlfn.AGGREGATE(
        14,6,
        ($S$47:$S$57+(ROW($S$47:$S$57)-ROW($S$47)+1)/10000)/
        (($S$47:$S$57&gt;=85)*($S$47:$S$57&lt;=115.999)),
        1
      ),
      $S$47:$S$57+(ROW($S$47:$S$57)-ROW($S$47)+1)/10000,
      0
    )
  )
)</f>
        <v>Ansiedad generalizada</v>
      </c>
      <c r="AR339" s="58" t="str">
        <f ca="1">IF(AQ339="","",INDEX($AU$316:$AU$326,MATCH(AQ339,$AS$316:$AS$326,0)) &amp; " " &amp; INDEX($AT$316:$AT$326,MATCH(AQ339,$AS$316:$AS$326,0)) &amp; " ""(Prominente)""")</f>
        <v>300.02 (F41.1) Trastorno de ansiedad generalizada "(Prominente)"</v>
      </c>
      <c r="AS339" s="59"/>
      <c r="AT339" s="78"/>
      <c r="AU339" s="78"/>
      <c r="AV339" s="60"/>
      <c r="AW339" s="59"/>
    </row>
    <row r="340" spans="2:49" ht="21.75" customHeight="1">
      <c r="B340" s="192"/>
      <c r="C340" s="192"/>
      <c r="D340" s="192"/>
      <c r="E340" s="192"/>
      <c r="F340" s="192"/>
      <c r="G340" s="192"/>
      <c r="H340" s="192"/>
      <c r="I340" s="192"/>
      <c r="J340" s="192"/>
      <c r="K340" s="192"/>
      <c r="L340" s="192"/>
      <c r="M340" s="192"/>
      <c r="N340" s="192"/>
      <c r="O340" s="192"/>
      <c r="P340" s="192"/>
      <c r="Q340" s="192"/>
      <c r="AP340" s="59"/>
      <c r="AQ340" s="58" t="str" cm="1">
        <f t="array" aca="1" ref="AQ340" ca="1">IF(
  SUMPRODUCT(($S$47:$S$57&gt;=85)*($S$47:$S$57&lt;=115.999))&lt;2,
  "",
  INDEX(
    $B$47:$B$57,
    MATCH(
      _xlfn.AGGREGATE(
        14,6,
        ($S$47:$S$57+(ROW($S$47:$S$57)-ROW($S$47)+1)/10000)/
        (($S$47:$S$57&gt;=85)*($S$47:$S$57&lt;=115.999)),
        2
      ),
      $S$47:$S$57+(ROW($S$47:$S$57)-ROW($S$47)+1)/10000,
      0
    )
  )
)</f>
        <v/>
      </c>
      <c r="AR340" s="58" t="str">
        <f ca="1">IF(AQ340="","",INDEX($AU$316:$AU$326,MATCH(AQ340,$AS$316:$AS$326,0)) &amp; " " &amp; INDEX($AT$316:$AT$326,MATCH(AQ340,$AS$316:$AS$326,0)) &amp; " ""(Prominente)""")</f>
        <v/>
      </c>
      <c r="AS340" s="59"/>
      <c r="AT340" s="78"/>
      <c r="AU340" s="78"/>
      <c r="AV340" s="60"/>
      <c r="AW340" s="59"/>
    </row>
    <row r="341" spans="2:49" ht="21.75" customHeight="1">
      <c r="B341" s="170"/>
      <c r="C341" s="170"/>
      <c r="D341" s="170"/>
      <c r="E341" s="170" t="str">
        <f ca="1">IF(  AND(LEN(TRIM(AQ339))&gt;0, LEN(TRIM(AR339))&gt;0),  AR339,  " ")</f>
        <v>300.02 (F41.1) Trastorno de ansiedad generalizada "(Prominente)"</v>
      </c>
      <c r="F341" s="170"/>
      <c r="G341" s="171"/>
      <c r="H341" s="171"/>
      <c r="I341" s="172"/>
      <c r="J341" s="170"/>
      <c r="K341" s="170"/>
      <c r="L341" s="170"/>
      <c r="M341" s="170"/>
      <c r="N341" s="170"/>
      <c r="O341" s="171"/>
      <c r="P341" s="171"/>
      <c r="Q341" s="171"/>
      <c r="AP341" s="59"/>
      <c r="AQ341" s="58" t="str" cm="1">
        <f t="array" aca="1" ref="AQ341" ca="1">IF(
  SUMPRODUCT(($S$47:$S$57&gt;=75)*($S$47:$S$57&lt;85))=0,
  "",
  INDEX(
    $B$47:$B$57,
    MATCH(
      _xlfn.AGGREGATE(
        14,6,
        ($S$47:$S$57+(ROW($S$47:$S$57)-ROW($S$47)+1)/10000)/
        (($S$47:$S$57&gt;=75)*($S$47:$S$57&lt;85)),
        1
      ),
      $S$47:$S$57+(ROW($S$47:$S$57)-ROW($S$47)+1)/10000,
      0
    )
  )
)</f>
        <v>Depresión mayor</v>
      </c>
      <c r="AR341" s="58" t="str">
        <f ca="1">IF(AQ341="","",INDEX($AU$316:$AU$326,MATCH(AQ341,$AS$316:$AS$326,0)) &amp; " " &amp; INDEX($AT$316:$AT$326,MATCH(AQ341,$AS$316:$AS$326,0)) &amp; " ""(Presente)""")</f>
        <v>296.23 (F32.2) Trastorno de depresión mayor "(Presente)"</v>
      </c>
      <c r="AS341" s="59"/>
      <c r="AT341" s="78"/>
      <c r="AU341" s="78"/>
      <c r="AV341" s="60"/>
      <c r="AW341" s="59"/>
    </row>
    <row r="342" spans="2:49" ht="21.75" customHeight="1">
      <c r="B342" s="170"/>
      <c r="C342" s="170"/>
      <c r="D342" s="170"/>
      <c r="E342" s="173" t="str">
        <f ca="1">IF(  AND(  LEN(TRIM(AQ340))=0, LEN(TRIM(AR340))=0 ), "", AR340)</f>
        <v/>
      </c>
      <c r="F342" s="170"/>
      <c r="G342" s="171"/>
      <c r="H342" s="171"/>
      <c r="I342" s="172"/>
      <c r="J342" s="170"/>
      <c r="K342" s="170"/>
      <c r="L342" s="170"/>
      <c r="M342" s="170"/>
      <c r="N342" s="170"/>
      <c r="O342" s="171"/>
      <c r="P342" s="171"/>
      <c r="Q342" s="171"/>
      <c r="AP342" s="59"/>
      <c r="AS342" s="59"/>
      <c r="AT342" s="78"/>
      <c r="AU342" s="78"/>
      <c r="AV342" s="60"/>
      <c r="AW342" s="59"/>
    </row>
    <row r="343" spans="2:49" ht="21.75" customHeight="1">
      <c r="B343" s="170"/>
      <c r="C343" s="170"/>
      <c r="D343" s="170"/>
      <c r="E343" s="174" t="str">
        <f ca="1">IF(  AND(  LEN(TRIM(AQ341))=0, LEN(TRIM(AR341))=0 ), "", AR341)</f>
        <v>296.23 (F32.2) Trastorno de depresión mayor "(Presente)"</v>
      </c>
      <c r="F343" s="170"/>
      <c r="G343" s="171"/>
      <c r="H343" s="171"/>
      <c r="I343" s="172"/>
      <c r="J343" s="170"/>
      <c r="K343" s="170"/>
      <c r="L343" s="170"/>
      <c r="M343" s="170"/>
      <c r="N343" s="170"/>
      <c r="O343" s="171"/>
      <c r="P343" s="171"/>
      <c r="Q343" s="171"/>
      <c r="AP343" s="59"/>
      <c r="AS343" s="59"/>
      <c r="AT343" s="78"/>
      <c r="AU343" s="78"/>
      <c r="AV343" s="60"/>
      <c r="AW343" s="59"/>
    </row>
    <row r="344" spans="2:49" ht="21.75" customHeight="1">
      <c r="B344" s="170"/>
      <c r="C344" s="170"/>
      <c r="D344" s="170"/>
      <c r="E344" s="170"/>
      <c r="F344" s="170"/>
      <c r="G344" s="171"/>
      <c r="H344" s="171"/>
      <c r="I344" s="172"/>
      <c r="J344" s="170"/>
      <c r="K344" s="170"/>
      <c r="L344" s="170"/>
      <c r="M344" s="170"/>
      <c r="N344" s="170"/>
      <c r="O344" s="171"/>
      <c r="P344" s="171"/>
      <c r="Q344" s="171"/>
      <c r="AP344" s="59"/>
      <c r="AS344" s="59"/>
      <c r="AT344" s="78"/>
      <c r="AU344" s="78"/>
      <c r="AV344" s="60"/>
      <c r="AW344" s="59"/>
    </row>
    <row r="345" spans="2:49" ht="21.75" customHeight="1">
      <c r="B345" s="145" t="s">
        <v>685</v>
      </c>
      <c r="C345" s="170"/>
      <c r="D345" s="170"/>
      <c r="E345" s="170"/>
      <c r="F345" s="170"/>
      <c r="G345" s="171"/>
      <c r="H345" s="171"/>
      <c r="I345" s="172"/>
      <c r="J345" s="170"/>
      <c r="K345" s="170"/>
      <c r="L345" s="170"/>
      <c r="M345" s="170"/>
      <c r="N345" s="170"/>
      <c r="O345" s="171"/>
      <c r="P345" s="171"/>
      <c r="Q345" s="171"/>
      <c r="AP345" s="59"/>
      <c r="AS345" s="59"/>
      <c r="AT345" s="78"/>
      <c r="AU345" s="78"/>
      <c r="AV345" s="60"/>
      <c r="AW345" s="59"/>
    </row>
    <row r="346" spans="2:49" ht="21.75" customHeight="1">
      <c r="B346" s="191" t="s">
        <v>686</v>
      </c>
      <c r="C346" s="191"/>
      <c r="D346" s="191"/>
      <c r="E346" s="191"/>
      <c r="F346" s="191"/>
      <c r="G346" s="191"/>
      <c r="H346" s="191"/>
      <c r="I346" s="191"/>
      <c r="J346" s="191"/>
      <c r="K346" s="191"/>
      <c r="L346" s="191"/>
      <c r="M346" s="191"/>
      <c r="N346" s="191"/>
      <c r="O346" s="191"/>
      <c r="P346" s="191"/>
      <c r="Q346" s="191"/>
      <c r="AP346" s="59"/>
      <c r="AQ346" s="141" t="s">
        <v>687</v>
      </c>
      <c r="AS346" s="59"/>
      <c r="AT346" s="78"/>
      <c r="AU346" s="78"/>
      <c r="AV346" s="60"/>
      <c r="AW346" s="59"/>
    </row>
    <row r="347" spans="2:49" ht="21.75" customHeight="1">
      <c r="B347" s="191"/>
      <c r="C347" s="191"/>
      <c r="D347" s="191"/>
      <c r="E347" s="191"/>
      <c r="F347" s="191"/>
      <c r="G347" s="191"/>
      <c r="H347" s="191"/>
      <c r="I347" s="191"/>
      <c r="J347" s="191"/>
      <c r="K347" s="191"/>
      <c r="L347" s="191"/>
      <c r="M347" s="191"/>
      <c r="N347" s="191"/>
      <c r="O347" s="191"/>
      <c r="P347" s="191"/>
      <c r="Q347" s="191"/>
      <c r="AP347" s="59"/>
      <c r="AQ347" s="58" t="str" cm="1">
        <f t="array" aca="1" ref="AQ347" ca="1">IF(
  SUMPRODUCT(($S$27:$S$42&gt;=85)*($S$27:$S$42&lt;=115.999))&lt;1,
  "",
  INDEX($B$27:$B$42,
    MATCH(
      _xlfn.AGGREGATE(14,6,
        ($S$27:$S$42+(ROW($S$27:$S$42)-ROW($S$27)+1)/10000)/
        (($S$27:$S$42&gt;=85)*($S$27:$S$42&lt;=115.999)),
        1
      ),
      $S$27:$S$42+(ROW($S$27:$S$42)-ROW($S$27)+1)/10000,
      0
    )
  )
)</f>
        <v/>
      </c>
      <c r="AR347" s="58" t="str">
        <f ca="1">IF(AQ347="","",INDEX($AU$297:$AU$313,MATCH(AQ347,$AS$297:$AS$313,0)) &amp; " " &amp;INDEX($AT$297:$AT$313,MATCH(AQ347,$AS$297:$AS$313,0)))</f>
        <v/>
      </c>
      <c r="AS347" s="59"/>
      <c r="AT347" s="78"/>
      <c r="AU347" s="78"/>
      <c r="AV347" s="60"/>
      <c r="AW347" s="59"/>
    </row>
    <row r="348" spans="2:49" ht="21.75" customHeight="1">
      <c r="B348" s="191"/>
      <c r="C348" s="191"/>
      <c r="D348" s="191"/>
      <c r="E348" s="191"/>
      <c r="F348" s="191"/>
      <c r="G348" s="191"/>
      <c r="H348" s="191"/>
      <c r="I348" s="191"/>
      <c r="J348" s="191"/>
      <c r="K348" s="191"/>
      <c r="L348" s="191"/>
      <c r="M348" s="191"/>
      <c r="N348" s="191"/>
      <c r="O348" s="191"/>
      <c r="P348" s="191"/>
      <c r="Q348" s="191"/>
      <c r="AP348" s="59"/>
      <c r="AQ348" s="58" t="str" cm="1">
        <f t="array" aca="1" ref="AQ348" ca="1">IF(
  SUMPRODUCT(($S$27:$S$42&gt;=85)*($S$27:$S$42&lt;=115.999))&lt;2,
  "",
  INDEX($B$27:$B$42,
    MATCH(
      _xlfn.AGGREGATE(14,6,
        ($S$27:$S$42+(ROW($S$27:$S$42)-ROW($S$27)+1)/10000)/
        (($S$27:$S$42&gt;=85)*($S$27:$S$42&lt;=115.999)),
        2
      ),
      $S$27:$S$42+(ROW($S$27:$S$42)-ROW($S$27)+1)/10000,
      0
    )
  )
)</f>
        <v/>
      </c>
      <c r="AR348" s="58" t="str">
        <f ca="1">IF(AQ348="","",INDEX($AU$297:$AU$313,MATCH(AQ348,$AS$297:$AS$313,0)) &amp; " " &amp;INDEX($AT$297:$AT$313,MATCH(AQ348,$AS$297:$AS$313,0)))</f>
        <v/>
      </c>
      <c r="AS348" s="59"/>
      <c r="AT348" s="78"/>
      <c r="AU348" s="78"/>
      <c r="AV348" s="60"/>
      <c r="AW348" s="59"/>
    </row>
    <row r="349" spans="2:49" ht="27.75" customHeight="1">
      <c r="B349" s="191"/>
      <c r="C349" s="191"/>
      <c r="D349" s="191"/>
      <c r="E349" s="191"/>
      <c r="F349" s="191"/>
      <c r="G349" s="191"/>
      <c r="H349" s="191"/>
      <c r="I349" s="191"/>
      <c r="J349" s="191"/>
      <c r="K349" s="191"/>
      <c r="L349" s="191"/>
      <c r="M349" s="191"/>
      <c r="N349" s="191"/>
      <c r="O349" s="191"/>
      <c r="P349" s="191"/>
      <c r="Q349" s="191"/>
      <c r="AP349" s="59"/>
      <c r="AQ349" s="58" t="str" cm="1">
        <f t="array" aca="1" ref="AQ349" ca="1">IF(
  SUMPRODUCT(($S$27:$S$42&gt;=85)*($S$27:$S$42&lt;=115.999))&lt;3,
  "",
  INDEX($B$27:$B$42,
    MATCH(
      _xlfn.AGGREGATE(14,6,
        ($S$27:$S$42+(ROW($S$27:$S$42)-ROW($S$27)+1)/10000)/
        (($S$27:$S$42&gt;=85)*($S$27:$S$42&lt;=115.999)),
        3
      ),
      $S$27:$S$42+(ROW($S$27:$S$42)-ROW($S$27)+1)/10000,
      0
    )
  )
)</f>
        <v/>
      </c>
      <c r="AR349" s="58" t="str">
        <f ca="1">IF(AQ349="","",INDEX($AU$297:$AU$313,MATCH(AQ349,$AS$297:$AS$313,0)) &amp; " " &amp;INDEX($AT$297:$AT$313,MATCH(AQ349,$AS$297:$AS$313,0)))</f>
        <v/>
      </c>
      <c r="AS349" s="59"/>
      <c r="AT349" s="78"/>
      <c r="AU349" s="78"/>
      <c r="AV349" s="60"/>
      <c r="AW349" s="59"/>
    </row>
    <row r="350" spans="2:49" ht="31.5" customHeight="1">
      <c r="B350" s="191"/>
      <c r="C350" s="191"/>
      <c r="D350" s="191"/>
      <c r="E350" s="191"/>
      <c r="F350" s="191"/>
      <c r="G350" s="191"/>
      <c r="H350" s="191"/>
      <c r="I350" s="191"/>
      <c r="J350" s="191"/>
      <c r="K350" s="191"/>
      <c r="L350" s="191"/>
      <c r="M350" s="191"/>
      <c r="N350" s="191"/>
      <c r="O350" s="191"/>
      <c r="P350" s="191"/>
      <c r="Q350" s="191"/>
      <c r="AP350" s="59"/>
      <c r="AQ350" s="58" t="str" cm="1">
        <f t="array" aca="1" ref="AQ350" ca="1">IF(
  SUMPRODUCT(($S$27:$S$42&gt;=75)*($S$27:$S$42&lt;85))&lt;1,
  "",
  INDEX($B$27:$B$42,
    MATCH(
      _xlfn.AGGREGATE(14,6,
        ($S$27:$S$42+(ROW($S$27:$S$42)-ROW($S$27)+1)/10000)/
        (($S$27:$S$42&gt;=75)*($S$27:$S$42&lt;85)),
        1
      ),
      $S$27:$S$42+(ROW($S$27:$S$42)-ROW($S$27)+1)/10000,
      0
    )
  )
)</f>
        <v>Histriónico</v>
      </c>
      <c r="AR350" s="58" t="str">
        <f ca="1">IF(AQ350="","",VLOOKUP(AQ350,$AS$297:$AW$313,4,0))</f>
        <v>Tipo de personalidad histriónica</v>
      </c>
      <c r="AS350" s="59"/>
      <c r="AT350" s="78"/>
      <c r="AU350" s="78"/>
      <c r="AV350" s="60"/>
      <c r="AW350" s="59"/>
    </row>
    <row r="351" spans="2:49" ht="21.75" customHeight="1">
      <c r="B351" s="170"/>
      <c r="C351" s="170"/>
      <c r="D351" s="170"/>
      <c r="E351" s="170" t="str">
        <f ca="1">IF(  AND(LEN(TRIM(AQ347))&gt;0, LEN(TRIM(AR347))&gt;0),  AR347,  " ")</f>
        <v xml:space="preserve"> </v>
      </c>
      <c r="F351" s="170"/>
      <c r="G351" s="171"/>
      <c r="H351" s="171"/>
      <c r="I351" s="172"/>
      <c r="J351" s="170"/>
      <c r="K351" s="170"/>
      <c r="L351" s="170"/>
      <c r="M351" s="170"/>
      <c r="N351" s="170"/>
      <c r="O351" s="171"/>
      <c r="P351" s="171"/>
      <c r="Q351" s="171"/>
      <c r="AP351" s="59"/>
      <c r="AQ351" s="58" t="str" cm="1">
        <f t="array" aca="1" ref="AQ351" ca="1">IF(
  SUMPRODUCT(($S$27:$S$42&gt;=60)*($S$27:$S$42&lt;75))&lt;1,
  "",
  INDEX($B$27:$B$42,
    MATCH(
      _xlfn.AGGREGATE(14,6,
        ($S$27:$S$42+(ROW($S$27:$S$42)-ROW($S$27)+1)/10000)/
        (($S$27:$S$42&gt;=60)*($S$27:$S$42&lt;75)),
        1
      ),
      $S$27:$S$42+(ROW($S$27:$S$42)-ROW($S$27)+1)/10000,
      0
    )
  )
)</f>
        <v>Compulsivo</v>
      </c>
      <c r="AR351" s="58" t="str">
        <f ca="1">IF(AQ351="","",VLOOKUP(AQ351,$AS$297:$AW$313,5,0))</f>
        <v>Estilo de personalidad obsesivo-compulsiva</v>
      </c>
      <c r="AS351" s="59"/>
      <c r="AT351" s="78"/>
      <c r="AU351" s="78"/>
      <c r="AV351" s="60"/>
      <c r="AW351" s="59"/>
    </row>
    <row r="352" spans="2:49" ht="21.75" customHeight="1">
      <c r="B352" s="170"/>
      <c r="C352" s="170"/>
      <c r="D352" s="170"/>
      <c r="E352" s="170" t="str">
        <f ca="1">IF(  AND(LEN(TRIM(AQ348))&gt;0, LEN(TRIM(AR348))&gt;0),  AR348,  " ")</f>
        <v xml:space="preserve"> </v>
      </c>
      <c r="F352" s="170"/>
      <c r="G352" s="171"/>
      <c r="H352" s="171"/>
      <c r="I352" s="172"/>
      <c r="J352" s="170"/>
      <c r="K352" s="170"/>
      <c r="L352" s="170"/>
      <c r="M352" s="170"/>
      <c r="N352" s="170"/>
      <c r="O352" s="171"/>
      <c r="P352" s="171"/>
      <c r="Q352" s="171"/>
      <c r="AP352" s="59"/>
      <c r="AS352" s="59"/>
      <c r="AT352" s="78"/>
      <c r="AU352" s="78"/>
      <c r="AV352" s="60"/>
      <c r="AW352" s="59"/>
    </row>
    <row r="353" spans="2:49" ht="21.75" customHeight="1">
      <c r="B353" s="170"/>
      <c r="C353" s="170"/>
      <c r="D353" s="170"/>
      <c r="E353" s="170" t="str">
        <f ca="1">IF(  AND(LEN(TRIM(AQ349))&gt;0, LEN(TRIM(AR349))&gt;0),  AR349,  " ")</f>
        <v xml:space="preserve"> </v>
      </c>
      <c r="F353" s="170"/>
      <c r="G353" s="171"/>
      <c r="H353" s="171"/>
      <c r="I353" s="172"/>
      <c r="J353" s="170"/>
      <c r="K353" s="170"/>
      <c r="L353" s="170"/>
      <c r="M353" s="170"/>
      <c r="N353" s="170"/>
      <c r="O353" s="171"/>
      <c r="P353" s="171"/>
      <c r="Q353" s="171"/>
      <c r="AP353" s="59"/>
      <c r="AS353" s="59"/>
      <c r="AT353" s="78"/>
      <c r="AU353" s="78"/>
      <c r="AV353" s="60"/>
      <c r="AW353" s="59"/>
    </row>
    <row r="354" spans="2:49" ht="21.75" customHeight="1">
      <c r="B354" s="170"/>
      <c r="C354" s="170"/>
      <c r="D354" s="170"/>
      <c r="E354" s="173" t="str">
        <f ca="1">IF(  AND(LEN(TRIM(AQ350))&gt;0, LEN(TRIM(AR350))&gt;0),  AR350,  " ")</f>
        <v>Tipo de personalidad histriónica</v>
      </c>
      <c r="F354" s="170"/>
      <c r="G354" s="171"/>
      <c r="H354" s="171"/>
      <c r="I354" s="172"/>
      <c r="J354" s="170"/>
      <c r="K354" s="170"/>
      <c r="L354" s="170"/>
      <c r="M354" s="170"/>
      <c r="N354" s="170"/>
      <c r="O354" s="171"/>
      <c r="P354" s="171"/>
      <c r="Q354" s="171"/>
    </row>
    <row r="355" spans="2:49" ht="21.75" customHeight="1">
      <c r="B355" s="170"/>
      <c r="C355" s="170"/>
      <c r="D355" s="170"/>
      <c r="E355" s="175" t="str">
        <f ca="1">IF(  AND(LEN(TRIM(AQ351))&gt;0, LEN(TRIM(AR351))&gt;0),  AR351,  " ")</f>
        <v>Estilo de personalidad obsesivo-compulsiva</v>
      </c>
      <c r="F355" s="170"/>
      <c r="G355" s="171"/>
      <c r="H355" s="171"/>
      <c r="I355" s="172"/>
      <c r="J355" s="170"/>
      <c r="K355" s="170"/>
      <c r="L355" s="170"/>
      <c r="M355" s="170"/>
      <c r="N355" s="170"/>
      <c r="O355" s="171"/>
      <c r="P355" s="171"/>
      <c r="Q355" s="171"/>
    </row>
    <row r="356" spans="2:49">
      <c r="B356" s="145" t="s">
        <v>714</v>
      </c>
      <c r="C356" s="170"/>
      <c r="D356" s="170"/>
      <c r="E356" s="170"/>
      <c r="F356" s="170"/>
      <c r="G356" s="171"/>
      <c r="H356" s="171"/>
      <c r="I356" s="172"/>
      <c r="J356" s="170"/>
      <c r="K356" s="170"/>
      <c r="L356" s="170"/>
      <c r="M356" s="170"/>
      <c r="N356" s="170"/>
      <c r="O356" s="171"/>
      <c r="P356" s="171"/>
      <c r="Q356" s="171"/>
    </row>
    <row r="357" spans="2:49" ht="8.25" customHeight="1">
      <c r="B357" s="170"/>
      <c r="C357" s="170"/>
      <c r="D357" s="170"/>
      <c r="E357" s="170"/>
      <c r="F357" s="170"/>
      <c r="G357" s="171"/>
      <c r="H357" s="171"/>
      <c r="I357" s="172"/>
      <c r="J357" s="170"/>
      <c r="K357" s="170"/>
      <c r="L357" s="170"/>
      <c r="M357" s="170"/>
      <c r="N357" s="170"/>
      <c r="O357" s="171"/>
      <c r="P357" s="171"/>
      <c r="Q357" s="171"/>
    </row>
    <row r="358" spans="2:49">
      <c r="B358" s="170" t="s">
        <v>715</v>
      </c>
      <c r="C358" s="170"/>
      <c r="D358" s="170"/>
      <c r="E358" s="170"/>
      <c r="F358" s="170"/>
      <c r="G358" s="171"/>
      <c r="H358" s="171"/>
      <c r="I358" s="172"/>
      <c r="J358" s="170"/>
      <c r="K358" s="170"/>
      <c r="L358" s="170"/>
      <c r="M358" s="170"/>
      <c r="N358" s="170"/>
      <c r="O358" s="171"/>
      <c r="P358" s="171"/>
      <c r="Q358" s="171"/>
    </row>
    <row r="359" spans="2:49"/>
    <row r="360" spans="2:49"/>
    <row r="415" spans="22:22" hidden="1">
      <c r="V415" s="181"/>
    </row>
    <row r="416" spans="22:22" hidden="1">
      <c r="V416" s="181"/>
    </row>
    <row r="417" spans="22:22" hidden="1">
      <c r="V417" s="181"/>
    </row>
    <row r="418" spans="22:22" hidden="1">
      <c r="V418" s="181"/>
    </row>
    <row r="419" spans="22:22" hidden="1">
      <c r="V419" s="181"/>
    </row>
    <row r="420" spans="22:22" hidden="1">
      <c r="V420" s="181"/>
    </row>
    <row r="421" spans="22:22" hidden="1">
      <c r="V421" s="181"/>
    </row>
    <row r="422" spans="22:22" hidden="1">
      <c r="V422" s="181"/>
    </row>
    <row r="423" spans="22:22" hidden="1">
      <c r="V423" s="181"/>
    </row>
    <row r="424" spans="22:22" hidden="1">
      <c r="V424" s="181"/>
    </row>
    <row r="425" spans="22:22" hidden="1">
      <c r="V425" s="181"/>
    </row>
    <row r="426" spans="22:22" hidden="1">
      <c r="V426" s="181"/>
    </row>
    <row r="427" spans="22:22" hidden="1">
      <c r="V427" s="181"/>
    </row>
    <row r="428" spans="22:22" hidden="1">
      <c r="V428" s="181"/>
    </row>
    <row r="429" spans="22:22" hidden="1">
      <c r="V429" s="181"/>
    </row>
    <row r="430" spans="22:22" hidden="1">
      <c r="V430" s="181"/>
    </row>
    <row r="431" spans="22:22" hidden="1">
      <c r="V431" s="181"/>
    </row>
    <row r="432" spans="22:22" hidden="1">
      <c r="V432" s="181"/>
    </row>
    <row r="433" spans="22:22" hidden="1">
      <c r="V433" s="181"/>
    </row>
    <row r="434" spans="22:22" hidden="1">
      <c r="V434" s="181"/>
    </row>
    <row r="435" spans="22:22" hidden="1">
      <c r="V435" s="181"/>
    </row>
    <row r="436" spans="22:22" hidden="1">
      <c r="V436" s="181"/>
    </row>
    <row r="437" spans="22:22" hidden="1">
      <c r="V437" s="181"/>
    </row>
    <row r="438" spans="22:22" hidden="1">
      <c r="V438" s="181"/>
    </row>
    <row r="439" spans="22:22" hidden="1">
      <c r="V439" s="181"/>
    </row>
    <row r="440" spans="22:22" hidden="1">
      <c r="V440" s="181"/>
    </row>
    <row r="441" spans="22:22" hidden="1">
      <c r="V441" s="181"/>
    </row>
    <row r="442" spans="22:22" hidden="1">
      <c r="V442" s="181"/>
    </row>
    <row r="443" spans="22:22" hidden="1">
      <c r="V443" s="181"/>
    </row>
    <row r="444" spans="22:22" hidden="1">
      <c r="V444" s="181"/>
    </row>
    <row r="445" spans="22:22" hidden="1">
      <c r="V445" s="181"/>
    </row>
    <row r="446" spans="22:22" hidden="1">
      <c r="V446" s="181"/>
    </row>
    <row r="447" spans="22:22" hidden="1">
      <c r="V447" s="181"/>
    </row>
    <row r="448" spans="22:22" hidden="1">
      <c r="V448" s="181"/>
    </row>
    <row r="449" spans="22:22" hidden="1">
      <c r="V449" s="181"/>
    </row>
    <row r="450" spans="22:22" hidden="1">
      <c r="V450" s="181"/>
    </row>
    <row r="451" spans="22:22" hidden="1">
      <c r="V451" s="181"/>
    </row>
    <row r="452" spans="22:22" hidden="1">
      <c r="V452" s="181"/>
    </row>
    <row r="453" spans="22:22" hidden="1">
      <c r="V453" s="181"/>
    </row>
    <row r="454" spans="22:22" hidden="1">
      <c r="V454" s="181"/>
    </row>
    <row r="455" spans="22:22" hidden="1">
      <c r="V455" s="181"/>
    </row>
    <row r="456" spans="22:22" hidden="1">
      <c r="V456" s="181"/>
    </row>
    <row r="457" spans="22:22" hidden="1">
      <c r="V457" s="181"/>
    </row>
    <row r="458" spans="22:22" hidden="1">
      <c r="V458" s="181"/>
    </row>
    <row r="459" spans="22:22" hidden="1">
      <c r="V459" s="181"/>
    </row>
  </sheetData>
  <mergeCells count="155">
    <mergeCell ref="B133:D133"/>
    <mergeCell ref="M132:O132"/>
    <mergeCell ref="P132:Q132"/>
    <mergeCell ref="L89:N89"/>
    <mergeCell ref="L90:N90"/>
    <mergeCell ref="D89:F89"/>
    <mergeCell ref="D90:F90"/>
    <mergeCell ref="B84:Q84"/>
    <mergeCell ref="B79:E79"/>
    <mergeCell ref="D88:F88"/>
    <mergeCell ref="L88:N88"/>
    <mergeCell ref="D114:F114"/>
    <mergeCell ref="D115:F115"/>
    <mergeCell ref="D92:F92"/>
    <mergeCell ref="D93:F93"/>
    <mergeCell ref="D94:F94"/>
    <mergeCell ref="D95:F95"/>
    <mergeCell ref="D97:F97"/>
    <mergeCell ref="D98:F98"/>
    <mergeCell ref="D123:F123"/>
    <mergeCell ref="D99:F99"/>
    <mergeCell ref="D104:F104"/>
    <mergeCell ref="D105:F105"/>
    <mergeCell ref="D107:F107"/>
    <mergeCell ref="B57:E57"/>
    <mergeCell ref="L92:N92"/>
    <mergeCell ref="L93:N93"/>
    <mergeCell ref="L94:N94"/>
    <mergeCell ref="L95:N95"/>
    <mergeCell ref="L97:N97"/>
    <mergeCell ref="L98:N98"/>
    <mergeCell ref="L99:N99"/>
    <mergeCell ref="L6:O6"/>
    <mergeCell ref="B78:E78"/>
    <mergeCell ref="B80:E80"/>
    <mergeCell ref="B81:E81"/>
    <mergeCell ref="B82:E82"/>
    <mergeCell ref="B72:E72"/>
    <mergeCell ref="B73:E73"/>
    <mergeCell ref="B74:E74"/>
    <mergeCell ref="B76:E76"/>
    <mergeCell ref="B77:E77"/>
    <mergeCell ref="B71:E71"/>
    <mergeCell ref="B75:E75"/>
    <mergeCell ref="B65:Q65"/>
    <mergeCell ref="B67:Q67"/>
    <mergeCell ref="B69:F70"/>
    <mergeCell ref="G69:I69"/>
    <mergeCell ref="P6:Q6"/>
    <mergeCell ref="B62:D62"/>
    <mergeCell ref="P61:Q61"/>
    <mergeCell ref="M61:O61"/>
    <mergeCell ref="M15:O15"/>
    <mergeCell ref="G13:H13"/>
    <mergeCell ref="B7:D7"/>
    <mergeCell ref="B54:I54"/>
    <mergeCell ref="B46:I46"/>
    <mergeCell ref="B47:E47"/>
    <mergeCell ref="B48:E48"/>
    <mergeCell ref="B49:E49"/>
    <mergeCell ref="B50:E50"/>
    <mergeCell ref="B51:E51"/>
    <mergeCell ref="B52:E52"/>
    <mergeCell ref="B26:I26"/>
    <mergeCell ref="B27:E27"/>
    <mergeCell ref="J24:Q24"/>
    <mergeCell ref="B24:F25"/>
    <mergeCell ref="B19:I19"/>
    <mergeCell ref="B10:Q10"/>
    <mergeCell ref="B12:Q12"/>
    <mergeCell ref="B15:F15"/>
    <mergeCell ref="H17:I17"/>
    <mergeCell ref="J17:Q17"/>
    <mergeCell ref="B13:F13"/>
    <mergeCell ref="B20:F20"/>
    <mergeCell ref="B21:F21"/>
    <mergeCell ref="B22:F22"/>
    <mergeCell ref="B17:F18"/>
    <mergeCell ref="G24:I24"/>
    <mergeCell ref="G15:H15"/>
    <mergeCell ref="M13:O13"/>
    <mergeCell ref="B28:E28"/>
    <mergeCell ref="B29:E29"/>
    <mergeCell ref="B30:E30"/>
    <mergeCell ref="J44:Q44"/>
    <mergeCell ref="B31:E31"/>
    <mergeCell ref="B32:E32"/>
    <mergeCell ref="B33:E33"/>
    <mergeCell ref="B34:E34"/>
    <mergeCell ref="B35:E35"/>
    <mergeCell ref="B36:E36"/>
    <mergeCell ref="B37:E37"/>
    <mergeCell ref="B38:E38"/>
    <mergeCell ref="B39:I39"/>
    <mergeCell ref="G44:I44"/>
    <mergeCell ref="B44:F45"/>
    <mergeCell ref="B40:E40"/>
    <mergeCell ref="B41:E41"/>
    <mergeCell ref="B42:E42"/>
    <mergeCell ref="J69:Q69"/>
    <mergeCell ref="B53:E53"/>
    <mergeCell ref="B55:E55"/>
    <mergeCell ref="B56:E56"/>
    <mergeCell ref="B136:Q141"/>
    <mergeCell ref="B142:Q144"/>
    <mergeCell ref="B146:Q154"/>
    <mergeCell ref="B156:Q160"/>
    <mergeCell ref="D124:F124"/>
    <mergeCell ref="D125:F125"/>
    <mergeCell ref="L103:N103"/>
    <mergeCell ref="L104:N104"/>
    <mergeCell ref="L105:N105"/>
    <mergeCell ref="L107:N107"/>
    <mergeCell ref="D117:F117"/>
    <mergeCell ref="D118:F118"/>
    <mergeCell ref="D119:F119"/>
    <mergeCell ref="D120:F120"/>
    <mergeCell ref="L108:N108"/>
    <mergeCell ref="L109:N109"/>
    <mergeCell ref="L110:N110"/>
    <mergeCell ref="L112:N112"/>
    <mergeCell ref="L113:N113"/>
    <mergeCell ref="D103:F103"/>
    <mergeCell ref="D108:F108"/>
    <mergeCell ref="L100:N100"/>
    <mergeCell ref="L102:N102"/>
    <mergeCell ref="D122:F122"/>
    <mergeCell ref="D110:F110"/>
    <mergeCell ref="D112:F112"/>
    <mergeCell ref="D113:F113"/>
    <mergeCell ref="L120:N120"/>
    <mergeCell ref="L114:N114"/>
    <mergeCell ref="L115:N115"/>
    <mergeCell ref="L117:N117"/>
    <mergeCell ref="L118:N118"/>
    <mergeCell ref="L119:N119"/>
    <mergeCell ref="D100:F100"/>
    <mergeCell ref="D102:F102"/>
    <mergeCell ref="D109:F109"/>
    <mergeCell ref="B196:Q220"/>
    <mergeCell ref="B338:Q340"/>
    <mergeCell ref="B346:Q350"/>
    <mergeCell ref="B190:Q195"/>
    <mergeCell ref="B224:Q225"/>
    <mergeCell ref="B327:Q333"/>
    <mergeCell ref="B336:Q337"/>
    <mergeCell ref="B250:Q251"/>
    <mergeCell ref="B161:Q172"/>
    <mergeCell ref="B174:Q176"/>
    <mergeCell ref="B177:Q187"/>
    <mergeCell ref="B246:Q247"/>
    <mergeCell ref="B255:Q256"/>
    <mergeCell ref="B290:Q291"/>
    <mergeCell ref="B309:Q310"/>
    <mergeCell ref="B315:Q316"/>
  </mergeCells>
  <pageMargins left="0.7" right="0.7" top="0.75" bottom="0.75" header="0.3" footer="0.3"/>
  <pageSetup paperSize="9" orientation="portrait" horizontalDpi="4294967292"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323FC-BA3D-4338-913B-6B5A2069E878}">
  <sheetPr codeName="Hoja4"/>
  <dimension ref="A1:X128"/>
  <sheetViews>
    <sheetView showGridLines="0" zoomScale="85" zoomScaleNormal="85" workbookViewId="0">
      <selection activeCell="F12" sqref="F12"/>
    </sheetView>
  </sheetViews>
  <sheetFormatPr baseColWidth="10" defaultColWidth="0" defaultRowHeight="14.25" zeroHeight="1"/>
  <cols>
    <col min="1" max="1" width="9.140625" style="36" customWidth="1"/>
    <col min="2" max="2" width="40.85546875" style="36" bestFit="1" customWidth="1"/>
    <col min="3" max="3" width="5.140625" style="7" customWidth="1"/>
    <col min="4" max="4" width="9.140625" style="37" customWidth="1"/>
    <col min="5" max="7" width="9.140625" style="7" customWidth="1"/>
    <col min="8" max="8" width="13.85546875" style="7" bestFit="1" customWidth="1"/>
    <col min="9" max="11" width="11.42578125" style="36" customWidth="1"/>
    <col min="12" max="12" width="11.140625" style="37" customWidth="1"/>
    <col min="13" max="14" width="11.140625" style="7" customWidth="1"/>
    <col min="15" max="15" width="11.42578125" style="36" customWidth="1"/>
    <col min="16" max="18" width="9.7109375" style="7" customWidth="1"/>
    <col min="19" max="21" width="11.42578125" style="36" customWidth="1"/>
    <col min="22" max="23" width="5.28515625" style="36" customWidth="1"/>
    <col min="24" max="24" width="11.42578125" style="36" customWidth="1"/>
    <col min="25" max="16384" width="11.42578125" style="36" hidden="1"/>
  </cols>
  <sheetData>
    <row r="1" spans="2:23"/>
    <row r="2" spans="2:23" ht="15">
      <c r="B2" s="33" t="s">
        <v>230</v>
      </c>
      <c r="D2" s="34" t="s">
        <v>227</v>
      </c>
      <c r="E2" s="35" t="s">
        <v>228</v>
      </c>
      <c r="H2" s="35" t="s">
        <v>306</v>
      </c>
      <c r="L2" s="257" t="s">
        <v>273</v>
      </c>
      <c r="M2" s="257"/>
      <c r="N2" s="257"/>
      <c r="P2" s="258" t="s">
        <v>273</v>
      </c>
      <c r="Q2" s="258"/>
      <c r="R2" s="258"/>
    </row>
    <row r="3" spans="2:23" ht="15">
      <c r="B3" s="36" t="s">
        <v>231</v>
      </c>
      <c r="C3" s="7" t="s">
        <v>234</v>
      </c>
      <c r="D3" s="37">
        <f>+Perfil!H20</f>
        <v>46</v>
      </c>
      <c r="E3" s="7">
        <f>+VLOOKUP(Ajustes!D3,'Baremos Españoles'!$AC$6:$AF$120,2,0)</f>
        <v>57</v>
      </c>
      <c r="H3" s="7" t="str">
        <f ca="1">IF(AND(SUM(F10:F37)&lt;&gt;0,SUM(G10:G37)&lt;&gt;0),"X, A/CC",IF(SUM(F10:F37)&lt;&gt;0,"X",IF(SUM(G10:G37)&lt;&gt;0,"A/CC","Ninguno")))</f>
        <v>A/CC</v>
      </c>
      <c r="L3" s="34" t="s">
        <v>270</v>
      </c>
      <c r="M3" s="35" t="s">
        <v>271</v>
      </c>
      <c r="N3" s="35" t="s">
        <v>272</v>
      </c>
      <c r="P3" s="35" t="s">
        <v>274</v>
      </c>
      <c r="Q3" s="35" t="s">
        <v>275</v>
      </c>
      <c r="R3" s="35" t="s">
        <v>276</v>
      </c>
      <c r="U3" s="40" t="s">
        <v>260</v>
      </c>
      <c r="V3" s="36">
        <f ca="1">+E27</f>
        <v>90</v>
      </c>
      <c r="W3" s="36">
        <f ca="1">MAX(0, V3 - 75)</f>
        <v>15</v>
      </c>
    </row>
    <row r="4" spans="2:23" ht="15">
      <c r="B4" s="36" t="s">
        <v>232</v>
      </c>
      <c r="C4" s="7" t="s">
        <v>235</v>
      </c>
      <c r="D4" s="37">
        <f>+Perfil!H21</f>
        <v>21</v>
      </c>
      <c r="E4" s="7">
        <f>+VLOOKUP(Ajustes!D4,'Baremos Españoles'!$AC$6:$AF$120,3,0)</f>
        <v>85</v>
      </c>
      <c r="L4" s="7">
        <v>0</v>
      </c>
      <c r="M4" s="7">
        <v>10</v>
      </c>
      <c r="N4" s="7">
        <v>5</v>
      </c>
      <c r="P4" s="7">
        <v>0</v>
      </c>
      <c r="Q4" s="7">
        <v>0</v>
      </c>
      <c r="R4" s="7">
        <v>0</v>
      </c>
      <c r="U4" s="40" t="s">
        <v>268</v>
      </c>
      <c r="V4" s="36">
        <f ca="1">+E36</f>
        <v>82</v>
      </c>
      <c r="W4" s="36">
        <f ca="1">MAX(0, V4 - 75)</f>
        <v>7</v>
      </c>
    </row>
    <row r="5" spans="2:23" ht="15">
      <c r="B5" s="36" t="s">
        <v>233</v>
      </c>
      <c r="C5" s="7" t="s">
        <v>236</v>
      </c>
      <c r="D5" s="37">
        <f>+Perfil!H22</f>
        <v>16</v>
      </c>
      <c r="E5" s="7">
        <f>+VLOOKUP(Ajustes!D5,'Baremos Españoles'!$AC$6:$AF$120,4,0)</f>
        <v>66</v>
      </c>
      <c r="L5" s="7">
        <v>1</v>
      </c>
      <c r="M5" s="7">
        <v>10</v>
      </c>
      <c r="N5" s="7">
        <v>5</v>
      </c>
      <c r="P5" s="7">
        <v>1</v>
      </c>
      <c r="Q5" s="7">
        <v>-1</v>
      </c>
      <c r="R5" s="7">
        <v>-1</v>
      </c>
      <c r="U5" s="40" t="s">
        <v>274</v>
      </c>
      <c r="W5" s="36">
        <f ca="1">+W3+W4</f>
        <v>22</v>
      </c>
    </row>
    <row r="6" spans="2:23">
      <c r="L6" s="7">
        <v>2</v>
      </c>
      <c r="M6" s="7">
        <v>10</v>
      </c>
      <c r="N6" s="7">
        <v>5</v>
      </c>
      <c r="P6" s="7">
        <v>2</v>
      </c>
      <c r="Q6" s="7">
        <v>-1</v>
      </c>
      <c r="R6" s="7">
        <v>-1</v>
      </c>
    </row>
    <row r="7" spans="2:23">
      <c r="L7" s="7">
        <v>3</v>
      </c>
      <c r="M7" s="7">
        <v>10</v>
      </c>
      <c r="N7" s="7">
        <v>5</v>
      </c>
      <c r="P7" s="7">
        <v>3</v>
      </c>
      <c r="Q7" s="7">
        <v>-1</v>
      </c>
      <c r="R7" s="7">
        <v>-1</v>
      </c>
    </row>
    <row r="8" spans="2:23">
      <c r="L8" s="7">
        <v>4</v>
      </c>
      <c r="M8" s="7">
        <v>10</v>
      </c>
      <c r="N8" s="7">
        <v>5</v>
      </c>
      <c r="P8" s="7">
        <v>4</v>
      </c>
      <c r="Q8" s="7">
        <v>-1</v>
      </c>
      <c r="R8" s="7">
        <v>-1</v>
      </c>
    </row>
    <row r="9" spans="2:23" ht="15">
      <c r="B9" s="38" t="s">
        <v>239</v>
      </c>
      <c r="C9" s="35"/>
      <c r="D9" s="35" t="s">
        <v>227</v>
      </c>
      <c r="E9" s="35" t="s">
        <v>228</v>
      </c>
      <c r="F9" s="35" t="s">
        <v>234</v>
      </c>
      <c r="G9" s="35" t="s">
        <v>274</v>
      </c>
      <c r="H9" s="35" t="s">
        <v>228</v>
      </c>
      <c r="L9" s="7">
        <v>5</v>
      </c>
      <c r="M9" s="7">
        <v>10</v>
      </c>
      <c r="N9" s="7">
        <v>5</v>
      </c>
      <c r="P9" s="7">
        <v>5</v>
      </c>
      <c r="Q9" s="7">
        <v>-2</v>
      </c>
      <c r="R9" s="7">
        <v>-1</v>
      </c>
    </row>
    <row r="10" spans="2:23">
      <c r="B10" s="39" t="s">
        <v>197</v>
      </c>
      <c r="C10" s="7">
        <v>1</v>
      </c>
      <c r="D10" s="7">
        <f>+Perfil!G27</f>
        <v>5</v>
      </c>
      <c r="E10" s="7">
        <f ca="1">+INDEX(INDIRECT("B"&amp;VLOOKUP(Portada!C28,Portada!O5:P6,2,FALSE)),MATCH(ROUND(D10,2),INDIRECT("A"&amp;VLOOKUP(Portada!C28,Portada!O5:P6,2,FALSE)),0))</f>
        <v>33</v>
      </c>
      <c r="F10" s="7">
        <f>+VLOOKUP($D$3,$L$4:$M$118,2,0)</f>
        <v>0</v>
      </c>
      <c r="H10" s="7">
        <f ca="1">MAX(0,MIN(115,E10+F10))</f>
        <v>33</v>
      </c>
      <c r="L10" s="7">
        <v>6</v>
      </c>
      <c r="M10" s="7">
        <v>10</v>
      </c>
      <c r="N10" s="7">
        <v>5</v>
      </c>
      <c r="P10" s="7">
        <v>6</v>
      </c>
      <c r="Q10" s="7">
        <v>-2</v>
      </c>
      <c r="R10" s="7">
        <v>-1</v>
      </c>
    </row>
    <row r="11" spans="2:23">
      <c r="B11" s="39" t="s">
        <v>198</v>
      </c>
      <c r="C11" s="7" t="s">
        <v>210</v>
      </c>
      <c r="D11" s="7">
        <f>+Perfil!G28</f>
        <v>4</v>
      </c>
      <c r="E11" s="7">
        <f ca="1">+INDEX(INDIRECT("C"&amp;VLOOKUP(Portada!C28,Portada!O5:P6,2,FALSE)),MATCH(ROUND(D11,2),INDIRECT("A"&amp;VLOOKUP(Portada!C28,Portada!O5:P6,2,FALSE)),0))</f>
        <v>24</v>
      </c>
      <c r="F11" s="7">
        <f>+VLOOKUP($D$3,$L$4:$M$118,2,0)</f>
        <v>0</v>
      </c>
      <c r="G11" s="7">
        <f ca="1">+VLOOKUP(W5,P4:R84,3,0)</f>
        <v>-3</v>
      </c>
      <c r="H11" s="7">
        <f ca="1">MAX(0,MIN(115,E11+F11+G11))</f>
        <v>21</v>
      </c>
      <c r="L11" s="7">
        <v>7</v>
      </c>
      <c r="M11" s="7">
        <v>10</v>
      </c>
      <c r="N11" s="7">
        <v>5</v>
      </c>
      <c r="P11" s="7">
        <v>7</v>
      </c>
      <c r="Q11" s="7">
        <v>-2</v>
      </c>
      <c r="R11" s="7">
        <v>-1</v>
      </c>
    </row>
    <row r="12" spans="2:23">
      <c r="B12" s="39" t="s">
        <v>199</v>
      </c>
      <c r="C12" s="7" t="s">
        <v>211</v>
      </c>
      <c r="D12" s="7">
        <f>+Perfil!G29</f>
        <v>6</v>
      </c>
      <c r="E12" s="7">
        <f ca="1">+INDEX(INDIRECT("D"&amp;VLOOKUP(Portada!C28,Portada!O5:P6,2,FALSE)),MATCH(ROUND(D12,2),INDIRECT("A"&amp;VLOOKUP(Portada!C28,Portada!O5:P6,2,FALSE)),0))</f>
        <v>30</v>
      </c>
      <c r="F12" s="7">
        <f t="shared" ref="F12:F21" si="0">+VLOOKUP($D$3,$L$4:$M$118,2,0)</f>
        <v>0</v>
      </c>
      <c r="G12" s="7">
        <f ca="1">+VLOOKUP(W5,P4:R85,2,0)</f>
        <v>-5</v>
      </c>
      <c r="H12" s="7">
        <f ca="1">MAX(0,MIN(115,E12+F12+G12))</f>
        <v>25</v>
      </c>
      <c r="L12" s="7">
        <v>8</v>
      </c>
      <c r="M12" s="7">
        <v>9</v>
      </c>
      <c r="N12" s="7">
        <v>5</v>
      </c>
      <c r="P12" s="7">
        <v>8</v>
      </c>
      <c r="Q12" s="7">
        <v>-2</v>
      </c>
      <c r="R12" s="7">
        <v>-1</v>
      </c>
    </row>
    <row r="13" spans="2:23">
      <c r="B13" s="39" t="s">
        <v>200</v>
      </c>
      <c r="C13" s="7">
        <v>3</v>
      </c>
      <c r="D13" s="7">
        <f>+Perfil!G30</f>
        <v>13</v>
      </c>
      <c r="E13" s="7">
        <f ca="1">+INDEX(INDIRECT("E"&amp;VLOOKUP(Portada!C28,Portada!O5:P6,2,FALSE)),MATCH(ROUND(D13,2),INDIRECT("A"&amp;VLOOKUP(Portada!C28,Portada!O5:P6,2,FALSE)),0))</f>
        <v>78</v>
      </c>
      <c r="F13" s="7">
        <f t="shared" si="0"/>
        <v>0</v>
      </c>
      <c r="H13" s="7">
        <f ca="1">MAX(0,MIN(115,E13+F13))</f>
        <v>78</v>
      </c>
      <c r="L13" s="7">
        <v>9</v>
      </c>
      <c r="M13" s="7">
        <v>8</v>
      </c>
      <c r="N13" s="7">
        <v>4</v>
      </c>
      <c r="P13" s="7">
        <v>9</v>
      </c>
      <c r="Q13" s="7">
        <v>-2</v>
      </c>
      <c r="R13" s="7">
        <v>-1</v>
      </c>
    </row>
    <row r="14" spans="2:23">
      <c r="B14" s="39" t="s">
        <v>201</v>
      </c>
      <c r="C14" s="7" t="s">
        <v>212</v>
      </c>
      <c r="D14" s="7">
        <f>+Perfil!G31</f>
        <v>16</v>
      </c>
      <c r="E14" s="7">
        <f ca="1">+INDEX(INDIRECT("F"&amp;VLOOKUP(Portada!C28,Portada!O5:P6,2,FALSE)),MATCH(ROUND(D14,2),INDIRECT("A"&amp;VLOOKUP(Portada!C28,Portada!O5:P6,2,FALSE)),0))</f>
        <v>78</v>
      </c>
      <c r="F14" s="7">
        <f t="shared" si="0"/>
        <v>0</v>
      </c>
      <c r="H14" s="7">
        <f t="shared" ref="H14:H20" ca="1" si="1">MAX(0,MIN(115,E14+F14))</f>
        <v>78</v>
      </c>
      <c r="L14" s="7">
        <v>10</v>
      </c>
      <c r="M14" s="7">
        <v>7</v>
      </c>
      <c r="N14" s="7">
        <v>4</v>
      </c>
      <c r="P14" s="7">
        <v>10</v>
      </c>
      <c r="Q14" s="7">
        <v>-3</v>
      </c>
      <c r="R14" s="7">
        <v>-2</v>
      </c>
    </row>
    <row r="15" spans="2:23">
      <c r="B15" s="39" t="s">
        <v>202</v>
      </c>
      <c r="C15" s="7" t="s">
        <v>213</v>
      </c>
      <c r="D15" s="7">
        <f>+Perfil!G32</f>
        <v>21</v>
      </c>
      <c r="E15" s="7">
        <f ca="1">+INDEX(INDIRECT("G"&amp;VLOOKUP(Portada!C28,Portada!O5:P6,2,FALSE)),MATCH(ROUND(D15,2),INDIRECT("A"&amp;VLOOKUP(Portada!C28,Portada!O5:P6,2,FALSE)),0))</f>
        <v>75</v>
      </c>
      <c r="F15" s="7">
        <f t="shared" si="0"/>
        <v>0</v>
      </c>
      <c r="H15" s="7">
        <f t="shared" ca="1" si="1"/>
        <v>75</v>
      </c>
      <c r="L15" s="7">
        <v>11</v>
      </c>
      <c r="M15" s="7">
        <v>6</v>
      </c>
      <c r="N15" s="7">
        <v>3</v>
      </c>
      <c r="P15" s="7">
        <v>11</v>
      </c>
      <c r="Q15" s="7">
        <v>-3</v>
      </c>
      <c r="R15" s="7">
        <v>-2</v>
      </c>
    </row>
    <row r="16" spans="2:23">
      <c r="B16" s="39" t="s">
        <v>203</v>
      </c>
      <c r="C16" s="7">
        <v>5</v>
      </c>
      <c r="D16" s="7">
        <f>+Perfil!G33</f>
        <v>6</v>
      </c>
      <c r="E16" s="7">
        <f ca="1">+INDEX(INDIRECT("H"&amp;VLOOKUP(Portada!C28,Portada!O5:P6,2,FALSE)),MATCH(ROUND(D16,2),INDIRECT("A"&amp;VLOOKUP(Portada!C28,Portada!O5:P6,2,FALSE)),0))</f>
        <v>62</v>
      </c>
      <c r="F16" s="7">
        <f t="shared" si="0"/>
        <v>0</v>
      </c>
      <c r="H16" s="7">
        <f t="shared" ca="1" si="1"/>
        <v>62</v>
      </c>
      <c r="L16" s="7">
        <v>12</v>
      </c>
      <c r="M16" s="7">
        <v>5</v>
      </c>
      <c r="N16" s="7">
        <v>3</v>
      </c>
      <c r="P16" s="7">
        <v>12</v>
      </c>
      <c r="Q16" s="7">
        <v>-3</v>
      </c>
      <c r="R16" s="7">
        <v>-2</v>
      </c>
    </row>
    <row r="17" spans="2:18">
      <c r="B17" s="39" t="s">
        <v>204</v>
      </c>
      <c r="C17" s="7" t="s">
        <v>214</v>
      </c>
      <c r="D17" s="7">
        <f>+Perfil!G34</f>
        <v>0</v>
      </c>
      <c r="E17" s="7">
        <f ca="1">+INDEX(INDIRECT("I"&amp;VLOOKUP(Portada!C28,Portada!O5:P6,2,FALSE)),MATCH(ROUND(D17,2),INDIRECT("A"&amp;VLOOKUP(Portada!C28,Portada!O5:P6,2,FALSE)),0))</f>
        <v>0</v>
      </c>
      <c r="F17" s="7">
        <f t="shared" si="0"/>
        <v>0</v>
      </c>
      <c r="H17" s="7">
        <f t="shared" ca="1" si="1"/>
        <v>0</v>
      </c>
      <c r="L17" s="7">
        <v>13</v>
      </c>
      <c r="M17" s="7">
        <v>4</v>
      </c>
      <c r="N17" s="7">
        <v>2</v>
      </c>
      <c r="P17" s="7">
        <v>13</v>
      </c>
      <c r="Q17" s="7">
        <v>-3</v>
      </c>
      <c r="R17" s="7">
        <v>-2</v>
      </c>
    </row>
    <row r="18" spans="2:18">
      <c r="B18" s="39" t="s">
        <v>205</v>
      </c>
      <c r="C18" s="7" t="s">
        <v>215</v>
      </c>
      <c r="D18" s="7">
        <f>+Perfil!G35</f>
        <v>6</v>
      </c>
      <c r="E18" s="7">
        <f ca="1">+INDEX(INDIRECT("J"&amp;VLOOKUP(Portada!C28,Portada!O5:P6,2,FALSE)),MATCH(ROUND(D18,2),INDIRECT("A"&amp;VLOOKUP(Portada!C28,Portada!O5:P6,2,FALSE)),0))</f>
        <v>60</v>
      </c>
      <c r="F18" s="7">
        <f t="shared" si="0"/>
        <v>0</v>
      </c>
      <c r="H18" s="7">
        <f t="shared" ca="1" si="1"/>
        <v>60</v>
      </c>
      <c r="L18" s="7">
        <v>14</v>
      </c>
      <c r="M18" s="7">
        <v>4</v>
      </c>
      <c r="N18" s="7">
        <v>2</v>
      </c>
      <c r="P18" s="7">
        <v>14</v>
      </c>
      <c r="Q18" s="7">
        <v>-3</v>
      </c>
      <c r="R18" s="7">
        <v>-2</v>
      </c>
    </row>
    <row r="19" spans="2:18">
      <c r="B19" s="39" t="s">
        <v>206</v>
      </c>
      <c r="C19" s="7">
        <v>7</v>
      </c>
      <c r="D19" s="7">
        <f>+Perfil!G36</f>
        <v>19</v>
      </c>
      <c r="E19" s="7">
        <f ca="1">+INDEX(INDIRECT("K"&amp;VLOOKUP(Portada!C28,Portada!O5:P6,2,FALSE)),MATCH(ROUND(D19,2),INDIRECT("A"&amp;VLOOKUP(Portada!C28,Portada!O5:P6,2,FALSE)),0))</f>
        <v>71</v>
      </c>
      <c r="F19" s="7">
        <f t="shared" si="0"/>
        <v>0</v>
      </c>
      <c r="H19" s="7">
        <f t="shared" ca="1" si="1"/>
        <v>71</v>
      </c>
      <c r="L19" s="7">
        <v>15</v>
      </c>
      <c r="M19" s="7">
        <v>3</v>
      </c>
      <c r="N19" s="7">
        <v>2</v>
      </c>
      <c r="P19" s="7">
        <v>15</v>
      </c>
      <c r="Q19" s="7">
        <v>-4</v>
      </c>
      <c r="R19" s="7">
        <v>-2</v>
      </c>
    </row>
    <row r="20" spans="2:18">
      <c r="B20" s="39" t="s">
        <v>207</v>
      </c>
      <c r="C20" s="7" t="s">
        <v>216</v>
      </c>
      <c r="D20" s="7">
        <f>+Perfil!G37</f>
        <v>5</v>
      </c>
      <c r="E20" s="7">
        <f ca="1">+INDEX(INDIRECT("L"&amp;VLOOKUP(Portada!C28,Portada!O5:P6,2,FALSE)),MATCH(ROUND(D20,2),INDIRECT("A"&amp;VLOOKUP(Portada!C28,Portada!O5:P6,2,FALSE)),0))</f>
        <v>33</v>
      </c>
      <c r="F20" s="7">
        <f t="shared" si="0"/>
        <v>0</v>
      </c>
      <c r="H20" s="7">
        <f t="shared" ca="1" si="1"/>
        <v>33</v>
      </c>
      <c r="L20" s="7">
        <v>16</v>
      </c>
      <c r="M20" s="7">
        <v>3</v>
      </c>
      <c r="N20" s="7">
        <v>2</v>
      </c>
      <c r="P20" s="7">
        <v>16</v>
      </c>
      <c r="Q20" s="7">
        <v>-4</v>
      </c>
      <c r="R20" s="7">
        <v>-2</v>
      </c>
    </row>
    <row r="21" spans="2:18">
      <c r="B21" s="39" t="s">
        <v>208</v>
      </c>
      <c r="C21" s="7" t="s">
        <v>217</v>
      </c>
      <c r="D21" s="7">
        <f>+Perfil!G38</f>
        <v>9</v>
      </c>
      <c r="E21" s="7">
        <f ca="1">+INDEX(INDIRECT("M"&amp;VLOOKUP(Portada!C28,Portada!O5:P6,2,FALSE)),MATCH(ROUND(D21,2),INDIRECT("A"&amp;VLOOKUP(Portada!C28,Portada!O5:P6,2,FALSE)),0))</f>
        <v>62</v>
      </c>
      <c r="F21" s="7">
        <f t="shared" si="0"/>
        <v>0</v>
      </c>
      <c r="G21" s="7">
        <f ca="1">+VLOOKUP(W5,$P$4:$R$84,2,0)</f>
        <v>-5</v>
      </c>
      <c r="H21" s="7">
        <f ca="1">MAX(0,MIN(115,E21+F21+G21))</f>
        <v>57</v>
      </c>
      <c r="L21" s="7">
        <v>17</v>
      </c>
      <c r="M21" s="7">
        <v>2</v>
      </c>
      <c r="N21" s="7">
        <v>1</v>
      </c>
      <c r="P21" s="7">
        <v>17</v>
      </c>
      <c r="Q21" s="7">
        <v>-4</v>
      </c>
      <c r="R21" s="7">
        <v>-2</v>
      </c>
    </row>
    <row r="22" spans="2:18" ht="15">
      <c r="B22" s="38" t="s">
        <v>240</v>
      </c>
      <c r="C22" s="35"/>
      <c r="L22" s="7">
        <v>18</v>
      </c>
      <c r="M22" s="7">
        <v>2</v>
      </c>
      <c r="N22" s="7">
        <v>1</v>
      </c>
      <c r="P22" s="7">
        <v>18</v>
      </c>
      <c r="Q22" s="7">
        <v>-4</v>
      </c>
      <c r="R22" s="7">
        <v>-2</v>
      </c>
    </row>
    <row r="23" spans="2:18">
      <c r="B23" s="39" t="s">
        <v>243</v>
      </c>
      <c r="C23" s="7" t="s">
        <v>246</v>
      </c>
      <c r="D23" s="37">
        <f>+Perfil!G40</f>
        <v>11</v>
      </c>
      <c r="E23" s="7">
        <f ca="1">+INDEX(INDIRECT("N"&amp;VLOOKUP(Portada!C28,Portada!O5:P6,2,FALSE)),MATCH(ROUND(D23,2),INDIRECT("A"&amp;VLOOKUP(Portada!C28,Portada!O5:P6,2,FALSE)),0))</f>
        <v>62</v>
      </c>
      <c r="F23" s="7">
        <f>+VLOOKUP($D$3,$L$4:$N$118,3,0)</f>
        <v>0</v>
      </c>
      <c r="G23" s="7">
        <f ca="1">+VLOOKUP(W5,P4:R84,3,0)</f>
        <v>-3</v>
      </c>
      <c r="H23" s="7">
        <f ca="1">MAX(0,MIN(115,E23+F23+G23))</f>
        <v>59</v>
      </c>
      <c r="L23" s="7">
        <v>19</v>
      </c>
      <c r="M23" s="7">
        <v>1</v>
      </c>
      <c r="N23" s="7">
        <v>1</v>
      </c>
      <c r="P23" s="7">
        <v>19</v>
      </c>
      <c r="Q23" s="7">
        <v>-4</v>
      </c>
      <c r="R23" s="7">
        <v>-2</v>
      </c>
    </row>
    <row r="24" spans="2:18">
      <c r="B24" s="39" t="s">
        <v>244</v>
      </c>
      <c r="C24" s="7" t="s">
        <v>247</v>
      </c>
      <c r="D24" s="37">
        <f>+Perfil!G41</f>
        <v>8</v>
      </c>
      <c r="E24" s="7">
        <f ca="1">+INDEX(INDIRECT("P"&amp;VLOOKUP(Portada!C28,Portada!O5:P6,2,FALSE)),MATCH(ROUND(D24,2),INDIRECT("A"&amp;VLOOKUP(Portada!C28,Portada!O5:P6,2,FALSE)),0))</f>
        <v>60</v>
      </c>
      <c r="F24" s="7">
        <f>+VLOOKUP($D$3,$L$4:$N$118,3,0)</f>
        <v>0</v>
      </c>
      <c r="G24" s="7">
        <f ca="1">+VLOOKUP(W5,P4:R84,2,0)</f>
        <v>-5</v>
      </c>
      <c r="H24" s="7">
        <f ca="1">MAX(0,MIN(115,E24+F24+G24))</f>
        <v>55</v>
      </c>
      <c r="L24" s="7">
        <v>20</v>
      </c>
      <c r="M24" s="7">
        <v>1</v>
      </c>
      <c r="N24" s="7">
        <v>1</v>
      </c>
      <c r="P24" s="7">
        <v>20</v>
      </c>
      <c r="Q24" s="7">
        <v>-5</v>
      </c>
      <c r="R24" s="7">
        <v>-3</v>
      </c>
    </row>
    <row r="25" spans="2:18">
      <c r="B25" s="39" t="s">
        <v>245</v>
      </c>
      <c r="C25" s="7" t="s">
        <v>248</v>
      </c>
      <c r="D25" s="37">
        <f>+Perfil!G42</f>
        <v>5</v>
      </c>
      <c r="E25" s="7">
        <f ca="1">+INDEX(INDIRECT("Q"&amp;VLOOKUP(Portada!C28,Portada!O5:P6,2,FALSE)),MATCH(ROUND(D25,2),INDIRECT("A"&amp;VLOOKUP(Portada!C28,Portada!O5:P6,2,FALSE)),0))</f>
        <v>43</v>
      </c>
      <c r="F25" s="7">
        <f t="shared" ref="F25:F37" si="2">+VLOOKUP($D$3,$L$4:$N$118,3,0)</f>
        <v>0</v>
      </c>
      <c r="H25" s="7">
        <f t="shared" ref="H25" ca="1" si="3">MAX(0,MIN(115,E25+F25))</f>
        <v>43</v>
      </c>
      <c r="L25" s="7">
        <v>21</v>
      </c>
      <c r="M25" s="7">
        <v>0</v>
      </c>
      <c r="N25" s="7">
        <v>0</v>
      </c>
      <c r="P25" s="7">
        <v>21</v>
      </c>
      <c r="Q25" s="7">
        <v>-5</v>
      </c>
      <c r="R25" s="7">
        <v>-3</v>
      </c>
    </row>
    <row r="26" spans="2:18" ht="15">
      <c r="B26" s="38" t="s">
        <v>242</v>
      </c>
      <c r="L26" s="7">
        <v>22</v>
      </c>
      <c r="M26" s="7">
        <v>0</v>
      </c>
      <c r="N26" s="7">
        <v>0</v>
      </c>
      <c r="P26" s="7">
        <v>22</v>
      </c>
      <c r="Q26" s="7">
        <v>-5</v>
      </c>
      <c r="R26" s="7">
        <v>-3</v>
      </c>
    </row>
    <row r="27" spans="2:18">
      <c r="B27" s="39" t="s">
        <v>249</v>
      </c>
      <c r="C27" s="7" t="s">
        <v>260</v>
      </c>
      <c r="D27" s="37">
        <f>+Perfil!G47</f>
        <v>14</v>
      </c>
      <c r="E27" s="7">
        <f ca="1">+INDEX(INDIRECT("R"&amp;VLOOKUP(Portada!C28,Portada!O5:P6,2,FALSE)),MATCH(ROUND(D27,2),INDIRECT("A"&amp;VLOOKUP(Portada!C28,Portada!O5:P6,2,FALSE)),0))</f>
        <v>90</v>
      </c>
      <c r="F27" s="7">
        <f t="shared" si="2"/>
        <v>0</v>
      </c>
      <c r="H27" s="7">
        <f t="shared" ref="H27:H37" ca="1" si="4">MAX(0,MIN(115,E27+F27))</f>
        <v>90</v>
      </c>
      <c r="L27" s="7">
        <v>23</v>
      </c>
      <c r="M27" s="7">
        <v>0</v>
      </c>
      <c r="N27" s="7">
        <v>0</v>
      </c>
      <c r="P27" s="7">
        <v>23</v>
      </c>
      <c r="Q27" s="7">
        <v>-5</v>
      </c>
      <c r="R27" s="7">
        <v>-3</v>
      </c>
    </row>
    <row r="28" spans="2:18">
      <c r="B28" s="39" t="s">
        <v>250</v>
      </c>
      <c r="C28" s="7" t="s">
        <v>261</v>
      </c>
      <c r="D28" s="37">
        <f>+Perfil!G48</f>
        <v>10</v>
      </c>
      <c r="E28" s="7">
        <f ca="1">+INDEX(INDIRECT("S"&amp;VLOOKUP(Portada!C28,Portada!O5:P6,2,FALSE)),MATCH(ROUND(D28,2),INDIRECT("A"&amp;VLOOKUP(Portada!C28,Portada!O5:P6,2,FALSE)),0))</f>
        <v>75</v>
      </c>
      <c r="F28" s="7">
        <f>+VLOOKUP($D$3,$L$4:$N$118,3,0)</f>
        <v>0</v>
      </c>
      <c r="H28" s="7">
        <f t="shared" ca="1" si="4"/>
        <v>75</v>
      </c>
      <c r="L28" s="7">
        <v>24</v>
      </c>
      <c r="M28" s="7">
        <v>0</v>
      </c>
      <c r="N28" s="7">
        <v>0</v>
      </c>
      <c r="P28" s="7">
        <v>24</v>
      </c>
      <c r="Q28" s="7">
        <v>-5</v>
      </c>
      <c r="R28" s="7">
        <v>-3</v>
      </c>
    </row>
    <row r="29" spans="2:18">
      <c r="B29" s="39" t="s">
        <v>251</v>
      </c>
      <c r="C29" s="7" t="s">
        <v>262</v>
      </c>
      <c r="D29" s="37">
        <f>+Perfil!G49</f>
        <v>11</v>
      </c>
      <c r="E29" s="7">
        <f ca="1">+INDEX(INDIRECT("T"&amp;VLOOKUP(Portada!C28,Portada!O5:P6,2,FALSE)),MATCH(ROUND(D29,2),INDIRECT("A"&amp;VLOOKUP(Portada!C28,Portada!O5:P6,2,FALSE)),0))</f>
        <v>75</v>
      </c>
      <c r="F29" s="7">
        <f t="shared" si="2"/>
        <v>0</v>
      </c>
      <c r="H29" s="7">
        <f t="shared" ca="1" si="4"/>
        <v>75</v>
      </c>
      <c r="L29" s="7">
        <v>25</v>
      </c>
      <c r="M29" s="7">
        <v>0</v>
      </c>
      <c r="N29" s="7">
        <v>0</v>
      </c>
      <c r="P29" s="7">
        <v>25</v>
      </c>
      <c r="Q29" s="7">
        <v>-5</v>
      </c>
      <c r="R29" s="7">
        <v>-3</v>
      </c>
    </row>
    <row r="30" spans="2:18">
      <c r="B30" s="39" t="s">
        <v>252</v>
      </c>
      <c r="C30" s="7" t="s">
        <v>263</v>
      </c>
      <c r="D30" s="37">
        <f>+Perfil!G50</f>
        <v>13</v>
      </c>
      <c r="E30" s="7">
        <f ca="1">+INDEX(INDIRECT("U"&amp;VLOOKUP(Portada!C28,Portada!O5:P6,2,FALSE)),MATCH(ROUND(D30,2),INDIRECT("A"&amp;VLOOKUP(Portada!C28,Portada!O5:P6,2,FALSE)),0))</f>
        <v>63</v>
      </c>
      <c r="F30" s="7">
        <f t="shared" si="2"/>
        <v>0</v>
      </c>
      <c r="H30" s="7">
        <f t="shared" ca="1" si="4"/>
        <v>63</v>
      </c>
      <c r="L30" s="7">
        <v>26</v>
      </c>
      <c r="M30" s="7">
        <v>0</v>
      </c>
      <c r="N30" s="7">
        <v>0</v>
      </c>
      <c r="P30" s="7">
        <v>26</v>
      </c>
      <c r="Q30" s="7">
        <v>-5</v>
      </c>
      <c r="R30" s="7">
        <v>-3</v>
      </c>
    </row>
    <row r="31" spans="2:18">
      <c r="B31" s="39" t="s">
        <v>253</v>
      </c>
      <c r="C31" s="7" t="s">
        <v>264</v>
      </c>
      <c r="D31" s="37">
        <f>+Perfil!G51</f>
        <v>1</v>
      </c>
      <c r="E31" s="7">
        <f ca="1">+INDEX(INDIRECT("V"&amp;VLOOKUP(Portada!C28,Portada!O5:P6,2,FALSE)),MATCH(ROUND(D31,2),INDIRECT("A"&amp;VLOOKUP(Portada!C28,Portada!O5:P6,2,FALSE)),0))</f>
        <v>60</v>
      </c>
      <c r="F31" s="7">
        <f t="shared" si="2"/>
        <v>0</v>
      </c>
      <c r="H31" s="7">
        <f t="shared" ca="1" si="4"/>
        <v>60</v>
      </c>
      <c r="L31" s="7">
        <v>27</v>
      </c>
      <c r="M31" s="7">
        <v>0</v>
      </c>
      <c r="N31" s="7">
        <v>0</v>
      </c>
      <c r="P31" s="7">
        <v>27</v>
      </c>
      <c r="Q31" s="7">
        <v>-5</v>
      </c>
      <c r="R31" s="7">
        <v>-3</v>
      </c>
    </row>
    <row r="32" spans="2:18">
      <c r="B32" s="39" t="s">
        <v>254</v>
      </c>
      <c r="C32" s="7" t="s">
        <v>265</v>
      </c>
      <c r="D32" s="37">
        <f>+Perfil!G52</f>
        <v>2</v>
      </c>
      <c r="E32" s="7">
        <f ca="1">+INDEX(INDIRECT("W"&amp;VLOOKUP(Portada!C28,Portada!O5:P6,2,FALSE)),MATCH(ROUND(D32,2),INDIRECT("A"&amp;VLOOKUP(Portada!C28,Portada!O5:P6,2,FALSE)),0))</f>
        <v>62</v>
      </c>
      <c r="F32" s="7">
        <f t="shared" si="2"/>
        <v>0</v>
      </c>
      <c r="H32" s="7">
        <f t="shared" ca="1" si="4"/>
        <v>62</v>
      </c>
      <c r="L32" s="7">
        <v>28</v>
      </c>
      <c r="M32" s="7">
        <v>0</v>
      </c>
      <c r="N32" s="7">
        <v>0</v>
      </c>
      <c r="P32" s="7">
        <v>28</v>
      </c>
      <c r="Q32" s="7">
        <v>-5</v>
      </c>
      <c r="R32" s="7">
        <v>-3</v>
      </c>
    </row>
    <row r="33" spans="2:18">
      <c r="B33" s="39" t="s">
        <v>255</v>
      </c>
      <c r="C33" s="7" t="s">
        <v>266</v>
      </c>
      <c r="D33" s="37">
        <f>+Perfil!G53</f>
        <v>11</v>
      </c>
      <c r="E33" s="7">
        <f ca="1">+INDEX(INDIRECT("X"&amp;VLOOKUP(Portada!C28,Portada!O5:P6,2,FALSE)),MATCH(ROUND(D33,2),INDIRECT("A"&amp;VLOOKUP(Portada!C28,Portada!O5:P6,2,FALSE)),0))</f>
        <v>71</v>
      </c>
      <c r="F33" s="7">
        <f t="shared" si="2"/>
        <v>0</v>
      </c>
      <c r="H33" s="7">
        <f t="shared" ca="1" si="4"/>
        <v>71</v>
      </c>
      <c r="L33" s="7">
        <v>29</v>
      </c>
      <c r="M33" s="7">
        <v>0</v>
      </c>
      <c r="N33" s="7">
        <v>0</v>
      </c>
      <c r="P33" s="7">
        <v>29</v>
      </c>
      <c r="Q33" s="7">
        <v>-5</v>
      </c>
      <c r="R33" s="7">
        <v>-3</v>
      </c>
    </row>
    <row r="34" spans="2:18" ht="15">
      <c r="B34" s="38" t="s">
        <v>256</v>
      </c>
      <c r="C34" s="35"/>
      <c r="L34" s="7">
        <v>30</v>
      </c>
      <c r="M34" s="7">
        <v>0</v>
      </c>
      <c r="N34" s="7">
        <v>0</v>
      </c>
      <c r="P34" s="7">
        <v>30</v>
      </c>
      <c r="Q34" s="7">
        <v>-6</v>
      </c>
      <c r="R34" s="7">
        <v>-3</v>
      </c>
    </row>
    <row r="35" spans="2:18">
      <c r="B35" s="39" t="s">
        <v>257</v>
      </c>
      <c r="C35" s="7" t="s">
        <v>267</v>
      </c>
      <c r="D35" s="37">
        <f>+Perfil!G55</f>
        <v>13</v>
      </c>
      <c r="E35" s="7">
        <f ca="1">+INDEX(INDIRECT("Y"&amp;VLOOKUP(Portada!C28,Portada!O5:P6,2,FALSE)),MATCH(ROUND(D35,2),INDIRECT("A"&amp;VLOOKUP(Portada!C28,Portada!O5:P6,2,FALSE)),0))</f>
        <v>68</v>
      </c>
      <c r="F35" s="7">
        <f>+VLOOKUP($D$3,$L$4:$N$118,3,0)</f>
        <v>0</v>
      </c>
      <c r="H35" s="7">
        <f t="shared" ca="1" si="4"/>
        <v>68</v>
      </c>
      <c r="L35" s="7">
        <v>31</v>
      </c>
      <c r="M35" s="7">
        <v>0</v>
      </c>
      <c r="N35" s="7">
        <v>0</v>
      </c>
      <c r="P35" s="7">
        <v>31</v>
      </c>
      <c r="Q35" s="7">
        <v>-6</v>
      </c>
      <c r="R35" s="7">
        <v>-3</v>
      </c>
    </row>
    <row r="36" spans="2:18">
      <c r="B36" s="39" t="s">
        <v>258</v>
      </c>
      <c r="C36" s="7" t="s">
        <v>268</v>
      </c>
      <c r="D36" s="37">
        <f>+Perfil!G56</f>
        <v>16</v>
      </c>
      <c r="E36" s="7">
        <f ca="1">+INDEX(INDIRECT("Z"&amp;VLOOKUP(Portada!C28,Portada!O5:P6,2,FALSE)),MATCH(ROUND(D36,2),INDIRECT("A"&amp;VLOOKUP(Portada!C28,Portada!O5:P6,2,FALSE)),0))</f>
        <v>82</v>
      </c>
      <c r="F36" s="7">
        <f>+VLOOKUP($D$3,$L$4:$N$118,3,0)</f>
        <v>0</v>
      </c>
      <c r="H36" s="7">
        <f t="shared" ca="1" si="4"/>
        <v>82</v>
      </c>
      <c r="L36" s="7">
        <v>32</v>
      </c>
      <c r="M36" s="7">
        <v>0</v>
      </c>
      <c r="N36" s="7">
        <v>0</v>
      </c>
      <c r="P36" s="7">
        <v>32</v>
      </c>
      <c r="Q36" s="7">
        <v>-6</v>
      </c>
      <c r="R36" s="7">
        <v>-3</v>
      </c>
    </row>
    <row r="37" spans="2:18">
      <c r="B37" s="39" t="s">
        <v>259</v>
      </c>
      <c r="C37" s="7" t="s">
        <v>269</v>
      </c>
      <c r="D37" s="37">
        <f>+Perfil!G57</f>
        <v>5</v>
      </c>
      <c r="E37" s="7">
        <f ca="1">+INDEX(INDIRECT("AA"&amp;VLOOKUP(Portada!C28,Portada!O5:P6,2,FALSE)),MATCH(ROUND(D37,2),INDIRECT("A"&amp;VLOOKUP(Portada!C28,Portada!O5:P6,2,FALSE)),0))</f>
        <v>66</v>
      </c>
      <c r="F37" s="7">
        <f t="shared" si="2"/>
        <v>0</v>
      </c>
      <c r="H37" s="7">
        <f t="shared" ca="1" si="4"/>
        <v>66</v>
      </c>
      <c r="L37" s="7">
        <v>33</v>
      </c>
      <c r="M37" s="7">
        <v>0</v>
      </c>
      <c r="N37" s="7">
        <v>0</v>
      </c>
      <c r="P37" s="7">
        <v>33</v>
      </c>
      <c r="Q37" s="7">
        <v>-6</v>
      </c>
      <c r="R37" s="7">
        <v>-3</v>
      </c>
    </row>
    <row r="38" spans="2:18">
      <c r="L38" s="7">
        <v>34</v>
      </c>
      <c r="M38" s="7">
        <v>0</v>
      </c>
      <c r="N38" s="7">
        <v>0</v>
      </c>
      <c r="P38" s="7">
        <v>34</v>
      </c>
      <c r="Q38" s="7">
        <v>-6</v>
      </c>
      <c r="R38" s="7">
        <v>-3</v>
      </c>
    </row>
    <row r="39" spans="2:18">
      <c r="L39" s="7">
        <v>35</v>
      </c>
      <c r="M39" s="7">
        <v>0</v>
      </c>
      <c r="N39" s="7">
        <v>0</v>
      </c>
      <c r="P39" s="7">
        <v>35</v>
      </c>
      <c r="Q39" s="7">
        <v>-6</v>
      </c>
      <c r="R39" s="7">
        <v>-3</v>
      </c>
    </row>
    <row r="40" spans="2:18">
      <c r="L40" s="7">
        <v>36</v>
      </c>
      <c r="M40" s="7">
        <v>0</v>
      </c>
      <c r="N40" s="7">
        <v>0</v>
      </c>
      <c r="P40" s="7">
        <v>36</v>
      </c>
      <c r="Q40" s="7">
        <v>-6</v>
      </c>
      <c r="R40" s="7">
        <v>-3</v>
      </c>
    </row>
    <row r="41" spans="2:18">
      <c r="L41" s="7">
        <v>37</v>
      </c>
      <c r="M41" s="7">
        <v>0</v>
      </c>
      <c r="N41" s="7">
        <v>0</v>
      </c>
      <c r="P41" s="7">
        <v>37</v>
      </c>
      <c r="Q41" s="7">
        <v>-6</v>
      </c>
      <c r="R41" s="7">
        <v>-3</v>
      </c>
    </row>
    <row r="42" spans="2:18">
      <c r="L42" s="7">
        <v>38</v>
      </c>
      <c r="M42" s="7">
        <v>0</v>
      </c>
      <c r="N42" s="7">
        <v>0</v>
      </c>
      <c r="P42" s="7">
        <v>38</v>
      </c>
      <c r="Q42" s="7">
        <v>-6</v>
      </c>
      <c r="R42" s="7">
        <v>-3</v>
      </c>
    </row>
    <row r="43" spans="2:18">
      <c r="L43" s="7">
        <v>39</v>
      </c>
      <c r="M43" s="7">
        <v>0</v>
      </c>
      <c r="N43" s="7">
        <v>0</v>
      </c>
      <c r="P43" s="7">
        <v>39</v>
      </c>
      <c r="Q43" s="7">
        <v>-6</v>
      </c>
      <c r="R43" s="7">
        <v>-3</v>
      </c>
    </row>
    <row r="44" spans="2:18">
      <c r="L44" s="7">
        <v>40</v>
      </c>
      <c r="M44" s="7">
        <v>0</v>
      </c>
      <c r="N44" s="7">
        <v>0</v>
      </c>
      <c r="P44" s="7">
        <v>40</v>
      </c>
      <c r="Q44" s="7">
        <v>-7</v>
      </c>
      <c r="R44" s="7">
        <v>-4</v>
      </c>
    </row>
    <row r="45" spans="2:18">
      <c r="L45" s="7">
        <v>41</v>
      </c>
      <c r="M45" s="7">
        <v>0</v>
      </c>
      <c r="N45" s="7">
        <v>0</v>
      </c>
      <c r="P45" s="7">
        <v>41</v>
      </c>
      <c r="Q45" s="7">
        <v>-7</v>
      </c>
      <c r="R45" s="7">
        <v>-4</v>
      </c>
    </row>
    <row r="46" spans="2:18">
      <c r="L46" s="7">
        <v>42</v>
      </c>
      <c r="M46" s="7">
        <v>0</v>
      </c>
      <c r="N46" s="7">
        <v>0</v>
      </c>
      <c r="P46" s="7">
        <v>42</v>
      </c>
      <c r="Q46" s="7">
        <v>-7</v>
      </c>
      <c r="R46" s="7">
        <v>-4</v>
      </c>
    </row>
    <row r="47" spans="2:18">
      <c r="L47" s="7">
        <v>43</v>
      </c>
      <c r="M47" s="7">
        <v>0</v>
      </c>
      <c r="N47" s="7">
        <v>0</v>
      </c>
      <c r="P47" s="7">
        <v>43</v>
      </c>
      <c r="Q47" s="7">
        <v>-7</v>
      </c>
      <c r="R47" s="7">
        <v>-4</v>
      </c>
    </row>
    <row r="48" spans="2:18">
      <c r="L48" s="7">
        <v>44</v>
      </c>
      <c r="M48" s="7">
        <v>0</v>
      </c>
      <c r="N48" s="7">
        <v>0</v>
      </c>
      <c r="P48" s="7">
        <v>44</v>
      </c>
      <c r="Q48" s="7">
        <v>-7</v>
      </c>
      <c r="R48" s="7">
        <v>-4</v>
      </c>
    </row>
    <row r="49" spans="12:18">
      <c r="L49" s="7">
        <v>45</v>
      </c>
      <c r="M49" s="7">
        <v>0</v>
      </c>
      <c r="N49" s="7">
        <v>0</v>
      </c>
      <c r="P49" s="7">
        <v>45</v>
      </c>
      <c r="Q49" s="7">
        <v>-7</v>
      </c>
      <c r="R49" s="7">
        <v>-4</v>
      </c>
    </row>
    <row r="50" spans="12:18">
      <c r="L50" s="7">
        <v>46</v>
      </c>
      <c r="M50" s="7">
        <v>0</v>
      </c>
      <c r="N50" s="7">
        <v>0</v>
      </c>
      <c r="P50" s="7">
        <v>46</v>
      </c>
      <c r="Q50" s="7">
        <v>-7</v>
      </c>
      <c r="R50" s="7">
        <v>-4</v>
      </c>
    </row>
    <row r="51" spans="12:18">
      <c r="L51" s="7">
        <v>47</v>
      </c>
      <c r="M51" s="7">
        <v>0</v>
      </c>
      <c r="N51" s="7">
        <v>0</v>
      </c>
      <c r="P51" s="7">
        <v>47</v>
      </c>
      <c r="Q51" s="7">
        <v>-7</v>
      </c>
      <c r="R51" s="7">
        <v>-4</v>
      </c>
    </row>
    <row r="52" spans="12:18">
      <c r="L52" s="7">
        <v>48</v>
      </c>
      <c r="M52" s="7">
        <v>0</v>
      </c>
      <c r="N52" s="7">
        <v>0</v>
      </c>
      <c r="P52" s="7">
        <v>48</v>
      </c>
      <c r="Q52" s="7">
        <v>-7</v>
      </c>
      <c r="R52" s="7">
        <v>-4</v>
      </c>
    </row>
    <row r="53" spans="12:18">
      <c r="L53" s="7">
        <v>49</v>
      </c>
      <c r="M53" s="7">
        <v>0</v>
      </c>
      <c r="N53" s="7">
        <v>0</v>
      </c>
      <c r="P53" s="7">
        <v>49</v>
      </c>
      <c r="Q53" s="7">
        <v>-7</v>
      </c>
      <c r="R53" s="7">
        <v>-4</v>
      </c>
    </row>
    <row r="54" spans="12:18">
      <c r="L54" s="7">
        <v>50</v>
      </c>
      <c r="M54" s="7">
        <v>0</v>
      </c>
      <c r="N54" s="7">
        <v>0</v>
      </c>
      <c r="P54" s="7">
        <v>50</v>
      </c>
      <c r="Q54" s="7">
        <v>-8</v>
      </c>
      <c r="R54" s="7">
        <v>-4</v>
      </c>
    </row>
    <row r="55" spans="12:18">
      <c r="L55" s="7">
        <v>51</v>
      </c>
      <c r="M55" s="7">
        <v>0</v>
      </c>
      <c r="N55" s="7">
        <v>0</v>
      </c>
      <c r="P55" s="7">
        <v>51</v>
      </c>
      <c r="Q55" s="7">
        <v>-8</v>
      </c>
      <c r="R55" s="7">
        <v>-4</v>
      </c>
    </row>
    <row r="56" spans="12:18">
      <c r="L56" s="7">
        <v>52</v>
      </c>
      <c r="M56" s="7">
        <v>0</v>
      </c>
      <c r="N56" s="7">
        <v>0</v>
      </c>
      <c r="P56" s="7">
        <v>52</v>
      </c>
      <c r="Q56" s="7">
        <v>-8</v>
      </c>
      <c r="R56" s="7">
        <v>-4</v>
      </c>
    </row>
    <row r="57" spans="12:18">
      <c r="L57" s="7">
        <v>53</v>
      </c>
      <c r="M57" s="7">
        <v>0</v>
      </c>
      <c r="N57" s="7">
        <v>0</v>
      </c>
      <c r="P57" s="7">
        <v>53</v>
      </c>
      <c r="Q57" s="7">
        <v>-8</v>
      </c>
      <c r="R57" s="7">
        <v>-4</v>
      </c>
    </row>
    <row r="58" spans="12:18">
      <c r="L58" s="7">
        <v>54</v>
      </c>
      <c r="M58" s="7">
        <v>0</v>
      </c>
      <c r="N58" s="7">
        <v>0</v>
      </c>
      <c r="P58" s="7">
        <v>54</v>
      </c>
      <c r="Q58" s="7">
        <v>-8</v>
      </c>
      <c r="R58" s="7">
        <v>-4</v>
      </c>
    </row>
    <row r="59" spans="12:18">
      <c r="L59" s="7">
        <v>55</v>
      </c>
      <c r="M59" s="7">
        <v>0</v>
      </c>
      <c r="N59" s="7">
        <v>0</v>
      </c>
      <c r="P59" s="7">
        <v>55</v>
      </c>
      <c r="Q59" s="7">
        <v>-8</v>
      </c>
      <c r="R59" s="7">
        <v>-4</v>
      </c>
    </row>
    <row r="60" spans="12:18">
      <c r="L60" s="7">
        <v>56</v>
      </c>
      <c r="M60" s="7">
        <v>0</v>
      </c>
      <c r="N60" s="7">
        <v>0</v>
      </c>
      <c r="P60" s="7">
        <v>56</v>
      </c>
      <c r="Q60" s="7">
        <v>-8</v>
      </c>
      <c r="R60" s="7">
        <v>-4</v>
      </c>
    </row>
    <row r="61" spans="12:18">
      <c r="L61" s="7">
        <v>57</v>
      </c>
      <c r="M61" s="7">
        <v>0</v>
      </c>
      <c r="N61" s="7">
        <v>0</v>
      </c>
      <c r="P61" s="7">
        <v>57</v>
      </c>
      <c r="Q61" s="7">
        <v>-8</v>
      </c>
      <c r="R61" s="7">
        <v>-4</v>
      </c>
    </row>
    <row r="62" spans="12:18">
      <c r="L62" s="7">
        <v>58</v>
      </c>
      <c r="M62" s="7">
        <v>0</v>
      </c>
      <c r="N62" s="7">
        <v>0</v>
      </c>
      <c r="P62" s="7">
        <v>58</v>
      </c>
      <c r="Q62" s="7">
        <v>-8</v>
      </c>
      <c r="R62" s="7">
        <v>-4</v>
      </c>
    </row>
    <row r="63" spans="12:18">
      <c r="L63" s="7">
        <v>59</v>
      </c>
      <c r="M63" s="7">
        <v>0</v>
      </c>
      <c r="N63" s="7">
        <v>0</v>
      </c>
      <c r="P63" s="7">
        <v>59</v>
      </c>
      <c r="Q63" s="7">
        <v>-8</v>
      </c>
      <c r="R63" s="7">
        <v>-4</v>
      </c>
    </row>
    <row r="64" spans="12:18">
      <c r="L64" s="7">
        <v>60</v>
      </c>
      <c r="M64" s="7">
        <v>0</v>
      </c>
      <c r="N64" s="7">
        <v>0</v>
      </c>
      <c r="P64" s="7">
        <v>60</v>
      </c>
      <c r="Q64" s="7">
        <v>-9</v>
      </c>
      <c r="R64" s="7">
        <v>-5</v>
      </c>
    </row>
    <row r="65" spans="12:18">
      <c r="L65" s="7">
        <v>61</v>
      </c>
      <c r="M65" s="7">
        <v>-1</v>
      </c>
      <c r="N65" s="7">
        <v>-1</v>
      </c>
      <c r="P65" s="7">
        <v>61</v>
      </c>
      <c r="Q65" s="7">
        <v>-9</v>
      </c>
      <c r="R65" s="7">
        <v>-5</v>
      </c>
    </row>
    <row r="66" spans="12:18">
      <c r="L66" s="7">
        <v>62</v>
      </c>
      <c r="M66" s="7">
        <v>-1</v>
      </c>
      <c r="N66" s="7">
        <v>-1</v>
      </c>
      <c r="P66" s="7">
        <v>62</v>
      </c>
      <c r="Q66" s="7">
        <v>-9</v>
      </c>
      <c r="R66" s="7">
        <v>-5</v>
      </c>
    </row>
    <row r="67" spans="12:18">
      <c r="L67" s="7">
        <v>63</v>
      </c>
      <c r="M67" s="7">
        <v>-1</v>
      </c>
      <c r="N67" s="7">
        <v>-1</v>
      </c>
      <c r="P67" s="7">
        <v>63</v>
      </c>
      <c r="Q67" s="7">
        <v>-9</v>
      </c>
      <c r="R67" s="7">
        <v>-5</v>
      </c>
    </row>
    <row r="68" spans="12:18">
      <c r="L68" s="7">
        <v>64</v>
      </c>
      <c r="M68" s="7">
        <v>-1</v>
      </c>
      <c r="N68" s="7">
        <v>-1</v>
      </c>
      <c r="P68" s="7">
        <v>64</v>
      </c>
      <c r="Q68" s="7">
        <v>-9</v>
      </c>
      <c r="R68" s="7">
        <v>-5</v>
      </c>
    </row>
    <row r="69" spans="12:18">
      <c r="L69" s="7">
        <v>65</v>
      </c>
      <c r="M69" s="7">
        <v>-1</v>
      </c>
      <c r="N69" s="7">
        <v>-1</v>
      </c>
      <c r="P69" s="7">
        <v>65</v>
      </c>
      <c r="Q69" s="7">
        <v>-9</v>
      </c>
      <c r="R69" s="7">
        <v>-5</v>
      </c>
    </row>
    <row r="70" spans="12:18">
      <c r="L70" s="7">
        <v>66</v>
      </c>
      <c r="M70" s="7">
        <v>-1</v>
      </c>
      <c r="N70" s="7">
        <v>-1</v>
      </c>
      <c r="P70" s="7">
        <v>66</v>
      </c>
      <c r="Q70" s="7">
        <v>-9</v>
      </c>
      <c r="R70" s="7">
        <v>-5</v>
      </c>
    </row>
    <row r="71" spans="12:18">
      <c r="L71" s="7">
        <v>67</v>
      </c>
      <c r="M71" s="7">
        <v>-2</v>
      </c>
      <c r="N71" s="7">
        <v>-1</v>
      </c>
      <c r="P71" s="7">
        <v>67</v>
      </c>
      <c r="Q71" s="7">
        <v>-9</v>
      </c>
      <c r="R71" s="7">
        <v>-5</v>
      </c>
    </row>
    <row r="72" spans="12:18">
      <c r="L72" s="7">
        <v>68</v>
      </c>
      <c r="M72" s="7">
        <v>-2</v>
      </c>
      <c r="N72" s="7">
        <v>-1</v>
      </c>
      <c r="P72" s="7">
        <v>68</v>
      </c>
      <c r="Q72" s="7">
        <v>-9</v>
      </c>
      <c r="R72" s="7">
        <v>-5</v>
      </c>
    </row>
    <row r="73" spans="12:18">
      <c r="L73" s="7">
        <v>69</v>
      </c>
      <c r="M73" s="7">
        <v>-2</v>
      </c>
      <c r="N73" s="7">
        <v>-1</v>
      </c>
      <c r="P73" s="7">
        <v>69</v>
      </c>
      <c r="Q73" s="7">
        <v>-9</v>
      </c>
      <c r="R73" s="7">
        <v>-5</v>
      </c>
    </row>
    <row r="74" spans="12:18">
      <c r="L74" s="7">
        <v>70</v>
      </c>
      <c r="M74" s="7">
        <v>-2</v>
      </c>
      <c r="N74" s="7">
        <v>-1</v>
      </c>
      <c r="P74" s="7">
        <v>70</v>
      </c>
      <c r="Q74" s="7">
        <v>-10</v>
      </c>
      <c r="R74" s="7">
        <v>-5</v>
      </c>
    </row>
    <row r="75" spans="12:18">
      <c r="L75" s="7">
        <v>71</v>
      </c>
      <c r="M75" s="7">
        <v>-2</v>
      </c>
      <c r="N75" s="7">
        <v>-1</v>
      </c>
      <c r="P75" s="7">
        <v>71</v>
      </c>
      <c r="Q75" s="7">
        <v>-10</v>
      </c>
      <c r="R75" s="7">
        <v>-5</v>
      </c>
    </row>
    <row r="76" spans="12:18">
      <c r="L76" s="7">
        <v>72</v>
      </c>
      <c r="M76" s="7">
        <v>-3</v>
      </c>
      <c r="N76" s="7">
        <v>-2</v>
      </c>
      <c r="P76" s="7">
        <v>72</v>
      </c>
      <c r="Q76" s="7">
        <v>-10</v>
      </c>
      <c r="R76" s="7">
        <v>-5</v>
      </c>
    </row>
    <row r="77" spans="12:18">
      <c r="L77" s="7">
        <v>73</v>
      </c>
      <c r="M77" s="7">
        <v>-3</v>
      </c>
      <c r="N77" s="7">
        <v>-2</v>
      </c>
      <c r="P77" s="7">
        <v>73</v>
      </c>
      <c r="Q77" s="7">
        <v>-10</v>
      </c>
      <c r="R77" s="7">
        <v>-5</v>
      </c>
    </row>
    <row r="78" spans="12:18">
      <c r="L78" s="7">
        <v>74</v>
      </c>
      <c r="M78" s="7">
        <v>-3</v>
      </c>
      <c r="N78" s="7">
        <v>-2</v>
      </c>
      <c r="P78" s="7">
        <v>74</v>
      </c>
      <c r="Q78" s="7">
        <v>-10</v>
      </c>
      <c r="R78" s="7">
        <v>-5</v>
      </c>
    </row>
    <row r="79" spans="12:18">
      <c r="L79" s="7">
        <v>75</v>
      </c>
      <c r="M79" s="7">
        <v>-3</v>
      </c>
      <c r="N79" s="7">
        <v>-2</v>
      </c>
      <c r="P79" s="7">
        <v>75</v>
      </c>
      <c r="Q79" s="7">
        <v>-10</v>
      </c>
      <c r="R79" s="7">
        <v>-5</v>
      </c>
    </row>
    <row r="80" spans="12:18">
      <c r="L80" s="7">
        <v>76</v>
      </c>
      <c r="M80" s="7">
        <v>-3</v>
      </c>
      <c r="N80" s="7">
        <v>-2</v>
      </c>
      <c r="P80" s="7">
        <v>76</v>
      </c>
      <c r="Q80" s="7">
        <v>-10</v>
      </c>
      <c r="R80" s="7">
        <v>-5</v>
      </c>
    </row>
    <row r="81" spans="12:18">
      <c r="L81" s="7">
        <v>77</v>
      </c>
      <c r="M81" s="7">
        <v>-4</v>
      </c>
      <c r="N81" s="7">
        <v>-2</v>
      </c>
      <c r="P81" s="7">
        <v>77</v>
      </c>
      <c r="Q81" s="7">
        <v>-10</v>
      </c>
      <c r="R81" s="7">
        <v>-5</v>
      </c>
    </row>
    <row r="82" spans="12:18">
      <c r="L82" s="7">
        <v>78</v>
      </c>
      <c r="M82" s="7">
        <v>-4</v>
      </c>
      <c r="N82" s="7">
        <v>-2</v>
      </c>
      <c r="P82" s="7">
        <v>78</v>
      </c>
      <c r="Q82" s="7">
        <v>-10</v>
      </c>
      <c r="R82" s="7">
        <v>-5</v>
      </c>
    </row>
    <row r="83" spans="12:18">
      <c r="L83" s="7">
        <v>79</v>
      </c>
      <c r="M83" s="7">
        <v>-4</v>
      </c>
      <c r="N83" s="7">
        <v>-2</v>
      </c>
      <c r="P83" s="7">
        <v>79</v>
      </c>
      <c r="Q83" s="7">
        <v>-10</v>
      </c>
      <c r="R83" s="7">
        <v>-5</v>
      </c>
    </row>
    <row r="84" spans="12:18">
      <c r="L84" s="7">
        <v>80</v>
      </c>
      <c r="M84" s="7">
        <v>-4</v>
      </c>
      <c r="N84" s="7">
        <v>-2</v>
      </c>
      <c r="P84" s="7">
        <v>80</v>
      </c>
      <c r="Q84" s="7">
        <v>-10</v>
      </c>
      <c r="R84" s="7">
        <v>-5</v>
      </c>
    </row>
    <row r="85" spans="12:18">
      <c r="L85" s="7">
        <v>81</v>
      </c>
      <c r="M85" s="7">
        <v>-4</v>
      </c>
      <c r="N85" s="7">
        <v>-2</v>
      </c>
    </row>
    <row r="86" spans="12:18">
      <c r="L86" s="7">
        <v>82</v>
      </c>
      <c r="M86" s="7">
        <v>-4</v>
      </c>
      <c r="N86" s="7">
        <v>-2</v>
      </c>
    </row>
    <row r="87" spans="12:18">
      <c r="L87" s="7">
        <v>83</v>
      </c>
      <c r="M87" s="7">
        <v>-5</v>
      </c>
      <c r="N87" s="7">
        <v>-3</v>
      </c>
    </row>
    <row r="88" spans="12:18">
      <c r="L88" s="7">
        <v>84</v>
      </c>
      <c r="M88" s="7">
        <v>-5</v>
      </c>
      <c r="N88" s="7">
        <v>-3</v>
      </c>
    </row>
    <row r="89" spans="12:18">
      <c r="L89" s="7">
        <v>85</v>
      </c>
      <c r="M89" s="7">
        <v>-5</v>
      </c>
      <c r="N89" s="7">
        <v>-3</v>
      </c>
    </row>
    <row r="90" spans="12:18">
      <c r="L90" s="7">
        <v>86</v>
      </c>
      <c r="M90" s="7">
        <v>-5</v>
      </c>
      <c r="N90" s="7">
        <v>-3</v>
      </c>
    </row>
    <row r="91" spans="12:18">
      <c r="L91" s="7">
        <v>87</v>
      </c>
      <c r="M91" s="7">
        <v>-5</v>
      </c>
      <c r="N91" s="7">
        <v>-3</v>
      </c>
    </row>
    <row r="92" spans="12:18">
      <c r="L92" s="7">
        <v>88</v>
      </c>
      <c r="M92" s="7">
        <v>-6</v>
      </c>
      <c r="N92" s="7">
        <v>-3</v>
      </c>
    </row>
    <row r="93" spans="12:18">
      <c r="L93" s="7">
        <v>89</v>
      </c>
      <c r="M93" s="7">
        <v>-6</v>
      </c>
      <c r="N93" s="7">
        <v>-3</v>
      </c>
    </row>
    <row r="94" spans="12:18">
      <c r="L94" s="7">
        <v>90</v>
      </c>
      <c r="M94" s="7">
        <v>-6</v>
      </c>
      <c r="N94" s="7">
        <v>-3</v>
      </c>
    </row>
    <row r="95" spans="12:18">
      <c r="L95" s="7">
        <v>91</v>
      </c>
      <c r="M95" s="7">
        <v>-6</v>
      </c>
      <c r="N95" s="7">
        <v>-3</v>
      </c>
    </row>
    <row r="96" spans="12:18">
      <c r="L96" s="7">
        <v>92</v>
      </c>
      <c r="M96" s="7">
        <v>-6</v>
      </c>
      <c r="N96" s="7">
        <v>-3</v>
      </c>
    </row>
    <row r="97" spans="12:14">
      <c r="L97" s="7">
        <v>93</v>
      </c>
      <c r="M97" s="7">
        <v>-6</v>
      </c>
      <c r="N97" s="7">
        <v>-3</v>
      </c>
    </row>
    <row r="98" spans="12:14">
      <c r="L98" s="7">
        <v>94</v>
      </c>
      <c r="M98" s="7">
        <v>-7</v>
      </c>
      <c r="N98" s="7">
        <v>-4</v>
      </c>
    </row>
    <row r="99" spans="12:14">
      <c r="L99" s="7">
        <v>95</v>
      </c>
      <c r="M99" s="7">
        <v>-7</v>
      </c>
      <c r="N99" s="7">
        <v>-4</v>
      </c>
    </row>
    <row r="100" spans="12:14">
      <c r="L100" s="7">
        <v>96</v>
      </c>
      <c r="M100" s="7">
        <v>-7</v>
      </c>
      <c r="N100" s="7">
        <v>-4</v>
      </c>
    </row>
    <row r="101" spans="12:14">
      <c r="L101" s="7">
        <v>97</v>
      </c>
      <c r="M101" s="7">
        <v>-7</v>
      </c>
      <c r="N101" s="7">
        <v>-4</v>
      </c>
    </row>
    <row r="102" spans="12:14">
      <c r="L102" s="7">
        <v>98</v>
      </c>
      <c r="M102" s="7">
        <v>-7</v>
      </c>
      <c r="N102" s="7">
        <v>-4</v>
      </c>
    </row>
    <row r="103" spans="12:14">
      <c r="L103" s="7">
        <v>99</v>
      </c>
      <c r="M103" s="7">
        <v>-8</v>
      </c>
      <c r="N103" s="7">
        <v>-4</v>
      </c>
    </row>
    <row r="104" spans="12:14">
      <c r="L104" s="7">
        <v>100</v>
      </c>
      <c r="M104" s="7">
        <v>-8</v>
      </c>
      <c r="N104" s="7">
        <v>-4</v>
      </c>
    </row>
    <row r="105" spans="12:14">
      <c r="L105" s="7">
        <v>101</v>
      </c>
      <c r="M105" s="7">
        <v>-8</v>
      </c>
      <c r="N105" s="7">
        <v>-4</v>
      </c>
    </row>
    <row r="106" spans="12:14">
      <c r="L106" s="7">
        <v>102</v>
      </c>
      <c r="M106" s="7">
        <v>-8</v>
      </c>
      <c r="N106" s="7">
        <v>-4</v>
      </c>
    </row>
    <row r="107" spans="12:14">
      <c r="L107" s="7">
        <v>103</v>
      </c>
      <c r="M107" s="7">
        <v>-8</v>
      </c>
      <c r="N107" s="7">
        <v>-4</v>
      </c>
    </row>
    <row r="108" spans="12:14">
      <c r="L108" s="7">
        <v>104</v>
      </c>
      <c r="M108" s="7">
        <v>-8</v>
      </c>
      <c r="N108" s="7">
        <v>-4</v>
      </c>
    </row>
    <row r="109" spans="12:14">
      <c r="L109" s="7">
        <v>105</v>
      </c>
      <c r="M109" s="7">
        <v>-9</v>
      </c>
      <c r="N109" s="7">
        <v>-5</v>
      </c>
    </row>
    <row r="110" spans="12:14">
      <c r="L110" s="7">
        <v>106</v>
      </c>
      <c r="M110" s="7">
        <v>-9</v>
      </c>
      <c r="N110" s="7">
        <v>-5</v>
      </c>
    </row>
    <row r="111" spans="12:14">
      <c r="L111" s="7">
        <v>107</v>
      </c>
      <c r="M111" s="7">
        <v>-9</v>
      </c>
      <c r="N111" s="7">
        <v>-5</v>
      </c>
    </row>
    <row r="112" spans="12:14">
      <c r="L112" s="7">
        <v>108</v>
      </c>
      <c r="M112" s="7">
        <v>-9</v>
      </c>
      <c r="N112" s="7">
        <v>-5</v>
      </c>
    </row>
    <row r="113" spans="12:14">
      <c r="L113" s="7">
        <v>109</v>
      </c>
      <c r="M113" s="7">
        <v>-9</v>
      </c>
      <c r="N113" s="7">
        <v>-5</v>
      </c>
    </row>
    <row r="114" spans="12:14">
      <c r="L114" s="7">
        <v>110</v>
      </c>
      <c r="M114" s="7">
        <v>-10</v>
      </c>
      <c r="N114" s="7">
        <v>-5</v>
      </c>
    </row>
    <row r="115" spans="12:14">
      <c r="L115" s="7">
        <v>111</v>
      </c>
      <c r="M115" s="7">
        <v>-10</v>
      </c>
      <c r="N115" s="7">
        <v>-5</v>
      </c>
    </row>
    <row r="116" spans="12:14">
      <c r="L116" s="7">
        <v>112</v>
      </c>
      <c r="M116" s="7">
        <v>-10</v>
      </c>
      <c r="N116" s="7">
        <v>-5</v>
      </c>
    </row>
    <row r="117" spans="12:14">
      <c r="L117" s="7">
        <v>113</v>
      </c>
      <c r="M117" s="7">
        <v>-10</v>
      </c>
      <c r="N117" s="7">
        <v>-5</v>
      </c>
    </row>
    <row r="118" spans="12:14">
      <c r="L118" s="7">
        <v>114</v>
      </c>
      <c r="M118" s="7">
        <v>-10</v>
      </c>
      <c r="N118" s="7">
        <v>-5</v>
      </c>
    </row>
    <row r="119" spans="12:14">
      <c r="L119" s="7">
        <v>115</v>
      </c>
      <c r="M119" s="7">
        <v>-10</v>
      </c>
      <c r="N119" s="7">
        <v>-5</v>
      </c>
    </row>
    <row r="120" spans="12:14">
      <c r="L120" s="7">
        <v>116</v>
      </c>
      <c r="M120" s="7">
        <v>-10</v>
      </c>
      <c r="N120" s="7">
        <v>-5</v>
      </c>
    </row>
    <row r="121" spans="12:14">
      <c r="L121" s="7">
        <v>117</v>
      </c>
      <c r="M121" s="7">
        <v>-10</v>
      </c>
      <c r="N121" s="7">
        <v>-5</v>
      </c>
    </row>
    <row r="122" spans="12:14">
      <c r="L122" s="7">
        <v>118</v>
      </c>
      <c r="M122" s="7">
        <v>-10</v>
      </c>
      <c r="N122" s="7">
        <v>-5</v>
      </c>
    </row>
    <row r="123" spans="12:14">
      <c r="L123" s="7">
        <v>119</v>
      </c>
      <c r="M123" s="7">
        <v>-10</v>
      </c>
      <c r="N123" s="7">
        <v>-5</v>
      </c>
    </row>
    <row r="124" spans="12:14">
      <c r="L124" s="7">
        <v>120</v>
      </c>
      <c r="M124" s="7">
        <v>-10</v>
      </c>
      <c r="N124" s="7">
        <v>-5</v>
      </c>
    </row>
    <row r="125" spans="12:14">
      <c r="L125" s="7">
        <v>121</v>
      </c>
      <c r="M125" s="7">
        <v>-10</v>
      </c>
      <c r="N125" s="7">
        <v>-5</v>
      </c>
    </row>
    <row r="126" spans="12:14">
      <c r="L126" s="7"/>
    </row>
    <row r="127" spans="12:14"/>
    <row r="128" spans="12:14"/>
  </sheetData>
  <mergeCells count="2">
    <mergeCell ref="L2:N2"/>
    <mergeCell ref="P2:R2"/>
  </mergeCells>
  <pageMargins left="0.7" right="0.7" top="0.75" bottom="0.75" header="0.3" footer="0.3"/>
  <pageSetup paperSize="9" orientation="portrait" horizontalDpi="4294967292"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EA3215-70C8-4F17-9E67-C0727BC40A54}">
  <sheetPr codeName="Hoja5"/>
  <dimension ref="B1:EU126"/>
  <sheetViews>
    <sheetView showGridLines="0" zoomScaleNormal="100" workbookViewId="0">
      <pane ySplit="1" topLeftCell="A2" activePane="bottomLeft" state="frozen"/>
      <selection pane="bottomLeft" activeCell="B31" sqref="B31:O31"/>
    </sheetView>
  </sheetViews>
  <sheetFormatPr baseColWidth="10" defaultRowHeight="14.25"/>
  <cols>
    <col min="1" max="1" width="6.28515625" style="1" customWidth="1"/>
    <col min="2" max="27" width="6.140625" style="3" customWidth="1"/>
    <col min="28" max="28" width="4.42578125" style="3" customWidth="1"/>
    <col min="29" max="32" width="9.85546875" style="3" customWidth="1"/>
    <col min="33" max="33" width="4.42578125" style="3" customWidth="1"/>
    <col min="34" max="35" width="5.28515625" style="3" bestFit="1" customWidth="1"/>
    <col min="36" max="37" width="5.7109375" style="3" bestFit="1" customWidth="1"/>
    <col min="38" max="38" width="5.28515625" style="3" bestFit="1" customWidth="1"/>
    <col min="39" max="39" width="4.85546875" style="3" bestFit="1" customWidth="1"/>
    <col min="40" max="40" width="5.7109375" style="3" bestFit="1" customWidth="1"/>
    <col min="41" max="41" width="5.28515625" style="3" bestFit="1" customWidth="1"/>
    <col min="42" max="42" width="3.5703125" style="3" bestFit="1" customWidth="1"/>
    <col min="43" max="43" width="4.42578125" style="3" bestFit="1" customWidth="1"/>
    <col min="44" max="44" width="5.28515625" style="3" bestFit="1" customWidth="1"/>
    <col min="45" max="45" width="6" style="3" bestFit="1" customWidth="1"/>
    <col min="46" max="46" width="5.28515625" style="3" bestFit="1" customWidth="1"/>
    <col min="47" max="47" width="6.140625" style="3" bestFit="1" customWidth="1"/>
    <col min="48" max="48" width="5.28515625" style="3" bestFit="1" customWidth="1"/>
    <col min="49" max="49" width="6.140625" style="3" bestFit="1" customWidth="1"/>
    <col min="50" max="50" width="5.7109375" style="3" bestFit="1" customWidth="1"/>
    <col min="51" max="51" width="5.28515625" style="3" bestFit="1" customWidth="1"/>
    <col min="52" max="52" width="4.85546875" style="3" bestFit="1" customWidth="1"/>
    <col min="53" max="53" width="5.28515625" style="3" bestFit="1" customWidth="1"/>
    <col min="54" max="54" width="7.42578125" style="3" bestFit="1" customWidth="1"/>
    <col min="55" max="56" width="5.28515625" style="3" bestFit="1" customWidth="1"/>
    <col min="57" max="58" width="4.42578125" style="3" bestFit="1" customWidth="1"/>
    <col min="59" max="59" width="6.5703125" style="3" bestFit="1" customWidth="1"/>
    <col min="60" max="60" width="4.42578125" style="3" customWidth="1"/>
    <col min="61" max="61" width="8" style="3" bestFit="1" customWidth="1"/>
    <col min="62" max="62" width="4.42578125" style="3" bestFit="1" customWidth="1"/>
    <col min="63" max="63" width="4.140625" style="3" bestFit="1" customWidth="1"/>
    <col min="64" max="64" width="4.42578125" style="3" bestFit="1" customWidth="1"/>
    <col min="65" max="65" width="4" style="3" bestFit="1" customWidth="1"/>
    <col min="66" max="66" width="4.42578125" style="3" bestFit="1" customWidth="1"/>
    <col min="67" max="67" width="4.140625" style="3" bestFit="1" customWidth="1"/>
    <col min="68" max="68" width="4.42578125" style="3" bestFit="1" customWidth="1"/>
    <col min="69" max="69" width="4" style="3" bestFit="1" customWidth="1"/>
    <col min="70" max="70" width="4.42578125" style="3" bestFit="1" customWidth="1"/>
    <col min="71" max="71" width="4" style="3" bestFit="1" customWidth="1"/>
    <col min="72" max="74" width="4.42578125" style="3" bestFit="1" customWidth="1"/>
    <col min="75" max="75" width="4.42578125" style="3" customWidth="1"/>
    <col min="76" max="76" width="4.42578125" style="3" bestFit="1" customWidth="1"/>
    <col min="77" max="77" width="4.42578125" style="3" customWidth="1"/>
    <col min="78" max="78" width="4.42578125" style="3" bestFit="1" customWidth="1"/>
    <col min="79" max="79" width="4" style="3" bestFit="1" customWidth="1"/>
    <col min="80" max="80" width="4.42578125" style="3" bestFit="1" customWidth="1"/>
    <col min="81" max="81" width="4" style="3" bestFit="1" customWidth="1"/>
    <col min="82" max="82" width="4.42578125" style="3" bestFit="1" customWidth="1"/>
    <col min="83" max="83" width="5.42578125" style="3" bestFit="1" customWidth="1"/>
    <col min="84" max="84" width="4.42578125" style="3" bestFit="1" customWidth="1"/>
    <col min="85" max="85" width="4" style="3" bestFit="1" customWidth="1"/>
    <col min="86" max="86" width="4.42578125" style="3" bestFit="1" customWidth="1"/>
    <col min="87" max="87" width="6.7109375" style="3" bestFit="1" customWidth="1"/>
    <col min="88" max="89" width="7.28515625" style="3" bestFit="1" customWidth="1"/>
    <col min="90" max="90" width="6.7109375" style="3" bestFit="1" customWidth="1"/>
    <col min="91" max="91" width="6.140625" style="3" bestFit="1" customWidth="1"/>
    <col min="92" max="92" width="7.28515625" style="3" bestFit="1" customWidth="1"/>
    <col min="93" max="93" width="6.7109375" style="3" bestFit="1" customWidth="1"/>
    <col min="94" max="94" width="4.42578125" style="3" bestFit="1" customWidth="1"/>
    <col min="95" max="95" width="5.5703125" style="3" bestFit="1" customWidth="1"/>
    <col min="96" max="96" width="6.7109375" style="3" bestFit="1" customWidth="1"/>
    <col min="97" max="97" width="5.5703125" style="3" bestFit="1" customWidth="1"/>
    <col min="98" max="98" width="7.5703125" style="3" bestFit="1" customWidth="1"/>
    <col min="99" max="99" width="6.7109375" style="3" bestFit="1" customWidth="1"/>
    <col min="100" max="100" width="7.85546875" style="3" bestFit="1" customWidth="1"/>
    <col min="101" max="101" width="6.7109375" style="3" bestFit="1" customWidth="1"/>
    <col min="102" max="102" width="7.85546875" style="3" bestFit="1" customWidth="1"/>
    <col min="103" max="103" width="7.28515625" style="3" bestFit="1" customWidth="1"/>
    <col min="104" max="104" width="6.7109375" style="3" bestFit="1" customWidth="1"/>
    <col min="105" max="105" width="6.140625" style="3" bestFit="1" customWidth="1"/>
    <col min="106" max="106" width="6.7109375" style="3" bestFit="1" customWidth="1"/>
    <col min="107" max="107" width="6.5703125" style="3" bestFit="1" customWidth="1"/>
    <col min="108" max="108" width="9.5703125" style="3" bestFit="1" customWidth="1"/>
    <col min="109" max="110" width="6.5703125" style="3" bestFit="1" customWidth="1"/>
    <col min="111" max="111" width="5.5703125" style="3" bestFit="1" customWidth="1"/>
    <col min="112" max="112" width="8.140625" style="3" bestFit="1" customWidth="1"/>
    <col min="113" max="114" width="8.85546875" style="3" bestFit="1" customWidth="1"/>
    <col min="115" max="115" width="7.42578125" style="3" bestFit="1" customWidth="1"/>
    <col min="116" max="116" width="9.5703125" style="3" bestFit="1" customWidth="1"/>
    <col min="117" max="117" width="8.140625" style="3" bestFit="1" customWidth="1"/>
    <col min="118" max="118" width="6.7109375" style="3" bestFit="1" customWidth="1"/>
    <col min="119" max="119" width="8.140625" style="3" bestFit="1" customWidth="1"/>
    <col min="120" max="121" width="6.7109375" style="3" bestFit="1" customWidth="1"/>
    <col min="122" max="122" width="8.140625" style="3" bestFit="1" customWidth="1"/>
    <col min="123" max="123" width="9.5703125" style="3" bestFit="1" customWidth="1"/>
    <col min="124" max="124" width="11.7109375" style="3" bestFit="1" customWidth="1"/>
    <col min="125" max="125" width="8.85546875" style="3" bestFit="1" customWidth="1"/>
    <col min="126" max="126" width="7.42578125" style="3" bestFit="1" customWidth="1"/>
    <col min="127" max="127" width="8.140625" style="3" bestFit="1" customWidth="1"/>
    <col min="128" max="128" width="4.42578125" style="3" bestFit="1" customWidth="1"/>
    <col min="129" max="129" width="9.5703125" style="3" bestFit="1" customWidth="1"/>
    <col min="130" max="130" width="8.140625" style="3" bestFit="1" customWidth="1"/>
    <col min="131" max="131" width="12" style="3" bestFit="1" customWidth="1"/>
    <col min="132" max="132" width="10.7109375" style="3" bestFit="1" customWidth="1"/>
    <col min="133" max="133" width="9.5703125" style="3" bestFit="1" customWidth="1"/>
    <col min="134" max="135" width="10.42578125" style="3" bestFit="1" customWidth="1"/>
    <col min="136" max="136" width="9.5703125" style="3" bestFit="1" customWidth="1"/>
    <col min="137" max="137" width="8.7109375" style="3" bestFit="1" customWidth="1"/>
    <col min="138" max="138" width="10.42578125" style="3" bestFit="1" customWidth="1"/>
    <col min="139" max="139" width="9.5703125" style="3" bestFit="1" customWidth="1"/>
    <col min="140" max="140" width="7.85546875" style="3" bestFit="1" customWidth="1"/>
    <col min="141" max="141" width="9.5703125" style="3" bestFit="1" customWidth="1"/>
    <col min="142" max="142" width="7.85546875" style="3" bestFit="1" customWidth="1"/>
    <col min="143" max="143" width="10.85546875" style="3" bestFit="1" customWidth="1"/>
    <col min="144" max="144" width="9.5703125" style="3" bestFit="1" customWidth="1"/>
    <col min="145" max="145" width="9.28515625" style="3" bestFit="1" customWidth="1"/>
    <col min="146" max="146" width="7.85546875" style="3" bestFit="1" customWidth="1"/>
    <col min="147" max="147" width="9.5703125" style="3" bestFit="1" customWidth="1"/>
    <col min="148" max="148" width="13.85546875" style="3" bestFit="1" customWidth="1"/>
    <col min="149" max="149" width="11.28515625" style="3" bestFit="1" customWidth="1"/>
    <col min="150" max="150" width="8.7109375" style="3" bestFit="1" customWidth="1"/>
    <col min="151" max="151" width="9.28515625" style="3" bestFit="1" customWidth="1"/>
    <col min="152" max="16384" width="11.42578125" style="1"/>
  </cols>
  <sheetData>
    <row r="1" spans="2:151" ht="15">
      <c r="B1" s="26" t="s">
        <v>260</v>
      </c>
      <c r="C1" s="26" t="s">
        <v>264</v>
      </c>
      <c r="D1" s="26" t="s">
        <v>247</v>
      </c>
      <c r="E1" s="26" t="s">
        <v>263</v>
      </c>
      <c r="F1" s="26" t="s">
        <v>377</v>
      </c>
      <c r="G1" s="26" t="s">
        <v>196</v>
      </c>
      <c r="H1" s="26" t="s">
        <v>378</v>
      </c>
      <c r="I1" s="26" t="s">
        <v>261</v>
      </c>
      <c r="J1" s="26" t="s">
        <v>379</v>
      </c>
      <c r="K1" s="26" t="s">
        <v>380</v>
      </c>
      <c r="L1" s="26" t="s">
        <v>381</v>
      </c>
      <c r="M1" s="26" t="s">
        <v>382</v>
      </c>
      <c r="N1" s="26" t="s">
        <v>383</v>
      </c>
      <c r="O1" s="26" t="s">
        <v>262</v>
      </c>
      <c r="P1" s="26" t="s">
        <v>248</v>
      </c>
      <c r="Q1" s="26" t="s">
        <v>384</v>
      </c>
      <c r="R1" s="26" t="s">
        <v>266</v>
      </c>
      <c r="S1" s="26" t="s">
        <v>246</v>
      </c>
      <c r="T1" s="26" t="s">
        <v>265</v>
      </c>
      <c r="U1" s="26" t="s">
        <v>385</v>
      </c>
      <c r="V1" s="26" t="s">
        <v>195</v>
      </c>
      <c r="W1" s="26" t="s">
        <v>278</v>
      </c>
      <c r="X1" s="26" t="s">
        <v>234</v>
      </c>
      <c r="Y1" s="26" t="s">
        <v>235</v>
      </c>
      <c r="Z1" s="26" t="s">
        <v>236</v>
      </c>
      <c r="AA1" s="26" t="s">
        <v>386</v>
      </c>
      <c r="AB1" s="26"/>
      <c r="AC1" s="26" t="s">
        <v>549</v>
      </c>
      <c r="AD1" s="26" t="s">
        <v>546</v>
      </c>
      <c r="AE1" s="26" t="s">
        <v>547</v>
      </c>
      <c r="AF1" s="26" t="s">
        <v>548</v>
      </c>
      <c r="AG1" s="26"/>
      <c r="AH1" s="26" t="s">
        <v>434</v>
      </c>
      <c r="AI1" s="26" t="s">
        <v>435</v>
      </c>
      <c r="AJ1" s="26" t="s">
        <v>436</v>
      </c>
      <c r="AK1" s="26" t="s">
        <v>437</v>
      </c>
      <c r="AL1" s="26" t="s">
        <v>438</v>
      </c>
      <c r="AM1" s="26" t="s">
        <v>439</v>
      </c>
      <c r="AN1" s="26" t="s">
        <v>440</v>
      </c>
      <c r="AO1" s="26" t="s">
        <v>441</v>
      </c>
      <c r="AP1" s="26" t="s">
        <v>442</v>
      </c>
      <c r="AQ1" s="26" t="s">
        <v>443</v>
      </c>
      <c r="AR1" s="26" t="s">
        <v>444</v>
      </c>
      <c r="AS1" s="26" t="s">
        <v>445</v>
      </c>
      <c r="AT1" s="26" t="s">
        <v>446</v>
      </c>
      <c r="AU1" s="26" t="s">
        <v>447</v>
      </c>
      <c r="AV1" s="26" t="s">
        <v>448</v>
      </c>
      <c r="AW1" s="26" t="s">
        <v>449</v>
      </c>
      <c r="AX1" s="26" t="s">
        <v>450</v>
      </c>
      <c r="AY1" s="26" t="s">
        <v>451</v>
      </c>
      <c r="AZ1" s="26" t="s">
        <v>452</v>
      </c>
      <c r="BA1" s="26" t="s">
        <v>453</v>
      </c>
      <c r="BB1" s="26" t="s">
        <v>454</v>
      </c>
      <c r="BC1" s="26" t="s">
        <v>455</v>
      </c>
      <c r="BD1" s="26" t="s">
        <v>456</v>
      </c>
      <c r="BE1" s="26" t="s">
        <v>457</v>
      </c>
      <c r="BF1" s="26" t="s">
        <v>458</v>
      </c>
      <c r="BG1" s="26" t="s">
        <v>459</v>
      </c>
      <c r="BH1" s="26"/>
      <c r="BI1" s="26" t="s">
        <v>460</v>
      </c>
      <c r="BJ1" s="19" t="s">
        <v>432</v>
      </c>
      <c r="BK1" s="26" t="s">
        <v>268</v>
      </c>
      <c r="BL1" s="19" t="s">
        <v>433</v>
      </c>
      <c r="BM1" s="26" t="s">
        <v>461</v>
      </c>
      <c r="BN1" s="19" t="s">
        <v>462</v>
      </c>
      <c r="BO1" s="26" t="s">
        <v>463</v>
      </c>
      <c r="BP1" s="19" t="s">
        <v>464</v>
      </c>
      <c r="BQ1" s="26" t="s">
        <v>465</v>
      </c>
      <c r="BR1" s="19" t="s">
        <v>466</v>
      </c>
      <c r="BS1" s="26" t="s">
        <v>467</v>
      </c>
      <c r="BT1" s="19" t="s">
        <v>468</v>
      </c>
      <c r="BU1" s="26" t="s">
        <v>469</v>
      </c>
      <c r="BV1" s="19" t="s">
        <v>470</v>
      </c>
      <c r="BW1" s="26" t="s">
        <v>471</v>
      </c>
      <c r="BX1" s="19" t="s">
        <v>269</v>
      </c>
      <c r="BY1" s="26" t="s">
        <v>472</v>
      </c>
      <c r="BZ1" s="19" t="s">
        <v>473</v>
      </c>
      <c r="CA1" s="26" t="s">
        <v>267</v>
      </c>
      <c r="CB1" s="19" t="s">
        <v>474</v>
      </c>
      <c r="CC1" s="26" t="s">
        <v>475</v>
      </c>
      <c r="CD1" s="19" t="s">
        <v>476</v>
      </c>
      <c r="CE1" s="26" t="s">
        <v>477</v>
      </c>
      <c r="CF1" s="19" t="s">
        <v>478</v>
      </c>
      <c r="CG1" s="26" t="s">
        <v>479</v>
      </c>
      <c r="CH1" s="19" t="s">
        <v>480</v>
      </c>
      <c r="CI1" s="26" t="s">
        <v>481</v>
      </c>
      <c r="CJ1" s="19" t="s">
        <v>482</v>
      </c>
      <c r="CK1" s="26" t="s">
        <v>483</v>
      </c>
      <c r="CL1" s="19" t="s">
        <v>484</v>
      </c>
      <c r="CM1" s="26" t="s">
        <v>485</v>
      </c>
      <c r="CN1" s="19" t="s">
        <v>486</v>
      </c>
      <c r="CO1" s="26" t="s">
        <v>487</v>
      </c>
      <c r="CP1" s="19" t="s">
        <v>488</v>
      </c>
      <c r="CQ1" s="26" t="s">
        <v>489</v>
      </c>
      <c r="CR1" s="19" t="s">
        <v>490</v>
      </c>
      <c r="CS1" s="26" t="s">
        <v>491</v>
      </c>
      <c r="CT1" s="19" t="s">
        <v>492</v>
      </c>
      <c r="CU1" s="26" t="s">
        <v>493</v>
      </c>
      <c r="CV1" s="19" t="s">
        <v>494</v>
      </c>
      <c r="CW1" s="26" t="s">
        <v>495</v>
      </c>
      <c r="CX1" s="19" t="s">
        <v>496</v>
      </c>
      <c r="CY1" s="26" t="s">
        <v>497</v>
      </c>
      <c r="CZ1" s="19" t="s">
        <v>498</v>
      </c>
      <c r="DA1" s="26" t="s">
        <v>499</v>
      </c>
      <c r="DB1" s="19" t="s">
        <v>500</v>
      </c>
      <c r="DC1" s="26" t="s">
        <v>501</v>
      </c>
      <c r="DD1" s="19" t="s">
        <v>502</v>
      </c>
      <c r="DE1" s="26" t="s">
        <v>503</v>
      </c>
      <c r="DF1" s="19" t="s">
        <v>504</v>
      </c>
      <c r="DG1" s="26" t="s">
        <v>505</v>
      </c>
      <c r="DH1" s="19" t="s">
        <v>506</v>
      </c>
      <c r="DI1" s="26" t="s">
        <v>507</v>
      </c>
      <c r="DJ1" s="19" t="s">
        <v>508</v>
      </c>
      <c r="DK1" s="26" t="s">
        <v>509</v>
      </c>
      <c r="DL1" s="19" t="s">
        <v>543</v>
      </c>
      <c r="DM1" s="26" t="s">
        <v>510</v>
      </c>
      <c r="DN1" s="19" t="s">
        <v>521</v>
      </c>
      <c r="DO1" s="26" t="s">
        <v>544</v>
      </c>
      <c r="DP1" s="19" t="s">
        <v>511</v>
      </c>
      <c r="DQ1" s="26" t="s">
        <v>512</v>
      </c>
      <c r="DR1" s="19" t="s">
        <v>545</v>
      </c>
      <c r="DS1" s="26" t="s">
        <v>513</v>
      </c>
      <c r="DT1" s="19" t="s">
        <v>514</v>
      </c>
      <c r="DU1" s="26" t="s">
        <v>515</v>
      </c>
      <c r="DV1" s="19" t="s">
        <v>516</v>
      </c>
      <c r="DW1" s="26" t="s">
        <v>517</v>
      </c>
      <c r="DX1" s="19" t="s">
        <v>518</v>
      </c>
      <c r="DY1" s="26" t="s">
        <v>519</v>
      </c>
      <c r="DZ1" s="19" t="s">
        <v>520</v>
      </c>
      <c r="EA1" s="26" t="s">
        <v>542</v>
      </c>
      <c r="EB1" s="19" t="s">
        <v>522</v>
      </c>
      <c r="EC1" s="26" t="s">
        <v>523</v>
      </c>
      <c r="ED1" s="19" t="s">
        <v>524</v>
      </c>
      <c r="EE1" s="26" t="s">
        <v>525</v>
      </c>
      <c r="EF1" s="19" t="s">
        <v>526</v>
      </c>
      <c r="EG1" s="26" t="s">
        <v>527</v>
      </c>
      <c r="EH1" s="19" t="s">
        <v>528</v>
      </c>
      <c r="EI1" s="26" t="s">
        <v>529</v>
      </c>
      <c r="EJ1" s="19" t="s">
        <v>530</v>
      </c>
      <c r="EK1" s="26" t="s">
        <v>531</v>
      </c>
      <c r="EL1" s="19" t="s">
        <v>532</v>
      </c>
      <c r="EM1" s="26" t="s">
        <v>533</v>
      </c>
      <c r="EN1" s="19" t="s">
        <v>534</v>
      </c>
      <c r="EO1" s="26" t="s">
        <v>535</v>
      </c>
      <c r="EP1" s="19" t="s">
        <v>536</v>
      </c>
      <c r="EQ1" s="26" t="s">
        <v>537</v>
      </c>
      <c r="ER1" s="19" t="s">
        <v>538</v>
      </c>
      <c r="ES1" s="26" t="s">
        <v>539</v>
      </c>
      <c r="ET1" s="19" t="s">
        <v>540</v>
      </c>
      <c r="EU1" s="26" t="s">
        <v>541</v>
      </c>
    </row>
    <row r="2" spans="2:151" ht="15">
      <c r="B2" s="259" t="s">
        <v>374</v>
      </c>
      <c r="C2" s="259"/>
      <c r="D2" s="259"/>
      <c r="E2" s="259"/>
      <c r="F2" s="259"/>
      <c r="G2" s="259"/>
      <c r="H2" s="259"/>
      <c r="I2" s="259"/>
      <c r="J2" s="259"/>
      <c r="K2" s="259"/>
      <c r="L2" s="259"/>
      <c r="M2" s="259"/>
      <c r="N2" s="259"/>
      <c r="O2" s="259"/>
      <c r="P2" s="259"/>
      <c r="Q2" s="259"/>
      <c r="R2" s="259"/>
      <c r="S2" s="259"/>
      <c r="T2" s="259"/>
      <c r="U2" s="259"/>
      <c r="V2" s="259"/>
      <c r="W2" s="259"/>
      <c r="X2" s="259"/>
      <c r="Y2" s="259"/>
      <c r="Z2" s="259"/>
      <c r="AA2" s="259"/>
      <c r="AB2" s="259"/>
      <c r="AC2" s="259"/>
      <c r="AD2" s="259"/>
      <c r="AE2" s="259"/>
      <c r="AF2" s="259"/>
      <c r="AG2" s="259"/>
      <c r="AH2" s="259"/>
      <c r="AI2" s="259"/>
      <c r="AJ2" s="259"/>
      <c r="AK2" s="259"/>
      <c r="AL2" s="259"/>
      <c r="AM2" s="259"/>
      <c r="AN2" s="259"/>
      <c r="AO2" s="259"/>
      <c r="AP2" s="259"/>
      <c r="AQ2" s="259"/>
      <c r="AR2" s="259"/>
      <c r="AS2" s="259"/>
      <c r="AT2" s="259"/>
      <c r="AU2" s="259"/>
      <c r="AV2" s="259"/>
      <c r="AW2" s="259"/>
      <c r="AX2" s="259"/>
      <c r="AY2" s="259"/>
      <c r="AZ2" s="259"/>
      <c r="BA2" s="259"/>
      <c r="BB2" s="259"/>
      <c r="BC2" s="259"/>
      <c r="BD2" s="259"/>
      <c r="BE2" s="259"/>
      <c r="BF2" s="259"/>
      <c r="BG2" s="259"/>
      <c r="BH2" s="259"/>
      <c r="BI2" s="259"/>
      <c r="BJ2" s="259"/>
      <c r="BK2" s="259"/>
      <c r="BL2" s="259"/>
      <c r="BM2" s="259"/>
      <c r="BN2" s="259"/>
      <c r="BO2" s="259"/>
      <c r="BP2" s="259"/>
      <c r="BQ2" s="259"/>
      <c r="BR2" s="259"/>
      <c r="BS2" s="259"/>
      <c r="BT2" s="259"/>
      <c r="BU2" s="259"/>
      <c r="BV2" s="259"/>
      <c r="BW2" s="259"/>
      <c r="BX2" s="259"/>
      <c r="BY2" s="259"/>
      <c r="BZ2" s="259"/>
      <c r="CA2" s="259"/>
      <c r="CB2" s="259"/>
      <c r="CC2" s="259"/>
      <c r="CD2" s="259"/>
      <c r="CE2" s="259"/>
      <c r="CF2" s="259"/>
      <c r="CG2" s="259"/>
      <c r="CH2" s="259"/>
      <c r="CI2" s="259"/>
      <c r="CJ2" s="259"/>
      <c r="CK2" s="259"/>
      <c r="CL2" s="259"/>
      <c r="CM2" s="259"/>
      <c r="CN2" s="259"/>
      <c r="CO2" s="259"/>
      <c r="CP2" s="259"/>
      <c r="CQ2" s="259"/>
      <c r="CR2" s="259"/>
      <c r="CS2" s="259"/>
      <c r="CT2" s="259"/>
      <c r="CU2" s="259"/>
      <c r="CV2" s="259"/>
      <c r="CW2" s="259"/>
      <c r="CX2" s="259"/>
      <c r="CY2" s="259"/>
      <c r="CZ2" s="259"/>
      <c r="DA2" s="259"/>
      <c r="DB2" s="259"/>
      <c r="DC2" s="259"/>
      <c r="DD2" s="259"/>
      <c r="DE2" s="259"/>
      <c r="DF2" s="259"/>
      <c r="DG2" s="259"/>
      <c r="DH2" s="259"/>
      <c r="DI2" s="259"/>
      <c r="DJ2" s="259"/>
      <c r="DK2" s="259"/>
      <c r="DL2" s="259"/>
      <c r="DM2" s="259"/>
      <c r="DN2" s="259"/>
      <c r="DO2" s="259"/>
      <c r="DP2" s="259"/>
      <c r="DQ2" s="259"/>
      <c r="DR2" s="259"/>
      <c r="DS2" s="259"/>
      <c r="DT2" s="259"/>
      <c r="DU2" s="259"/>
      <c r="DV2" s="259"/>
      <c r="DW2" s="259"/>
      <c r="DX2" s="259"/>
      <c r="DY2" s="259"/>
      <c r="DZ2" s="259"/>
      <c r="EA2" s="259"/>
      <c r="EB2" s="259"/>
      <c r="EC2" s="259"/>
      <c r="ED2" s="259"/>
      <c r="EE2" s="259"/>
      <c r="EF2" s="259"/>
      <c r="EG2" s="259"/>
      <c r="EH2" s="259"/>
      <c r="EI2" s="259"/>
      <c r="EJ2" s="259"/>
      <c r="EK2" s="259"/>
      <c r="EL2" s="259"/>
      <c r="EM2" s="259"/>
      <c r="EN2" s="259"/>
      <c r="EO2" s="259"/>
      <c r="EP2" s="259"/>
      <c r="EQ2" s="259"/>
      <c r="ER2" s="259"/>
      <c r="ES2" s="259"/>
      <c r="ET2" s="259"/>
      <c r="EU2" s="259"/>
    </row>
    <row r="3" spans="2:151" ht="17.25" customHeight="1">
      <c r="B3" s="2"/>
      <c r="C3" s="2"/>
      <c r="D3" s="2"/>
      <c r="E3" s="2"/>
      <c r="F3" s="2"/>
      <c r="G3" s="2"/>
      <c r="H3" s="2"/>
      <c r="I3" s="2"/>
      <c r="J3" s="2"/>
      <c r="K3" s="2"/>
      <c r="L3" s="2"/>
      <c r="M3" s="2"/>
      <c r="N3" s="2"/>
      <c r="O3" s="2"/>
      <c r="P3" s="2"/>
      <c r="Q3" s="2"/>
      <c r="R3" s="2"/>
      <c r="S3" s="2"/>
      <c r="T3" s="2"/>
      <c r="U3" s="2"/>
      <c r="V3" s="2"/>
      <c r="W3" s="2"/>
      <c r="X3" s="2"/>
      <c r="Y3" s="2"/>
      <c r="Z3" s="2"/>
      <c r="AA3" s="2"/>
      <c r="AB3" s="2"/>
      <c r="AC3" s="4"/>
      <c r="AD3" s="4"/>
      <c r="AE3" s="4"/>
      <c r="AF3" s="4"/>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c r="CY3" s="2"/>
      <c r="CZ3" s="2"/>
      <c r="DA3" s="2"/>
      <c r="DB3" s="2"/>
      <c r="DC3" s="2"/>
      <c r="DD3" s="2"/>
      <c r="DE3" s="2"/>
      <c r="DF3" s="2"/>
      <c r="DG3" s="2"/>
      <c r="DH3" s="2"/>
      <c r="DI3" s="2"/>
      <c r="DJ3" s="2"/>
      <c r="DK3" s="2"/>
      <c r="DL3" s="2"/>
      <c r="DM3" s="2"/>
      <c r="DN3" s="2"/>
      <c r="DO3" s="2"/>
      <c r="DP3" s="2"/>
      <c r="DQ3" s="2"/>
      <c r="DR3" s="2"/>
      <c r="DS3" s="2"/>
      <c r="DT3" s="2"/>
      <c r="DU3" s="2"/>
      <c r="DV3" s="2"/>
      <c r="DW3" s="2"/>
      <c r="DX3" s="2"/>
      <c r="DY3" s="2"/>
      <c r="DZ3" s="2"/>
      <c r="EA3" s="2"/>
      <c r="EB3" s="2"/>
      <c r="EC3" s="2"/>
      <c r="ED3" s="2"/>
      <c r="EE3" s="2"/>
      <c r="EF3" s="2"/>
      <c r="EG3" s="2"/>
      <c r="EH3" s="2"/>
      <c r="EI3" s="2"/>
      <c r="EJ3" s="2"/>
      <c r="EK3" s="2"/>
      <c r="EL3" s="2"/>
      <c r="EM3" s="2"/>
      <c r="EN3" s="2"/>
      <c r="EO3" s="2"/>
      <c r="EP3" s="2"/>
      <c r="EQ3" s="2"/>
      <c r="ER3" s="2"/>
      <c r="ES3" s="2"/>
      <c r="ET3" s="2"/>
    </row>
    <row r="4" spans="2:151" s="3" customFormat="1" ht="19.5" customHeight="1">
      <c r="B4" s="259" t="s">
        <v>353</v>
      </c>
      <c r="C4" s="259"/>
      <c r="D4" s="259"/>
      <c r="E4" s="259"/>
      <c r="F4" s="259"/>
      <c r="G4" s="259"/>
      <c r="H4" s="259"/>
      <c r="I4" s="259"/>
      <c r="J4" s="259"/>
      <c r="K4" s="259"/>
      <c r="L4" s="259"/>
      <c r="M4" s="259"/>
      <c r="N4" s="259"/>
      <c r="O4" s="259"/>
      <c r="P4" s="259"/>
      <c r="Q4" s="259"/>
      <c r="R4" s="259"/>
      <c r="S4" s="259"/>
      <c r="T4" s="259"/>
      <c r="U4" s="259"/>
      <c r="V4" s="259"/>
      <c r="W4" s="259"/>
      <c r="X4" s="259"/>
      <c r="Y4" s="259"/>
      <c r="Z4" s="259"/>
      <c r="AA4" s="259"/>
      <c r="AC4" s="259" t="s">
        <v>355</v>
      </c>
      <c r="AD4" s="259"/>
      <c r="AE4" s="259"/>
      <c r="AF4" s="259"/>
      <c r="AH4" s="259" t="s">
        <v>352</v>
      </c>
      <c r="AI4" s="259"/>
      <c r="AJ4" s="259"/>
      <c r="AK4" s="259"/>
      <c r="AL4" s="259"/>
      <c r="AM4" s="259"/>
      <c r="AN4" s="259"/>
      <c r="AO4" s="259"/>
      <c r="AP4" s="259"/>
      <c r="AQ4" s="259"/>
      <c r="AR4" s="259"/>
      <c r="AS4" s="259"/>
      <c r="AT4" s="259"/>
      <c r="AU4" s="259"/>
      <c r="AV4" s="259"/>
      <c r="AW4" s="259"/>
      <c r="AX4" s="259"/>
      <c r="AY4" s="259"/>
      <c r="AZ4" s="259"/>
      <c r="BA4" s="259"/>
      <c r="BB4" s="259"/>
      <c r="BC4" s="259"/>
      <c r="BD4" s="259"/>
      <c r="BE4" s="259"/>
      <c r="BF4" s="259"/>
      <c r="BG4" s="259"/>
      <c r="BJ4" s="263" t="s">
        <v>354</v>
      </c>
      <c r="BK4" s="263"/>
      <c r="BL4" s="263"/>
      <c r="BM4" s="263"/>
      <c r="BN4" s="263"/>
      <c r="BO4" s="263"/>
      <c r="BP4" s="263"/>
      <c r="BQ4" s="263"/>
      <c r="BR4" s="263"/>
      <c r="BS4" s="263"/>
      <c r="BT4" s="263"/>
      <c r="BU4" s="263"/>
      <c r="BV4" s="263"/>
      <c r="BW4" s="263"/>
      <c r="BX4" s="263"/>
      <c r="BY4" s="263"/>
      <c r="BZ4" s="263"/>
      <c r="CA4" s="263"/>
      <c r="CB4" s="263"/>
      <c r="CC4" s="263"/>
      <c r="CD4" s="263"/>
      <c r="CE4" s="263"/>
      <c r="CF4" s="263"/>
      <c r="CG4" s="263"/>
      <c r="CH4" s="263"/>
      <c r="CI4" s="263"/>
      <c r="CJ4" s="263"/>
      <c r="CK4" s="263"/>
      <c r="CL4" s="263"/>
      <c r="CM4" s="263"/>
      <c r="CN4" s="263"/>
      <c r="CO4" s="263"/>
      <c r="CP4" s="263"/>
      <c r="CQ4" s="263"/>
      <c r="CR4" s="263"/>
      <c r="CS4" s="263"/>
      <c r="CT4" s="263"/>
      <c r="CU4" s="263"/>
      <c r="CV4" s="263"/>
      <c r="CW4" s="263"/>
      <c r="CX4" s="263"/>
      <c r="CY4" s="263"/>
      <c r="CZ4" s="263"/>
      <c r="DA4" s="263"/>
      <c r="DB4" s="263"/>
      <c r="DC4" s="263"/>
      <c r="DD4" s="263"/>
      <c r="DE4" s="263"/>
      <c r="DF4" s="263"/>
      <c r="DG4" s="263"/>
      <c r="DH4" s="263"/>
      <c r="DI4" s="263"/>
      <c r="DJ4" s="263"/>
      <c r="DK4" s="263"/>
      <c r="DL4" s="263"/>
      <c r="DM4" s="263"/>
      <c r="DN4" s="263"/>
      <c r="DO4" s="263"/>
      <c r="DP4" s="263"/>
      <c r="DQ4" s="263"/>
      <c r="DR4" s="263"/>
      <c r="DS4" s="263"/>
      <c r="DT4" s="263"/>
      <c r="DU4" s="263"/>
      <c r="DV4" s="263"/>
      <c r="DW4" s="263"/>
      <c r="DX4" s="263"/>
      <c r="DY4" s="263"/>
      <c r="DZ4" s="263"/>
      <c r="EA4" s="263"/>
      <c r="EB4" s="263"/>
      <c r="EC4" s="263"/>
      <c r="ED4" s="263"/>
      <c r="EE4" s="263"/>
      <c r="EF4" s="263"/>
      <c r="EG4" s="263"/>
      <c r="EH4" s="263"/>
      <c r="EI4" s="263"/>
      <c r="EJ4" s="263"/>
      <c r="EK4" s="263"/>
      <c r="EL4" s="263"/>
      <c r="EM4" s="263"/>
      <c r="EN4" s="263"/>
      <c r="EO4" s="263"/>
      <c r="EP4" s="263"/>
      <c r="EQ4" s="263"/>
      <c r="ER4" s="263"/>
      <c r="ES4" s="263"/>
      <c r="ET4" s="263"/>
      <c r="EU4" s="263"/>
    </row>
    <row r="5" spans="2:151" ht="15">
      <c r="B5" s="2" t="s">
        <v>305</v>
      </c>
      <c r="C5" s="2">
        <v>1</v>
      </c>
      <c r="D5" s="2" t="s">
        <v>210</v>
      </c>
      <c r="E5" s="2" t="s">
        <v>211</v>
      </c>
      <c r="F5" s="2">
        <v>3</v>
      </c>
      <c r="G5" s="2" t="s">
        <v>212</v>
      </c>
      <c r="H5" s="2" t="s">
        <v>213</v>
      </c>
      <c r="I5" s="2">
        <v>5</v>
      </c>
      <c r="J5" s="2" t="s">
        <v>214</v>
      </c>
      <c r="K5" s="2" t="s">
        <v>215</v>
      </c>
      <c r="L5" s="2">
        <v>7</v>
      </c>
      <c r="M5" s="2" t="s">
        <v>216</v>
      </c>
      <c r="N5" s="2" t="s">
        <v>217</v>
      </c>
      <c r="O5" s="2" t="s">
        <v>246</v>
      </c>
      <c r="P5" s="2" t="s">
        <v>247</v>
      </c>
      <c r="Q5" s="2" t="s">
        <v>248</v>
      </c>
      <c r="R5" s="2" t="s">
        <v>260</v>
      </c>
      <c r="S5" s="2" t="s">
        <v>261</v>
      </c>
      <c r="T5" s="2" t="s">
        <v>262</v>
      </c>
      <c r="U5" s="2" t="s">
        <v>263</v>
      </c>
      <c r="V5" s="2" t="s">
        <v>264</v>
      </c>
      <c r="W5" s="2" t="s">
        <v>265</v>
      </c>
      <c r="X5" s="2" t="s">
        <v>266</v>
      </c>
      <c r="Y5" s="2" t="s">
        <v>267</v>
      </c>
      <c r="Z5" s="2" t="s">
        <v>268</v>
      </c>
      <c r="AA5" s="2" t="s">
        <v>269</v>
      </c>
      <c r="AC5" s="2" t="s">
        <v>227</v>
      </c>
      <c r="AD5" s="2" t="s">
        <v>234</v>
      </c>
      <c r="AE5" s="2" t="s">
        <v>235</v>
      </c>
      <c r="AF5" s="2" t="s">
        <v>236</v>
      </c>
      <c r="AH5" s="5" t="s">
        <v>228</v>
      </c>
      <c r="AI5" s="5">
        <v>1</v>
      </c>
      <c r="AJ5" s="5" t="s">
        <v>210</v>
      </c>
      <c r="AK5" s="5" t="s">
        <v>211</v>
      </c>
      <c r="AL5" s="5">
        <v>3</v>
      </c>
      <c r="AM5" s="5" t="s">
        <v>212</v>
      </c>
      <c r="AN5" s="5" t="s">
        <v>213</v>
      </c>
      <c r="AO5" s="5">
        <v>5</v>
      </c>
      <c r="AP5" s="5" t="s">
        <v>214</v>
      </c>
      <c r="AQ5" s="5" t="s">
        <v>215</v>
      </c>
      <c r="AR5" s="5">
        <v>7</v>
      </c>
      <c r="AS5" s="5" t="s">
        <v>216</v>
      </c>
      <c r="AT5" s="5" t="s">
        <v>217</v>
      </c>
      <c r="AU5" s="5" t="s">
        <v>246</v>
      </c>
      <c r="AV5" s="5" t="s">
        <v>247</v>
      </c>
      <c r="AW5" s="5" t="s">
        <v>248</v>
      </c>
      <c r="AX5" s="5" t="s">
        <v>260</v>
      </c>
      <c r="AY5" s="5" t="s">
        <v>261</v>
      </c>
      <c r="AZ5" s="5" t="s">
        <v>262</v>
      </c>
      <c r="BA5" s="5" t="s">
        <v>263</v>
      </c>
      <c r="BB5" s="5" t="s">
        <v>264</v>
      </c>
      <c r="BC5" s="5" t="s">
        <v>265</v>
      </c>
      <c r="BD5" s="5" t="s">
        <v>266</v>
      </c>
      <c r="BE5" s="5" t="s">
        <v>267</v>
      </c>
      <c r="BF5" s="5" t="s">
        <v>268</v>
      </c>
      <c r="BG5" s="5" t="s">
        <v>269</v>
      </c>
      <c r="BI5" s="260" t="s">
        <v>227</v>
      </c>
      <c r="BJ5" s="260" t="s">
        <v>307</v>
      </c>
      <c r="BK5" s="260"/>
      <c r="BL5" s="260" t="s">
        <v>308</v>
      </c>
      <c r="BM5" s="260"/>
      <c r="BN5" s="260" t="s">
        <v>309</v>
      </c>
      <c r="BO5" s="261"/>
      <c r="BP5" s="262" t="s">
        <v>310</v>
      </c>
      <c r="BQ5" s="260"/>
      <c r="BR5" s="260" t="s">
        <v>311</v>
      </c>
      <c r="BS5" s="260"/>
      <c r="BT5" s="260" t="s">
        <v>312</v>
      </c>
      <c r="BU5" s="261"/>
      <c r="BV5" s="262" t="s">
        <v>313</v>
      </c>
      <c r="BW5" s="260"/>
      <c r="BX5" s="260" t="s">
        <v>314</v>
      </c>
      <c r="BY5" s="260"/>
      <c r="BZ5" s="260" t="s">
        <v>315</v>
      </c>
      <c r="CA5" s="261"/>
      <c r="CB5" s="262" t="s">
        <v>316</v>
      </c>
      <c r="CC5" s="260"/>
      <c r="CD5" s="11" t="s">
        <v>317</v>
      </c>
      <c r="CE5" s="11"/>
      <c r="CF5" s="260" t="s">
        <v>318</v>
      </c>
      <c r="CG5" s="261"/>
      <c r="CH5" s="262" t="s">
        <v>319</v>
      </c>
      <c r="CI5" s="260"/>
      <c r="CJ5" s="260" t="s">
        <v>320</v>
      </c>
      <c r="CK5" s="260"/>
      <c r="CL5" s="260" t="s">
        <v>321</v>
      </c>
      <c r="CM5" s="261"/>
      <c r="CN5" s="262" t="s">
        <v>322</v>
      </c>
      <c r="CO5" s="260"/>
      <c r="CP5" s="260" t="s">
        <v>323</v>
      </c>
      <c r="CQ5" s="260"/>
      <c r="CR5" s="260" t="s">
        <v>324</v>
      </c>
      <c r="CS5" s="261"/>
      <c r="CT5" s="262" t="s">
        <v>325</v>
      </c>
      <c r="CU5" s="260"/>
      <c r="CV5" s="260" t="s">
        <v>326</v>
      </c>
      <c r="CW5" s="260"/>
      <c r="CX5" s="260" t="s">
        <v>327</v>
      </c>
      <c r="CY5" s="261"/>
      <c r="CZ5" s="11" t="s">
        <v>328</v>
      </c>
      <c r="DA5" s="11"/>
      <c r="DB5" s="260" t="s">
        <v>329</v>
      </c>
      <c r="DC5" s="260"/>
      <c r="DD5" s="260" t="s">
        <v>330</v>
      </c>
      <c r="DE5" s="261"/>
      <c r="DF5" s="11" t="s">
        <v>331</v>
      </c>
      <c r="DG5" s="11"/>
      <c r="DH5" s="260" t="s">
        <v>332</v>
      </c>
      <c r="DI5" s="260"/>
      <c r="DJ5" s="260" t="s">
        <v>333</v>
      </c>
      <c r="DK5" s="261"/>
      <c r="DL5" s="262" t="s">
        <v>334</v>
      </c>
      <c r="DM5" s="260"/>
      <c r="DN5" s="260" t="s">
        <v>335</v>
      </c>
      <c r="DO5" s="260"/>
      <c r="DP5" s="260" t="s">
        <v>336</v>
      </c>
      <c r="DQ5" s="261"/>
      <c r="DR5" s="262" t="s">
        <v>337</v>
      </c>
      <c r="DS5" s="260"/>
      <c r="DT5" s="260" t="s">
        <v>338</v>
      </c>
      <c r="DU5" s="260"/>
      <c r="DV5" s="11" t="s">
        <v>339</v>
      </c>
      <c r="DW5" s="12"/>
      <c r="DX5" s="262" t="s">
        <v>340</v>
      </c>
      <c r="DY5" s="260"/>
      <c r="DZ5" s="260" t="s">
        <v>341</v>
      </c>
      <c r="EA5" s="260"/>
      <c r="EB5" s="260" t="s">
        <v>342</v>
      </c>
      <c r="EC5" s="261"/>
      <c r="ED5" s="11" t="s">
        <v>343</v>
      </c>
      <c r="EE5" s="11"/>
      <c r="EF5" s="260" t="s">
        <v>344</v>
      </c>
      <c r="EG5" s="260"/>
      <c r="EH5" s="260" t="s">
        <v>345</v>
      </c>
      <c r="EI5" s="261"/>
      <c r="EJ5" s="262" t="s">
        <v>346</v>
      </c>
      <c r="EK5" s="260"/>
      <c r="EL5" s="260" t="s">
        <v>347</v>
      </c>
      <c r="EM5" s="260"/>
      <c r="EN5" s="260" t="s">
        <v>348</v>
      </c>
      <c r="EO5" s="261"/>
      <c r="EP5" s="262" t="s">
        <v>349</v>
      </c>
      <c r="EQ5" s="260"/>
      <c r="ER5" s="260" t="s">
        <v>350</v>
      </c>
      <c r="ES5" s="260"/>
      <c r="ET5" s="260" t="s">
        <v>351</v>
      </c>
      <c r="EU5" s="261"/>
    </row>
    <row r="6" spans="2:151" ht="15">
      <c r="B6" s="3">
        <v>0</v>
      </c>
      <c r="C6" s="3">
        <v>0</v>
      </c>
      <c r="D6" s="3">
        <v>0</v>
      </c>
      <c r="E6" s="3">
        <v>0</v>
      </c>
      <c r="F6" s="3">
        <v>0</v>
      </c>
      <c r="G6" s="3">
        <v>0</v>
      </c>
      <c r="H6" s="3">
        <v>0</v>
      </c>
      <c r="I6" s="3">
        <v>0</v>
      </c>
      <c r="J6" s="3">
        <v>0</v>
      </c>
      <c r="K6" s="3">
        <v>0</v>
      </c>
      <c r="L6" s="3">
        <v>0</v>
      </c>
      <c r="M6" s="3">
        <v>0</v>
      </c>
      <c r="N6" s="3">
        <v>0</v>
      </c>
      <c r="O6" s="3">
        <v>0</v>
      </c>
      <c r="P6" s="3">
        <v>0</v>
      </c>
      <c r="Q6" s="3">
        <v>0</v>
      </c>
      <c r="R6" s="3">
        <v>0</v>
      </c>
      <c r="S6" s="3">
        <v>0</v>
      </c>
      <c r="T6" s="3">
        <v>0</v>
      </c>
      <c r="U6" s="3">
        <v>0</v>
      </c>
      <c r="V6" s="3">
        <v>0</v>
      </c>
      <c r="W6" s="3">
        <v>0</v>
      </c>
      <c r="X6" s="3">
        <v>0</v>
      </c>
      <c r="Y6" s="3">
        <v>0</v>
      </c>
      <c r="Z6" s="3">
        <v>0</v>
      </c>
      <c r="AA6" s="3">
        <v>0</v>
      </c>
      <c r="AC6" s="3">
        <v>0</v>
      </c>
      <c r="AD6" s="3">
        <v>0</v>
      </c>
      <c r="AE6" s="3">
        <v>0</v>
      </c>
      <c r="AF6" s="3">
        <v>0</v>
      </c>
      <c r="AH6" s="6">
        <v>0</v>
      </c>
      <c r="AI6" s="6">
        <v>2</v>
      </c>
      <c r="AJ6" s="6">
        <v>2</v>
      </c>
      <c r="AK6" s="6">
        <v>5</v>
      </c>
      <c r="AL6" s="6">
        <v>2</v>
      </c>
      <c r="AM6" s="6">
        <v>4</v>
      </c>
      <c r="AN6" s="6">
        <v>4</v>
      </c>
      <c r="AO6" s="6">
        <v>10</v>
      </c>
      <c r="AP6" s="6">
        <v>11</v>
      </c>
      <c r="AQ6" s="6">
        <v>6</v>
      </c>
      <c r="AR6" s="6">
        <v>1</v>
      </c>
      <c r="AS6" s="6">
        <v>3</v>
      </c>
      <c r="AT6" s="6">
        <v>5</v>
      </c>
      <c r="AU6" s="6">
        <v>4</v>
      </c>
      <c r="AV6" s="6">
        <v>4</v>
      </c>
      <c r="AW6" s="6">
        <v>7</v>
      </c>
      <c r="AX6" s="6">
        <v>5</v>
      </c>
      <c r="AY6" s="6">
        <v>11</v>
      </c>
      <c r="AZ6" s="6">
        <v>3</v>
      </c>
      <c r="BA6" s="6">
        <v>3</v>
      </c>
      <c r="BB6" s="6">
        <v>34</v>
      </c>
      <c r="BC6" s="6">
        <v>24</v>
      </c>
      <c r="BD6" s="6">
        <v>8</v>
      </c>
      <c r="BE6" s="6">
        <v>3</v>
      </c>
      <c r="BF6" s="6">
        <v>13</v>
      </c>
      <c r="BG6" s="6">
        <v>17</v>
      </c>
      <c r="BI6" s="260"/>
      <c r="BJ6" s="8" t="s">
        <v>228</v>
      </c>
      <c r="BK6" s="8" t="s">
        <v>238</v>
      </c>
      <c r="BL6" s="8" t="s">
        <v>228</v>
      </c>
      <c r="BM6" s="8" t="s">
        <v>238</v>
      </c>
      <c r="BN6" s="8" t="s">
        <v>228</v>
      </c>
      <c r="BO6" s="13" t="s">
        <v>238</v>
      </c>
      <c r="BP6" s="14" t="s">
        <v>228</v>
      </c>
      <c r="BQ6" s="8" t="s">
        <v>238</v>
      </c>
      <c r="BR6" s="8" t="s">
        <v>228</v>
      </c>
      <c r="BS6" s="8" t="s">
        <v>238</v>
      </c>
      <c r="BT6" s="8" t="s">
        <v>228</v>
      </c>
      <c r="BU6" s="13" t="s">
        <v>238</v>
      </c>
      <c r="BV6" s="14" t="s">
        <v>228</v>
      </c>
      <c r="BW6" s="8" t="s">
        <v>238</v>
      </c>
      <c r="BX6" s="8" t="s">
        <v>228</v>
      </c>
      <c r="BY6" s="8" t="s">
        <v>238</v>
      </c>
      <c r="BZ6" s="8" t="s">
        <v>228</v>
      </c>
      <c r="CA6" s="13" t="s">
        <v>238</v>
      </c>
      <c r="CB6" s="8" t="s">
        <v>228</v>
      </c>
      <c r="CC6" s="8" t="s">
        <v>238</v>
      </c>
      <c r="CD6" s="8" t="s">
        <v>228</v>
      </c>
      <c r="CE6" s="8" t="s">
        <v>238</v>
      </c>
      <c r="CF6" s="8" t="s">
        <v>228</v>
      </c>
      <c r="CG6" s="8" t="s">
        <v>238</v>
      </c>
      <c r="CH6" s="8" t="s">
        <v>228</v>
      </c>
      <c r="CI6" s="8" t="s">
        <v>238</v>
      </c>
      <c r="CJ6" s="8" t="s">
        <v>228</v>
      </c>
      <c r="CK6" s="8" t="s">
        <v>238</v>
      </c>
      <c r="CL6" s="8" t="s">
        <v>228</v>
      </c>
      <c r="CM6" s="13" t="s">
        <v>238</v>
      </c>
      <c r="CN6" s="8" t="s">
        <v>228</v>
      </c>
      <c r="CO6" s="8" t="s">
        <v>238</v>
      </c>
      <c r="CP6" s="8" t="s">
        <v>228</v>
      </c>
      <c r="CQ6" s="8" t="s">
        <v>238</v>
      </c>
      <c r="CR6" s="8" t="s">
        <v>228</v>
      </c>
      <c r="CS6" s="13" t="s">
        <v>238</v>
      </c>
      <c r="CT6" s="8" t="s">
        <v>228</v>
      </c>
      <c r="CU6" s="8" t="s">
        <v>238</v>
      </c>
      <c r="CV6" s="8" t="s">
        <v>228</v>
      </c>
      <c r="CW6" s="8" t="s">
        <v>238</v>
      </c>
      <c r="CX6" s="8" t="s">
        <v>228</v>
      </c>
      <c r="CY6" s="13" t="s">
        <v>238</v>
      </c>
      <c r="CZ6" s="8" t="s">
        <v>228</v>
      </c>
      <c r="DA6" s="8" t="s">
        <v>238</v>
      </c>
      <c r="DB6" s="8" t="s">
        <v>228</v>
      </c>
      <c r="DC6" s="8" t="s">
        <v>238</v>
      </c>
      <c r="DD6" s="8" t="s">
        <v>228</v>
      </c>
      <c r="DE6" s="13" t="s">
        <v>238</v>
      </c>
      <c r="DF6" s="8" t="s">
        <v>228</v>
      </c>
      <c r="DG6" s="8" t="s">
        <v>238</v>
      </c>
      <c r="DH6" s="8" t="s">
        <v>228</v>
      </c>
      <c r="DI6" s="8" t="s">
        <v>238</v>
      </c>
      <c r="DJ6" s="8" t="s">
        <v>228</v>
      </c>
      <c r="DK6" s="13" t="s">
        <v>238</v>
      </c>
      <c r="DL6" s="8" t="s">
        <v>228</v>
      </c>
      <c r="DM6" s="8" t="s">
        <v>238</v>
      </c>
      <c r="DN6" s="8" t="s">
        <v>228</v>
      </c>
      <c r="DO6" s="8" t="s">
        <v>238</v>
      </c>
      <c r="DP6" s="8" t="s">
        <v>228</v>
      </c>
      <c r="DQ6" s="13" t="s">
        <v>238</v>
      </c>
      <c r="DR6" s="8" t="s">
        <v>228</v>
      </c>
      <c r="DS6" s="8" t="s">
        <v>238</v>
      </c>
      <c r="DT6" s="8" t="s">
        <v>228</v>
      </c>
      <c r="DU6" s="8" t="s">
        <v>238</v>
      </c>
      <c r="DV6" s="8" t="s">
        <v>228</v>
      </c>
      <c r="DW6" s="13" t="s">
        <v>238</v>
      </c>
      <c r="DX6" s="8" t="s">
        <v>228</v>
      </c>
      <c r="DY6" s="8" t="s">
        <v>238</v>
      </c>
      <c r="DZ6" s="8" t="s">
        <v>228</v>
      </c>
      <c r="EA6" s="8" t="s">
        <v>238</v>
      </c>
      <c r="EB6" s="8" t="s">
        <v>228</v>
      </c>
      <c r="EC6" s="13" t="s">
        <v>238</v>
      </c>
      <c r="ED6" s="8" t="s">
        <v>228</v>
      </c>
      <c r="EE6" s="8" t="s">
        <v>238</v>
      </c>
      <c r="EF6" s="8" t="s">
        <v>228</v>
      </c>
      <c r="EG6" s="8" t="s">
        <v>238</v>
      </c>
      <c r="EH6" s="8" t="s">
        <v>228</v>
      </c>
      <c r="EI6" s="13" t="s">
        <v>238</v>
      </c>
      <c r="EJ6" s="14" t="s">
        <v>228</v>
      </c>
      <c r="EK6" s="8" t="s">
        <v>238</v>
      </c>
      <c r="EL6" s="8" t="s">
        <v>228</v>
      </c>
      <c r="EM6" s="8" t="s">
        <v>238</v>
      </c>
      <c r="EN6" s="8" t="s">
        <v>228</v>
      </c>
      <c r="EO6" s="13" t="s">
        <v>238</v>
      </c>
      <c r="EP6" s="8" t="s">
        <v>228</v>
      </c>
      <c r="EQ6" s="8" t="s">
        <v>238</v>
      </c>
      <c r="ER6" s="8" t="s">
        <v>228</v>
      </c>
      <c r="ES6" s="8" t="s">
        <v>238</v>
      </c>
      <c r="ET6" s="8" t="s">
        <v>228</v>
      </c>
      <c r="EU6" s="13" t="s">
        <v>238</v>
      </c>
    </row>
    <row r="7" spans="2:151">
      <c r="B7" s="3">
        <v>1</v>
      </c>
      <c r="C7" s="3">
        <v>7</v>
      </c>
      <c r="D7" s="3">
        <v>6</v>
      </c>
      <c r="E7" s="3">
        <v>5</v>
      </c>
      <c r="F7" s="3">
        <v>6</v>
      </c>
      <c r="G7" s="3">
        <v>7</v>
      </c>
      <c r="H7" s="3">
        <v>6</v>
      </c>
      <c r="I7" s="3">
        <v>12</v>
      </c>
      <c r="J7" s="3">
        <v>20</v>
      </c>
      <c r="K7" s="3">
        <v>10</v>
      </c>
      <c r="L7" s="3">
        <v>4</v>
      </c>
      <c r="M7" s="3">
        <v>7</v>
      </c>
      <c r="N7" s="3">
        <v>8</v>
      </c>
      <c r="O7" s="3">
        <v>6</v>
      </c>
      <c r="P7" s="3">
        <v>8</v>
      </c>
      <c r="Q7" s="3">
        <v>9</v>
      </c>
      <c r="R7" s="3">
        <v>8</v>
      </c>
      <c r="S7" s="3">
        <v>10</v>
      </c>
      <c r="T7" s="3">
        <v>10</v>
      </c>
      <c r="U7" s="3">
        <v>5</v>
      </c>
      <c r="V7" s="3">
        <v>60</v>
      </c>
      <c r="W7" s="3">
        <v>60</v>
      </c>
      <c r="X7" s="3">
        <v>12</v>
      </c>
      <c r="Y7" s="3">
        <v>7</v>
      </c>
      <c r="Z7" s="3">
        <v>9</v>
      </c>
      <c r="AA7" s="3">
        <v>30</v>
      </c>
      <c r="AC7" s="3">
        <v>1</v>
      </c>
      <c r="AD7" s="3">
        <v>0</v>
      </c>
      <c r="AE7" s="3">
        <v>5</v>
      </c>
      <c r="AF7" s="3">
        <v>12</v>
      </c>
      <c r="AH7" s="6">
        <v>0</v>
      </c>
      <c r="AI7" s="6">
        <v>2</v>
      </c>
      <c r="AJ7" s="6">
        <v>2</v>
      </c>
      <c r="AK7" s="6">
        <v>5</v>
      </c>
      <c r="AL7" s="6">
        <v>2</v>
      </c>
      <c r="AM7" s="6">
        <v>4</v>
      </c>
      <c r="AN7" s="6">
        <v>4</v>
      </c>
      <c r="AO7" s="6">
        <v>10</v>
      </c>
      <c r="AP7" s="6">
        <v>11</v>
      </c>
      <c r="AQ7" s="6">
        <v>6</v>
      </c>
      <c r="AR7" s="6">
        <v>1</v>
      </c>
      <c r="AS7" s="6">
        <v>3</v>
      </c>
      <c r="AT7" s="6">
        <v>5</v>
      </c>
      <c r="AU7" s="6">
        <v>4</v>
      </c>
      <c r="AV7" s="6">
        <v>4</v>
      </c>
      <c r="AW7" s="6">
        <v>7</v>
      </c>
      <c r="AX7" s="6">
        <v>5</v>
      </c>
      <c r="AY7" s="6">
        <v>11</v>
      </c>
      <c r="AZ7" s="6">
        <v>3</v>
      </c>
      <c r="BA7" s="6">
        <v>3</v>
      </c>
      <c r="BB7" s="6">
        <v>34</v>
      </c>
      <c r="BC7" s="6">
        <v>24</v>
      </c>
      <c r="BD7" s="6">
        <v>8</v>
      </c>
      <c r="BE7" s="6">
        <v>3</v>
      </c>
      <c r="BF7" s="6">
        <v>13</v>
      </c>
      <c r="BG7" s="6">
        <v>17</v>
      </c>
      <c r="BI7" s="6">
        <v>0</v>
      </c>
      <c r="BJ7" s="6">
        <v>0</v>
      </c>
      <c r="BK7" s="6">
        <v>9</v>
      </c>
      <c r="BL7" s="6">
        <v>0</v>
      </c>
      <c r="BM7" s="6">
        <v>3</v>
      </c>
      <c r="BN7" s="6">
        <v>0</v>
      </c>
      <c r="BO7" s="20">
        <v>13</v>
      </c>
      <c r="BP7" s="21">
        <v>0</v>
      </c>
      <c r="BQ7" s="6">
        <v>4</v>
      </c>
      <c r="BR7" s="6">
        <v>0</v>
      </c>
      <c r="BS7" s="6">
        <v>8</v>
      </c>
      <c r="BT7" s="6">
        <v>0</v>
      </c>
      <c r="BU7" s="22">
        <v>12</v>
      </c>
      <c r="BV7" s="21">
        <v>0</v>
      </c>
      <c r="BW7" s="6">
        <v>6</v>
      </c>
      <c r="BX7" s="6">
        <v>0</v>
      </c>
      <c r="BY7" s="6">
        <v>24</v>
      </c>
      <c r="BZ7" s="6">
        <v>0</v>
      </c>
      <c r="CA7" s="22">
        <v>21</v>
      </c>
      <c r="CB7" s="6">
        <v>0</v>
      </c>
      <c r="CC7" s="6">
        <v>6</v>
      </c>
      <c r="CD7" s="6">
        <v>0</v>
      </c>
      <c r="CE7" s="6">
        <v>7</v>
      </c>
      <c r="CF7" s="6">
        <v>0</v>
      </c>
      <c r="CG7" s="22">
        <v>10</v>
      </c>
      <c r="CH7" s="21">
        <v>0</v>
      </c>
      <c r="CI7" s="6">
        <v>31</v>
      </c>
      <c r="CJ7" s="6">
        <v>0</v>
      </c>
      <c r="CK7" s="6">
        <v>7</v>
      </c>
      <c r="CL7" s="6">
        <v>0</v>
      </c>
      <c r="CM7" s="22">
        <v>5</v>
      </c>
      <c r="CN7" s="6">
        <v>0</v>
      </c>
      <c r="CO7" s="6">
        <v>11</v>
      </c>
      <c r="CP7" s="6">
        <v>0</v>
      </c>
      <c r="CQ7" s="6">
        <v>7</v>
      </c>
      <c r="CR7" s="6">
        <v>0</v>
      </c>
      <c r="CS7" s="22">
        <v>7</v>
      </c>
      <c r="CT7" s="6">
        <v>0</v>
      </c>
      <c r="CU7" s="6">
        <v>26</v>
      </c>
      <c r="CV7" s="6">
        <v>0</v>
      </c>
      <c r="CW7" s="6">
        <v>6</v>
      </c>
      <c r="CX7" s="6">
        <v>0</v>
      </c>
      <c r="CY7" s="22">
        <v>26</v>
      </c>
      <c r="CZ7" s="6">
        <v>0</v>
      </c>
      <c r="DA7" s="6">
        <v>21</v>
      </c>
      <c r="DB7" s="6">
        <v>0</v>
      </c>
      <c r="DC7" s="6">
        <v>16</v>
      </c>
      <c r="DD7" s="6">
        <v>0</v>
      </c>
      <c r="DE7" s="22">
        <v>27</v>
      </c>
      <c r="DF7" s="6">
        <v>0</v>
      </c>
      <c r="DG7" s="6">
        <v>11</v>
      </c>
      <c r="DH7" s="6">
        <v>0</v>
      </c>
      <c r="DI7" s="6">
        <v>22</v>
      </c>
      <c r="DJ7" s="6">
        <v>0</v>
      </c>
      <c r="DK7" s="22">
        <v>25</v>
      </c>
      <c r="DL7" s="6">
        <v>0</v>
      </c>
      <c r="DM7" s="6">
        <v>1</v>
      </c>
      <c r="DN7" s="6">
        <v>0</v>
      </c>
      <c r="DO7" s="6">
        <v>2</v>
      </c>
      <c r="DP7" s="6">
        <v>0</v>
      </c>
      <c r="DQ7" s="22">
        <v>1</v>
      </c>
      <c r="DR7" s="6">
        <v>0</v>
      </c>
      <c r="DS7" s="6">
        <v>13</v>
      </c>
      <c r="DT7" s="6">
        <v>0</v>
      </c>
      <c r="DU7" s="6">
        <v>6</v>
      </c>
      <c r="DV7" s="6">
        <v>0</v>
      </c>
      <c r="DW7" s="22">
        <v>15</v>
      </c>
      <c r="DX7" s="6">
        <v>0</v>
      </c>
      <c r="DY7" s="6">
        <v>9</v>
      </c>
      <c r="DZ7" s="6">
        <v>0</v>
      </c>
      <c r="EA7" s="6">
        <v>13</v>
      </c>
      <c r="EB7" s="6">
        <v>0</v>
      </c>
      <c r="EC7" s="22">
        <v>7</v>
      </c>
      <c r="ED7" s="6">
        <v>0</v>
      </c>
      <c r="EE7" s="6">
        <v>7</v>
      </c>
      <c r="EF7" s="6">
        <v>0</v>
      </c>
      <c r="EG7" s="6">
        <v>12</v>
      </c>
      <c r="EH7" s="6">
        <v>0</v>
      </c>
      <c r="EI7" s="22">
        <v>17</v>
      </c>
      <c r="EJ7" s="21">
        <v>0</v>
      </c>
      <c r="EK7" s="6">
        <v>20</v>
      </c>
      <c r="EL7" s="6">
        <v>0</v>
      </c>
      <c r="EM7" s="6">
        <v>10</v>
      </c>
      <c r="EN7" s="6">
        <v>0</v>
      </c>
      <c r="EO7" s="22">
        <v>16</v>
      </c>
      <c r="EP7" s="6">
        <v>0</v>
      </c>
      <c r="EQ7" s="6">
        <v>12</v>
      </c>
      <c r="ER7" s="6">
        <v>0</v>
      </c>
      <c r="ES7" s="6">
        <v>18</v>
      </c>
      <c r="ET7" s="6">
        <v>0</v>
      </c>
      <c r="EU7" s="20">
        <v>20</v>
      </c>
    </row>
    <row r="8" spans="2:151">
      <c r="B8" s="3">
        <v>2</v>
      </c>
      <c r="C8" s="3">
        <v>13</v>
      </c>
      <c r="D8" s="3">
        <v>12</v>
      </c>
      <c r="E8" s="3">
        <v>10</v>
      </c>
      <c r="F8" s="3">
        <v>12</v>
      </c>
      <c r="G8" s="3">
        <v>13</v>
      </c>
      <c r="H8" s="3">
        <v>12</v>
      </c>
      <c r="I8" s="3">
        <v>24</v>
      </c>
      <c r="J8" s="3">
        <v>40</v>
      </c>
      <c r="K8" s="3">
        <v>20</v>
      </c>
      <c r="L8" s="3">
        <v>8</v>
      </c>
      <c r="M8" s="3">
        <v>13</v>
      </c>
      <c r="N8" s="3">
        <v>15</v>
      </c>
      <c r="O8" s="3">
        <v>12</v>
      </c>
      <c r="P8" s="3">
        <v>15</v>
      </c>
      <c r="Q8" s="3">
        <v>17</v>
      </c>
      <c r="R8" s="3">
        <v>15</v>
      </c>
      <c r="S8" s="3">
        <v>20</v>
      </c>
      <c r="T8" s="3">
        <v>20</v>
      </c>
      <c r="U8" s="3">
        <v>10</v>
      </c>
      <c r="V8" s="3">
        <v>68</v>
      </c>
      <c r="W8" s="3">
        <v>62</v>
      </c>
      <c r="X8" s="3">
        <v>24</v>
      </c>
      <c r="Y8" s="3">
        <v>13</v>
      </c>
      <c r="Z8" s="3">
        <v>17</v>
      </c>
      <c r="AA8" s="3">
        <v>60</v>
      </c>
      <c r="AC8" s="3">
        <v>2</v>
      </c>
      <c r="AD8" s="3">
        <v>0</v>
      </c>
      <c r="AE8" s="3">
        <v>10</v>
      </c>
      <c r="AF8" s="3">
        <v>23</v>
      </c>
      <c r="AH8" s="6">
        <v>0</v>
      </c>
      <c r="AI8" s="6">
        <v>2</v>
      </c>
      <c r="AJ8" s="6">
        <v>2</v>
      </c>
      <c r="AK8" s="6">
        <v>5</v>
      </c>
      <c r="AL8" s="6">
        <v>2</v>
      </c>
      <c r="AM8" s="6">
        <v>4</v>
      </c>
      <c r="AN8" s="6">
        <v>4</v>
      </c>
      <c r="AO8" s="6">
        <v>10</v>
      </c>
      <c r="AP8" s="6">
        <v>11</v>
      </c>
      <c r="AQ8" s="6">
        <v>6</v>
      </c>
      <c r="AR8" s="6">
        <v>1</v>
      </c>
      <c r="AS8" s="6">
        <v>3</v>
      </c>
      <c r="AT8" s="6">
        <v>5</v>
      </c>
      <c r="AU8" s="6">
        <v>4</v>
      </c>
      <c r="AV8" s="6">
        <v>4</v>
      </c>
      <c r="AW8" s="6">
        <v>7</v>
      </c>
      <c r="AX8" s="6">
        <v>5</v>
      </c>
      <c r="AY8" s="6">
        <v>11</v>
      </c>
      <c r="AZ8" s="6">
        <v>3</v>
      </c>
      <c r="BA8" s="6">
        <v>3</v>
      </c>
      <c r="BB8" s="6">
        <v>34</v>
      </c>
      <c r="BC8" s="6">
        <v>24</v>
      </c>
      <c r="BD8" s="6">
        <v>8</v>
      </c>
      <c r="BE8" s="6">
        <v>3</v>
      </c>
      <c r="BF8" s="6">
        <v>13</v>
      </c>
      <c r="BG8" s="6">
        <v>17</v>
      </c>
      <c r="BI8" s="6">
        <v>1</v>
      </c>
      <c r="BJ8" s="6">
        <v>20</v>
      </c>
      <c r="BK8" s="6">
        <v>22</v>
      </c>
      <c r="BL8" s="6">
        <v>15</v>
      </c>
      <c r="BM8" s="6">
        <v>10</v>
      </c>
      <c r="BN8" s="6">
        <v>20</v>
      </c>
      <c r="BO8" s="20">
        <v>27</v>
      </c>
      <c r="BP8" s="21">
        <v>15</v>
      </c>
      <c r="BQ8" s="6">
        <v>11</v>
      </c>
      <c r="BR8" s="6">
        <v>15</v>
      </c>
      <c r="BS8" s="6">
        <v>20</v>
      </c>
      <c r="BT8" s="6">
        <v>20</v>
      </c>
      <c r="BU8" s="22">
        <v>25</v>
      </c>
      <c r="BV8" s="21">
        <v>10</v>
      </c>
      <c r="BW8" s="6">
        <v>12</v>
      </c>
      <c r="BX8" s="6">
        <v>30</v>
      </c>
      <c r="BY8" s="6">
        <v>41</v>
      </c>
      <c r="BZ8" s="6">
        <v>20</v>
      </c>
      <c r="CA8" s="22">
        <v>35</v>
      </c>
      <c r="CB8" s="6">
        <v>12</v>
      </c>
      <c r="CC8" s="6">
        <v>14</v>
      </c>
      <c r="CD8" s="6">
        <v>20</v>
      </c>
      <c r="CE8" s="6">
        <v>21</v>
      </c>
      <c r="CF8" s="6">
        <v>15</v>
      </c>
      <c r="CG8" s="22">
        <v>22</v>
      </c>
      <c r="CH8" s="21">
        <v>60</v>
      </c>
      <c r="CI8" s="6">
        <v>54</v>
      </c>
      <c r="CJ8" s="6">
        <v>15</v>
      </c>
      <c r="CK8" s="6">
        <v>15</v>
      </c>
      <c r="CL8" s="6">
        <v>12</v>
      </c>
      <c r="CM8" s="22">
        <v>15</v>
      </c>
      <c r="CN8" s="6">
        <v>20</v>
      </c>
      <c r="CO8" s="6">
        <v>27</v>
      </c>
      <c r="CP8" s="6">
        <v>20</v>
      </c>
      <c r="CQ8" s="6">
        <v>22</v>
      </c>
      <c r="CR8" s="6">
        <v>15</v>
      </c>
      <c r="CS8" s="22">
        <v>17</v>
      </c>
      <c r="CT8" s="6">
        <v>60</v>
      </c>
      <c r="CU8" s="6">
        <v>47</v>
      </c>
      <c r="CV8" s="6">
        <v>15</v>
      </c>
      <c r="CW8" s="6">
        <v>18</v>
      </c>
      <c r="CX8" s="6">
        <v>60</v>
      </c>
      <c r="CY8" s="22">
        <v>50</v>
      </c>
      <c r="CZ8" s="6">
        <v>60</v>
      </c>
      <c r="DA8" s="6">
        <v>47</v>
      </c>
      <c r="DB8" s="6">
        <v>30</v>
      </c>
      <c r="DC8" s="6">
        <v>37</v>
      </c>
      <c r="DD8" s="6">
        <v>60</v>
      </c>
      <c r="DE8" s="22">
        <v>48</v>
      </c>
      <c r="DF8" s="6">
        <v>20</v>
      </c>
      <c r="DG8" s="6">
        <v>26</v>
      </c>
      <c r="DH8" s="6">
        <v>60</v>
      </c>
      <c r="DI8" s="6">
        <v>43</v>
      </c>
      <c r="DJ8" s="6">
        <v>60</v>
      </c>
      <c r="DK8" s="22">
        <v>47</v>
      </c>
      <c r="DL8" s="6">
        <v>12</v>
      </c>
      <c r="DM8" s="6">
        <v>6</v>
      </c>
      <c r="DN8" s="6">
        <v>9</v>
      </c>
      <c r="DO8" s="6">
        <v>7</v>
      </c>
      <c r="DP8" s="6">
        <v>9</v>
      </c>
      <c r="DQ8" s="22">
        <v>1</v>
      </c>
      <c r="DR8" s="6">
        <v>20</v>
      </c>
      <c r="DS8" s="6">
        <v>28</v>
      </c>
      <c r="DT8" s="6">
        <v>15</v>
      </c>
      <c r="DU8" s="6">
        <v>15</v>
      </c>
      <c r="DV8" s="6">
        <v>20</v>
      </c>
      <c r="DW8" s="22">
        <v>32</v>
      </c>
      <c r="DX8" s="6">
        <v>15</v>
      </c>
      <c r="DY8" s="6">
        <v>18</v>
      </c>
      <c r="DZ8" s="6">
        <v>20</v>
      </c>
      <c r="EA8" s="6">
        <v>25</v>
      </c>
      <c r="EB8" s="6">
        <v>12</v>
      </c>
      <c r="EC8" s="22">
        <v>17</v>
      </c>
      <c r="ED8" s="6">
        <v>15</v>
      </c>
      <c r="EE8" s="6">
        <v>16</v>
      </c>
      <c r="EF8" s="6">
        <v>20</v>
      </c>
      <c r="EG8" s="6">
        <v>27</v>
      </c>
      <c r="EH8" s="6">
        <v>30</v>
      </c>
      <c r="EI8" s="22">
        <v>32</v>
      </c>
      <c r="EJ8" s="21">
        <v>20</v>
      </c>
      <c r="EK8" s="6">
        <v>35</v>
      </c>
      <c r="EL8" s="6">
        <v>20</v>
      </c>
      <c r="EM8" s="6">
        <v>24</v>
      </c>
      <c r="EN8" s="6">
        <v>20</v>
      </c>
      <c r="EO8" s="22">
        <v>31</v>
      </c>
      <c r="EP8" s="6">
        <v>20</v>
      </c>
      <c r="EQ8" s="6">
        <v>28</v>
      </c>
      <c r="ER8" s="6">
        <v>30</v>
      </c>
      <c r="ES8" s="6">
        <v>32</v>
      </c>
      <c r="ET8" s="6">
        <v>30</v>
      </c>
      <c r="EU8" s="20">
        <v>36</v>
      </c>
    </row>
    <row r="9" spans="2:151">
      <c r="B9" s="3">
        <v>3</v>
      </c>
      <c r="C9" s="3">
        <v>20</v>
      </c>
      <c r="D9" s="3">
        <v>18</v>
      </c>
      <c r="E9" s="3">
        <v>15</v>
      </c>
      <c r="F9" s="3">
        <v>18</v>
      </c>
      <c r="G9" s="3">
        <v>20</v>
      </c>
      <c r="H9" s="3">
        <v>18</v>
      </c>
      <c r="I9" s="3">
        <v>36</v>
      </c>
      <c r="J9" s="3">
        <v>60</v>
      </c>
      <c r="K9" s="3">
        <v>30</v>
      </c>
      <c r="L9" s="3">
        <v>11</v>
      </c>
      <c r="M9" s="3">
        <v>20</v>
      </c>
      <c r="N9" s="3">
        <v>23</v>
      </c>
      <c r="O9" s="3">
        <v>18</v>
      </c>
      <c r="P9" s="3">
        <v>23</v>
      </c>
      <c r="Q9" s="3">
        <v>26</v>
      </c>
      <c r="R9" s="3">
        <v>23</v>
      </c>
      <c r="S9" s="3">
        <v>30</v>
      </c>
      <c r="T9" s="3">
        <v>30</v>
      </c>
      <c r="U9" s="3">
        <v>15</v>
      </c>
      <c r="V9" s="3">
        <v>75</v>
      </c>
      <c r="W9" s="3">
        <v>64</v>
      </c>
      <c r="X9" s="3">
        <v>36</v>
      </c>
      <c r="Y9" s="3">
        <v>20</v>
      </c>
      <c r="Z9" s="3">
        <v>26</v>
      </c>
      <c r="AA9" s="3">
        <v>62</v>
      </c>
      <c r="AC9" s="3">
        <v>3</v>
      </c>
      <c r="AD9" s="3">
        <v>0</v>
      </c>
      <c r="AE9" s="3">
        <v>15</v>
      </c>
      <c r="AF9" s="3">
        <v>35</v>
      </c>
      <c r="AH9" s="6">
        <v>0</v>
      </c>
      <c r="AI9" s="6">
        <v>2</v>
      </c>
      <c r="AJ9" s="6">
        <v>2</v>
      </c>
      <c r="AK9" s="6">
        <v>5</v>
      </c>
      <c r="AL9" s="6">
        <v>2</v>
      </c>
      <c r="AM9" s="6">
        <v>4</v>
      </c>
      <c r="AN9" s="6">
        <v>4</v>
      </c>
      <c r="AO9" s="6">
        <v>10</v>
      </c>
      <c r="AP9" s="6">
        <v>11</v>
      </c>
      <c r="AQ9" s="6">
        <v>6</v>
      </c>
      <c r="AR9" s="6">
        <v>1</v>
      </c>
      <c r="AS9" s="6">
        <v>3</v>
      </c>
      <c r="AT9" s="6">
        <v>5</v>
      </c>
      <c r="AU9" s="6">
        <v>4</v>
      </c>
      <c r="AV9" s="6">
        <v>4</v>
      </c>
      <c r="AW9" s="6">
        <v>7</v>
      </c>
      <c r="AX9" s="6">
        <v>5</v>
      </c>
      <c r="AY9" s="6">
        <v>11</v>
      </c>
      <c r="AZ9" s="6">
        <v>3</v>
      </c>
      <c r="BA9" s="6">
        <v>3</v>
      </c>
      <c r="BB9" s="6">
        <v>34</v>
      </c>
      <c r="BC9" s="6">
        <v>24</v>
      </c>
      <c r="BD9" s="6">
        <v>8</v>
      </c>
      <c r="BE9" s="6">
        <v>3</v>
      </c>
      <c r="BF9" s="6">
        <v>13</v>
      </c>
      <c r="BG9" s="6">
        <v>17</v>
      </c>
      <c r="BI9" s="6">
        <v>2</v>
      </c>
      <c r="BJ9" s="6">
        <v>40</v>
      </c>
      <c r="BK9" s="6">
        <v>38</v>
      </c>
      <c r="BL9" s="6">
        <v>30</v>
      </c>
      <c r="BM9" s="6">
        <v>20</v>
      </c>
      <c r="BN9" s="6">
        <v>40</v>
      </c>
      <c r="BO9" s="20">
        <v>40</v>
      </c>
      <c r="BP9" s="21">
        <v>30</v>
      </c>
      <c r="BQ9" s="6">
        <v>24</v>
      </c>
      <c r="BR9" s="6">
        <v>30</v>
      </c>
      <c r="BS9" s="6">
        <v>33</v>
      </c>
      <c r="BT9" s="6">
        <v>40</v>
      </c>
      <c r="BU9" s="22">
        <v>40</v>
      </c>
      <c r="BV9" s="21">
        <v>20</v>
      </c>
      <c r="BW9" s="6">
        <v>20</v>
      </c>
      <c r="BX9" s="6">
        <v>60</v>
      </c>
      <c r="BY9" s="6">
        <v>54</v>
      </c>
      <c r="BZ9" s="6">
        <v>40</v>
      </c>
      <c r="CA9" s="22">
        <v>45</v>
      </c>
      <c r="CB9" s="6">
        <v>24</v>
      </c>
      <c r="CC9" s="6">
        <v>23</v>
      </c>
      <c r="CD9" s="6">
        <v>40</v>
      </c>
      <c r="CE9" s="6">
        <v>41</v>
      </c>
      <c r="CF9" s="6">
        <v>30</v>
      </c>
      <c r="CG9" s="22">
        <v>35</v>
      </c>
      <c r="CH9" s="21">
        <v>68</v>
      </c>
      <c r="CI9" s="6">
        <v>70</v>
      </c>
      <c r="CJ9" s="6">
        <v>30</v>
      </c>
      <c r="CK9" s="6">
        <v>25</v>
      </c>
      <c r="CL9" s="6">
        <v>24</v>
      </c>
      <c r="CM9" s="22">
        <v>25</v>
      </c>
      <c r="CN9" s="6">
        <v>40</v>
      </c>
      <c r="CO9" s="6">
        <v>41</v>
      </c>
      <c r="CP9" s="6">
        <v>40</v>
      </c>
      <c r="CQ9" s="6">
        <v>36</v>
      </c>
      <c r="CR9" s="6">
        <v>30</v>
      </c>
      <c r="CS9" s="22">
        <v>29</v>
      </c>
      <c r="CT9" s="6">
        <v>65</v>
      </c>
      <c r="CU9" s="6">
        <v>64</v>
      </c>
      <c r="CV9" s="6">
        <v>30</v>
      </c>
      <c r="CW9" s="6">
        <v>31</v>
      </c>
      <c r="CX9" s="6">
        <v>65</v>
      </c>
      <c r="CY9" s="22">
        <v>69</v>
      </c>
      <c r="CZ9" s="6">
        <v>65</v>
      </c>
      <c r="DA9" s="6">
        <v>65</v>
      </c>
      <c r="DB9" s="6">
        <v>60</v>
      </c>
      <c r="DC9" s="6">
        <v>60</v>
      </c>
      <c r="DD9" s="6">
        <v>64</v>
      </c>
      <c r="DE9" s="22">
        <v>71</v>
      </c>
      <c r="DF9" s="6">
        <v>40</v>
      </c>
      <c r="DG9" s="6">
        <v>42</v>
      </c>
      <c r="DH9" s="6">
        <v>64</v>
      </c>
      <c r="DI9" s="6">
        <v>63</v>
      </c>
      <c r="DJ9" s="6">
        <v>64</v>
      </c>
      <c r="DK9" s="22">
        <v>60</v>
      </c>
      <c r="DL9" s="6">
        <v>24</v>
      </c>
      <c r="DM9" s="6">
        <v>16</v>
      </c>
      <c r="DN9" s="6">
        <v>17</v>
      </c>
      <c r="DO9" s="6">
        <v>14</v>
      </c>
      <c r="DP9" s="6">
        <v>17</v>
      </c>
      <c r="DQ9" s="22">
        <v>3</v>
      </c>
      <c r="DR9" s="6">
        <v>40</v>
      </c>
      <c r="DS9" s="6">
        <v>43</v>
      </c>
      <c r="DT9" s="6">
        <v>30</v>
      </c>
      <c r="DU9" s="6">
        <v>24</v>
      </c>
      <c r="DV9" s="6">
        <v>40</v>
      </c>
      <c r="DW9" s="22">
        <v>44</v>
      </c>
      <c r="DX9" s="6">
        <v>30</v>
      </c>
      <c r="DY9" s="6">
        <v>32</v>
      </c>
      <c r="DZ9" s="6">
        <v>40</v>
      </c>
      <c r="EA9" s="6">
        <v>37</v>
      </c>
      <c r="EB9" s="6">
        <v>24</v>
      </c>
      <c r="EC9" s="22">
        <v>23</v>
      </c>
      <c r="ED9" s="6">
        <v>30</v>
      </c>
      <c r="EE9" s="6">
        <v>26</v>
      </c>
      <c r="EF9" s="6">
        <v>40</v>
      </c>
      <c r="EG9" s="6">
        <v>38</v>
      </c>
      <c r="EH9" s="6">
        <v>60</v>
      </c>
      <c r="EI9" s="22">
        <v>46</v>
      </c>
      <c r="EJ9" s="21">
        <v>40</v>
      </c>
      <c r="EK9" s="6">
        <v>45</v>
      </c>
      <c r="EL9" s="6">
        <v>40</v>
      </c>
      <c r="EM9" s="6">
        <v>38</v>
      </c>
      <c r="EN9" s="6">
        <v>40</v>
      </c>
      <c r="EO9" s="22">
        <v>44</v>
      </c>
      <c r="EP9" s="6">
        <v>40</v>
      </c>
      <c r="EQ9" s="6">
        <v>41</v>
      </c>
      <c r="ER9" s="6">
        <v>60</v>
      </c>
      <c r="ES9" s="6">
        <v>50</v>
      </c>
      <c r="ET9" s="6">
        <v>60</v>
      </c>
      <c r="EU9" s="20">
        <v>53</v>
      </c>
    </row>
    <row r="10" spans="2:151">
      <c r="B10" s="3">
        <v>4</v>
      </c>
      <c r="C10" s="3">
        <v>27</v>
      </c>
      <c r="D10" s="3">
        <v>24</v>
      </c>
      <c r="E10" s="3">
        <v>20</v>
      </c>
      <c r="F10" s="3">
        <v>24</v>
      </c>
      <c r="G10" s="3">
        <v>27</v>
      </c>
      <c r="H10" s="3">
        <v>24</v>
      </c>
      <c r="I10" s="3">
        <v>48</v>
      </c>
      <c r="J10" s="3">
        <v>62</v>
      </c>
      <c r="K10" s="3">
        <v>40</v>
      </c>
      <c r="L10" s="3">
        <v>15</v>
      </c>
      <c r="M10" s="3">
        <v>27</v>
      </c>
      <c r="N10" s="3">
        <v>30</v>
      </c>
      <c r="O10" s="3">
        <v>24</v>
      </c>
      <c r="P10" s="3">
        <v>30</v>
      </c>
      <c r="Q10" s="3">
        <v>34</v>
      </c>
      <c r="R10" s="3">
        <v>30</v>
      </c>
      <c r="S10" s="3">
        <v>40</v>
      </c>
      <c r="T10" s="3">
        <v>40</v>
      </c>
      <c r="U10" s="3">
        <v>20</v>
      </c>
      <c r="V10" s="3">
        <v>85</v>
      </c>
      <c r="W10" s="3">
        <v>66</v>
      </c>
      <c r="X10" s="3">
        <v>48</v>
      </c>
      <c r="Y10" s="3">
        <v>27</v>
      </c>
      <c r="Z10" s="3">
        <v>34</v>
      </c>
      <c r="AA10" s="3">
        <v>64</v>
      </c>
      <c r="AC10" s="3">
        <v>4</v>
      </c>
      <c r="AD10" s="3">
        <v>0</v>
      </c>
      <c r="AE10" s="3">
        <v>20</v>
      </c>
      <c r="AF10" s="3">
        <v>37</v>
      </c>
      <c r="AH10" s="6">
        <v>0</v>
      </c>
      <c r="AI10" s="6">
        <v>2</v>
      </c>
      <c r="AJ10" s="6">
        <v>2</v>
      </c>
      <c r="AK10" s="6">
        <v>5</v>
      </c>
      <c r="AL10" s="6">
        <v>2</v>
      </c>
      <c r="AM10" s="6">
        <v>4</v>
      </c>
      <c r="AN10" s="6">
        <v>4</v>
      </c>
      <c r="AO10" s="6">
        <v>10</v>
      </c>
      <c r="AP10" s="6">
        <v>11</v>
      </c>
      <c r="AQ10" s="6">
        <v>6</v>
      </c>
      <c r="AR10" s="6">
        <v>1</v>
      </c>
      <c r="AS10" s="6">
        <v>3</v>
      </c>
      <c r="AT10" s="6">
        <v>5</v>
      </c>
      <c r="AU10" s="6">
        <v>4</v>
      </c>
      <c r="AV10" s="6">
        <v>4</v>
      </c>
      <c r="AW10" s="6">
        <v>7</v>
      </c>
      <c r="AX10" s="6">
        <v>5</v>
      </c>
      <c r="AY10" s="6">
        <v>11</v>
      </c>
      <c r="AZ10" s="6">
        <v>3</v>
      </c>
      <c r="BA10" s="6">
        <v>3</v>
      </c>
      <c r="BB10" s="6">
        <v>34</v>
      </c>
      <c r="BC10" s="6">
        <v>24</v>
      </c>
      <c r="BD10" s="6">
        <v>8</v>
      </c>
      <c r="BE10" s="6">
        <v>3</v>
      </c>
      <c r="BF10" s="6">
        <v>13</v>
      </c>
      <c r="BG10" s="6">
        <v>17</v>
      </c>
      <c r="BI10" s="6">
        <v>3</v>
      </c>
      <c r="BJ10" s="6">
        <v>60</v>
      </c>
      <c r="BK10" s="6">
        <v>55</v>
      </c>
      <c r="BL10" s="6">
        <v>45</v>
      </c>
      <c r="BM10" s="6">
        <v>35</v>
      </c>
      <c r="BN10" s="6">
        <v>60</v>
      </c>
      <c r="BO10" s="20">
        <v>51</v>
      </c>
      <c r="BP10" s="21">
        <v>45</v>
      </c>
      <c r="BQ10" s="6">
        <v>37</v>
      </c>
      <c r="BR10" s="6">
        <v>45</v>
      </c>
      <c r="BS10" s="6">
        <v>45</v>
      </c>
      <c r="BT10" s="6">
        <v>60</v>
      </c>
      <c r="BU10" s="22">
        <v>53</v>
      </c>
      <c r="BV10" s="21">
        <v>30</v>
      </c>
      <c r="BW10" s="6">
        <v>28</v>
      </c>
      <c r="BX10" s="6">
        <v>75</v>
      </c>
      <c r="BY10" s="6">
        <v>65</v>
      </c>
      <c r="BZ10" s="6">
        <v>60</v>
      </c>
      <c r="CA10" s="22">
        <v>51</v>
      </c>
      <c r="CB10" s="6">
        <v>36</v>
      </c>
      <c r="CC10" s="6">
        <v>34</v>
      </c>
      <c r="CD10" s="6">
        <v>60</v>
      </c>
      <c r="CE10" s="6">
        <v>61</v>
      </c>
      <c r="CF10" s="6">
        <v>45</v>
      </c>
      <c r="CG10" s="22">
        <v>46</v>
      </c>
      <c r="CH10" s="21">
        <v>75</v>
      </c>
      <c r="CI10" s="6">
        <v>81</v>
      </c>
      <c r="CJ10" s="6">
        <v>45</v>
      </c>
      <c r="CK10" s="6">
        <v>35</v>
      </c>
      <c r="CL10" s="6">
        <v>36</v>
      </c>
      <c r="CM10" s="22">
        <v>34</v>
      </c>
      <c r="CN10" s="6">
        <v>60</v>
      </c>
      <c r="CO10" s="6">
        <v>52</v>
      </c>
      <c r="CP10" s="6">
        <v>60</v>
      </c>
      <c r="CQ10" s="6">
        <v>46</v>
      </c>
      <c r="CR10" s="6">
        <v>45</v>
      </c>
      <c r="CS10" s="22">
        <v>43</v>
      </c>
      <c r="CT10" s="6">
        <v>70</v>
      </c>
      <c r="CU10" s="6">
        <v>76</v>
      </c>
      <c r="CV10" s="6">
        <v>45</v>
      </c>
      <c r="CW10" s="6">
        <v>40</v>
      </c>
      <c r="CX10" s="6">
        <v>70</v>
      </c>
      <c r="CY10" s="22">
        <v>80</v>
      </c>
      <c r="CZ10" s="6">
        <v>70</v>
      </c>
      <c r="DA10" s="6">
        <v>79</v>
      </c>
      <c r="DB10" s="6">
        <v>65</v>
      </c>
      <c r="DC10" s="6">
        <v>76</v>
      </c>
      <c r="DD10" s="6">
        <v>68</v>
      </c>
      <c r="DE10" s="22">
        <v>81</v>
      </c>
      <c r="DF10" s="6">
        <v>60</v>
      </c>
      <c r="DG10" s="6">
        <v>55</v>
      </c>
      <c r="DH10" s="6">
        <v>68</v>
      </c>
      <c r="DI10" s="6">
        <v>77</v>
      </c>
      <c r="DJ10" s="6">
        <v>68</v>
      </c>
      <c r="DK10" s="22">
        <v>71</v>
      </c>
      <c r="DL10" s="6">
        <v>36</v>
      </c>
      <c r="DM10" s="6">
        <v>26</v>
      </c>
      <c r="DN10" s="6">
        <v>26</v>
      </c>
      <c r="DO10" s="6">
        <v>22</v>
      </c>
      <c r="DP10" s="6">
        <v>26</v>
      </c>
      <c r="DQ10" s="22">
        <v>6</v>
      </c>
      <c r="DR10" s="6">
        <v>60</v>
      </c>
      <c r="DS10" s="6">
        <v>55</v>
      </c>
      <c r="DT10" s="6">
        <v>45</v>
      </c>
      <c r="DU10" s="6">
        <v>36</v>
      </c>
      <c r="DV10" s="6">
        <v>60</v>
      </c>
      <c r="DW10" s="22">
        <v>55</v>
      </c>
      <c r="DX10" s="6">
        <v>45</v>
      </c>
      <c r="DY10" s="6">
        <v>44</v>
      </c>
      <c r="DZ10" s="6">
        <v>60</v>
      </c>
      <c r="EA10" s="6">
        <v>49</v>
      </c>
      <c r="EB10" s="6">
        <v>36</v>
      </c>
      <c r="EC10" s="22">
        <v>33</v>
      </c>
      <c r="ED10" s="6">
        <v>45</v>
      </c>
      <c r="EE10" s="6">
        <v>35</v>
      </c>
      <c r="EF10" s="6">
        <v>60</v>
      </c>
      <c r="EG10" s="6">
        <v>47</v>
      </c>
      <c r="EH10" s="6">
        <v>64</v>
      </c>
      <c r="EI10" s="22">
        <v>58</v>
      </c>
      <c r="EJ10" s="21">
        <v>60</v>
      </c>
      <c r="EK10" s="6">
        <v>52</v>
      </c>
      <c r="EL10" s="6">
        <v>60</v>
      </c>
      <c r="EM10" s="6">
        <v>52</v>
      </c>
      <c r="EN10" s="6">
        <v>60</v>
      </c>
      <c r="EO10" s="22">
        <v>54</v>
      </c>
      <c r="EP10" s="6">
        <v>60</v>
      </c>
      <c r="EQ10" s="6">
        <v>57</v>
      </c>
      <c r="ER10" s="6">
        <v>68</v>
      </c>
      <c r="ES10" s="6">
        <v>66</v>
      </c>
      <c r="ET10" s="6">
        <v>68</v>
      </c>
      <c r="EU10" s="20">
        <v>65</v>
      </c>
    </row>
    <row r="11" spans="2:151">
      <c r="B11" s="3">
        <v>5</v>
      </c>
      <c r="C11" s="3">
        <v>33</v>
      </c>
      <c r="D11" s="3">
        <v>30</v>
      </c>
      <c r="E11" s="3">
        <v>25</v>
      </c>
      <c r="F11" s="3">
        <v>30</v>
      </c>
      <c r="G11" s="3">
        <v>33</v>
      </c>
      <c r="H11" s="3">
        <v>30</v>
      </c>
      <c r="I11" s="3">
        <v>60</v>
      </c>
      <c r="J11" s="3">
        <v>64</v>
      </c>
      <c r="K11" s="3">
        <v>50</v>
      </c>
      <c r="L11" s="3">
        <v>19</v>
      </c>
      <c r="M11" s="3">
        <v>33</v>
      </c>
      <c r="N11" s="3">
        <v>38</v>
      </c>
      <c r="O11" s="3">
        <v>30</v>
      </c>
      <c r="P11" s="3">
        <v>38</v>
      </c>
      <c r="Q11" s="3">
        <v>43</v>
      </c>
      <c r="R11" s="3">
        <v>38</v>
      </c>
      <c r="S11" s="3">
        <v>50</v>
      </c>
      <c r="T11" s="3">
        <v>50</v>
      </c>
      <c r="U11" s="3">
        <v>25</v>
      </c>
      <c r="V11" s="3">
        <v>88</v>
      </c>
      <c r="W11" s="3">
        <v>68</v>
      </c>
      <c r="X11" s="3">
        <v>60</v>
      </c>
      <c r="Y11" s="3">
        <v>33</v>
      </c>
      <c r="Z11" s="3">
        <v>43</v>
      </c>
      <c r="AA11" s="3">
        <v>66</v>
      </c>
      <c r="AC11" s="3">
        <v>5</v>
      </c>
      <c r="AD11" s="3">
        <v>0</v>
      </c>
      <c r="AE11" s="3">
        <v>25</v>
      </c>
      <c r="AF11" s="3">
        <v>40</v>
      </c>
      <c r="AH11" s="6">
        <v>0</v>
      </c>
      <c r="AI11" s="6">
        <v>2</v>
      </c>
      <c r="AJ11" s="6">
        <v>2</v>
      </c>
      <c r="AK11" s="6">
        <v>5</v>
      </c>
      <c r="AL11" s="6">
        <v>2</v>
      </c>
      <c r="AM11" s="6">
        <v>4</v>
      </c>
      <c r="AN11" s="6">
        <v>4</v>
      </c>
      <c r="AO11" s="6">
        <v>10</v>
      </c>
      <c r="AP11" s="6">
        <v>11</v>
      </c>
      <c r="AQ11" s="6">
        <v>6</v>
      </c>
      <c r="AR11" s="6">
        <v>1</v>
      </c>
      <c r="AS11" s="6">
        <v>3</v>
      </c>
      <c r="AT11" s="6">
        <v>5</v>
      </c>
      <c r="AU11" s="6">
        <v>4</v>
      </c>
      <c r="AV11" s="6">
        <v>4</v>
      </c>
      <c r="AW11" s="6">
        <v>7</v>
      </c>
      <c r="AX11" s="6">
        <v>5</v>
      </c>
      <c r="AY11" s="6">
        <v>11</v>
      </c>
      <c r="AZ11" s="6">
        <v>3</v>
      </c>
      <c r="BA11" s="6">
        <v>3</v>
      </c>
      <c r="BB11" s="6">
        <v>34</v>
      </c>
      <c r="BC11" s="6">
        <v>24</v>
      </c>
      <c r="BD11" s="6">
        <v>8</v>
      </c>
      <c r="BE11" s="6">
        <v>3</v>
      </c>
      <c r="BF11" s="6">
        <v>13</v>
      </c>
      <c r="BG11" s="6">
        <v>17</v>
      </c>
      <c r="BI11" s="6">
        <v>4</v>
      </c>
      <c r="BJ11" s="6">
        <v>68</v>
      </c>
      <c r="BK11" s="6">
        <v>68</v>
      </c>
      <c r="BL11" s="6">
        <v>60</v>
      </c>
      <c r="BM11" s="6">
        <v>48</v>
      </c>
      <c r="BN11" s="6">
        <v>65</v>
      </c>
      <c r="BO11" s="20">
        <v>60</v>
      </c>
      <c r="BP11" s="21">
        <v>60</v>
      </c>
      <c r="BQ11" s="6">
        <v>50</v>
      </c>
      <c r="BR11" s="6">
        <v>60</v>
      </c>
      <c r="BS11" s="6">
        <v>57</v>
      </c>
      <c r="BT11" s="6">
        <v>75</v>
      </c>
      <c r="BU11" s="22">
        <v>65</v>
      </c>
      <c r="BV11" s="21">
        <v>40</v>
      </c>
      <c r="BW11" s="6">
        <v>38</v>
      </c>
      <c r="BX11" s="6">
        <v>80</v>
      </c>
      <c r="BY11" s="6">
        <v>75</v>
      </c>
      <c r="BZ11" s="6">
        <v>75</v>
      </c>
      <c r="CA11" s="22">
        <v>58</v>
      </c>
      <c r="CB11" s="6">
        <v>48</v>
      </c>
      <c r="CC11" s="6">
        <v>49</v>
      </c>
      <c r="CD11" s="6">
        <v>75</v>
      </c>
      <c r="CE11" s="6">
        <v>79</v>
      </c>
      <c r="CF11" s="6">
        <v>60</v>
      </c>
      <c r="CG11" s="22">
        <v>58</v>
      </c>
      <c r="CH11" s="21">
        <v>85</v>
      </c>
      <c r="CI11" s="6">
        <v>89</v>
      </c>
      <c r="CJ11" s="6">
        <v>60</v>
      </c>
      <c r="CK11" s="6">
        <v>47</v>
      </c>
      <c r="CL11" s="6">
        <v>48</v>
      </c>
      <c r="CM11" s="22">
        <v>43</v>
      </c>
      <c r="CN11" s="6">
        <v>64</v>
      </c>
      <c r="CO11" s="6">
        <v>61</v>
      </c>
      <c r="CP11" s="6">
        <v>65</v>
      </c>
      <c r="CQ11" s="6">
        <v>59</v>
      </c>
      <c r="CR11" s="6">
        <v>60</v>
      </c>
      <c r="CS11" s="22">
        <v>56</v>
      </c>
      <c r="CT11" s="6">
        <v>75</v>
      </c>
      <c r="CU11" s="6">
        <v>84</v>
      </c>
      <c r="CV11" s="6">
        <v>60</v>
      </c>
      <c r="CW11" s="6">
        <v>52</v>
      </c>
      <c r="CX11" s="6">
        <v>75</v>
      </c>
      <c r="CY11" s="22">
        <v>90</v>
      </c>
      <c r="CZ11" s="6">
        <v>75</v>
      </c>
      <c r="DA11" s="6">
        <v>88</v>
      </c>
      <c r="DB11" s="6">
        <v>70</v>
      </c>
      <c r="DC11" s="6">
        <v>86</v>
      </c>
      <c r="DD11" s="6">
        <v>71</v>
      </c>
      <c r="DE11" s="22">
        <v>87</v>
      </c>
      <c r="DF11" s="6">
        <v>64</v>
      </c>
      <c r="DG11" s="6">
        <v>70</v>
      </c>
      <c r="DH11" s="6">
        <v>71</v>
      </c>
      <c r="DI11" s="6">
        <v>88</v>
      </c>
      <c r="DJ11" s="6">
        <v>71</v>
      </c>
      <c r="DK11" s="22">
        <v>80</v>
      </c>
      <c r="DL11" s="6">
        <v>48</v>
      </c>
      <c r="DM11" s="6">
        <v>45</v>
      </c>
      <c r="DN11" s="6">
        <v>34</v>
      </c>
      <c r="DO11" s="6">
        <v>29</v>
      </c>
      <c r="DP11" s="6">
        <v>34</v>
      </c>
      <c r="DQ11" s="22">
        <v>11</v>
      </c>
      <c r="DR11" s="6">
        <v>68</v>
      </c>
      <c r="DS11" s="6">
        <v>66</v>
      </c>
      <c r="DT11" s="6">
        <v>60</v>
      </c>
      <c r="DU11" s="6">
        <v>47</v>
      </c>
      <c r="DV11" s="6">
        <v>65</v>
      </c>
      <c r="DW11" s="22">
        <v>63</v>
      </c>
      <c r="DX11" s="6">
        <v>60</v>
      </c>
      <c r="DY11" s="6">
        <v>53</v>
      </c>
      <c r="DZ11" s="6">
        <v>65</v>
      </c>
      <c r="EA11" s="6">
        <v>60</v>
      </c>
      <c r="EB11" s="6">
        <v>48</v>
      </c>
      <c r="EC11" s="22">
        <v>44</v>
      </c>
      <c r="ED11" s="6">
        <v>60</v>
      </c>
      <c r="EE11" s="6">
        <v>46</v>
      </c>
      <c r="EF11" s="6">
        <v>63</v>
      </c>
      <c r="EG11" s="6">
        <v>57</v>
      </c>
      <c r="EH11" s="6">
        <v>68</v>
      </c>
      <c r="EI11" s="22">
        <v>69</v>
      </c>
      <c r="EJ11" s="21">
        <v>65</v>
      </c>
      <c r="EK11" s="6">
        <v>61</v>
      </c>
      <c r="EL11" s="6">
        <v>65</v>
      </c>
      <c r="EM11" s="6">
        <v>63</v>
      </c>
      <c r="EN11" s="6">
        <v>65</v>
      </c>
      <c r="EO11" s="22">
        <v>64</v>
      </c>
      <c r="EP11" s="6">
        <v>68</v>
      </c>
      <c r="EQ11" s="6">
        <v>70</v>
      </c>
      <c r="ER11" s="6">
        <v>75</v>
      </c>
      <c r="ES11" s="6">
        <v>80</v>
      </c>
      <c r="ET11" s="6">
        <v>75</v>
      </c>
      <c r="EU11" s="20">
        <v>76</v>
      </c>
    </row>
    <row r="12" spans="2:151">
      <c r="B12" s="3">
        <v>6</v>
      </c>
      <c r="C12" s="3">
        <v>40</v>
      </c>
      <c r="D12" s="3">
        <v>36</v>
      </c>
      <c r="E12" s="3">
        <v>30</v>
      </c>
      <c r="F12" s="3">
        <v>36</v>
      </c>
      <c r="G12" s="3">
        <v>40</v>
      </c>
      <c r="H12" s="3">
        <v>36</v>
      </c>
      <c r="I12" s="3">
        <v>62</v>
      </c>
      <c r="J12" s="3">
        <v>66</v>
      </c>
      <c r="K12" s="3">
        <v>60</v>
      </c>
      <c r="L12" s="3">
        <v>23</v>
      </c>
      <c r="M12" s="3">
        <v>40</v>
      </c>
      <c r="N12" s="3">
        <v>45</v>
      </c>
      <c r="O12" s="3">
        <v>36</v>
      </c>
      <c r="P12" s="3">
        <v>45</v>
      </c>
      <c r="Q12" s="3">
        <v>51</v>
      </c>
      <c r="R12" s="3">
        <v>45</v>
      </c>
      <c r="S12" s="3">
        <v>60</v>
      </c>
      <c r="T12" s="3">
        <v>60</v>
      </c>
      <c r="U12" s="3">
        <v>30</v>
      </c>
      <c r="V12" s="3">
        <v>92</v>
      </c>
      <c r="W12" s="3">
        <v>69</v>
      </c>
      <c r="X12" s="3">
        <v>62</v>
      </c>
      <c r="Y12" s="3">
        <v>40</v>
      </c>
      <c r="Z12" s="3">
        <v>51</v>
      </c>
      <c r="AA12" s="3">
        <v>69</v>
      </c>
      <c r="AC12" s="3">
        <v>6</v>
      </c>
      <c r="AD12" s="3">
        <v>0</v>
      </c>
      <c r="AE12" s="3">
        <v>30</v>
      </c>
      <c r="AF12" s="3">
        <v>42</v>
      </c>
      <c r="AH12" s="6">
        <v>1</v>
      </c>
      <c r="AI12" s="6">
        <v>2</v>
      </c>
      <c r="AJ12" s="6">
        <v>2</v>
      </c>
      <c r="AK12" s="6">
        <v>6</v>
      </c>
      <c r="AL12" s="6">
        <v>2</v>
      </c>
      <c r="AM12" s="6">
        <v>4</v>
      </c>
      <c r="AN12" s="6">
        <v>4</v>
      </c>
      <c r="AO12" s="6">
        <v>11</v>
      </c>
      <c r="AP12" s="6">
        <v>12</v>
      </c>
      <c r="AQ12" s="6">
        <v>7</v>
      </c>
      <c r="AR12" s="6">
        <v>1</v>
      </c>
      <c r="AS12" s="6">
        <v>4</v>
      </c>
      <c r="AT12" s="6">
        <v>5</v>
      </c>
      <c r="AU12" s="6">
        <v>5</v>
      </c>
      <c r="AV12" s="6">
        <v>6</v>
      </c>
      <c r="AW12" s="6">
        <v>9</v>
      </c>
      <c r="AX12" s="6">
        <v>5</v>
      </c>
      <c r="AY12" s="6">
        <v>12</v>
      </c>
      <c r="AZ12" s="6">
        <v>4</v>
      </c>
      <c r="BA12" s="6">
        <v>4</v>
      </c>
      <c r="BB12" s="6">
        <v>36</v>
      </c>
      <c r="BC12" s="6">
        <v>25</v>
      </c>
      <c r="BD12" s="6">
        <v>9</v>
      </c>
      <c r="BE12" s="6">
        <v>4</v>
      </c>
      <c r="BF12" s="6">
        <v>14</v>
      </c>
      <c r="BG12" s="6">
        <v>19</v>
      </c>
      <c r="BI12" s="6">
        <v>5</v>
      </c>
      <c r="BJ12" s="6">
        <v>75</v>
      </c>
      <c r="BK12" s="6">
        <v>80</v>
      </c>
      <c r="BL12" s="6">
        <v>65</v>
      </c>
      <c r="BM12" s="6">
        <v>59</v>
      </c>
      <c r="BN12" s="6">
        <v>70</v>
      </c>
      <c r="BO12" s="20">
        <v>69</v>
      </c>
      <c r="BP12" s="21">
        <v>75</v>
      </c>
      <c r="BQ12" s="6">
        <v>63</v>
      </c>
      <c r="BR12" s="6">
        <v>75</v>
      </c>
      <c r="BS12" s="6">
        <v>69</v>
      </c>
      <c r="BT12" s="6">
        <v>80</v>
      </c>
      <c r="BU12" s="22">
        <v>74</v>
      </c>
      <c r="BV12" s="21">
        <v>50</v>
      </c>
      <c r="BW12" s="6">
        <v>48</v>
      </c>
      <c r="BX12" s="6">
        <v>85</v>
      </c>
      <c r="BY12" s="6">
        <v>83</v>
      </c>
      <c r="BZ12" s="6">
        <v>78</v>
      </c>
      <c r="CA12" s="22">
        <v>64</v>
      </c>
      <c r="CB12" s="6">
        <v>60</v>
      </c>
      <c r="CC12" s="6">
        <v>64</v>
      </c>
      <c r="CD12" s="6">
        <v>85</v>
      </c>
      <c r="CE12" s="6">
        <v>90</v>
      </c>
      <c r="CF12" s="6">
        <v>75</v>
      </c>
      <c r="CG12" s="22">
        <v>70</v>
      </c>
      <c r="CH12" s="21">
        <v>90</v>
      </c>
      <c r="CI12" s="6">
        <v>95</v>
      </c>
      <c r="CJ12" s="6">
        <v>65</v>
      </c>
      <c r="CK12" s="6">
        <v>58</v>
      </c>
      <c r="CL12" s="6">
        <v>60</v>
      </c>
      <c r="CM12" s="22">
        <v>52</v>
      </c>
      <c r="CN12" s="6">
        <v>68</v>
      </c>
      <c r="CO12" s="6">
        <v>71</v>
      </c>
      <c r="CP12" s="6">
        <v>70</v>
      </c>
      <c r="CQ12" s="6">
        <v>73</v>
      </c>
      <c r="CR12" s="6">
        <v>68</v>
      </c>
      <c r="CS12" s="22">
        <v>69</v>
      </c>
      <c r="CT12" s="6">
        <v>80</v>
      </c>
      <c r="CU12" s="6">
        <v>90</v>
      </c>
      <c r="CV12" s="6">
        <v>64</v>
      </c>
      <c r="CW12" s="6">
        <v>61</v>
      </c>
      <c r="CX12" s="6">
        <v>85</v>
      </c>
      <c r="CY12" s="22">
        <v>96</v>
      </c>
      <c r="CZ12" s="6">
        <v>85</v>
      </c>
      <c r="DA12" s="6">
        <v>94</v>
      </c>
      <c r="DB12" s="6">
        <v>75</v>
      </c>
      <c r="DC12" s="6">
        <v>93</v>
      </c>
      <c r="DD12" s="6">
        <v>75</v>
      </c>
      <c r="DE12" s="22">
        <v>90</v>
      </c>
      <c r="DF12" s="6">
        <v>68</v>
      </c>
      <c r="DG12" s="6">
        <v>81</v>
      </c>
      <c r="DH12" s="6">
        <v>75</v>
      </c>
      <c r="DI12" s="6">
        <v>95</v>
      </c>
      <c r="DJ12" s="6">
        <v>75</v>
      </c>
      <c r="DK12" s="22">
        <v>89</v>
      </c>
      <c r="DL12" s="6">
        <v>60</v>
      </c>
      <c r="DM12" s="6">
        <v>61</v>
      </c>
      <c r="DN12" s="6">
        <v>43</v>
      </c>
      <c r="DO12" s="6">
        <v>39</v>
      </c>
      <c r="DP12" s="6">
        <v>43</v>
      </c>
      <c r="DQ12" s="22">
        <v>19</v>
      </c>
      <c r="DR12" s="6">
        <v>75</v>
      </c>
      <c r="DS12" s="6">
        <v>79</v>
      </c>
      <c r="DT12" s="6">
        <v>65</v>
      </c>
      <c r="DU12" s="6">
        <v>58</v>
      </c>
      <c r="DV12" s="6">
        <v>70</v>
      </c>
      <c r="DW12" s="22">
        <v>72</v>
      </c>
      <c r="DX12" s="6">
        <v>64</v>
      </c>
      <c r="DY12" s="6">
        <v>64</v>
      </c>
      <c r="DZ12" s="6">
        <v>70</v>
      </c>
      <c r="EA12" s="6">
        <v>71</v>
      </c>
      <c r="EB12" s="6">
        <v>60</v>
      </c>
      <c r="EC12" s="22">
        <v>54</v>
      </c>
      <c r="ED12" s="6">
        <v>65</v>
      </c>
      <c r="EE12" s="6">
        <v>56</v>
      </c>
      <c r="EF12" s="6">
        <v>66</v>
      </c>
      <c r="EG12" s="6">
        <v>65</v>
      </c>
      <c r="EH12" s="6">
        <v>71</v>
      </c>
      <c r="EI12" s="22">
        <v>77</v>
      </c>
      <c r="EJ12" s="21">
        <v>70</v>
      </c>
      <c r="EK12" s="6">
        <v>69</v>
      </c>
      <c r="EL12" s="6">
        <v>70</v>
      </c>
      <c r="EM12" s="6">
        <v>71</v>
      </c>
      <c r="EN12" s="6">
        <v>70</v>
      </c>
      <c r="EO12" s="22">
        <v>73</v>
      </c>
      <c r="EP12" s="6">
        <v>75</v>
      </c>
      <c r="EQ12" s="6">
        <v>81</v>
      </c>
      <c r="ER12" s="6">
        <v>85</v>
      </c>
      <c r="ES12" s="6">
        <v>91</v>
      </c>
      <c r="ET12" s="6">
        <v>80</v>
      </c>
      <c r="EU12" s="20">
        <v>85</v>
      </c>
    </row>
    <row r="13" spans="2:151">
      <c r="B13" s="3">
        <v>7</v>
      </c>
      <c r="C13" s="3">
        <v>47</v>
      </c>
      <c r="D13" s="3">
        <v>42</v>
      </c>
      <c r="E13" s="3">
        <v>35</v>
      </c>
      <c r="F13" s="3">
        <v>42</v>
      </c>
      <c r="G13" s="3">
        <v>47</v>
      </c>
      <c r="H13" s="3">
        <v>42</v>
      </c>
      <c r="I13" s="3">
        <v>64</v>
      </c>
      <c r="J13" s="3">
        <v>69</v>
      </c>
      <c r="K13" s="3">
        <v>62</v>
      </c>
      <c r="L13" s="3">
        <v>26</v>
      </c>
      <c r="M13" s="3">
        <v>47</v>
      </c>
      <c r="N13" s="3">
        <v>53</v>
      </c>
      <c r="O13" s="3">
        <v>42</v>
      </c>
      <c r="P13" s="3">
        <v>53</v>
      </c>
      <c r="Q13" s="3">
        <v>60</v>
      </c>
      <c r="R13" s="3">
        <v>53</v>
      </c>
      <c r="S13" s="3">
        <v>64</v>
      </c>
      <c r="T13" s="3">
        <v>63</v>
      </c>
      <c r="U13" s="3">
        <v>35</v>
      </c>
      <c r="V13" s="3">
        <v>95</v>
      </c>
      <c r="W13" s="3">
        <v>71</v>
      </c>
      <c r="X13" s="3">
        <v>64</v>
      </c>
      <c r="Y13" s="3">
        <v>47</v>
      </c>
      <c r="Z13" s="3">
        <v>60</v>
      </c>
      <c r="AA13" s="3">
        <v>71</v>
      </c>
      <c r="AC13" s="3">
        <v>7</v>
      </c>
      <c r="AD13" s="3">
        <v>0</v>
      </c>
      <c r="AE13" s="3">
        <v>35</v>
      </c>
      <c r="AF13" s="3">
        <v>44</v>
      </c>
      <c r="AH13" s="6">
        <v>2</v>
      </c>
      <c r="AI13" s="6">
        <v>2</v>
      </c>
      <c r="AJ13" s="6">
        <v>2</v>
      </c>
      <c r="AK13" s="6">
        <v>6</v>
      </c>
      <c r="AL13" s="6">
        <v>2</v>
      </c>
      <c r="AM13" s="6">
        <v>4</v>
      </c>
      <c r="AN13" s="6">
        <v>4</v>
      </c>
      <c r="AO13" s="6">
        <v>11</v>
      </c>
      <c r="AP13" s="6">
        <v>12</v>
      </c>
      <c r="AQ13" s="6">
        <v>8</v>
      </c>
      <c r="AR13" s="6">
        <v>1</v>
      </c>
      <c r="AS13" s="6">
        <v>5</v>
      </c>
      <c r="AT13" s="6">
        <v>5</v>
      </c>
      <c r="AU13" s="6">
        <v>6</v>
      </c>
      <c r="AV13" s="6">
        <v>6</v>
      </c>
      <c r="AW13" s="6">
        <v>10</v>
      </c>
      <c r="AX13" s="6">
        <v>6</v>
      </c>
      <c r="AY13" s="6">
        <v>12</v>
      </c>
      <c r="AZ13" s="6">
        <v>4</v>
      </c>
      <c r="BA13" s="6">
        <v>4</v>
      </c>
      <c r="BB13" s="6">
        <v>37</v>
      </c>
      <c r="BC13" s="6">
        <v>25</v>
      </c>
      <c r="BD13" s="6">
        <v>10</v>
      </c>
      <c r="BE13" s="6">
        <v>5</v>
      </c>
      <c r="BF13" s="6">
        <v>15</v>
      </c>
      <c r="BG13" s="6">
        <v>20</v>
      </c>
      <c r="BI13" s="6">
        <v>6</v>
      </c>
      <c r="BJ13" s="6">
        <v>85</v>
      </c>
      <c r="BK13" s="6">
        <v>89</v>
      </c>
      <c r="BL13" s="6">
        <v>70</v>
      </c>
      <c r="BM13" s="6">
        <v>71</v>
      </c>
      <c r="BN13" s="6">
        <v>75</v>
      </c>
      <c r="BO13" s="20">
        <v>79</v>
      </c>
      <c r="BP13" s="21">
        <v>85</v>
      </c>
      <c r="BQ13" s="6">
        <v>74</v>
      </c>
      <c r="BR13" s="6">
        <v>85</v>
      </c>
      <c r="BS13" s="6">
        <v>81</v>
      </c>
      <c r="BT13" s="6">
        <v>85</v>
      </c>
      <c r="BU13" s="22">
        <v>83</v>
      </c>
      <c r="BV13" s="21">
        <v>60</v>
      </c>
      <c r="BW13" s="6">
        <v>61</v>
      </c>
      <c r="BX13" s="6">
        <v>89</v>
      </c>
      <c r="BY13" s="6">
        <v>88</v>
      </c>
      <c r="BZ13" s="6">
        <v>80</v>
      </c>
      <c r="CA13" s="22">
        <v>71</v>
      </c>
      <c r="CB13" s="6">
        <v>75</v>
      </c>
      <c r="CC13" s="6">
        <v>77</v>
      </c>
      <c r="CD13" s="6">
        <v>93</v>
      </c>
      <c r="CE13" s="6">
        <v>97</v>
      </c>
      <c r="CF13" s="6">
        <v>85</v>
      </c>
      <c r="CG13" s="22">
        <v>80</v>
      </c>
      <c r="CH13" s="21">
        <v>95</v>
      </c>
      <c r="CI13" s="6">
        <v>98</v>
      </c>
      <c r="CJ13" s="6">
        <v>70</v>
      </c>
      <c r="CK13" s="6">
        <v>68</v>
      </c>
      <c r="CL13" s="6">
        <v>64</v>
      </c>
      <c r="CM13" s="22">
        <v>60</v>
      </c>
      <c r="CN13" s="6">
        <v>71</v>
      </c>
      <c r="CO13" s="6">
        <v>78</v>
      </c>
      <c r="CP13" s="6">
        <v>75</v>
      </c>
      <c r="CQ13" s="6">
        <v>86</v>
      </c>
      <c r="CR13" s="6">
        <v>75</v>
      </c>
      <c r="CS13" s="22">
        <v>84</v>
      </c>
      <c r="CT13" s="6">
        <v>85</v>
      </c>
      <c r="CU13" s="6">
        <v>95</v>
      </c>
      <c r="CV13" s="6">
        <v>68</v>
      </c>
      <c r="CW13" s="6">
        <v>71</v>
      </c>
      <c r="CX13" s="6">
        <v>90</v>
      </c>
      <c r="CY13" s="22">
        <v>99</v>
      </c>
      <c r="CZ13" s="6">
        <v>90</v>
      </c>
      <c r="DA13" s="6">
        <v>98</v>
      </c>
      <c r="DB13" s="6">
        <v>85</v>
      </c>
      <c r="DC13" s="6">
        <v>97</v>
      </c>
      <c r="DD13" s="6">
        <v>80</v>
      </c>
      <c r="DE13" s="22">
        <v>93</v>
      </c>
      <c r="DF13" s="6">
        <v>71</v>
      </c>
      <c r="DG13" s="6">
        <v>87</v>
      </c>
      <c r="DH13" s="6">
        <v>85</v>
      </c>
      <c r="DI13" s="6">
        <v>99</v>
      </c>
      <c r="DJ13" s="6">
        <v>85</v>
      </c>
      <c r="DK13" s="22">
        <v>97</v>
      </c>
      <c r="DL13" s="6">
        <v>75</v>
      </c>
      <c r="DM13" s="6">
        <v>75</v>
      </c>
      <c r="DN13" s="6">
        <v>51</v>
      </c>
      <c r="DO13" s="6">
        <v>49</v>
      </c>
      <c r="DP13" s="6">
        <v>51</v>
      </c>
      <c r="DQ13" s="22">
        <v>36</v>
      </c>
      <c r="DR13" s="6">
        <v>80</v>
      </c>
      <c r="DS13" s="6">
        <v>88</v>
      </c>
      <c r="DT13" s="6">
        <v>70</v>
      </c>
      <c r="DU13" s="6">
        <v>68</v>
      </c>
      <c r="DV13" s="6">
        <v>75</v>
      </c>
      <c r="DW13" s="22">
        <v>80</v>
      </c>
      <c r="DX13" s="6">
        <v>68</v>
      </c>
      <c r="DY13" s="6">
        <v>71</v>
      </c>
      <c r="DZ13" s="6">
        <v>75</v>
      </c>
      <c r="EA13" s="6">
        <v>82</v>
      </c>
      <c r="EB13" s="6">
        <v>65</v>
      </c>
      <c r="EC13" s="22">
        <v>64</v>
      </c>
      <c r="ED13" s="6">
        <v>70</v>
      </c>
      <c r="EE13" s="6">
        <v>66</v>
      </c>
      <c r="EF13" s="6">
        <v>69</v>
      </c>
      <c r="EG13" s="6">
        <v>73</v>
      </c>
      <c r="EH13" s="6">
        <v>75</v>
      </c>
      <c r="EI13" s="22">
        <v>84</v>
      </c>
      <c r="EJ13" s="21">
        <v>75</v>
      </c>
      <c r="EK13" s="6">
        <v>78</v>
      </c>
      <c r="EL13" s="6">
        <v>75</v>
      </c>
      <c r="EM13" s="6">
        <v>79</v>
      </c>
      <c r="EN13" s="6">
        <v>75</v>
      </c>
      <c r="EO13" s="22">
        <v>82</v>
      </c>
      <c r="EP13" s="6">
        <v>85</v>
      </c>
      <c r="EQ13" s="6">
        <v>89</v>
      </c>
      <c r="ER13" s="6">
        <v>93</v>
      </c>
      <c r="ES13" s="6">
        <v>97</v>
      </c>
      <c r="ET13" s="6">
        <v>85</v>
      </c>
      <c r="EU13" s="20">
        <v>91</v>
      </c>
    </row>
    <row r="14" spans="2:151">
      <c r="B14" s="3">
        <v>8</v>
      </c>
      <c r="C14" s="3">
        <v>53</v>
      </c>
      <c r="D14" s="3">
        <v>48</v>
      </c>
      <c r="E14" s="3">
        <v>40</v>
      </c>
      <c r="F14" s="3">
        <v>48</v>
      </c>
      <c r="G14" s="3">
        <v>53</v>
      </c>
      <c r="H14" s="3">
        <v>48</v>
      </c>
      <c r="I14" s="3">
        <v>66</v>
      </c>
      <c r="J14" s="3">
        <v>71</v>
      </c>
      <c r="K14" s="3">
        <v>63</v>
      </c>
      <c r="L14" s="3">
        <v>30</v>
      </c>
      <c r="M14" s="3">
        <v>53</v>
      </c>
      <c r="N14" s="3">
        <v>60</v>
      </c>
      <c r="O14" s="3">
        <v>48</v>
      </c>
      <c r="P14" s="3">
        <v>60</v>
      </c>
      <c r="Q14" s="3">
        <v>63</v>
      </c>
      <c r="R14" s="3">
        <v>60</v>
      </c>
      <c r="S14" s="3">
        <v>68</v>
      </c>
      <c r="T14" s="3">
        <v>66</v>
      </c>
      <c r="U14" s="3">
        <v>40</v>
      </c>
      <c r="V14" s="3">
        <v>98</v>
      </c>
      <c r="W14" s="3">
        <v>73</v>
      </c>
      <c r="X14" s="3">
        <v>66</v>
      </c>
      <c r="Y14" s="3">
        <v>53</v>
      </c>
      <c r="Z14" s="3">
        <v>62</v>
      </c>
      <c r="AA14" s="3">
        <v>73</v>
      </c>
      <c r="AC14" s="3">
        <v>8</v>
      </c>
      <c r="AD14" s="3">
        <v>2</v>
      </c>
      <c r="AE14" s="3">
        <v>39</v>
      </c>
      <c r="AF14" s="3">
        <v>47</v>
      </c>
      <c r="AH14" s="6">
        <v>3</v>
      </c>
      <c r="AI14" s="6">
        <v>2</v>
      </c>
      <c r="AJ14" s="6">
        <v>2</v>
      </c>
      <c r="AK14" s="6">
        <v>7</v>
      </c>
      <c r="AL14" s="6">
        <v>2</v>
      </c>
      <c r="AM14" s="6">
        <v>4</v>
      </c>
      <c r="AN14" s="6">
        <v>4</v>
      </c>
      <c r="AO14" s="6">
        <v>12</v>
      </c>
      <c r="AP14" s="6">
        <v>12</v>
      </c>
      <c r="AQ14" s="6">
        <v>8</v>
      </c>
      <c r="AR14" s="6">
        <v>1</v>
      </c>
      <c r="AS14" s="6">
        <v>6</v>
      </c>
      <c r="AT14" s="6">
        <v>6</v>
      </c>
      <c r="AU14" s="6">
        <v>6</v>
      </c>
      <c r="AV14" s="6">
        <v>6</v>
      </c>
      <c r="AW14" s="6">
        <v>10</v>
      </c>
      <c r="AX14" s="6">
        <v>6</v>
      </c>
      <c r="AY14" s="6">
        <v>12</v>
      </c>
      <c r="AZ14" s="6">
        <v>4</v>
      </c>
      <c r="BA14" s="6">
        <v>4</v>
      </c>
      <c r="BB14" s="6">
        <v>37</v>
      </c>
      <c r="BC14" s="6">
        <v>25</v>
      </c>
      <c r="BD14" s="6">
        <v>10</v>
      </c>
      <c r="BE14" s="6">
        <v>5</v>
      </c>
      <c r="BF14" s="6">
        <v>15</v>
      </c>
      <c r="BG14" s="6">
        <v>20</v>
      </c>
      <c r="BI14" s="6">
        <v>7</v>
      </c>
      <c r="BJ14" s="6">
        <v>90</v>
      </c>
      <c r="BK14" s="6">
        <v>95</v>
      </c>
      <c r="BL14" s="6">
        <v>75</v>
      </c>
      <c r="BM14" s="6">
        <v>82</v>
      </c>
      <c r="BN14" s="6">
        <v>80</v>
      </c>
      <c r="BO14" s="20">
        <v>87</v>
      </c>
      <c r="BP14" s="21">
        <v>93</v>
      </c>
      <c r="BQ14" s="6">
        <v>87</v>
      </c>
      <c r="BR14" s="6">
        <v>90</v>
      </c>
      <c r="BS14" s="6">
        <v>92</v>
      </c>
      <c r="BT14" s="6">
        <v>90</v>
      </c>
      <c r="BU14" s="22">
        <v>91</v>
      </c>
      <c r="BV14" s="21">
        <v>75</v>
      </c>
      <c r="BW14" s="6">
        <v>73</v>
      </c>
      <c r="BX14" s="6">
        <v>93</v>
      </c>
      <c r="BY14" s="6">
        <v>93</v>
      </c>
      <c r="BZ14" s="6">
        <v>83</v>
      </c>
      <c r="CA14" s="22">
        <v>80</v>
      </c>
      <c r="CB14" s="6">
        <v>85</v>
      </c>
      <c r="CC14" s="6">
        <v>88</v>
      </c>
      <c r="CD14" s="6">
        <v>100</v>
      </c>
      <c r="CE14" s="6">
        <v>99</v>
      </c>
      <c r="CF14" s="6">
        <v>90</v>
      </c>
      <c r="CG14" s="22">
        <v>88</v>
      </c>
      <c r="CH14" s="21">
        <v>100</v>
      </c>
      <c r="CI14" s="6">
        <v>99</v>
      </c>
      <c r="CJ14" s="6">
        <v>75</v>
      </c>
      <c r="CK14" s="6">
        <v>80</v>
      </c>
      <c r="CL14" s="6">
        <v>68</v>
      </c>
      <c r="CM14" s="22">
        <v>68</v>
      </c>
      <c r="CN14" s="6">
        <v>75</v>
      </c>
      <c r="CO14" s="6">
        <v>90</v>
      </c>
      <c r="CP14" s="6">
        <v>85</v>
      </c>
      <c r="CQ14" s="6">
        <v>95</v>
      </c>
      <c r="CR14" s="6">
        <v>85</v>
      </c>
      <c r="CS14" s="22">
        <v>95</v>
      </c>
      <c r="CT14" s="6">
        <v>90</v>
      </c>
      <c r="CU14" s="6">
        <v>98</v>
      </c>
      <c r="CV14" s="6">
        <v>71</v>
      </c>
      <c r="CW14" s="6">
        <v>78</v>
      </c>
      <c r="CX14" s="6">
        <v>95</v>
      </c>
      <c r="CY14" s="22">
        <v>99</v>
      </c>
      <c r="CZ14" s="6">
        <v>95</v>
      </c>
      <c r="DA14" s="6">
        <v>99</v>
      </c>
      <c r="DB14" s="6">
        <v>89</v>
      </c>
      <c r="DC14" s="6">
        <v>99</v>
      </c>
      <c r="DD14" s="6">
        <v>85</v>
      </c>
      <c r="DE14" s="22">
        <v>96</v>
      </c>
      <c r="DF14" s="6">
        <v>75</v>
      </c>
      <c r="DG14" s="6">
        <v>93</v>
      </c>
      <c r="DH14" s="6">
        <v>100</v>
      </c>
      <c r="DI14" s="6">
        <v>99</v>
      </c>
      <c r="DJ14" s="6">
        <v>100</v>
      </c>
      <c r="DK14" s="22">
        <v>99</v>
      </c>
      <c r="DL14" s="6">
        <v>85</v>
      </c>
      <c r="DM14" s="6">
        <v>88</v>
      </c>
      <c r="DN14" s="6">
        <v>60</v>
      </c>
      <c r="DO14" s="6">
        <v>59</v>
      </c>
      <c r="DP14" s="6">
        <v>60</v>
      </c>
      <c r="DQ14" s="22">
        <v>56</v>
      </c>
      <c r="DR14" s="6">
        <v>85</v>
      </c>
      <c r="DS14" s="6">
        <v>94</v>
      </c>
      <c r="DT14" s="6">
        <v>75</v>
      </c>
      <c r="DU14" s="6">
        <v>78</v>
      </c>
      <c r="DV14" s="6">
        <v>80</v>
      </c>
      <c r="DW14" s="22">
        <v>85</v>
      </c>
      <c r="DX14" s="6">
        <v>71</v>
      </c>
      <c r="DY14" s="6">
        <v>79</v>
      </c>
      <c r="DZ14" s="6">
        <v>80</v>
      </c>
      <c r="EA14" s="6">
        <v>91</v>
      </c>
      <c r="EB14" s="6">
        <v>70</v>
      </c>
      <c r="EC14" s="22">
        <v>75</v>
      </c>
      <c r="ED14" s="6">
        <v>75</v>
      </c>
      <c r="EE14" s="6">
        <v>79</v>
      </c>
      <c r="EF14" s="6">
        <v>72</v>
      </c>
      <c r="EG14" s="6">
        <v>81</v>
      </c>
      <c r="EH14" s="6">
        <v>80</v>
      </c>
      <c r="EI14" s="22">
        <v>90</v>
      </c>
      <c r="EJ14" s="21">
        <v>85</v>
      </c>
      <c r="EK14" s="6">
        <v>89</v>
      </c>
      <c r="EL14" s="6">
        <v>85</v>
      </c>
      <c r="EM14" s="6">
        <v>85</v>
      </c>
      <c r="EN14" s="6">
        <v>85</v>
      </c>
      <c r="EO14" s="22">
        <v>88</v>
      </c>
      <c r="EP14" s="6">
        <v>90</v>
      </c>
      <c r="EQ14" s="6">
        <v>96</v>
      </c>
      <c r="ER14" s="6">
        <v>100</v>
      </c>
      <c r="ES14" s="6">
        <v>99</v>
      </c>
      <c r="ET14" s="6">
        <v>89</v>
      </c>
      <c r="EU14" s="20">
        <v>96</v>
      </c>
    </row>
    <row r="15" spans="2:151">
      <c r="B15" s="3">
        <v>9</v>
      </c>
      <c r="C15" s="3">
        <v>60</v>
      </c>
      <c r="D15" s="3">
        <v>54</v>
      </c>
      <c r="E15" s="3">
        <v>45</v>
      </c>
      <c r="F15" s="3">
        <v>54</v>
      </c>
      <c r="G15" s="3">
        <v>60</v>
      </c>
      <c r="H15" s="3">
        <v>54</v>
      </c>
      <c r="I15" s="3">
        <v>69</v>
      </c>
      <c r="J15" s="3">
        <v>73</v>
      </c>
      <c r="K15" s="3">
        <v>65</v>
      </c>
      <c r="L15" s="3">
        <v>34</v>
      </c>
      <c r="M15" s="3">
        <v>60</v>
      </c>
      <c r="N15" s="3">
        <v>62</v>
      </c>
      <c r="O15" s="3">
        <v>54</v>
      </c>
      <c r="P15" s="3">
        <v>62</v>
      </c>
      <c r="Q15" s="3">
        <v>66</v>
      </c>
      <c r="R15" s="3">
        <v>75</v>
      </c>
      <c r="S15" s="3">
        <v>71</v>
      </c>
      <c r="T15" s="3">
        <v>69</v>
      </c>
      <c r="U15" s="3">
        <v>45</v>
      </c>
      <c r="V15" s="3">
        <v>102</v>
      </c>
      <c r="W15" s="3">
        <v>75</v>
      </c>
      <c r="X15" s="3">
        <v>68</v>
      </c>
      <c r="Y15" s="3">
        <v>60</v>
      </c>
      <c r="Z15" s="3">
        <v>64</v>
      </c>
      <c r="AA15" s="3">
        <v>75</v>
      </c>
      <c r="AC15" s="3">
        <v>9</v>
      </c>
      <c r="AD15" s="3">
        <v>3</v>
      </c>
      <c r="AE15" s="3">
        <v>43</v>
      </c>
      <c r="AF15" s="3">
        <v>49</v>
      </c>
      <c r="AH15" s="6">
        <v>4</v>
      </c>
      <c r="AI15" s="6">
        <v>2</v>
      </c>
      <c r="AJ15" s="6">
        <v>2</v>
      </c>
      <c r="AK15" s="6">
        <v>7</v>
      </c>
      <c r="AL15" s="6">
        <v>2</v>
      </c>
      <c r="AM15" s="6">
        <v>4</v>
      </c>
      <c r="AN15" s="6">
        <v>4</v>
      </c>
      <c r="AO15" s="6">
        <v>12</v>
      </c>
      <c r="AP15" s="6">
        <v>12</v>
      </c>
      <c r="AQ15" s="6">
        <v>8</v>
      </c>
      <c r="AR15" s="6">
        <v>1</v>
      </c>
      <c r="AS15" s="6">
        <v>6</v>
      </c>
      <c r="AT15" s="6">
        <v>6</v>
      </c>
      <c r="AU15" s="6">
        <v>6</v>
      </c>
      <c r="AV15" s="6">
        <v>6</v>
      </c>
      <c r="AW15" s="6">
        <v>10</v>
      </c>
      <c r="AX15" s="6">
        <v>6</v>
      </c>
      <c r="AY15" s="6">
        <v>12</v>
      </c>
      <c r="AZ15" s="6">
        <v>4</v>
      </c>
      <c r="BA15" s="6">
        <v>4</v>
      </c>
      <c r="BB15" s="6">
        <v>37</v>
      </c>
      <c r="BC15" s="6">
        <v>25</v>
      </c>
      <c r="BD15" s="6">
        <v>10</v>
      </c>
      <c r="BE15" s="6">
        <v>5</v>
      </c>
      <c r="BF15" s="6">
        <v>15</v>
      </c>
      <c r="BG15" s="6">
        <v>20</v>
      </c>
      <c r="BI15" s="6">
        <v>8</v>
      </c>
      <c r="BJ15" s="6">
        <v>95</v>
      </c>
      <c r="BK15" s="6">
        <v>98</v>
      </c>
      <c r="BL15" s="6">
        <v>85</v>
      </c>
      <c r="BM15" s="6">
        <v>93</v>
      </c>
      <c r="BN15" s="6">
        <v>85</v>
      </c>
      <c r="BO15" s="20">
        <v>95</v>
      </c>
      <c r="BP15" s="21">
        <v>100</v>
      </c>
      <c r="BQ15" s="6">
        <v>99</v>
      </c>
      <c r="BR15" s="6">
        <v>95</v>
      </c>
      <c r="BS15" s="6">
        <v>97</v>
      </c>
      <c r="BT15" s="6">
        <v>95</v>
      </c>
      <c r="BU15" s="22">
        <v>96</v>
      </c>
      <c r="BV15" s="21">
        <v>85</v>
      </c>
      <c r="BW15" s="6">
        <v>87</v>
      </c>
      <c r="BX15" s="6">
        <v>96</v>
      </c>
      <c r="BY15" s="6">
        <v>97</v>
      </c>
      <c r="BZ15" s="6">
        <v>85</v>
      </c>
      <c r="CA15" s="22">
        <v>89</v>
      </c>
      <c r="CB15" s="6">
        <v>93</v>
      </c>
      <c r="CC15" s="6">
        <v>97</v>
      </c>
      <c r="CD15" s="6"/>
      <c r="CE15" s="6"/>
      <c r="CF15" s="6">
        <v>95</v>
      </c>
      <c r="CG15" s="22">
        <v>97</v>
      </c>
      <c r="CH15" s="21"/>
      <c r="CI15" s="6"/>
      <c r="CJ15" s="6">
        <v>85</v>
      </c>
      <c r="CK15" s="6">
        <v>91</v>
      </c>
      <c r="CL15" s="6">
        <v>71</v>
      </c>
      <c r="CM15" s="22">
        <v>75</v>
      </c>
      <c r="CN15" s="6">
        <v>85</v>
      </c>
      <c r="CO15" s="6">
        <v>99</v>
      </c>
      <c r="CP15" s="6">
        <v>93</v>
      </c>
      <c r="CQ15" s="6">
        <v>99</v>
      </c>
      <c r="CR15" s="6">
        <v>100</v>
      </c>
      <c r="CS15" s="22">
        <v>99</v>
      </c>
      <c r="CT15" s="6">
        <v>95</v>
      </c>
      <c r="CU15" s="6">
        <v>99</v>
      </c>
      <c r="CV15" s="6">
        <v>75</v>
      </c>
      <c r="CW15" s="6">
        <v>88</v>
      </c>
      <c r="CX15" s="6">
        <v>100</v>
      </c>
      <c r="CY15" s="22">
        <v>99</v>
      </c>
      <c r="CZ15" s="6">
        <v>100</v>
      </c>
      <c r="DA15" s="6">
        <v>99</v>
      </c>
      <c r="DB15" s="6">
        <v>93</v>
      </c>
      <c r="DC15" s="6">
        <v>99</v>
      </c>
      <c r="DD15" s="6">
        <v>90</v>
      </c>
      <c r="DE15" s="22">
        <v>99</v>
      </c>
      <c r="DF15" s="6">
        <v>85</v>
      </c>
      <c r="DG15" s="6">
        <v>97</v>
      </c>
      <c r="DH15" s="6"/>
      <c r="DI15" s="6"/>
      <c r="DJ15" s="6"/>
      <c r="DK15" s="22"/>
      <c r="DL15" s="6">
        <v>100</v>
      </c>
      <c r="DM15" s="6">
        <v>99</v>
      </c>
      <c r="DN15" s="6">
        <v>75</v>
      </c>
      <c r="DO15" s="6">
        <v>69</v>
      </c>
      <c r="DP15" s="6">
        <v>75</v>
      </c>
      <c r="DQ15" s="22">
        <v>81</v>
      </c>
      <c r="DR15" s="6">
        <v>93</v>
      </c>
      <c r="DS15" s="6">
        <v>98</v>
      </c>
      <c r="DT15" s="6">
        <v>80</v>
      </c>
      <c r="DU15" s="6">
        <v>86</v>
      </c>
      <c r="DV15" s="6">
        <v>85</v>
      </c>
      <c r="DW15" s="22">
        <v>91</v>
      </c>
      <c r="DX15" s="6">
        <v>75</v>
      </c>
      <c r="DY15" s="6">
        <v>85</v>
      </c>
      <c r="DZ15" s="6">
        <v>85</v>
      </c>
      <c r="EA15" s="6">
        <v>97</v>
      </c>
      <c r="EB15" s="6">
        <v>75</v>
      </c>
      <c r="EC15" s="22">
        <v>89</v>
      </c>
      <c r="ED15" s="6">
        <v>85</v>
      </c>
      <c r="EE15" s="6">
        <v>90</v>
      </c>
      <c r="EF15" s="6">
        <v>75</v>
      </c>
      <c r="EG15" s="6">
        <v>87</v>
      </c>
      <c r="EH15" s="6">
        <v>85</v>
      </c>
      <c r="EI15" s="22">
        <v>95</v>
      </c>
      <c r="EJ15" s="21">
        <v>100</v>
      </c>
      <c r="EK15" s="6">
        <v>99</v>
      </c>
      <c r="EL15" s="6">
        <v>89</v>
      </c>
      <c r="EM15" s="6">
        <v>90</v>
      </c>
      <c r="EN15" s="6">
        <v>90</v>
      </c>
      <c r="EO15" s="22">
        <v>93</v>
      </c>
      <c r="EP15" s="6">
        <v>95</v>
      </c>
      <c r="EQ15" s="6">
        <v>99</v>
      </c>
      <c r="ER15" s="6"/>
      <c r="ES15" s="6"/>
      <c r="ET15" s="6">
        <v>93</v>
      </c>
      <c r="EU15" s="20">
        <v>98</v>
      </c>
    </row>
    <row r="16" spans="2:151">
      <c r="B16" s="3">
        <v>10</v>
      </c>
      <c r="C16" s="3">
        <v>63</v>
      </c>
      <c r="D16" s="3">
        <v>60</v>
      </c>
      <c r="E16" s="3">
        <v>50</v>
      </c>
      <c r="F16" s="3">
        <v>60</v>
      </c>
      <c r="G16" s="3">
        <v>63</v>
      </c>
      <c r="H16" s="3">
        <v>60</v>
      </c>
      <c r="I16" s="3">
        <v>71</v>
      </c>
      <c r="J16" s="3">
        <v>75</v>
      </c>
      <c r="K16" s="3">
        <v>67</v>
      </c>
      <c r="L16" s="3">
        <v>38</v>
      </c>
      <c r="M16" s="3">
        <v>62</v>
      </c>
      <c r="N16" s="3">
        <v>63</v>
      </c>
      <c r="O16" s="3">
        <v>60</v>
      </c>
      <c r="P16" s="3">
        <v>64</v>
      </c>
      <c r="Q16" s="3">
        <v>69</v>
      </c>
      <c r="R16" s="3">
        <v>78</v>
      </c>
      <c r="S16" s="3">
        <v>75</v>
      </c>
      <c r="T16" s="3">
        <v>72</v>
      </c>
      <c r="U16" s="3">
        <v>50</v>
      </c>
      <c r="V16" s="3">
        <v>105</v>
      </c>
      <c r="W16" s="3">
        <v>78</v>
      </c>
      <c r="X16" s="3">
        <v>69</v>
      </c>
      <c r="Y16" s="3">
        <v>62</v>
      </c>
      <c r="Z16" s="3">
        <v>66</v>
      </c>
      <c r="AA16" s="3">
        <v>78</v>
      </c>
      <c r="AC16" s="3">
        <v>10</v>
      </c>
      <c r="AD16" s="3">
        <v>5</v>
      </c>
      <c r="AE16" s="3">
        <v>47</v>
      </c>
      <c r="AF16" s="3">
        <v>51</v>
      </c>
      <c r="AH16" s="6">
        <v>5</v>
      </c>
      <c r="AI16" s="6">
        <v>2</v>
      </c>
      <c r="AJ16" s="6">
        <v>2</v>
      </c>
      <c r="AK16" s="6">
        <v>8</v>
      </c>
      <c r="AL16" s="6">
        <v>2</v>
      </c>
      <c r="AM16" s="6">
        <v>4</v>
      </c>
      <c r="AN16" s="6">
        <v>5</v>
      </c>
      <c r="AO16" s="6">
        <v>12</v>
      </c>
      <c r="AP16" s="6">
        <v>12</v>
      </c>
      <c r="AQ16" s="6">
        <v>8</v>
      </c>
      <c r="AR16" s="6">
        <v>1</v>
      </c>
      <c r="AS16" s="6">
        <v>6</v>
      </c>
      <c r="AT16" s="6">
        <v>6</v>
      </c>
      <c r="AU16" s="6">
        <v>6</v>
      </c>
      <c r="AV16" s="6">
        <v>7</v>
      </c>
      <c r="AW16" s="6">
        <v>10</v>
      </c>
      <c r="AX16" s="6">
        <v>6</v>
      </c>
      <c r="AY16" s="6">
        <v>12</v>
      </c>
      <c r="AZ16" s="6">
        <v>4</v>
      </c>
      <c r="BA16" s="6">
        <v>8</v>
      </c>
      <c r="BB16" s="6">
        <v>37</v>
      </c>
      <c r="BC16" s="6">
        <v>26</v>
      </c>
      <c r="BD16" s="6">
        <v>10</v>
      </c>
      <c r="BE16" s="6">
        <v>5</v>
      </c>
      <c r="BF16" s="6">
        <v>15</v>
      </c>
      <c r="BG16" s="6">
        <v>20</v>
      </c>
      <c r="BI16" s="6">
        <v>9</v>
      </c>
      <c r="BJ16" s="6">
        <v>100</v>
      </c>
      <c r="BK16" s="6">
        <v>99</v>
      </c>
      <c r="BL16" s="6">
        <v>100</v>
      </c>
      <c r="BM16" s="6">
        <v>99</v>
      </c>
      <c r="BN16" s="6">
        <v>100</v>
      </c>
      <c r="BO16" s="20">
        <v>99</v>
      </c>
      <c r="BP16" s="21"/>
      <c r="BQ16" s="6"/>
      <c r="BR16" s="6">
        <v>100</v>
      </c>
      <c r="BS16" s="6">
        <v>99</v>
      </c>
      <c r="BT16" s="6">
        <v>100</v>
      </c>
      <c r="BU16" s="22">
        <v>99</v>
      </c>
      <c r="BV16" s="21">
        <v>100</v>
      </c>
      <c r="BW16" s="6">
        <v>99</v>
      </c>
      <c r="BX16" s="6">
        <v>100</v>
      </c>
      <c r="BY16" s="6">
        <v>99</v>
      </c>
      <c r="BZ16" s="6">
        <v>100</v>
      </c>
      <c r="CA16" s="22">
        <v>99</v>
      </c>
      <c r="CB16" s="6">
        <v>100</v>
      </c>
      <c r="CC16" s="6">
        <v>99</v>
      </c>
      <c r="CD16" s="6"/>
      <c r="CE16" s="6"/>
      <c r="CF16" s="6">
        <v>100</v>
      </c>
      <c r="CG16" s="22">
        <v>99</v>
      </c>
      <c r="CH16" s="21"/>
      <c r="CI16" s="6"/>
      <c r="CJ16" s="6">
        <v>93</v>
      </c>
      <c r="CK16" s="6">
        <v>98</v>
      </c>
      <c r="CL16" s="6">
        <v>75</v>
      </c>
      <c r="CM16" s="22">
        <v>81</v>
      </c>
      <c r="CN16" s="6"/>
      <c r="CO16" s="6"/>
      <c r="CP16" s="6">
        <v>100</v>
      </c>
      <c r="CQ16" s="6">
        <v>99</v>
      </c>
      <c r="CR16" s="6"/>
      <c r="CS16" s="22"/>
      <c r="CT16" s="6">
        <v>100</v>
      </c>
      <c r="CU16" s="6">
        <v>99</v>
      </c>
      <c r="CV16" s="6">
        <v>85</v>
      </c>
      <c r="CW16" s="6">
        <v>96</v>
      </c>
      <c r="CX16" s="6"/>
      <c r="CY16" s="22"/>
      <c r="CZ16" s="6"/>
      <c r="DA16" s="6"/>
      <c r="DB16" s="6">
        <v>96</v>
      </c>
      <c r="DC16" s="6">
        <v>99</v>
      </c>
      <c r="DD16" s="6">
        <v>95</v>
      </c>
      <c r="DE16" s="22">
        <v>99</v>
      </c>
      <c r="DF16" s="6">
        <v>90</v>
      </c>
      <c r="DG16" s="6">
        <v>99</v>
      </c>
      <c r="DH16" s="6"/>
      <c r="DI16" s="6"/>
      <c r="DJ16" s="6"/>
      <c r="DK16" s="22"/>
      <c r="DL16" s="6"/>
      <c r="DM16" s="6"/>
      <c r="DN16" s="6">
        <v>80</v>
      </c>
      <c r="DO16" s="6">
        <v>80</v>
      </c>
      <c r="DP16" s="6">
        <v>85</v>
      </c>
      <c r="DQ16" s="22">
        <v>99</v>
      </c>
      <c r="DR16" s="6">
        <v>100</v>
      </c>
      <c r="DS16" s="6">
        <v>99</v>
      </c>
      <c r="DT16" s="6">
        <v>85</v>
      </c>
      <c r="DU16" s="6">
        <v>93</v>
      </c>
      <c r="DV16" s="6">
        <v>93</v>
      </c>
      <c r="DW16" s="22">
        <v>96</v>
      </c>
      <c r="DX16" s="6">
        <v>80</v>
      </c>
      <c r="DY16" s="6">
        <v>90</v>
      </c>
      <c r="DZ16" s="6">
        <v>100</v>
      </c>
      <c r="EA16" s="6">
        <v>99</v>
      </c>
      <c r="EB16" s="6">
        <v>85</v>
      </c>
      <c r="EC16" s="22">
        <v>99</v>
      </c>
      <c r="ED16" s="6">
        <v>100</v>
      </c>
      <c r="EE16" s="6">
        <v>99</v>
      </c>
      <c r="EF16" s="6">
        <v>85</v>
      </c>
      <c r="EG16" s="6">
        <v>93</v>
      </c>
      <c r="EH16" s="6">
        <v>90</v>
      </c>
      <c r="EI16" s="22">
        <v>98</v>
      </c>
      <c r="EJ16" s="21"/>
      <c r="EK16" s="6"/>
      <c r="EL16" s="6">
        <v>93</v>
      </c>
      <c r="EM16" s="6">
        <v>94</v>
      </c>
      <c r="EN16" s="6">
        <v>95</v>
      </c>
      <c r="EO16" s="22">
        <v>98</v>
      </c>
      <c r="EP16" s="6">
        <v>100</v>
      </c>
      <c r="EQ16" s="6">
        <v>99</v>
      </c>
      <c r="ER16" s="6"/>
      <c r="ES16" s="6"/>
      <c r="ET16" s="6">
        <v>96</v>
      </c>
      <c r="EU16" s="20">
        <v>99</v>
      </c>
    </row>
    <row r="17" spans="2:151">
      <c r="B17" s="3">
        <v>11</v>
      </c>
      <c r="C17" s="3">
        <v>65</v>
      </c>
      <c r="D17" s="3">
        <v>75</v>
      </c>
      <c r="E17" s="3">
        <v>55</v>
      </c>
      <c r="F17" s="3">
        <v>68</v>
      </c>
      <c r="G17" s="3">
        <v>65</v>
      </c>
      <c r="H17" s="3">
        <v>61</v>
      </c>
      <c r="I17" s="3">
        <v>73</v>
      </c>
      <c r="J17" s="3">
        <v>78</v>
      </c>
      <c r="K17" s="3">
        <v>68</v>
      </c>
      <c r="L17" s="3">
        <v>41</v>
      </c>
      <c r="M17" s="3">
        <v>64</v>
      </c>
      <c r="N17" s="3">
        <v>65</v>
      </c>
      <c r="O17" s="3">
        <v>62</v>
      </c>
      <c r="P17" s="3">
        <v>66</v>
      </c>
      <c r="Q17" s="3">
        <v>72</v>
      </c>
      <c r="R17" s="3">
        <v>80</v>
      </c>
      <c r="S17" s="3">
        <v>80</v>
      </c>
      <c r="T17" s="3">
        <v>75</v>
      </c>
      <c r="U17" s="3">
        <v>55</v>
      </c>
      <c r="V17" s="3">
        <v>108</v>
      </c>
      <c r="W17" s="3">
        <v>82</v>
      </c>
      <c r="X17" s="3">
        <v>71</v>
      </c>
      <c r="Y17" s="3">
        <v>64</v>
      </c>
      <c r="Z17" s="3">
        <v>69</v>
      </c>
      <c r="AA17" s="3">
        <v>80</v>
      </c>
      <c r="AC17" s="3">
        <v>11</v>
      </c>
      <c r="AD17" s="3">
        <v>6</v>
      </c>
      <c r="AE17" s="3">
        <v>51</v>
      </c>
      <c r="AF17" s="3">
        <v>54</v>
      </c>
      <c r="AH17" s="6">
        <v>6</v>
      </c>
      <c r="AI17" s="6">
        <v>2</v>
      </c>
      <c r="AJ17" s="6">
        <v>5</v>
      </c>
      <c r="AK17" s="6">
        <v>8</v>
      </c>
      <c r="AL17" s="6">
        <v>3</v>
      </c>
      <c r="AM17" s="6">
        <v>7</v>
      </c>
      <c r="AN17" s="6">
        <v>7</v>
      </c>
      <c r="AO17" s="6">
        <v>12</v>
      </c>
      <c r="AP17" s="6">
        <v>12</v>
      </c>
      <c r="AQ17" s="6">
        <v>8</v>
      </c>
      <c r="AR17" s="6">
        <v>1</v>
      </c>
      <c r="AS17" s="6">
        <v>6</v>
      </c>
      <c r="AT17" s="6">
        <v>6</v>
      </c>
      <c r="AU17" s="6">
        <v>9</v>
      </c>
      <c r="AV17" s="6">
        <v>7</v>
      </c>
      <c r="AW17" s="6">
        <v>10</v>
      </c>
      <c r="AX17" s="6">
        <v>6</v>
      </c>
      <c r="AY17" s="6">
        <v>12</v>
      </c>
      <c r="AZ17" s="6">
        <v>4</v>
      </c>
      <c r="BA17" s="6">
        <v>8</v>
      </c>
      <c r="BB17" s="6">
        <v>37</v>
      </c>
      <c r="BC17" s="6">
        <v>26</v>
      </c>
      <c r="BD17" s="6">
        <v>10</v>
      </c>
      <c r="BE17" s="6">
        <v>5</v>
      </c>
      <c r="BF17" s="6">
        <v>15</v>
      </c>
      <c r="BG17" s="6">
        <v>20</v>
      </c>
      <c r="BI17" s="6">
        <v>10</v>
      </c>
      <c r="BJ17" s="6"/>
      <c r="BK17" s="6"/>
      <c r="BL17" s="6"/>
      <c r="BM17" s="6"/>
      <c r="BN17" s="6"/>
      <c r="BO17" s="22"/>
      <c r="BP17" s="21"/>
      <c r="BQ17" s="6"/>
      <c r="BR17" s="6"/>
      <c r="BS17" s="6"/>
      <c r="BT17" s="6"/>
      <c r="BU17" s="22"/>
      <c r="BV17" s="21"/>
      <c r="BW17" s="6"/>
      <c r="BX17" s="6"/>
      <c r="BY17" s="6"/>
      <c r="BZ17" s="6"/>
      <c r="CA17" s="22"/>
      <c r="CB17" s="6"/>
      <c r="CC17" s="6"/>
      <c r="CD17" s="6"/>
      <c r="CE17" s="6"/>
      <c r="CF17" s="6"/>
      <c r="CG17" s="22"/>
      <c r="CH17" s="21"/>
      <c r="CI17" s="6"/>
      <c r="CJ17" s="6">
        <v>100</v>
      </c>
      <c r="CK17" s="6">
        <v>99</v>
      </c>
      <c r="CL17" s="6">
        <v>85</v>
      </c>
      <c r="CM17" s="22">
        <v>90</v>
      </c>
      <c r="CN17" s="6"/>
      <c r="CO17" s="6"/>
      <c r="CP17" s="6"/>
      <c r="CQ17" s="6"/>
      <c r="CR17" s="6"/>
      <c r="CS17" s="22"/>
      <c r="CT17" s="6"/>
      <c r="CU17" s="6"/>
      <c r="CV17" s="6">
        <v>100</v>
      </c>
      <c r="CW17" s="6">
        <v>99</v>
      </c>
      <c r="CX17" s="6"/>
      <c r="CY17" s="22"/>
      <c r="CZ17" s="6"/>
      <c r="DA17" s="6"/>
      <c r="DB17" s="6">
        <v>100</v>
      </c>
      <c r="DC17" s="6">
        <v>99</v>
      </c>
      <c r="DD17" s="6">
        <v>100</v>
      </c>
      <c r="DE17" s="22">
        <v>99</v>
      </c>
      <c r="DF17" s="6">
        <v>95</v>
      </c>
      <c r="DG17" s="6">
        <v>99</v>
      </c>
      <c r="DH17" s="6"/>
      <c r="DI17" s="6"/>
      <c r="DJ17" s="6"/>
      <c r="DK17" s="22"/>
      <c r="DL17" s="6"/>
      <c r="DM17" s="6"/>
      <c r="DN17" s="6">
        <v>85</v>
      </c>
      <c r="DO17" s="6">
        <v>89</v>
      </c>
      <c r="DP17" s="6"/>
      <c r="DQ17" s="22"/>
      <c r="DR17" s="6"/>
      <c r="DS17" s="6"/>
      <c r="DT17" s="6">
        <v>93</v>
      </c>
      <c r="DU17" s="6">
        <v>98</v>
      </c>
      <c r="DV17" s="6">
        <v>100</v>
      </c>
      <c r="DW17" s="22">
        <v>99</v>
      </c>
      <c r="DX17" s="6">
        <v>85</v>
      </c>
      <c r="DY17" s="6">
        <v>95</v>
      </c>
      <c r="DZ17" s="6"/>
      <c r="EA17" s="6"/>
      <c r="EB17" s="6"/>
      <c r="EC17" s="22"/>
      <c r="ED17" s="6"/>
      <c r="EE17" s="6"/>
      <c r="EF17" s="6">
        <v>93</v>
      </c>
      <c r="EG17" s="6">
        <v>98</v>
      </c>
      <c r="EH17" s="6">
        <v>95</v>
      </c>
      <c r="EI17" s="22">
        <v>99</v>
      </c>
      <c r="EJ17" s="21"/>
      <c r="EK17" s="6"/>
      <c r="EL17" s="6">
        <v>96</v>
      </c>
      <c r="EM17" s="6">
        <v>99</v>
      </c>
      <c r="EN17" s="6">
        <v>100</v>
      </c>
      <c r="EO17" s="22">
        <v>99</v>
      </c>
      <c r="EP17" s="6"/>
      <c r="EQ17" s="6"/>
      <c r="ER17" s="6"/>
      <c r="ES17" s="6"/>
      <c r="ET17" s="6">
        <v>100</v>
      </c>
      <c r="EU17" s="20">
        <v>99</v>
      </c>
    </row>
    <row r="18" spans="2:151">
      <c r="B18" s="3">
        <v>12</v>
      </c>
      <c r="C18" s="3">
        <v>68</v>
      </c>
      <c r="D18" s="3">
        <v>77</v>
      </c>
      <c r="E18" s="3">
        <v>60</v>
      </c>
      <c r="F18" s="3">
        <v>75</v>
      </c>
      <c r="G18" s="3">
        <v>68</v>
      </c>
      <c r="H18" s="3">
        <v>63</v>
      </c>
      <c r="I18" s="3">
        <v>75</v>
      </c>
      <c r="J18" s="3">
        <v>82</v>
      </c>
      <c r="K18" s="3">
        <v>70</v>
      </c>
      <c r="L18" s="3">
        <v>45</v>
      </c>
      <c r="M18" s="3">
        <v>66</v>
      </c>
      <c r="N18" s="3">
        <v>67</v>
      </c>
      <c r="O18" s="3">
        <v>63</v>
      </c>
      <c r="P18" s="3">
        <v>68</v>
      </c>
      <c r="Q18" s="3">
        <v>75</v>
      </c>
      <c r="R18" s="3">
        <v>83</v>
      </c>
      <c r="S18" s="3">
        <v>85</v>
      </c>
      <c r="T18" s="3">
        <v>80</v>
      </c>
      <c r="U18" s="3">
        <v>60</v>
      </c>
      <c r="V18" s="3">
        <v>112</v>
      </c>
      <c r="W18" s="3">
        <v>85</v>
      </c>
      <c r="X18" s="3">
        <v>73</v>
      </c>
      <c r="Y18" s="3">
        <v>66</v>
      </c>
      <c r="Z18" s="3">
        <v>71</v>
      </c>
      <c r="AA18" s="3">
        <v>83</v>
      </c>
      <c r="AC18" s="3">
        <v>12</v>
      </c>
      <c r="AD18" s="3">
        <v>8</v>
      </c>
      <c r="AE18" s="3">
        <v>55</v>
      </c>
      <c r="AF18" s="3">
        <v>56</v>
      </c>
      <c r="AH18" s="6">
        <v>7</v>
      </c>
      <c r="AI18" s="6">
        <v>5</v>
      </c>
      <c r="AJ18" s="6">
        <v>5</v>
      </c>
      <c r="AK18" s="6">
        <v>9</v>
      </c>
      <c r="AL18" s="6">
        <v>3</v>
      </c>
      <c r="AM18" s="6">
        <v>9</v>
      </c>
      <c r="AN18" s="6">
        <v>8</v>
      </c>
      <c r="AO18" s="6">
        <v>12</v>
      </c>
      <c r="AP18" s="6">
        <v>12</v>
      </c>
      <c r="AQ18" s="6">
        <v>8</v>
      </c>
      <c r="AR18" s="6">
        <v>1</v>
      </c>
      <c r="AS18" s="6">
        <v>9</v>
      </c>
      <c r="AT18" s="6">
        <v>6</v>
      </c>
      <c r="AU18" s="6">
        <v>9</v>
      </c>
      <c r="AV18" s="6">
        <v>7</v>
      </c>
      <c r="AW18" s="6">
        <v>10</v>
      </c>
      <c r="AX18" s="6">
        <v>6</v>
      </c>
      <c r="AY18" s="6">
        <v>12</v>
      </c>
      <c r="AZ18" s="6">
        <v>4</v>
      </c>
      <c r="BA18" s="6">
        <v>9</v>
      </c>
      <c r="BB18" s="6">
        <v>37</v>
      </c>
      <c r="BC18" s="6">
        <v>26</v>
      </c>
      <c r="BD18" s="6">
        <v>10</v>
      </c>
      <c r="BE18" s="6">
        <v>8</v>
      </c>
      <c r="BF18" s="6">
        <v>15</v>
      </c>
      <c r="BG18" s="6">
        <v>20</v>
      </c>
      <c r="BI18" s="6">
        <v>11</v>
      </c>
      <c r="BJ18" s="6"/>
      <c r="BK18" s="6"/>
      <c r="BL18" s="6"/>
      <c r="BM18" s="6"/>
      <c r="BN18" s="6"/>
      <c r="BO18" s="22"/>
      <c r="BP18" s="21"/>
      <c r="BQ18" s="6"/>
      <c r="BR18" s="6"/>
      <c r="BS18" s="6"/>
      <c r="BT18" s="6"/>
      <c r="BU18" s="22"/>
      <c r="BV18" s="21"/>
      <c r="BW18" s="6"/>
      <c r="BX18" s="6"/>
      <c r="BY18" s="6"/>
      <c r="BZ18" s="6"/>
      <c r="CA18" s="22"/>
      <c r="CB18" s="6"/>
      <c r="CC18" s="6"/>
      <c r="CD18" s="6"/>
      <c r="CE18" s="6"/>
      <c r="CF18" s="6"/>
      <c r="CG18" s="22"/>
      <c r="CH18" s="21"/>
      <c r="CI18" s="6"/>
      <c r="CJ18" s="6"/>
      <c r="CK18" s="6"/>
      <c r="CL18" s="6">
        <v>93</v>
      </c>
      <c r="CM18" s="22">
        <v>96</v>
      </c>
      <c r="CN18" s="6"/>
      <c r="CO18" s="6"/>
      <c r="CP18" s="6"/>
      <c r="CQ18" s="6"/>
      <c r="CR18" s="6"/>
      <c r="CS18" s="22"/>
      <c r="CT18" s="6"/>
      <c r="CU18" s="6"/>
      <c r="CV18" s="6"/>
      <c r="CW18" s="6"/>
      <c r="CX18" s="6"/>
      <c r="CY18" s="22"/>
      <c r="CZ18" s="6"/>
      <c r="DA18" s="6"/>
      <c r="DB18" s="6"/>
      <c r="DC18" s="6"/>
      <c r="DD18" s="6"/>
      <c r="DE18" s="22"/>
      <c r="DF18" s="6">
        <v>100</v>
      </c>
      <c r="DG18" s="6">
        <v>99</v>
      </c>
      <c r="DH18" s="6"/>
      <c r="DI18" s="6"/>
      <c r="DJ18" s="6"/>
      <c r="DK18" s="22"/>
      <c r="DL18" s="6"/>
      <c r="DM18" s="6"/>
      <c r="DN18" s="6">
        <v>93</v>
      </c>
      <c r="DO18" s="6">
        <v>95</v>
      </c>
      <c r="DP18" s="6"/>
      <c r="DQ18" s="22"/>
      <c r="DR18" s="6"/>
      <c r="DS18" s="6"/>
      <c r="DT18" s="6">
        <v>100</v>
      </c>
      <c r="DU18" s="6">
        <v>99</v>
      </c>
      <c r="DV18" s="6"/>
      <c r="DW18" s="22"/>
      <c r="DX18" s="6">
        <v>93</v>
      </c>
      <c r="DY18" s="6">
        <v>98</v>
      </c>
      <c r="DZ18" s="6"/>
      <c r="EA18" s="6"/>
      <c r="EB18" s="6"/>
      <c r="EC18" s="22"/>
      <c r="ED18" s="6"/>
      <c r="EE18" s="6"/>
      <c r="EF18" s="6">
        <v>100</v>
      </c>
      <c r="EG18" s="6">
        <v>99</v>
      </c>
      <c r="EH18" s="6">
        <v>100</v>
      </c>
      <c r="EI18" s="22">
        <v>99</v>
      </c>
      <c r="EJ18" s="21"/>
      <c r="EK18" s="6"/>
      <c r="EL18" s="6">
        <v>100</v>
      </c>
      <c r="EM18" s="6">
        <v>99</v>
      </c>
      <c r="EN18" s="6"/>
      <c r="EO18" s="22"/>
      <c r="EP18" s="6"/>
      <c r="EQ18" s="6"/>
      <c r="ER18" s="6"/>
      <c r="ES18" s="6"/>
      <c r="ET18" s="6"/>
      <c r="EU18" s="20"/>
    </row>
    <row r="19" spans="2:151">
      <c r="B19" s="3">
        <v>13</v>
      </c>
      <c r="C19" s="3">
        <v>70</v>
      </c>
      <c r="D19" s="3">
        <v>78</v>
      </c>
      <c r="E19" s="3">
        <v>65</v>
      </c>
      <c r="F19" s="3">
        <v>78</v>
      </c>
      <c r="G19" s="3">
        <v>70</v>
      </c>
      <c r="H19" s="3">
        <v>64</v>
      </c>
      <c r="I19" s="3">
        <v>78</v>
      </c>
      <c r="J19" s="3">
        <v>85</v>
      </c>
      <c r="K19" s="3">
        <v>72</v>
      </c>
      <c r="L19" s="3">
        <v>49</v>
      </c>
      <c r="M19" s="3">
        <v>69</v>
      </c>
      <c r="N19" s="3">
        <v>68</v>
      </c>
      <c r="O19" s="3">
        <v>65</v>
      </c>
      <c r="P19" s="3">
        <v>69</v>
      </c>
      <c r="Q19" s="3">
        <v>78</v>
      </c>
      <c r="R19" s="3">
        <v>85</v>
      </c>
      <c r="S19" s="3">
        <v>95</v>
      </c>
      <c r="T19" s="3">
        <v>85</v>
      </c>
      <c r="U19" s="3">
        <v>63</v>
      </c>
      <c r="V19" s="3">
        <v>115</v>
      </c>
      <c r="W19" s="3">
        <v>90</v>
      </c>
      <c r="X19" s="3">
        <v>75</v>
      </c>
      <c r="Y19" s="3">
        <v>68</v>
      </c>
      <c r="Z19" s="3">
        <v>73</v>
      </c>
      <c r="AA19" s="3">
        <v>85</v>
      </c>
      <c r="AC19" s="3">
        <v>13</v>
      </c>
      <c r="AD19" s="3">
        <v>10</v>
      </c>
      <c r="AE19" s="3">
        <v>59</v>
      </c>
      <c r="AF19" s="3">
        <v>59</v>
      </c>
      <c r="AH19" s="6">
        <v>8</v>
      </c>
      <c r="AI19" s="6">
        <v>5</v>
      </c>
      <c r="AJ19" s="6">
        <v>6</v>
      </c>
      <c r="AK19" s="6">
        <v>9</v>
      </c>
      <c r="AL19" s="6">
        <v>3</v>
      </c>
      <c r="AM19" s="6">
        <v>9</v>
      </c>
      <c r="AN19" s="6">
        <v>8</v>
      </c>
      <c r="AO19" s="6">
        <v>12</v>
      </c>
      <c r="AP19" s="6">
        <v>12</v>
      </c>
      <c r="AQ19" s="6">
        <v>8</v>
      </c>
      <c r="AR19" s="6">
        <v>1</v>
      </c>
      <c r="AS19" s="6">
        <v>9</v>
      </c>
      <c r="AT19" s="6">
        <v>10</v>
      </c>
      <c r="AU19" s="6">
        <v>10</v>
      </c>
      <c r="AV19" s="6">
        <v>12</v>
      </c>
      <c r="AW19" s="6">
        <v>10</v>
      </c>
      <c r="AX19" s="6">
        <v>10</v>
      </c>
      <c r="AY19" s="6">
        <v>12</v>
      </c>
      <c r="AZ19" s="6">
        <v>4</v>
      </c>
      <c r="BA19" s="6">
        <v>9</v>
      </c>
      <c r="BB19" s="6">
        <v>37</v>
      </c>
      <c r="BC19" s="6">
        <v>26</v>
      </c>
      <c r="BD19" s="6">
        <v>10</v>
      </c>
      <c r="BE19" s="6">
        <v>8</v>
      </c>
      <c r="BF19" s="6">
        <v>16</v>
      </c>
      <c r="BG19" s="6">
        <v>20</v>
      </c>
      <c r="BI19" s="6">
        <v>12</v>
      </c>
      <c r="BJ19" s="6"/>
      <c r="BK19" s="6"/>
      <c r="BL19" s="6"/>
      <c r="BM19" s="6"/>
      <c r="BN19" s="6"/>
      <c r="BO19" s="22"/>
      <c r="BP19" s="21"/>
      <c r="BQ19" s="6"/>
      <c r="BR19" s="6"/>
      <c r="BS19" s="6"/>
      <c r="BT19" s="6"/>
      <c r="BU19" s="22"/>
      <c r="BV19" s="21"/>
      <c r="BW19" s="6"/>
      <c r="BX19" s="6"/>
      <c r="BY19" s="6"/>
      <c r="BZ19" s="6"/>
      <c r="CA19" s="22"/>
      <c r="CB19" s="6"/>
      <c r="CC19" s="6"/>
      <c r="CD19" s="6"/>
      <c r="CE19" s="6"/>
      <c r="CF19" s="6"/>
      <c r="CG19" s="22"/>
      <c r="CH19" s="21"/>
      <c r="CI19" s="6"/>
      <c r="CJ19" s="6"/>
      <c r="CK19" s="6"/>
      <c r="CL19" s="6">
        <v>100</v>
      </c>
      <c r="CM19" s="22">
        <v>99</v>
      </c>
      <c r="CN19" s="21"/>
      <c r="CO19" s="6"/>
      <c r="CP19" s="6"/>
      <c r="CQ19" s="6"/>
      <c r="CR19" s="6"/>
      <c r="CS19" s="22"/>
      <c r="CT19" s="6"/>
      <c r="CU19" s="6"/>
      <c r="CV19" s="6"/>
      <c r="CW19" s="6"/>
      <c r="CX19" s="6"/>
      <c r="CY19" s="22"/>
      <c r="CZ19" s="6"/>
      <c r="DA19" s="6"/>
      <c r="DB19" s="6"/>
      <c r="DC19" s="6"/>
      <c r="DD19" s="6"/>
      <c r="DE19" s="22"/>
      <c r="DF19" s="6"/>
      <c r="DG19" s="6"/>
      <c r="DH19" s="6"/>
      <c r="DI19" s="6"/>
      <c r="DJ19" s="6"/>
      <c r="DK19" s="22"/>
      <c r="DL19" s="6"/>
      <c r="DM19" s="6"/>
      <c r="DN19" s="6">
        <v>100</v>
      </c>
      <c r="DO19" s="6">
        <v>99</v>
      </c>
      <c r="DP19" s="6"/>
      <c r="DQ19" s="22"/>
      <c r="DR19" s="6"/>
      <c r="DS19" s="6"/>
      <c r="DT19" s="6"/>
      <c r="DU19" s="6"/>
      <c r="DV19" s="6"/>
      <c r="DW19" s="22"/>
      <c r="DX19" s="6">
        <v>100</v>
      </c>
      <c r="DY19" s="6">
        <v>99</v>
      </c>
      <c r="DZ19" s="6"/>
      <c r="EA19" s="6"/>
      <c r="EB19" s="6"/>
      <c r="EC19" s="22"/>
      <c r="ED19" s="6"/>
      <c r="EE19" s="6"/>
      <c r="EF19" s="6"/>
      <c r="EG19" s="6"/>
      <c r="EH19" s="6"/>
      <c r="EI19" s="22"/>
      <c r="EJ19" s="21"/>
      <c r="EK19" s="6"/>
      <c r="EL19" s="6"/>
      <c r="EM19" s="6"/>
      <c r="EN19" s="6"/>
      <c r="EO19" s="22"/>
      <c r="EP19" s="6"/>
      <c r="EQ19" s="6"/>
      <c r="ER19" s="6"/>
      <c r="ES19" s="6"/>
      <c r="ET19" s="6"/>
      <c r="EU19" s="20"/>
    </row>
    <row r="20" spans="2:151">
      <c r="B20" s="3">
        <v>14</v>
      </c>
      <c r="C20" s="3">
        <v>73</v>
      </c>
      <c r="D20" s="3">
        <v>80</v>
      </c>
      <c r="E20" s="3">
        <v>70</v>
      </c>
      <c r="F20" s="3">
        <v>80</v>
      </c>
      <c r="G20" s="3">
        <v>73</v>
      </c>
      <c r="H20" s="3">
        <v>65</v>
      </c>
      <c r="I20" s="3">
        <v>80</v>
      </c>
      <c r="J20" s="3">
        <v>89</v>
      </c>
      <c r="K20" s="3">
        <v>73</v>
      </c>
      <c r="L20" s="3">
        <v>53</v>
      </c>
      <c r="M20" s="3">
        <v>71</v>
      </c>
      <c r="N20" s="3">
        <v>70</v>
      </c>
      <c r="O20" s="3">
        <v>66</v>
      </c>
      <c r="P20" s="3">
        <v>71</v>
      </c>
      <c r="Q20" s="3">
        <v>82</v>
      </c>
      <c r="R20" s="3">
        <v>90</v>
      </c>
      <c r="S20" s="3">
        <v>105</v>
      </c>
      <c r="T20" s="3">
        <v>90</v>
      </c>
      <c r="U20" s="3">
        <v>66</v>
      </c>
      <c r="W20" s="3">
        <v>95</v>
      </c>
      <c r="X20" s="3">
        <v>80</v>
      </c>
      <c r="Y20" s="3">
        <v>69</v>
      </c>
      <c r="Z20" s="3">
        <v>75</v>
      </c>
      <c r="AA20" s="3">
        <v>90</v>
      </c>
      <c r="AC20" s="3">
        <v>14</v>
      </c>
      <c r="AD20" s="3">
        <v>11</v>
      </c>
      <c r="AE20" s="3">
        <v>63</v>
      </c>
      <c r="AF20" s="3">
        <v>61</v>
      </c>
      <c r="AH20" s="6">
        <v>9</v>
      </c>
      <c r="AI20" s="6">
        <v>5</v>
      </c>
      <c r="AJ20" s="6">
        <v>6</v>
      </c>
      <c r="AK20" s="6">
        <v>9</v>
      </c>
      <c r="AL20" s="6">
        <v>3</v>
      </c>
      <c r="AM20" s="6">
        <v>10</v>
      </c>
      <c r="AN20" s="6">
        <v>8</v>
      </c>
      <c r="AO20" s="6">
        <v>12</v>
      </c>
      <c r="AP20" s="6">
        <v>12</v>
      </c>
      <c r="AQ20" s="6">
        <v>8</v>
      </c>
      <c r="AR20" s="6">
        <v>1</v>
      </c>
      <c r="AS20" s="6">
        <v>10</v>
      </c>
      <c r="AT20" s="6">
        <v>10</v>
      </c>
      <c r="AU20" s="6">
        <v>10</v>
      </c>
      <c r="AV20" s="6">
        <v>13</v>
      </c>
      <c r="AW20" s="6">
        <v>15</v>
      </c>
      <c r="AX20" s="6">
        <v>10</v>
      </c>
      <c r="AY20" s="6">
        <v>12</v>
      </c>
      <c r="AZ20" s="6">
        <v>4</v>
      </c>
      <c r="BA20" s="6">
        <v>9</v>
      </c>
      <c r="BB20" s="6">
        <v>37</v>
      </c>
      <c r="BC20" s="6">
        <v>26</v>
      </c>
      <c r="BD20" s="6">
        <v>10</v>
      </c>
      <c r="BE20" s="6">
        <v>9</v>
      </c>
      <c r="BF20" s="6">
        <v>21</v>
      </c>
      <c r="BG20" s="6">
        <v>20</v>
      </c>
    </row>
    <row r="21" spans="2:151">
      <c r="B21" s="3">
        <v>15</v>
      </c>
      <c r="C21" s="3">
        <v>75</v>
      </c>
      <c r="D21" s="3">
        <v>82</v>
      </c>
      <c r="E21" s="3">
        <v>75</v>
      </c>
      <c r="F21" s="3">
        <v>83</v>
      </c>
      <c r="G21" s="3">
        <v>75</v>
      </c>
      <c r="H21" s="3">
        <v>67</v>
      </c>
      <c r="I21" s="3">
        <v>83</v>
      </c>
      <c r="J21" s="3">
        <v>93</v>
      </c>
      <c r="K21" s="3">
        <v>75</v>
      </c>
      <c r="L21" s="3">
        <v>56</v>
      </c>
      <c r="M21" s="3">
        <v>73</v>
      </c>
      <c r="N21" s="3">
        <v>72</v>
      </c>
      <c r="O21" s="3">
        <v>68</v>
      </c>
      <c r="P21" s="3">
        <v>73</v>
      </c>
      <c r="Q21" s="3">
        <v>85</v>
      </c>
      <c r="R21" s="3">
        <v>95</v>
      </c>
      <c r="S21" s="3">
        <v>115</v>
      </c>
      <c r="T21" s="3">
        <v>95</v>
      </c>
      <c r="U21" s="3">
        <v>69</v>
      </c>
      <c r="W21" s="3">
        <v>100</v>
      </c>
      <c r="X21" s="3">
        <v>85</v>
      </c>
      <c r="Y21" s="3">
        <v>71</v>
      </c>
      <c r="Z21" s="3">
        <v>78</v>
      </c>
      <c r="AA21" s="3">
        <v>95</v>
      </c>
      <c r="AC21" s="3">
        <v>15</v>
      </c>
      <c r="AD21" s="3">
        <v>13</v>
      </c>
      <c r="AE21" s="3">
        <v>67</v>
      </c>
      <c r="AF21" s="3">
        <v>63</v>
      </c>
      <c r="AH21" s="6">
        <v>10</v>
      </c>
      <c r="AI21" s="6">
        <v>5</v>
      </c>
      <c r="AJ21" s="6">
        <v>6</v>
      </c>
      <c r="AK21" s="6">
        <v>13</v>
      </c>
      <c r="AL21" s="6">
        <v>4</v>
      </c>
      <c r="AM21" s="6">
        <v>10</v>
      </c>
      <c r="AN21" s="6">
        <v>8</v>
      </c>
      <c r="AO21" s="6">
        <v>12</v>
      </c>
      <c r="AP21" s="6">
        <v>12</v>
      </c>
      <c r="AQ21" s="6">
        <v>13</v>
      </c>
      <c r="AR21" s="6">
        <v>1</v>
      </c>
      <c r="AS21" s="6">
        <v>10</v>
      </c>
      <c r="AT21" s="6">
        <v>10</v>
      </c>
      <c r="AU21" s="6">
        <v>10</v>
      </c>
      <c r="AV21" s="6">
        <v>13</v>
      </c>
      <c r="AW21" s="6">
        <v>15</v>
      </c>
      <c r="AX21" s="6">
        <v>10</v>
      </c>
      <c r="AY21" s="6">
        <v>17</v>
      </c>
      <c r="AZ21" s="6">
        <v>8</v>
      </c>
      <c r="BA21" s="6">
        <v>13</v>
      </c>
      <c r="BB21" s="6">
        <v>37</v>
      </c>
      <c r="BC21" s="6">
        <v>26</v>
      </c>
      <c r="BD21" s="6">
        <v>10</v>
      </c>
      <c r="BE21" s="6">
        <v>9</v>
      </c>
      <c r="BF21" s="6">
        <v>21</v>
      </c>
      <c r="BG21" s="6">
        <v>20</v>
      </c>
    </row>
    <row r="22" spans="2:151">
      <c r="B22" s="3">
        <v>16</v>
      </c>
      <c r="C22" s="3">
        <v>78</v>
      </c>
      <c r="D22" s="3">
        <v>83</v>
      </c>
      <c r="E22" s="3">
        <v>76</v>
      </c>
      <c r="F22" s="3">
        <v>85</v>
      </c>
      <c r="G22" s="3">
        <v>78</v>
      </c>
      <c r="H22" s="3">
        <v>68</v>
      </c>
      <c r="I22" s="3">
        <v>85</v>
      </c>
      <c r="J22" s="3">
        <v>96</v>
      </c>
      <c r="K22" s="3">
        <v>78</v>
      </c>
      <c r="L22" s="3">
        <v>60</v>
      </c>
      <c r="M22" s="3">
        <v>75</v>
      </c>
      <c r="N22" s="3">
        <v>73</v>
      </c>
      <c r="O22" s="3">
        <v>69</v>
      </c>
      <c r="P22" s="3">
        <v>75</v>
      </c>
      <c r="Q22" s="3">
        <v>88</v>
      </c>
      <c r="R22" s="3">
        <v>100</v>
      </c>
      <c r="T22" s="3">
        <v>100</v>
      </c>
      <c r="U22" s="3">
        <v>72</v>
      </c>
      <c r="W22" s="3">
        <v>105</v>
      </c>
      <c r="X22" s="3">
        <v>93</v>
      </c>
      <c r="Y22" s="3">
        <v>73</v>
      </c>
      <c r="Z22" s="3">
        <v>82</v>
      </c>
      <c r="AA22" s="3">
        <v>100</v>
      </c>
      <c r="AC22" s="3">
        <v>16</v>
      </c>
      <c r="AD22" s="3">
        <v>14</v>
      </c>
      <c r="AE22" s="3">
        <v>71</v>
      </c>
      <c r="AF22" s="3">
        <v>66</v>
      </c>
      <c r="AH22" s="6">
        <v>11</v>
      </c>
      <c r="AI22" s="6">
        <v>5</v>
      </c>
      <c r="AJ22" s="6">
        <v>6</v>
      </c>
      <c r="AK22" s="6">
        <v>13</v>
      </c>
      <c r="AL22" s="6">
        <v>4</v>
      </c>
      <c r="AM22" s="6">
        <v>10</v>
      </c>
      <c r="AN22" s="6">
        <v>9</v>
      </c>
      <c r="AO22" s="6">
        <v>12</v>
      </c>
      <c r="AP22" s="6">
        <v>12</v>
      </c>
      <c r="AQ22" s="6">
        <v>13</v>
      </c>
      <c r="AR22" s="6">
        <v>1</v>
      </c>
      <c r="AS22" s="6">
        <v>10</v>
      </c>
      <c r="AT22" s="6">
        <v>11</v>
      </c>
      <c r="AU22" s="6">
        <v>10</v>
      </c>
      <c r="AV22" s="6">
        <v>13</v>
      </c>
      <c r="AW22" s="6">
        <v>15</v>
      </c>
      <c r="AX22" s="6">
        <v>10</v>
      </c>
      <c r="AY22" s="6">
        <v>19</v>
      </c>
      <c r="AZ22" s="6">
        <v>9</v>
      </c>
      <c r="BA22" s="6">
        <v>14</v>
      </c>
      <c r="BB22" s="6">
        <v>37</v>
      </c>
      <c r="BC22" s="6">
        <v>26</v>
      </c>
      <c r="BD22" s="6">
        <v>10</v>
      </c>
      <c r="BE22" s="6">
        <v>9</v>
      </c>
      <c r="BF22" s="6">
        <v>22</v>
      </c>
      <c r="BG22" s="6">
        <v>20</v>
      </c>
    </row>
    <row r="23" spans="2:151">
      <c r="B23" s="3">
        <v>17</v>
      </c>
      <c r="C23" s="3">
        <v>82</v>
      </c>
      <c r="D23" s="3">
        <v>85</v>
      </c>
      <c r="E23" s="3">
        <v>78</v>
      </c>
      <c r="F23" s="3">
        <v>89</v>
      </c>
      <c r="G23" s="3">
        <v>80</v>
      </c>
      <c r="H23" s="3">
        <v>70</v>
      </c>
      <c r="I23" s="3">
        <v>88</v>
      </c>
      <c r="J23" s="3">
        <v>100</v>
      </c>
      <c r="K23" s="3">
        <v>82</v>
      </c>
      <c r="L23" s="3">
        <v>64</v>
      </c>
      <c r="M23" s="3">
        <v>78</v>
      </c>
      <c r="N23" s="3">
        <v>75</v>
      </c>
      <c r="O23" s="3">
        <v>71</v>
      </c>
      <c r="P23" s="3">
        <v>78</v>
      </c>
      <c r="Q23" s="3">
        <v>92</v>
      </c>
      <c r="R23" s="3">
        <v>105</v>
      </c>
      <c r="T23" s="3">
        <v>105</v>
      </c>
      <c r="U23" s="3">
        <v>75</v>
      </c>
      <c r="W23" s="3">
        <v>110</v>
      </c>
      <c r="X23" s="3">
        <v>100</v>
      </c>
      <c r="Y23" s="3">
        <v>75</v>
      </c>
      <c r="Z23" s="3">
        <v>85</v>
      </c>
      <c r="AA23" s="3">
        <v>105</v>
      </c>
      <c r="AC23" s="3">
        <v>17</v>
      </c>
      <c r="AD23" s="3">
        <v>16</v>
      </c>
      <c r="AE23" s="3">
        <v>75</v>
      </c>
      <c r="AF23" s="3">
        <v>68</v>
      </c>
      <c r="AH23" s="6">
        <v>12</v>
      </c>
      <c r="AI23" s="6">
        <v>5</v>
      </c>
      <c r="AJ23" s="6">
        <v>10</v>
      </c>
      <c r="AK23" s="6">
        <v>14</v>
      </c>
      <c r="AL23" s="6">
        <v>7</v>
      </c>
      <c r="AM23" s="6">
        <v>11</v>
      </c>
      <c r="AN23" s="6">
        <v>13</v>
      </c>
      <c r="AO23" s="6">
        <v>15</v>
      </c>
      <c r="AP23" s="6">
        <v>12</v>
      </c>
      <c r="AQ23" s="6">
        <v>13</v>
      </c>
      <c r="AR23" s="6">
        <v>1</v>
      </c>
      <c r="AS23" s="6">
        <v>10</v>
      </c>
      <c r="AT23" s="6">
        <v>11</v>
      </c>
      <c r="AU23" s="6">
        <v>14</v>
      </c>
      <c r="AV23" s="6">
        <v>13</v>
      </c>
      <c r="AW23" s="6">
        <v>15</v>
      </c>
      <c r="AX23" s="6">
        <v>10</v>
      </c>
      <c r="AY23" s="6">
        <v>19</v>
      </c>
      <c r="AZ23" s="6">
        <v>9</v>
      </c>
      <c r="BA23" s="6">
        <v>14</v>
      </c>
      <c r="BB23" s="6">
        <v>37</v>
      </c>
      <c r="BC23" s="6">
        <v>26</v>
      </c>
      <c r="BD23" s="6">
        <v>18</v>
      </c>
      <c r="BE23" s="6">
        <v>9</v>
      </c>
      <c r="BF23" s="6">
        <v>22</v>
      </c>
      <c r="BG23" s="6">
        <v>20</v>
      </c>
    </row>
    <row r="24" spans="2:151">
      <c r="B24" s="3">
        <v>18</v>
      </c>
      <c r="C24" s="3">
        <v>85</v>
      </c>
      <c r="D24" s="3">
        <v>89</v>
      </c>
      <c r="E24" s="3">
        <v>79</v>
      </c>
      <c r="F24" s="3">
        <v>94</v>
      </c>
      <c r="G24" s="3">
        <v>83</v>
      </c>
      <c r="H24" s="3">
        <v>71</v>
      </c>
      <c r="I24" s="3">
        <v>91</v>
      </c>
      <c r="J24" s="3">
        <v>104</v>
      </c>
      <c r="K24" s="3">
        <v>85</v>
      </c>
      <c r="L24" s="3">
        <v>68</v>
      </c>
      <c r="M24" s="3">
        <v>80</v>
      </c>
      <c r="N24" s="3">
        <v>78</v>
      </c>
      <c r="O24" s="3">
        <v>72</v>
      </c>
      <c r="P24" s="3">
        <v>82</v>
      </c>
      <c r="Q24" s="3">
        <v>95</v>
      </c>
      <c r="R24" s="3">
        <v>110</v>
      </c>
      <c r="T24" s="3">
        <v>110</v>
      </c>
      <c r="U24" s="3">
        <v>78</v>
      </c>
      <c r="W24" s="3">
        <v>115</v>
      </c>
      <c r="X24" s="3">
        <v>108</v>
      </c>
      <c r="Y24" s="3">
        <v>80</v>
      </c>
      <c r="Z24" s="3">
        <v>89</v>
      </c>
      <c r="AA24" s="3">
        <v>110</v>
      </c>
      <c r="AC24" s="3">
        <v>18</v>
      </c>
      <c r="AD24" s="3">
        <v>18</v>
      </c>
      <c r="AE24" s="3">
        <v>78</v>
      </c>
      <c r="AF24" s="3">
        <v>70</v>
      </c>
      <c r="AH24" s="6">
        <v>13</v>
      </c>
      <c r="AI24" s="6">
        <v>9</v>
      </c>
      <c r="AJ24" s="6">
        <v>10</v>
      </c>
      <c r="AK24" s="6">
        <v>14</v>
      </c>
      <c r="AL24" s="6">
        <v>7</v>
      </c>
      <c r="AM24" s="6">
        <v>14</v>
      </c>
      <c r="AN24" s="6">
        <v>13</v>
      </c>
      <c r="AO24" s="6">
        <v>15</v>
      </c>
      <c r="AP24" s="6">
        <v>12</v>
      </c>
      <c r="AQ24" s="6">
        <v>13</v>
      </c>
      <c r="AR24" s="6">
        <v>1</v>
      </c>
      <c r="AS24" s="6">
        <v>13</v>
      </c>
      <c r="AT24" s="6">
        <v>11</v>
      </c>
      <c r="AU24" s="6">
        <v>14</v>
      </c>
      <c r="AV24" s="6">
        <v>13</v>
      </c>
      <c r="AW24" s="6">
        <v>15</v>
      </c>
      <c r="AX24" s="6">
        <v>10</v>
      </c>
      <c r="AY24" s="6">
        <v>19</v>
      </c>
      <c r="AZ24" s="6">
        <v>9</v>
      </c>
      <c r="BA24" s="6">
        <v>14</v>
      </c>
      <c r="BB24" s="6">
        <v>37</v>
      </c>
      <c r="BC24" s="6">
        <v>26</v>
      </c>
      <c r="BD24" s="6">
        <v>19</v>
      </c>
      <c r="BE24" s="6">
        <v>13</v>
      </c>
      <c r="BF24" s="6">
        <v>22</v>
      </c>
      <c r="BG24" s="6">
        <v>20</v>
      </c>
    </row>
    <row r="25" spans="2:151">
      <c r="B25" s="3">
        <v>19</v>
      </c>
      <c r="C25" s="3">
        <v>91</v>
      </c>
      <c r="D25" s="3">
        <v>94</v>
      </c>
      <c r="E25" s="3">
        <v>80</v>
      </c>
      <c r="F25" s="3">
        <v>98</v>
      </c>
      <c r="G25" s="3">
        <v>85</v>
      </c>
      <c r="H25" s="3">
        <v>72</v>
      </c>
      <c r="I25" s="3">
        <v>94</v>
      </c>
      <c r="J25" s="3">
        <v>108</v>
      </c>
      <c r="K25" s="3">
        <v>93</v>
      </c>
      <c r="L25" s="3">
        <v>71</v>
      </c>
      <c r="M25" s="3">
        <v>83</v>
      </c>
      <c r="N25" s="3">
        <v>80</v>
      </c>
      <c r="O25" s="3">
        <v>74</v>
      </c>
      <c r="P25" s="3">
        <v>85</v>
      </c>
      <c r="Q25" s="3">
        <v>98</v>
      </c>
      <c r="R25" s="3">
        <v>115</v>
      </c>
      <c r="T25" s="3">
        <v>115</v>
      </c>
      <c r="U25" s="3">
        <v>80</v>
      </c>
      <c r="X25" s="3">
        <v>115</v>
      </c>
      <c r="Y25" s="3">
        <v>85</v>
      </c>
      <c r="Z25" s="3">
        <v>94</v>
      </c>
      <c r="AA25" s="3">
        <v>115</v>
      </c>
      <c r="AC25" s="3">
        <v>19</v>
      </c>
      <c r="AD25" s="3">
        <v>19</v>
      </c>
      <c r="AE25" s="3">
        <v>80</v>
      </c>
      <c r="AF25" s="3">
        <v>73</v>
      </c>
      <c r="AH25" s="6">
        <v>14</v>
      </c>
      <c r="AI25" s="6">
        <v>9</v>
      </c>
      <c r="AJ25" s="6">
        <v>10</v>
      </c>
      <c r="AK25" s="6">
        <v>14</v>
      </c>
      <c r="AL25" s="6">
        <v>7</v>
      </c>
      <c r="AM25" s="6">
        <v>14</v>
      </c>
      <c r="AN25" s="6">
        <v>14</v>
      </c>
      <c r="AO25" s="6">
        <v>15</v>
      </c>
      <c r="AP25" s="6">
        <v>12</v>
      </c>
      <c r="AQ25" s="6">
        <v>13</v>
      </c>
      <c r="AR25" s="6">
        <v>1</v>
      </c>
      <c r="AS25" s="6">
        <v>14</v>
      </c>
      <c r="AT25" s="6">
        <v>11</v>
      </c>
      <c r="AU25" s="6">
        <v>15</v>
      </c>
      <c r="AV25" s="6">
        <v>13</v>
      </c>
      <c r="AW25" s="6">
        <v>15</v>
      </c>
      <c r="AX25" s="6">
        <v>10</v>
      </c>
      <c r="AY25" s="6">
        <v>19</v>
      </c>
      <c r="AZ25" s="6">
        <v>9</v>
      </c>
      <c r="BA25" s="6">
        <v>14</v>
      </c>
      <c r="BB25" s="6">
        <v>37</v>
      </c>
      <c r="BC25" s="6">
        <v>26</v>
      </c>
      <c r="BD25" s="6">
        <v>19</v>
      </c>
      <c r="BE25" s="6">
        <v>14</v>
      </c>
      <c r="BF25" s="6">
        <v>22</v>
      </c>
      <c r="BG25" s="6">
        <v>20</v>
      </c>
    </row>
    <row r="26" spans="2:151">
      <c r="B26" s="3">
        <v>20</v>
      </c>
      <c r="C26" s="3">
        <v>97</v>
      </c>
      <c r="D26" s="3">
        <v>98</v>
      </c>
      <c r="E26" s="3">
        <v>81</v>
      </c>
      <c r="F26" s="3">
        <v>102</v>
      </c>
      <c r="G26" s="3">
        <v>88</v>
      </c>
      <c r="H26" s="3">
        <v>74</v>
      </c>
      <c r="I26" s="3">
        <v>97</v>
      </c>
      <c r="J26" s="3">
        <v>111</v>
      </c>
      <c r="K26" s="3">
        <v>100</v>
      </c>
      <c r="L26" s="3">
        <v>75</v>
      </c>
      <c r="M26" s="3">
        <v>85</v>
      </c>
      <c r="N26" s="3">
        <v>83</v>
      </c>
      <c r="O26" s="3">
        <v>75</v>
      </c>
      <c r="P26" s="3">
        <v>89</v>
      </c>
      <c r="Q26" s="3">
        <v>102</v>
      </c>
      <c r="U26" s="3">
        <v>83</v>
      </c>
      <c r="Y26" s="3">
        <v>89</v>
      </c>
      <c r="Z26" s="3">
        <v>98</v>
      </c>
      <c r="AC26" s="3">
        <v>20</v>
      </c>
      <c r="AD26" s="3">
        <v>21</v>
      </c>
      <c r="AE26" s="3">
        <v>83</v>
      </c>
      <c r="AF26" s="3">
        <v>75</v>
      </c>
      <c r="AH26" s="6">
        <v>15</v>
      </c>
      <c r="AI26" s="6">
        <v>9</v>
      </c>
      <c r="AJ26" s="6">
        <v>10</v>
      </c>
      <c r="AK26" s="6">
        <v>17</v>
      </c>
      <c r="AL26" s="6">
        <v>8</v>
      </c>
      <c r="AM26" s="6">
        <v>14</v>
      </c>
      <c r="AN26" s="6">
        <v>14</v>
      </c>
      <c r="AO26" s="6">
        <v>15</v>
      </c>
      <c r="AP26" s="6">
        <v>12</v>
      </c>
      <c r="AQ26" s="6">
        <v>13</v>
      </c>
      <c r="AR26" s="6">
        <v>1</v>
      </c>
      <c r="AS26" s="6">
        <v>14</v>
      </c>
      <c r="AT26" s="6">
        <v>15</v>
      </c>
      <c r="AU26" s="6">
        <v>15</v>
      </c>
      <c r="AV26" s="6">
        <v>18</v>
      </c>
      <c r="AW26" s="6">
        <v>15</v>
      </c>
      <c r="AX26" s="6">
        <v>14</v>
      </c>
      <c r="AY26" s="6">
        <v>19</v>
      </c>
      <c r="AZ26" s="6">
        <v>9</v>
      </c>
      <c r="BA26" s="6">
        <v>18</v>
      </c>
      <c r="BB26" s="6">
        <v>37</v>
      </c>
      <c r="BC26" s="6">
        <v>26</v>
      </c>
      <c r="BD26" s="6">
        <v>19</v>
      </c>
      <c r="BE26" s="6">
        <v>14</v>
      </c>
      <c r="BF26" s="6">
        <v>22</v>
      </c>
      <c r="BG26" s="6">
        <v>20</v>
      </c>
    </row>
    <row r="27" spans="2:151">
      <c r="B27" s="3">
        <v>21</v>
      </c>
      <c r="C27" s="3">
        <v>103</v>
      </c>
      <c r="D27" s="3">
        <v>102</v>
      </c>
      <c r="E27" s="3">
        <v>83</v>
      </c>
      <c r="F27" s="3">
        <v>106</v>
      </c>
      <c r="G27" s="3">
        <v>91</v>
      </c>
      <c r="H27" s="3">
        <v>75</v>
      </c>
      <c r="I27" s="3">
        <v>100</v>
      </c>
      <c r="J27" s="3">
        <v>115</v>
      </c>
      <c r="K27" s="3">
        <v>108</v>
      </c>
      <c r="L27" s="3">
        <v>80</v>
      </c>
      <c r="M27" s="3">
        <v>90</v>
      </c>
      <c r="N27" s="3">
        <v>85</v>
      </c>
      <c r="O27" s="3">
        <v>78</v>
      </c>
      <c r="P27" s="3">
        <v>93</v>
      </c>
      <c r="Q27" s="3">
        <v>105</v>
      </c>
      <c r="U27" s="3">
        <v>85</v>
      </c>
      <c r="Y27" s="3">
        <v>93</v>
      </c>
      <c r="Z27" s="3">
        <v>102</v>
      </c>
      <c r="AC27" s="3">
        <v>21</v>
      </c>
      <c r="AD27" s="3">
        <v>22</v>
      </c>
      <c r="AE27" s="3">
        <v>85</v>
      </c>
      <c r="AF27" s="3">
        <v>77</v>
      </c>
      <c r="AH27" s="6">
        <v>16</v>
      </c>
      <c r="AI27" s="6">
        <v>9</v>
      </c>
      <c r="AJ27" s="6">
        <v>10</v>
      </c>
      <c r="AK27" s="6">
        <v>17</v>
      </c>
      <c r="AL27" s="6">
        <v>8</v>
      </c>
      <c r="AM27" s="6">
        <v>14</v>
      </c>
      <c r="AN27" s="6">
        <v>14</v>
      </c>
      <c r="AO27" s="6">
        <v>15</v>
      </c>
      <c r="AP27" s="6">
        <v>13</v>
      </c>
      <c r="AQ27" s="6">
        <v>13</v>
      </c>
      <c r="AR27" s="6">
        <v>1</v>
      </c>
      <c r="AS27" s="6">
        <v>14</v>
      </c>
      <c r="AT27" s="6">
        <v>16</v>
      </c>
      <c r="AU27" s="6">
        <v>15</v>
      </c>
      <c r="AV27" s="6">
        <v>19</v>
      </c>
      <c r="AW27" s="6">
        <v>15</v>
      </c>
      <c r="AX27" s="6">
        <v>15</v>
      </c>
      <c r="AY27" s="6">
        <v>19</v>
      </c>
      <c r="AZ27" s="6">
        <v>9</v>
      </c>
      <c r="BA27" s="6">
        <v>18</v>
      </c>
      <c r="BB27" s="6">
        <v>37</v>
      </c>
      <c r="BC27" s="6">
        <v>26</v>
      </c>
      <c r="BD27" s="6">
        <v>19</v>
      </c>
      <c r="BE27" s="6">
        <v>14</v>
      </c>
      <c r="BF27" s="6">
        <v>22</v>
      </c>
      <c r="BG27" s="6">
        <v>20</v>
      </c>
    </row>
    <row r="28" spans="2:151">
      <c r="B28" s="3">
        <v>22</v>
      </c>
      <c r="C28" s="3">
        <v>109</v>
      </c>
      <c r="D28" s="3">
        <v>106</v>
      </c>
      <c r="E28" s="3">
        <v>84</v>
      </c>
      <c r="F28" s="3">
        <v>111</v>
      </c>
      <c r="G28" s="3">
        <v>94</v>
      </c>
      <c r="H28" s="3">
        <v>80</v>
      </c>
      <c r="I28" s="3">
        <v>103</v>
      </c>
      <c r="K28" s="3">
        <v>115</v>
      </c>
      <c r="L28" s="3">
        <v>85</v>
      </c>
      <c r="M28" s="3">
        <v>95</v>
      </c>
      <c r="N28" s="3">
        <v>93</v>
      </c>
      <c r="O28" s="3">
        <v>82</v>
      </c>
      <c r="P28" s="3">
        <v>96</v>
      </c>
      <c r="Q28" s="3">
        <v>108</v>
      </c>
      <c r="U28" s="3">
        <v>90</v>
      </c>
      <c r="Y28" s="3">
        <v>96</v>
      </c>
      <c r="Z28" s="3">
        <v>106</v>
      </c>
      <c r="AC28" s="3">
        <v>22</v>
      </c>
      <c r="AD28" s="3">
        <v>24</v>
      </c>
      <c r="AE28" s="3">
        <v>90</v>
      </c>
      <c r="AF28" s="3">
        <v>78</v>
      </c>
      <c r="AH28" s="6">
        <v>17</v>
      </c>
      <c r="AI28" s="6">
        <v>9</v>
      </c>
      <c r="AJ28" s="6">
        <v>10</v>
      </c>
      <c r="AK28" s="6">
        <v>17</v>
      </c>
      <c r="AL28" s="6">
        <v>8</v>
      </c>
      <c r="AM28" s="6">
        <v>14</v>
      </c>
      <c r="AN28" s="6">
        <v>15</v>
      </c>
      <c r="AO28" s="6">
        <v>15</v>
      </c>
      <c r="AP28" s="6">
        <v>13</v>
      </c>
      <c r="AQ28" s="6">
        <v>13</v>
      </c>
      <c r="AR28" s="6">
        <v>1</v>
      </c>
      <c r="AS28" s="6">
        <v>14</v>
      </c>
      <c r="AT28" s="6">
        <v>16</v>
      </c>
      <c r="AU28" s="6">
        <v>15</v>
      </c>
      <c r="AV28" s="6">
        <v>19</v>
      </c>
      <c r="AW28" s="6">
        <v>24</v>
      </c>
      <c r="AX28" s="6">
        <v>15</v>
      </c>
      <c r="AY28" s="6">
        <v>19</v>
      </c>
      <c r="AZ28" s="6">
        <v>9</v>
      </c>
      <c r="BA28" s="6">
        <v>18</v>
      </c>
      <c r="BB28" s="6">
        <v>37</v>
      </c>
      <c r="BC28" s="6">
        <v>26</v>
      </c>
      <c r="BD28" s="6">
        <v>19</v>
      </c>
      <c r="BE28" s="6">
        <v>14</v>
      </c>
      <c r="BF28" s="6">
        <v>28</v>
      </c>
      <c r="BG28" s="6">
        <v>20</v>
      </c>
    </row>
    <row r="29" spans="2:151">
      <c r="B29" s="3">
        <v>23</v>
      </c>
      <c r="C29" s="3">
        <v>115</v>
      </c>
      <c r="D29" s="3">
        <v>111</v>
      </c>
      <c r="E29" s="3">
        <v>85</v>
      </c>
      <c r="F29" s="3">
        <v>115</v>
      </c>
      <c r="G29" s="3">
        <v>97</v>
      </c>
      <c r="H29" s="3">
        <v>85</v>
      </c>
      <c r="I29" s="3">
        <v>106</v>
      </c>
      <c r="L29" s="3">
        <v>100</v>
      </c>
      <c r="M29" s="3">
        <v>100</v>
      </c>
      <c r="N29" s="3">
        <v>100</v>
      </c>
      <c r="O29" s="3">
        <v>85</v>
      </c>
      <c r="P29" s="3">
        <v>100</v>
      </c>
      <c r="Q29" s="3">
        <v>112</v>
      </c>
      <c r="U29" s="3">
        <v>95</v>
      </c>
      <c r="Y29" s="3">
        <v>100</v>
      </c>
      <c r="Z29" s="3">
        <v>111</v>
      </c>
      <c r="AC29" s="3">
        <v>23</v>
      </c>
      <c r="AD29" s="3">
        <v>25</v>
      </c>
      <c r="AE29" s="3">
        <v>95</v>
      </c>
      <c r="AF29" s="3">
        <v>80</v>
      </c>
      <c r="AH29" s="6">
        <v>18</v>
      </c>
      <c r="AI29" s="6">
        <v>9</v>
      </c>
      <c r="AJ29" s="6">
        <v>16</v>
      </c>
      <c r="AK29" s="6">
        <v>19</v>
      </c>
      <c r="AL29" s="6">
        <v>9</v>
      </c>
      <c r="AM29" s="6">
        <v>14</v>
      </c>
      <c r="AN29" s="6">
        <v>19</v>
      </c>
      <c r="AO29" s="6">
        <v>15</v>
      </c>
      <c r="AP29" s="6">
        <v>13</v>
      </c>
      <c r="AQ29" s="6">
        <v>13</v>
      </c>
      <c r="AR29" s="6">
        <v>1</v>
      </c>
      <c r="AS29" s="6">
        <v>14</v>
      </c>
      <c r="AT29" s="6">
        <v>16</v>
      </c>
      <c r="AU29" s="6">
        <v>18</v>
      </c>
      <c r="AV29" s="6">
        <v>19</v>
      </c>
      <c r="AW29" s="6">
        <v>24</v>
      </c>
      <c r="AX29" s="6">
        <v>15</v>
      </c>
      <c r="AY29" s="6">
        <v>19</v>
      </c>
      <c r="AZ29" s="6">
        <v>9</v>
      </c>
      <c r="BA29" s="6">
        <v>18</v>
      </c>
      <c r="BB29" s="6">
        <v>37</v>
      </c>
      <c r="BC29" s="6">
        <v>26</v>
      </c>
      <c r="BD29" s="6">
        <v>19</v>
      </c>
      <c r="BE29" s="6">
        <v>14</v>
      </c>
      <c r="BF29" s="6">
        <v>28</v>
      </c>
      <c r="BG29" s="6">
        <v>20</v>
      </c>
    </row>
    <row r="30" spans="2:151">
      <c r="B30" s="3">
        <v>24</v>
      </c>
      <c r="D30" s="3">
        <v>115</v>
      </c>
      <c r="E30" s="3">
        <v>91</v>
      </c>
      <c r="G30" s="3">
        <v>100</v>
      </c>
      <c r="H30" s="3">
        <v>93</v>
      </c>
      <c r="I30" s="3">
        <v>109</v>
      </c>
      <c r="M30" s="3">
        <v>105</v>
      </c>
      <c r="N30" s="3">
        <v>108</v>
      </c>
      <c r="O30" s="3">
        <v>90</v>
      </c>
      <c r="P30" s="3">
        <v>104</v>
      </c>
      <c r="Q30" s="3">
        <v>115</v>
      </c>
      <c r="U30" s="3">
        <v>100</v>
      </c>
      <c r="Y30" s="3">
        <v>104</v>
      </c>
      <c r="Z30" s="3">
        <v>115</v>
      </c>
      <c r="AC30" s="3">
        <v>24</v>
      </c>
      <c r="AD30" s="3">
        <v>27</v>
      </c>
      <c r="AE30" s="3">
        <v>100</v>
      </c>
      <c r="AF30" s="3">
        <v>82</v>
      </c>
      <c r="AH30" s="6">
        <v>19</v>
      </c>
      <c r="AI30" s="6">
        <v>9</v>
      </c>
      <c r="AJ30" s="6">
        <v>16</v>
      </c>
      <c r="AK30" s="6">
        <v>19</v>
      </c>
      <c r="AL30" s="6">
        <v>10</v>
      </c>
      <c r="AM30" s="6">
        <v>15</v>
      </c>
      <c r="AN30" s="6">
        <v>19</v>
      </c>
      <c r="AO30" s="6">
        <v>15</v>
      </c>
      <c r="AP30" s="6">
        <v>14</v>
      </c>
      <c r="AQ30" s="6">
        <v>14</v>
      </c>
      <c r="AR30" s="6">
        <v>1</v>
      </c>
      <c r="AS30" s="6">
        <v>14</v>
      </c>
      <c r="AT30" s="6">
        <v>16</v>
      </c>
      <c r="AU30" s="6">
        <v>18</v>
      </c>
      <c r="AV30" s="6">
        <v>19</v>
      </c>
      <c r="AW30" s="6">
        <v>24</v>
      </c>
      <c r="AX30" s="6">
        <v>15</v>
      </c>
      <c r="AY30" s="6">
        <v>20</v>
      </c>
      <c r="AZ30" s="6">
        <v>9</v>
      </c>
      <c r="BA30" s="6">
        <v>18</v>
      </c>
      <c r="BB30" s="6">
        <v>37</v>
      </c>
      <c r="BC30" s="6">
        <v>26</v>
      </c>
      <c r="BD30" s="6">
        <v>19</v>
      </c>
      <c r="BE30" s="6">
        <v>14</v>
      </c>
      <c r="BF30" s="6">
        <v>28</v>
      </c>
      <c r="BG30" s="6">
        <v>20</v>
      </c>
    </row>
    <row r="31" spans="2:151">
      <c r="B31" s="3">
        <v>25</v>
      </c>
      <c r="E31" s="3">
        <v>97</v>
      </c>
      <c r="H31" s="3">
        <v>100</v>
      </c>
      <c r="I31" s="3">
        <v>112</v>
      </c>
      <c r="M31" s="3">
        <v>110</v>
      </c>
      <c r="N31" s="3">
        <v>115</v>
      </c>
      <c r="O31" s="3">
        <v>95</v>
      </c>
      <c r="P31" s="3">
        <v>108</v>
      </c>
      <c r="U31" s="3">
        <v>105</v>
      </c>
      <c r="Y31" s="3">
        <v>108</v>
      </c>
      <c r="AC31" s="3">
        <v>25</v>
      </c>
      <c r="AD31" s="3">
        <v>29</v>
      </c>
      <c r="AF31" s="3">
        <v>83</v>
      </c>
      <c r="AH31" s="6">
        <v>20</v>
      </c>
      <c r="AI31" s="6">
        <v>13</v>
      </c>
      <c r="AJ31" s="6">
        <v>16</v>
      </c>
      <c r="AK31" s="6">
        <v>20</v>
      </c>
      <c r="AL31" s="6">
        <v>10</v>
      </c>
      <c r="AM31" s="6">
        <v>18</v>
      </c>
      <c r="AN31" s="6">
        <v>19</v>
      </c>
      <c r="AO31" s="6">
        <v>15</v>
      </c>
      <c r="AP31" s="6">
        <v>25</v>
      </c>
      <c r="AQ31" s="6">
        <v>22</v>
      </c>
      <c r="AR31" s="6">
        <v>2</v>
      </c>
      <c r="AS31" s="6">
        <v>19</v>
      </c>
      <c r="AT31" s="6">
        <v>16</v>
      </c>
      <c r="AU31" s="6">
        <v>18</v>
      </c>
      <c r="AV31" s="6">
        <v>19</v>
      </c>
      <c r="AW31" s="6">
        <v>24</v>
      </c>
      <c r="AX31" s="6">
        <v>15</v>
      </c>
      <c r="AY31" s="6">
        <v>28</v>
      </c>
      <c r="AZ31" s="6">
        <v>15</v>
      </c>
      <c r="BA31" s="6">
        <v>21</v>
      </c>
      <c r="BB31" s="6">
        <v>37</v>
      </c>
      <c r="BC31" s="6">
        <v>26</v>
      </c>
      <c r="BD31" s="6">
        <v>19</v>
      </c>
      <c r="BE31" s="6">
        <v>20</v>
      </c>
      <c r="BF31" s="6">
        <v>28</v>
      </c>
      <c r="BG31" s="6">
        <v>20</v>
      </c>
    </row>
    <row r="32" spans="2:151">
      <c r="B32" s="3">
        <v>26</v>
      </c>
      <c r="E32" s="3">
        <v>103</v>
      </c>
      <c r="I32" s="3">
        <v>115</v>
      </c>
      <c r="M32" s="3">
        <v>115</v>
      </c>
      <c r="O32" s="3">
        <v>100</v>
      </c>
      <c r="P32" s="3">
        <v>111</v>
      </c>
      <c r="U32" s="3">
        <v>110</v>
      </c>
      <c r="Y32" s="3">
        <v>111</v>
      </c>
      <c r="AC32" s="3">
        <v>26</v>
      </c>
      <c r="AD32" s="3">
        <v>30</v>
      </c>
      <c r="AF32" s="3">
        <v>85</v>
      </c>
      <c r="AH32" s="6">
        <v>21</v>
      </c>
      <c r="AI32" s="6">
        <v>14</v>
      </c>
      <c r="AJ32" s="6">
        <v>16</v>
      </c>
      <c r="AK32" s="6">
        <v>20</v>
      </c>
      <c r="AL32" s="6">
        <v>10</v>
      </c>
      <c r="AM32" s="6">
        <v>18</v>
      </c>
      <c r="AN32" s="6">
        <v>19</v>
      </c>
      <c r="AO32" s="6">
        <v>15</v>
      </c>
      <c r="AP32" s="6">
        <v>25</v>
      </c>
      <c r="AQ32" s="6">
        <v>22</v>
      </c>
      <c r="AR32" s="6">
        <v>2</v>
      </c>
      <c r="AS32" s="6">
        <v>19</v>
      </c>
      <c r="AT32" s="6">
        <v>16</v>
      </c>
      <c r="AU32" s="6">
        <v>18</v>
      </c>
      <c r="AV32" s="6">
        <v>19</v>
      </c>
      <c r="AW32" s="6">
        <v>24</v>
      </c>
      <c r="AX32" s="6">
        <v>15</v>
      </c>
      <c r="AY32" s="6">
        <v>29</v>
      </c>
      <c r="AZ32" s="6">
        <v>15</v>
      </c>
      <c r="BA32" s="6">
        <v>21</v>
      </c>
      <c r="BB32" s="6">
        <v>37</v>
      </c>
      <c r="BC32" s="6">
        <v>26</v>
      </c>
      <c r="BD32" s="6">
        <v>19</v>
      </c>
      <c r="BE32" s="6">
        <v>20</v>
      </c>
      <c r="BF32" s="6">
        <v>28</v>
      </c>
      <c r="BG32" s="6">
        <v>20</v>
      </c>
    </row>
    <row r="33" spans="2:59">
      <c r="B33" s="3">
        <v>27</v>
      </c>
      <c r="E33" s="3">
        <v>109</v>
      </c>
      <c r="O33" s="3">
        <v>105</v>
      </c>
      <c r="P33" s="3">
        <v>115</v>
      </c>
      <c r="U33" s="3">
        <v>115</v>
      </c>
      <c r="Y33" s="3">
        <v>115</v>
      </c>
      <c r="AC33" s="3">
        <v>27</v>
      </c>
      <c r="AD33" s="3">
        <v>32</v>
      </c>
      <c r="AF33" s="3">
        <v>89</v>
      </c>
      <c r="AH33" s="6">
        <v>22</v>
      </c>
      <c r="AI33" s="6">
        <v>14</v>
      </c>
      <c r="AJ33" s="6">
        <v>16</v>
      </c>
      <c r="AK33" s="6">
        <v>20</v>
      </c>
      <c r="AL33" s="6">
        <v>10</v>
      </c>
      <c r="AM33" s="6">
        <v>18</v>
      </c>
      <c r="AN33" s="6">
        <v>19</v>
      </c>
      <c r="AO33" s="6">
        <v>15</v>
      </c>
      <c r="AP33" s="6">
        <v>26</v>
      </c>
      <c r="AQ33" s="6">
        <v>23</v>
      </c>
      <c r="AR33" s="6">
        <v>2</v>
      </c>
      <c r="AS33" s="6">
        <v>19</v>
      </c>
      <c r="AT33" s="6">
        <v>16</v>
      </c>
      <c r="AU33" s="6">
        <v>18</v>
      </c>
      <c r="AV33" s="6">
        <v>19</v>
      </c>
      <c r="AW33" s="6">
        <v>24</v>
      </c>
      <c r="AX33" s="6">
        <v>15</v>
      </c>
      <c r="AY33" s="6">
        <v>29</v>
      </c>
      <c r="AZ33" s="6">
        <v>15</v>
      </c>
      <c r="BA33" s="6">
        <v>21</v>
      </c>
      <c r="BB33" s="6">
        <v>37</v>
      </c>
      <c r="BC33" s="6">
        <v>26</v>
      </c>
      <c r="BD33" s="6">
        <v>19</v>
      </c>
      <c r="BE33" s="6">
        <v>20</v>
      </c>
      <c r="BF33" s="6">
        <v>28</v>
      </c>
      <c r="BG33" s="6">
        <v>20</v>
      </c>
    </row>
    <row r="34" spans="2:59">
      <c r="B34" s="3">
        <v>28</v>
      </c>
      <c r="E34" s="3">
        <v>115</v>
      </c>
      <c r="O34" s="3">
        <v>110</v>
      </c>
      <c r="AC34" s="3">
        <v>28</v>
      </c>
      <c r="AD34" s="3">
        <v>33</v>
      </c>
      <c r="AF34" s="3">
        <v>93</v>
      </c>
      <c r="AH34" s="6">
        <v>23</v>
      </c>
      <c r="AI34" s="6">
        <v>14</v>
      </c>
      <c r="AJ34" s="6">
        <v>16</v>
      </c>
      <c r="AK34" s="6">
        <v>20</v>
      </c>
      <c r="AL34" s="6">
        <v>10</v>
      </c>
      <c r="AM34" s="6">
        <v>18</v>
      </c>
      <c r="AN34" s="6">
        <v>21</v>
      </c>
      <c r="AO34" s="6">
        <v>16</v>
      </c>
      <c r="AP34" s="6">
        <v>26</v>
      </c>
      <c r="AQ34" s="6">
        <v>23</v>
      </c>
      <c r="AR34" s="6">
        <v>2</v>
      </c>
      <c r="AS34" s="6">
        <v>19</v>
      </c>
      <c r="AT34" s="6">
        <v>22</v>
      </c>
      <c r="AU34" s="6">
        <v>18</v>
      </c>
      <c r="AV34" s="6">
        <v>24</v>
      </c>
      <c r="AW34" s="6">
        <v>24</v>
      </c>
      <c r="AX34" s="6">
        <v>19</v>
      </c>
      <c r="AY34" s="6">
        <v>29</v>
      </c>
      <c r="AZ34" s="6">
        <v>15</v>
      </c>
      <c r="BA34" s="6">
        <v>21</v>
      </c>
      <c r="BB34" s="6">
        <v>37</v>
      </c>
      <c r="BC34" s="6">
        <v>26</v>
      </c>
      <c r="BD34" s="6">
        <v>28</v>
      </c>
      <c r="BE34" s="6">
        <v>20</v>
      </c>
      <c r="BF34" s="6">
        <v>28</v>
      </c>
      <c r="BG34" s="6">
        <v>20</v>
      </c>
    </row>
    <row r="35" spans="2:59">
      <c r="B35" s="3">
        <v>29</v>
      </c>
      <c r="O35" s="3">
        <v>115</v>
      </c>
      <c r="AC35" s="3">
        <v>29</v>
      </c>
      <c r="AD35" s="3">
        <v>35</v>
      </c>
      <c r="AF35" s="3">
        <v>96</v>
      </c>
      <c r="AH35" s="6">
        <v>24</v>
      </c>
      <c r="AI35" s="6">
        <v>14</v>
      </c>
      <c r="AJ35" s="6">
        <v>20</v>
      </c>
      <c r="AK35" s="6">
        <v>21</v>
      </c>
      <c r="AL35" s="6">
        <v>14</v>
      </c>
      <c r="AM35" s="6">
        <v>18</v>
      </c>
      <c r="AN35" s="6">
        <v>24</v>
      </c>
      <c r="AO35" s="6">
        <v>25</v>
      </c>
      <c r="AP35" s="6">
        <v>26</v>
      </c>
      <c r="AQ35" s="6">
        <v>23</v>
      </c>
      <c r="AR35" s="6">
        <v>2</v>
      </c>
      <c r="AS35" s="6">
        <v>19</v>
      </c>
      <c r="AT35" s="6">
        <v>22</v>
      </c>
      <c r="AU35" s="6">
        <v>24</v>
      </c>
      <c r="AV35" s="6">
        <v>24</v>
      </c>
      <c r="AW35" s="6">
        <v>24</v>
      </c>
      <c r="AX35" s="6">
        <v>20</v>
      </c>
      <c r="AY35" s="6">
        <v>29</v>
      </c>
      <c r="AZ35" s="6">
        <v>15</v>
      </c>
      <c r="BA35" s="6">
        <v>21</v>
      </c>
      <c r="BB35" s="6">
        <v>37</v>
      </c>
      <c r="BC35" s="6">
        <v>26</v>
      </c>
      <c r="BD35" s="6">
        <v>28</v>
      </c>
      <c r="BE35" s="6">
        <v>20</v>
      </c>
      <c r="BF35" s="6">
        <v>28</v>
      </c>
      <c r="BG35" s="6">
        <v>20</v>
      </c>
    </row>
    <row r="36" spans="2:59">
      <c r="AC36" s="3">
        <v>30</v>
      </c>
      <c r="AD36" s="3">
        <v>36</v>
      </c>
      <c r="AF36" s="3">
        <v>100</v>
      </c>
      <c r="AH36" s="6">
        <v>25</v>
      </c>
      <c r="AI36" s="7">
        <v>14</v>
      </c>
      <c r="AJ36" s="7">
        <v>20</v>
      </c>
      <c r="AK36" s="7">
        <v>23</v>
      </c>
      <c r="AL36" s="7">
        <v>15</v>
      </c>
      <c r="AM36" s="7">
        <v>18</v>
      </c>
      <c r="AN36" s="7">
        <v>24</v>
      </c>
      <c r="AO36" s="7">
        <v>25</v>
      </c>
      <c r="AP36" s="7">
        <v>26</v>
      </c>
      <c r="AQ36" s="7">
        <v>23</v>
      </c>
      <c r="AR36" s="7">
        <v>3</v>
      </c>
      <c r="AS36" s="7">
        <v>19</v>
      </c>
      <c r="AT36" s="7">
        <v>22</v>
      </c>
      <c r="AU36" s="7">
        <v>24</v>
      </c>
      <c r="AV36" s="7">
        <v>24</v>
      </c>
      <c r="AW36" s="7">
        <v>24</v>
      </c>
      <c r="AX36" s="7">
        <v>20</v>
      </c>
      <c r="AY36" s="7">
        <v>29</v>
      </c>
      <c r="AZ36" s="7">
        <v>15</v>
      </c>
      <c r="BA36" s="7">
        <v>24</v>
      </c>
      <c r="BB36" s="7">
        <v>37</v>
      </c>
      <c r="BC36" s="7">
        <v>26</v>
      </c>
      <c r="BD36" s="7">
        <v>28</v>
      </c>
      <c r="BE36" s="7">
        <v>20</v>
      </c>
      <c r="BF36" s="7">
        <v>28</v>
      </c>
      <c r="BG36" s="7">
        <v>20</v>
      </c>
    </row>
    <row r="37" spans="2:59">
      <c r="AC37" s="3">
        <v>31</v>
      </c>
      <c r="AD37" s="3">
        <v>38</v>
      </c>
      <c r="AH37" s="6">
        <v>26</v>
      </c>
      <c r="AI37" s="7">
        <v>14</v>
      </c>
      <c r="AJ37" s="7">
        <v>20</v>
      </c>
      <c r="AK37" s="7">
        <v>23</v>
      </c>
      <c r="AL37" s="7">
        <v>15</v>
      </c>
      <c r="AM37" s="7">
        <v>19</v>
      </c>
      <c r="AN37" s="7">
        <v>24</v>
      </c>
      <c r="AO37" s="7">
        <v>26</v>
      </c>
      <c r="AP37" s="7">
        <v>26</v>
      </c>
      <c r="AQ37" s="7">
        <v>23</v>
      </c>
      <c r="AR37" s="7">
        <v>3</v>
      </c>
      <c r="AS37" s="7">
        <v>19</v>
      </c>
      <c r="AT37" s="7">
        <v>22</v>
      </c>
      <c r="AU37" s="7">
        <v>24</v>
      </c>
      <c r="AV37" s="7">
        <v>24</v>
      </c>
      <c r="AW37" s="7">
        <v>29</v>
      </c>
      <c r="AX37" s="7">
        <v>20</v>
      </c>
      <c r="AY37" s="7">
        <v>29</v>
      </c>
      <c r="AZ37" s="7">
        <v>15</v>
      </c>
      <c r="BA37" s="7">
        <v>24</v>
      </c>
      <c r="BB37" s="7">
        <v>37</v>
      </c>
      <c r="BC37" s="7">
        <v>26</v>
      </c>
      <c r="BD37" s="7">
        <v>28</v>
      </c>
      <c r="BE37" s="7">
        <v>20</v>
      </c>
      <c r="BF37" s="7">
        <v>32</v>
      </c>
      <c r="BG37" s="7">
        <v>20</v>
      </c>
    </row>
    <row r="38" spans="2:59">
      <c r="AC38" s="3">
        <v>32</v>
      </c>
      <c r="AD38" s="3">
        <v>39</v>
      </c>
      <c r="AH38" s="6">
        <v>27</v>
      </c>
      <c r="AI38" s="7">
        <v>18</v>
      </c>
      <c r="AJ38" s="7">
        <v>20</v>
      </c>
      <c r="AK38" s="7">
        <v>23</v>
      </c>
      <c r="AL38" s="7">
        <v>15</v>
      </c>
      <c r="AM38" s="7">
        <v>24</v>
      </c>
      <c r="AN38" s="7">
        <v>24</v>
      </c>
      <c r="AO38" s="7">
        <v>26</v>
      </c>
      <c r="AP38" s="7">
        <v>26</v>
      </c>
      <c r="AQ38" s="7">
        <v>23</v>
      </c>
      <c r="AR38" s="7">
        <v>3</v>
      </c>
      <c r="AS38" s="7">
        <v>24</v>
      </c>
      <c r="AT38" s="7">
        <v>23</v>
      </c>
      <c r="AU38" s="7">
        <v>24</v>
      </c>
      <c r="AV38" s="7">
        <v>24</v>
      </c>
      <c r="AW38" s="7">
        <v>29</v>
      </c>
      <c r="AX38" s="7">
        <v>20</v>
      </c>
      <c r="AY38" s="7">
        <v>29</v>
      </c>
      <c r="AZ38" s="7">
        <v>15</v>
      </c>
      <c r="BA38" s="7">
        <v>24</v>
      </c>
      <c r="BB38" s="7">
        <v>37</v>
      </c>
      <c r="BC38" s="7">
        <v>26</v>
      </c>
      <c r="BD38" s="7">
        <v>28</v>
      </c>
      <c r="BE38" s="7">
        <v>23</v>
      </c>
      <c r="BF38" s="7">
        <v>32</v>
      </c>
      <c r="BG38" s="7">
        <v>20</v>
      </c>
    </row>
    <row r="39" spans="2:59">
      <c r="AC39" s="3">
        <v>33</v>
      </c>
      <c r="AD39" s="3">
        <v>40</v>
      </c>
      <c r="AH39" s="6">
        <v>28</v>
      </c>
      <c r="AI39" s="7">
        <v>19</v>
      </c>
      <c r="AJ39" s="7">
        <v>21</v>
      </c>
      <c r="AK39" s="7">
        <v>23</v>
      </c>
      <c r="AL39" s="7">
        <v>15</v>
      </c>
      <c r="AM39" s="7">
        <v>24</v>
      </c>
      <c r="AN39" s="7">
        <v>24</v>
      </c>
      <c r="AO39" s="7">
        <v>27</v>
      </c>
      <c r="AP39" s="7">
        <v>26</v>
      </c>
      <c r="AQ39" s="7">
        <v>23</v>
      </c>
      <c r="AR39" s="7">
        <v>3</v>
      </c>
      <c r="AS39" s="7">
        <v>24</v>
      </c>
      <c r="AT39" s="7">
        <v>23</v>
      </c>
      <c r="AU39" s="7">
        <v>24</v>
      </c>
      <c r="AV39" s="7">
        <v>24</v>
      </c>
      <c r="AW39" s="7">
        <v>29</v>
      </c>
      <c r="AX39" s="7">
        <v>20</v>
      </c>
      <c r="AY39" s="7">
        <v>29</v>
      </c>
      <c r="AZ39" s="7">
        <v>15</v>
      </c>
      <c r="BA39" s="7">
        <v>24</v>
      </c>
      <c r="BB39" s="7">
        <v>37</v>
      </c>
      <c r="BC39" s="7">
        <v>26</v>
      </c>
      <c r="BD39" s="7">
        <v>28</v>
      </c>
      <c r="BE39" s="7">
        <v>24</v>
      </c>
      <c r="BF39" s="7">
        <v>32</v>
      </c>
      <c r="BG39" s="7">
        <v>20</v>
      </c>
    </row>
    <row r="40" spans="2:59">
      <c r="AC40" s="3">
        <v>34</v>
      </c>
      <c r="AD40" s="3">
        <v>41</v>
      </c>
      <c r="AH40" s="6">
        <v>29</v>
      </c>
      <c r="AI40" s="7">
        <v>19</v>
      </c>
      <c r="AJ40" s="7">
        <v>21</v>
      </c>
      <c r="AK40" s="7">
        <v>24</v>
      </c>
      <c r="AL40" s="7">
        <v>15</v>
      </c>
      <c r="AM40" s="7">
        <v>25</v>
      </c>
      <c r="AN40" s="7">
        <v>25</v>
      </c>
      <c r="AO40" s="7">
        <v>27</v>
      </c>
      <c r="AP40" s="7">
        <v>26</v>
      </c>
      <c r="AQ40" s="7">
        <v>24</v>
      </c>
      <c r="AR40" s="7">
        <v>4</v>
      </c>
      <c r="AS40" s="7">
        <v>24</v>
      </c>
      <c r="AT40" s="7">
        <v>23</v>
      </c>
      <c r="AU40" s="7">
        <v>24</v>
      </c>
      <c r="AV40" s="7">
        <v>24</v>
      </c>
      <c r="AW40" s="7">
        <v>29</v>
      </c>
      <c r="AX40" s="7">
        <v>20</v>
      </c>
      <c r="AY40" s="7">
        <v>30</v>
      </c>
      <c r="AZ40" s="7">
        <v>16</v>
      </c>
      <c r="BA40" s="7">
        <v>25</v>
      </c>
      <c r="BB40" s="7">
        <v>37</v>
      </c>
      <c r="BC40" s="7">
        <v>26</v>
      </c>
      <c r="BD40" s="7">
        <v>28</v>
      </c>
      <c r="BE40" s="7">
        <v>24</v>
      </c>
      <c r="BF40" s="7">
        <v>32</v>
      </c>
      <c r="BG40" s="7">
        <v>21</v>
      </c>
    </row>
    <row r="41" spans="2:59">
      <c r="AC41" s="3">
        <v>35</v>
      </c>
      <c r="AD41" s="3">
        <v>43</v>
      </c>
      <c r="AH41" s="6">
        <v>30</v>
      </c>
      <c r="AI41" s="7">
        <v>19</v>
      </c>
      <c r="AJ41" s="7">
        <v>25</v>
      </c>
      <c r="AK41" s="7">
        <v>28</v>
      </c>
      <c r="AL41" s="7">
        <v>20</v>
      </c>
      <c r="AM41" s="7">
        <v>25</v>
      </c>
      <c r="AN41" s="7">
        <v>28</v>
      </c>
      <c r="AO41" s="7">
        <v>27</v>
      </c>
      <c r="AP41" s="7">
        <v>26</v>
      </c>
      <c r="AQ41" s="7">
        <v>30</v>
      </c>
      <c r="AR41" s="7">
        <v>5</v>
      </c>
      <c r="AS41" s="7">
        <v>24</v>
      </c>
      <c r="AT41" s="7">
        <v>28</v>
      </c>
      <c r="AU41" s="7">
        <v>29</v>
      </c>
      <c r="AV41" s="7">
        <v>29</v>
      </c>
      <c r="AW41" s="7">
        <v>29</v>
      </c>
      <c r="AX41" s="7">
        <v>26</v>
      </c>
      <c r="AY41" s="7">
        <v>35</v>
      </c>
      <c r="AZ41" s="7">
        <v>22</v>
      </c>
      <c r="BA41" s="7">
        <v>28</v>
      </c>
      <c r="BB41" s="7">
        <v>37</v>
      </c>
      <c r="BC41" s="7">
        <v>26</v>
      </c>
      <c r="BD41" s="7">
        <v>28</v>
      </c>
      <c r="BE41" s="7">
        <v>24</v>
      </c>
      <c r="BF41" s="7">
        <v>32</v>
      </c>
      <c r="BG41" s="7">
        <v>38</v>
      </c>
    </row>
    <row r="42" spans="2:59">
      <c r="AC42" s="3">
        <v>36</v>
      </c>
      <c r="AD42" s="3">
        <v>44</v>
      </c>
      <c r="AH42" s="6">
        <v>31</v>
      </c>
      <c r="AI42" s="7">
        <v>19</v>
      </c>
      <c r="AJ42" s="7">
        <v>25</v>
      </c>
      <c r="AK42" s="7">
        <v>28</v>
      </c>
      <c r="AL42" s="7">
        <v>20</v>
      </c>
      <c r="AM42" s="7">
        <v>25</v>
      </c>
      <c r="AN42" s="7">
        <v>29</v>
      </c>
      <c r="AO42" s="7">
        <v>27</v>
      </c>
      <c r="AP42" s="7">
        <v>26</v>
      </c>
      <c r="AQ42" s="7">
        <v>30</v>
      </c>
      <c r="AR42" s="7">
        <v>5</v>
      </c>
      <c r="AS42" s="7">
        <v>24</v>
      </c>
      <c r="AT42" s="7">
        <v>28</v>
      </c>
      <c r="AU42" s="7">
        <v>29</v>
      </c>
      <c r="AV42" s="7">
        <v>30</v>
      </c>
      <c r="AW42" s="7">
        <v>29</v>
      </c>
      <c r="AX42" s="7">
        <v>26</v>
      </c>
      <c r="AY42" s="7">
        <v>35</v>
      </c>
      <c r="AZ42" s="7">
        <v>23</v>
      </c>
      <c r="BA42" s="7">
        <v>28</v>
      </c>
      <c r="BB42" s="7">
        <v>37</v>
      </c>
      <c r="BC42" s="7">
        <v>26</v>
      </c>
      <c r="BD42" s="7">
        <v>28</v>
      </c>
      <c r="BE42" s="7">
        <v>24</v>
      </c>
      <c r="BF42" s="7">
        <v>32</v>
      </c>
      <c r="BG42" s="7">
        <v>38</v>
      </c>
    </row>
    <row r="43" spans="2:59">
      <c r="AC43" s="3">
        <v>37</v>
      </c>
      <c r="AD43" s="3">
        <v>45</v>
      </c>
      <c r="AH43" s="6">
        <v>32</v>
      </c>
      <c r="AI43" s="7">
        <v>20</v>
      </c>
      <c r="AJ43" s="7">
        <v>25</v>
      </c>
      <c r="AK43" s="7">
        <v>29</v>
      </c>
      <c r="AL43" s="7">
        <v>20</v>
      </c>
      <c r="AM43" s="7">
        <v>26</v>
      </c>
      <c r="AN43" s="7">
        <v>29</v>
      </c>
      <c r="AO43" s="7">
        <v>27</v>
      </c>
      <c r="AP43" s="7">
        <v>26</v>
      </c>
      <c r="AQ43" s="7">
        <v>30</v>
      </c>
      <c r="AR43" s="7">
        <v>6</v>
      </c>
      <c r="AS43" s="7">
        <v>24</v>
      </c>
      <c r="AT43" s="7">
        <v>29</v>
      </c>
      <c r="AU43" s="7">
        <v>29</v>
      </c>
      <c r="AV43" s="7">
        <v>30</v>
      </c>
      <c r="AW43" s="7">
        <v>29</v>
      </c>
      <c r="AX43" s="7">
        <v>26</v>
      </c>
      <c r="AY43" s="7">
        <v>35</v>
      </c>
      <c r="AZ43" s="7">
        <v>23</v>
      </c>
      <c r="BA43" s="7">
        <v>28</v>
      </c>
      <c r="BB43" s="7">
        <v>37</v>
      </c>
      <c r="BC43" s="7">
        <v>26</v>
      </c>
      <c r="BD43" s="7">
        <v>28</v>
      </c>
      <c r="BE43" s="7">
        <v>24</v>
      </c>
      <c r="BF43" s="7">
        <v>32</v>
      </c>
      <c r="BG43" s="7">
        <v>39</v>
      </c>
    </row>
    <row r="44" spans="2:59">
      <c r="AC44" s="3">
        <v>38</v>
      </c>
      <c r="AD44" s="3">
        <v>47</v>
      </c>
      <c r="AH44" s="6">
        <v>33</v>
      </c>
      <c r="AI44" s="7">
        <v>26</v>
      </c>
      <c r="AJ44" s="7">
        <v>25</v>
      </c>
      <c r="AK44" s="7">
        <v>29</v>
      </c>
      <c r="AL44" s="7">
        <v>21</v>
      </c>
      <c r="AM44" s="7">
        <v>30</v>
      </c>
      <c r="AN44" s="7">
        <v>29</v>
      </c>
      <c r="AO44" s="7">
        <v>27</v>
      </c>
      <c r="AP44" s="7">
        <v>26</v>
      </c>
      <c r="AQ44" s="7">
        <v>30</v>
      </c>
      <c r="AR44" s="7">
        <v>6</v>
      </c>
      <c r="AS44" s="7">
        <v>29</v>
      </c>
      <c r="AT44" s="7">
        <v>29</v>
      </c>
      <c r="AU44" s="7">
        <v>29</v>
      </c>
      <c r="AV44" s="7">
        <v>30</v>
      </c>
      <c r="AW44" s="7">
        <v>29</v>
      </c>
      <c r="AX44" s="7">
        <v>26</v>
      </c>
      <c r="AY44" s="7">
        <v>35</v>
      </c>
      <c r="AZ44" s="7">
        <v>23</v>
      </c>
      <c r="BA44" s="7">
        <v>28</v>
      </c>
      <c r="BB44" s="7">
        <v>37</v>
      </c>
      <c r="BC44" s="7">
        <v>26</v>
      </c>
      <c r="BD44" s="7">
        <v>28</v>
      </c>
      <c r="BE44" s="7">
        <v>27</v>
      </c>
      <c r="BF44" s="7">
        <v>33</v>
      </c>
      <c r="BG44" s="7">
        <v>39</v>
      </c>
    </row>
    <row r="45" spans="2:59">
      <c r="AC45" s="3">
        <v>39</v>
      </c>
      <c r="AD45" s="3">
        <v>48</v>
      </c>
      <c r="AH45" s="6">
        <v>34</v>
      </c>
      <c r="AI45" s="6">
        <v>26</v>
      </c>
      <c r="AJ45" s="6">
        <v>25</v>
      </c>
      <c r="AK45" s="6">
        <v>29</v>
      </c>
      <c r="AL45" s="6">
        <v>21</v>
      </c>
      <c r="AM45" s="6">
        <v>30</v>
      </c>
      <c r="AN45" s="6">
        <v>29</v>
      </c>
      <c r="AO45" s="6">
        <v>27</v>
      </c>
      <c r="AP45" s="6">
        <v>26</v>
      </c>
      <c r="AQ45" s="6">
        <v>30</v>
      </c>
      <c r="AR45" s="6">
        <v>9</v>
      </c>
      <c r="AS45" s="6">
        <v>29</v>
      </c>
      <c r="AT45" s="6">
        <v>29</v>
      </c>
      <c r="AU45" s="6">
        <v>29</v>
      </c>
      <c r="AV45" s="6">
        <v>30</v>
      </c>
      <c r="AW45" s="6">
        <v>36</v>
      </c>
      <c r="AX45" s="6">
        <v>26</v>
      </c>
      <c r="AY45" s="6">
        <v>35</v>
      </c>
      <c r="AZ45" s="6">
        <v>23</v>
      </c>
      <c r="BA45" s="6">
        <v>28</v>
      </c>
      <c r="BB45" s="6">
        <v>37</v>
      </c>
      <c r="BC45" s="6">
        <v>26</v>
      </c>
      <c r="BD45" s="6">
        <v>28</v>
      </c>
      <c r="BE45" s="6">
        <v>28</v>
      </c>
      <c r="BF45" s="6">
        <v>38</v>
      </c>
      <c r="BG45" s="6">
        <v>39</v>
      </c>
    </row>
    <row r="46" spans="2:59">
      <c r="AC46" s="3">
        <v>40</v>
      </c>
      <c r="AD46" s="3">
        <v>49</v>
      </c>
      <c r="AH46" s="6">
        <v>35</v>
      </c>
      <c r="AI46" s="7">
        <v>26</v>
      </c>
      <c r="AJ46" s="7">
        <v>26</v>
      </c>
      <c r="AK46" s="7">
        <v>32</v>
      </c>
      <c r="AL46" s="7">
        <v>21</v>
      </c>
      <c r="AM46" s="7">
        <v>30</v>
      </c>
      <c r="AN46" s="7">
        <v>30</v>
      </c>
      <c r="AO46" s="7">
        <v>28</v>
      </c>
      <c r="AP46" s="7">
        <v>26</v>
      </c>
      <c r="AQ46" s="7">
        <v>30</v>
      </c>
      <c r="AR46" s="7">
        <v>9</v>
      </c>
      <c r="AS46" s="7">
        <v>29</v>
      </c>
      <c r="AT46" s="7">
        <v>29</v>
      </c>
      <c r="AU46" s="7">
        <v>30</v>
      </c>
      <c r="AV46" s="7">
        <v>30</v>
      </c>
      <c r="AW46" s="7">
        <v>36</v>
      </c>
      <c r="AX46" s="7">
        <v>26</v>
      </c>
      <c r="AY46" s="7">
        <v>35</v>
      </c>
      <c r="AZ46" s="7">
        <v>23</v>
      </c>
      <c r="BA46" s="7">
        <v>31</v>
      </c>
      <c r="BB46" s="7">
        <v>37</v>
      </c>
      <c r="BC46" s="7">
        <v>26</v>
      </c>
      <c r="BD46" s="7">
        <v>29</v>
      </c>
      <c r="BE46" s="7">
        <v>28</v>
      </c>
      <c r="BF46" s="7">
        <v>38</v>
      </c>
      <c r="BG46" s="7">
        <v>39</v>
      </c>
    </row>
    <row r="47" spans="2:59">
      <c r="AC47" s="3">
        <v>41</v>
      </c>
      <c r="AD47" s="3">
        <v>50</v>
      </c>
      <c r="AH47" s="6">
        <v>36</v>
      </c>
      <c r="AI47" s="7">
        <v>26</v>
      </c>
      <c r="AJ47" s="7">
        <v>31</v>
      </c>
      <c r="AK47" s="7">
        <v>32</v>
      </c>
      <c r="AL47" s="7">
        <v>25</v>
      </c>
      <c r="AM47" s="7">
        <v>30</v>
      </c>
      <c r="AN47" s="7">
        <v>33</v>
      </c>
      <c r="AO47" s="7">
        <v>33</v>
      </c>
      <c r="AP47" s="7">
        <v>26</v>
      </c>
      <c r="AQ47" s="7">
        <v>30</v>
      </c>
      <c r="AR47" s="7">
        <v>9</v>
      </c>
      <c r="AS47" s="7">
        <v>29</v>
      </c>
      <c r="AT47" s="7">
        <v>29</v>
      </c>
      <c r="AU47" s="7">
        <v>34</v>
      </c>
      <c r="AV47" s="7">
        <v>30</v>
      </c>
      <c r="AW47" s="7">
        <v>36</v>
      </c>
      <c r="AX47" s="7">
        <v>26</v>
      </c>
      <c r="AY47" s="7">
        <v>35</v>
      </c>
      <c r="AZ47" s="7">
        <v>23</v>
      </c>
      <c r="BA47" s="7">
        <v>31</v>
      </c>
      <c r="BB47" s="7">
        <v>37</v>
      </c>
      <c r="BC47" s="7">
        <v>26</v>
      </c>
      <c r="BD47" s="7">
        <v>36</v>
      </c>
      <c r="BE47" s="7">
        <v>28</v>
      </c>
      <c r="BF47" s="7">
        <v>38</v>
      </c>
      <c r="BG47" s="7">
        <v>39</v>
      </c>
    </row>
    <row r="48" spans="2:59">
      <c r="AC48" s="3">
        <v>42</v>
      </c>
      <c r="AD48" s="3">
        <v>52</v>
      </c>
      <c r="AH48" s="6">
        <v>37</v>
      </c>
      <c r="AI48" s="7">
        <v>26</v>
      </c>
      <c r="AJ48" s="7">
        <v>31</v>
      </c>
      <c r="AK48" s="7">
        <v>32</v>
      </c>
      <c r="AL48" s="7">
        <v>25</v>
      </c>
      <c r="AM48" s="7">
        <v>30</v>
      </c>
      <c r="AN48" s="7">
        <v>33</v>
      </c>
      <c r="AO48" s="7">
        <v>34</v>
      </c>
      <c r="AP48" s="7">
        <v>26</v>
      </c>
      <c r="AQ48" s="7">
        <v>30</v>
      </c>
      <c r="AR48" s="7">
        <v>10</v>
      </c>
      <c r="AS48" s="7">
        <v>29</v>
      </c>
      <c r="AT48" s="7">
        <v>29</v>
      </c>
      <c r="AU48" s="7">
        <v>34</v>
      </c>
      <c r="AV48" s="7">
        <v>30</v>
      </c>
      <c r="AW48" s="7">
        <v>36</v>
      </c>
      <c r="AX48" s="7">
        <v>26</v>
      </c>
      <c r="AY48" s="7">
        <v>35</v>
      </c>
      <c r="AZ48" s="7">
        <v>23</v>
      </c>
      <c r="BA48" s="7">
        <v>31</v>
      </c>
      <c r="BB48" s="7">
        <v>37</v>
      </c>
      <c r="BC48" s="7">
        <v>26</v>
      </c>
      <c r="BD48" s="7">
        <v>36</v>
      </c>
      <c r="BE48" s="7">
        <v>28</v>
      </c>
      <c r="BF48" s="7">
        <v>38</v>
      </c>
      <c r="BG48" s="7">
        <v>39</v>
      </c>
    </row>
    <row r="49" spans="29:59">
      <c r="AC49" s="3">
        <v>43</v>
      </c>
      <c r="AD49" s="3">
        <v>53</v>
      </c>
      <c r="AH49" s="6">
        <v>38</v>
      </c>
      <c r="AI49" s="7">
        <v>26</v>
      </c>
      <c r="AJ49" s="7">
        <v>31</v>
      </c>
      <c r="AK49" s="7">
        <v>32</v>
      </c>
      <c r="AL49" s="7">
        <v>25</v>
      </c>
      <c r="AM49" s="7">
        <v>30</v>
      </c>
      <c r="AN49" s="7">
        <v>33</v>
      </c>
      <c r="AO49" s="7">
        <v>34</v>
      </c>
      <c r="AP49" s="7">
        <v>26</v>
      </c>
      <c r="AQ49" s="7">
        <v>30</v>
      </c>
      <c r="AR49" s="7">
        <v>12</v>
      </c>
      <c r="AS49" s="7">
        <v>29</v>
      </c>
      <c r="AT49" s="7">
        <v>33</v>
      </c>
      <c r="AU49" s="7">
        <v>34</v>
      </c>
      <c r="AV49" s="7">
        <v>35</v>
      </c>
      <c r="AW49" s="7">
        <v>36</v>
      </c>
      <c r="AX49" s="7">
        <v>31</v>
      </c>
      <c r="AY49" s="7">
        <v>35</v>
      </c>
      <c r="AZ49" s="7">
        <v>23</v>
      </c>
      <c r="BA49" s="7">
        <v>31</v>
      </c>
      <c r="BB49" s="7">
        <v>37</v>
      </c>
      <c r="BC49" s="7">
        <v>26</v>
      </c>
      <c r="BD49" s="7">
        <v>36</v>
      </c>
      <c r="BE49" s="7">
        <v>28</v>
      </c>
      <c r="BF49" s="7">
        <v>38</v>
      </c>
      <c r="BG49" s="7">
        <v>39</v>
      </c>
    </row>
    <row r="50" spans="29:59">
      <c r="AC50" s="3">
        <v>44</v>
      </c>
      <c r="AD50" s="3">
        <v>54</v>
      </c>
      <c r="AH50" s="6">
        <v>39</v>
      </c>
      <c r="AI50" s="7">
        <v>27</v>
      </c>
      <c r="AJ50" s="7">
        <v>31</v>
      </c>
      <c r="AK50" s="7">
        <v>33</v>
      </c>
      <c r="AL50" s="7">
        <v>25</v>
      </c>
      <c r="AM50" s="7">
        <v>31</v>
      </c>
      <c r="AN50" s="7">
        <v>34</v>
      </c>
      <c r="AO50" s="7">
        <v>34</v>
      </c>
      <c r="AP50" s="7">
        <v>27</v>
      </c>
      <c r="AQ50" s="7">
        <v>30</v>
      </c>
      <c r="AR50" s="7">
        <v>12</v>
      </c>
      <c r="AS50" s="7">
        <v>29</v>
      </c>
      <c r="AT50" s="7">
        <v>33</v>
      </c>
      <c r="AU50" s="7">
        <v>34</v>
      </c>
      <c r="AV50" s="7">
        <v>35</v>
      </c>
      <c r="AW50" s="7">
        <v>36</v>
      </c>
      <c r="AX50" s="7">
        <v>31</v>
      </c>
      <c r="AY50" s="7">
        <v>36</v>
      </c>
      <c r="AZ50" s="7">
        <v>24</v>
      </c>
      <c r="BA50" s="7">
        <v>31</v>
      </c>
      <c r="BB50" s="7">
        <v>37</v>
      </c>
      <c r="BC50" s="7">
        <v>26</v>
      </c>
      <c r="BD50" s="7">
        <v>36</v>
      </c>
      <c r="BE50" s="7">
        <v>28</v>
      </c>
      <c r="BF50" s="7">
        <v>38</v>
      </c>
      <c r="BG50" s="7">
        <v>39</v>
      </c>
    </row>
    <row r="51" spans="29:59">
      <c r="AC51" s="3">
        <v>45</v>
      </c>
      <c r="AD51" s="3">
        <v>56</v>
      </c>
      <c r="AH51" s="6">
        <v>40</v>
      </c>
      <c r="AI51" s="7">
        <v>31</v>
      </c>
      <c r="AJ51" s="7">
        <v>32</v>
      </c>
      <c r="AK51" s="7">
        <v>37</v>
      </c>
      <c r="AL51" s="7">
        <v>25</v>
      </c>
      <c r="AM51" s="7">
        <v>36</v>
      </c>
      <c r="AN51" s="7">
        <v>34</v>
      </c>
      <c r="AO51" s="7">
        <v>34</v>
      </c>
      <c r="AP51" s="7">
        <v>39</v>
      </c>
      <c r="AQ51" s="7">
        <v>37</v>
      </c>
      <c r="AR51" s="7">
        <v>13</v>
      </c>
      <c r="AS51" s="7">
        <v>33</v>
      </c>
      <c r="AT51" s="7">
        <v>33</v>
      </c>
      <c r="AU51" s="7">
        <v>34</v>
      </c>
      <c r="AV51" s="7">
        <v>35</v>
      </c>
      <c r="AW51" s="7">
        <v>36</v>
      </c>
      <c r="AX51" s="7">
        <v>31</v>
      </c>
      <c r="AY51" s="7">
        <v>42</v>
      </c>
      <c r="AZ51" s="7">
        <v>30</v>
      </c>
      <c r="BA51" s="7">
        <v>35</v>
      </c>
      <c r="BB51" s="7">
        <v>37</v>
      </c>
      <c r="BC51" s="7">
        <v>26</v>
      </c>
      <c r="BD51" s="7">
        <v>36</v>
      </c>
      <c r="BE51" s="7">
        <v>33</v>
      </c>
      <c r="BF51" s="7">
        <v>38</v>
      </c>
      <c r="BG51" s="7">
        <v>39</v>
      </c>
    </row>
    <row r="52" spans="29:59">
      <c r="AC52" s="3">
        <v>46</v>
      </c>
      <c r="AD52" s="3">
        <v>57</v>
      </c>
      <c r="AH52" s="6">
        <v>41</v>
      </c>
      <c r="AI52" s="7">
        <v>31</v>
      </c>
      <c r="AJ52" s="7">
        <v>32</v>
      </c>
      <c r="AK52" s="7">
        <v>37</v>
      </c>
      <c r="AL52" s="7">
        <v>26</v>
      </c>
      <c r="AM52" s="7">
        <v>36</v>
      </c>
      <c r="AN52" s="7">
        <v>34</v>
      </c>
      <c r="AO52" s="7">
        <v>34</v>
      </c>
      <c r="AP52" s="7">
        <v>39</v>
      </c>
      <c r="AQ52" s="7">
        <v>38</v>
      </c>
      <c r="AR52" s="7">
        <v>16</v>
      </c>
      <c r="AS52" s="7">
        <v>33</v>
      </c>
      <c r="AT52" s="7">
        <v>33</v>
      </c>
      <c r="AU52" s="7">
        <v>34</v>
      </c>
      <c r="AV52" s="7">
        <v>35</v>
      </c>
      <c r="AW52" s="7">
        <v>36</v>
      </c>
      <c r="AX52" s="7">
        <v>31</v>
      </c>
      <c r="AY52" s="7">
        <v>42</v>
      </c>
      <c r="AZ52" s="7">
        <v>30</v>
      </c>
      <c r="BA52" s="7">
        <v>35</v>
      </c>
      <c r="BB52" s="7">
        <v>37</v>
      </c>
      <c r="BC52" s="7">
        <v>26</v>
      </c>
      <c r="BD52" s="7">
        <v>36</v>
      </c>
      <c r="BE52" s="7">
        <v>33</v>
      </c>
      <c r="BF52" s="7">
        <v>38</v>
      </c>
      <c r="BG52" s="7">
        <v>39</v>
      </c>
    </row>
    <row r="53" spans="29:59">
      <c r="AC53" s="3">
        <v>47</v>
      </c>
      <c r="AD53" s="3">
        <v>58</v>
      </c>
      <c r="AH53" s="6">
        <v>42</v>
      </c>
      <c r="AI53" s="7">
        <v>31</v>
      </c>
      <c r="AJ53" s="7">
        <v>37</v>
      </c>
      <c r="AK53" s="7">
        <v>37</v>
      </c>
      <c r="AL53" s="7">
        <v>32</v>
      </c>
      <c r="AM53" s="7">
        <v>36</v>
      </c>
      <c r="AN53" s="7">
        <v>36</v>
      </c>
      <c r="AO53" s="7">
        <v>34</v>
      </c>
      <c r="AP53" s="7">
        <v>39</v>
      </c>
      <c r="AQ53" s="7">
        <v>38</v>
      </c>
      <c r="AR53" s="7">
        <v>17</v>
      </c>
      <c r="AS53" s="7">
        <v>33</v>
      </c>
      <c r="AT53" s="7">
        <v>33</v>
      </c>
      <c r="AU53" s="7">
        <v>39</v>
      </c>
      <c r="AV53" s="7">
        <v>35</v>
      </c>
      <c r="AW53" s="7">
        <v>36</v>
      </c>
      <c r="AX53" s="7">
        <v>31</v>
      </c>
      <c r="AY53" s="7">
        <v>42</v>
      </c>
      <c r="AZ53" s="7">
        <v>30</v>
      </c>
      <c r="BA53" s="7">
        <v>35</v>
      </c>
      <c r="BB53" s="7">
        <v>37</v>
      </c>
      <c r="BC53" s="7">
        <v>26</v>
      </c>
      <c r="BD53" s="7">
        <v>36</v>
      </c>
      <c r="BE53" s="7">
        <v>33</v>
      </c>
      <c r="BF53" s="7">
        <v>38</v>
      </c>
      <c r="BG53" s="7">
        <v>39</v>
      </c>
    </row>
    <row r="54" spans="29:59">
      <c r="AC54" s="3">
        <v>48</v>
      </c>
      <c r="AD54" s="3">
        <v>60</v>
      </c>
      <c r="AH54" s="6">
        <v>43</v>
      </c>
      <c r="AI54" s="7">
        <v>31</v>
      </c>
      <c r="AJ54" s="7">
        <v>37</v>
      </c>
      <c r="AK54" s="7">
        <v>37</v>
      </c>
      <c r="AL54" s="7">
        <v>33</v>
      </c>
      <c r="AM54" s="7">
        <v>36</v>
      </c>
      <c r="AN54" s="7">
        <v>36</v>
      </c>
      <c r="AO54" s="7">
        <v>34</v>
      </c>
      <c r="AP54" s="7">
        <v>40</v>
      </c>
      <c r="AQ54" s="7">
        <v>38</v>
      </c>
      <c r="AR54" s="7">
        <v>17</v>
      </c>
      <c r="AS54" s="7">
        <v>33</v>
      </c>
      <c r="AT54" s="7">
        <v>33</v>
      </c>
      <c r="AU54" s="7">
        <v>39</v>
      </c>
      <c r="AV54" s="7">
        <v>35</v>
      </c>
      <c r="AW54" s="7">
        <v>42</v>
      </c>
      <c r="AX54" s="7">
        <v>31</v>
      </c>
      <c r="AY54" s="7">
        <v>42</v>
      </c>
      <c r="AZ54" s="7">
        <v>30</v>
      </c>
      <c r="BA54" s="7">
        <v>35</v>
      </c>
      <c r="BB54" s="7">
        <v>37</v>
      </c>
      <c r="BC54" s="7">
        <v>26</v>
      </c>
      <c r="BD54" s="7">
        <v>36</v>
      </c>
      <c r="BE54" s="7">
        <v>33</v>
      </c>
      <c r="BF54" s="7">
        <v>42</v>
      </c>
      <c r="BG54" s="7">
        <v>39</v>
      </c>
    </row>
    <row r="55" spans="29:59">
      <c r="AC55" s="3">
        <v>49</v>
      </c>
      <c r="AD55" s="3">
        <v>61</v>
      </c>
      <c r="AH55" s="6">
        <v>44</v>
      </c>
      <c r="AI55" s="7">
        <v>31</v>
      </c>
      <c r="AJ55" s="7">
        <v>37</v>
      </c>
      <c r="AK55" s="7">
        <v>37</v>
      </c>
      <c r="AL55" s="7">
        <v>33</v>
      </c>
      <c r="AM55" s="7">
        <v>36</v>
      </c>
      <c r="AN55" s="7">
        <v>37</v>
      </c>
      <c r="AO55" s="7">
        <v>34</v>
      </c>
      <c r="AP55" s="7">
        <v>40</v>
      </c>
      <c r="AQ55" s="7">
        <v>38</v>
      </c>
      <c r="AR55" s="7">
        <v>18</v>
      </c>
      <c r="AS55" s="7">
        <v>33</v>
      </c>
      <c r="AT55" s="7">
        <v>33</v>
      </c>
      <c r="AU55" s="7">
        <v>39</v>
      </c>
      <c r="AV55" s="7">
        <v>36</v>
      </c>
      <c r="AW55" s="7">
        <v>42</v>
      </c>
      <c r="AX55" s="7">
        <v>32</v>
      </c>
      <c r="AY55" s="7">
        <v>42</v>
      </c>
      <c r="AZ55" s="7">
        <v>30</v>
      </c>
      <c r="BA55" s="7">
        <v>35</v>
      </c>
      <c r="BB55" s="7">
        <v>37</v>
      </c>
      <c r="BC55" s="7">
        <v>26</v>
      </c>
      <c r="BD55" s="7">
        <v>36</v>
      </c>
      <c r="BE55" s="7">
        <v>33</v>
      </c>
      <c r="BF55" s="7">
        <v>42</v>
      </c>
      <c r="BG55" s="7">
        <v>39</v>
      </c>
    </row>
    <row r="56" spans="29:59">
      <c r="AC56" s="3">
        <v>50</v>
      </c>
      <c r="AD56" s="3">
        <v>62</v>
      </c>
      <c r="AH56" s="6">
        <v>45</v>
      </c>
      <c r="AI56" s="7">
        <v>31</v>
      </c>
      <c r="AJ56" s="7">
        <v>37</v>
      </c>
      <c r="AK56" s="7">
        <v>40</v>
      </c>
      <c r="AL56" s="7">
        <v>33</v>
      </c>
      <c r="AM56" s="7">
        <v>36</v>
      </c>
      <c r="AN56" s="7">
        <v>37</v>
      </c>
      <c r="AO56" s="7">
        <v>34</v>
      </c>
      <c r="AP56" s="7">
        <v>40</v>
      </c>
      <c r="AQ56" s="7">
        <v>38</v>
      </c>
      <c r="AR56" s="7">
        <v>20</v>
      </c>
      <c r="AS56" s="7">
        <v>33</v>
      </c>
      <c r="AT56" s="7">
        <v>39</v>
      </c>
      <c r="AU56" s="7">
        <v>39</v>
      </c>
      <c r="AV56" s="7">
        <v>40</v>
      </c>
      <c r="AW56" s="7">
        <v>42</v>
      </c>
      <c r="AX56" s="7">
        <v>37</v>
      </c>
      <c r="AY56" s="7">
        <v>42</v>
      </c>
      <c r="AZ56" s="7">
        <v>30</v>
      </c>
      <c r="BA56" s="7">
        <v>40</v>
      </c>
      <c r="BB56" s="7">
        <v>37</v>
      </c>
      <c r="BC56" s="7">
        <v>26</v>
      </c>
      <c r="BD56" s="7">
        <v>36</v>
      </c>
      <c r="BE56" s="7">
        <v>33</v>
      </c>
      <c r="BF56" s="7">
        <v>42</v>
      </c>
      <c r="BG56" s="7">
        <v>39</v>
      </c>
    </row>
    <row r="57" spans="29:59">
      <c r="AC57" s="3">
        <v>51</v>
      </c>
      <c r="AD57" s="3">
        <v>63</v>
      </c>
      <c r="AH57" s="6">
        <v>46</v>
      </c>
      <c r="AI57" s="7">
        <v>32</v>
      </c>
      <c r="AJ57" s="7">
        <v>37</v>
      </c>
      <c r="AK57" s="7">
        <v>40</v>
      </c>
      <c r="AL57" s="7">
        <v>33</v>
      </c>
      <c r="AM57" s="7">
        <v>37</v>
      </c>
      <c r="AN57" s="7">
        <v>37</v>
      </c>
      <c r="AO57" s="7">
        <v>34</v>
      </c>
      <c r="AP57" s="7">
        <v>40</v>
      </c>
      <c r="AQ57" s="7">
        <v>38</v>
      </c>
      <c r="AR57" s="7">
        <v>20</v>
      </c>
      <c r="AS57" s="7">
        <v>33</v>
      </c>
      <c r="AT57" s="7">
        <v>39</v>
      </c>
      <c r="AU57" s="7">
        <v>39</v>
      </c>
      <c r="AV57" s="7">
        <v>40</v>
      </c>
      <c r="AW57" s="7">
        <v>42</v>
      </c>
      <c r="AX57" s="7">
        <v>37</v>
      </c>
      <c r="AY57" s="7">
        <v>42</v>
      </c>
      <c r="AZ57" s="7">
        <v>30</v>
      </c>
      <c r="BA57" s="7">
        <v>40</v>
      </c>
      <c r="BB57" s="7">
        <v>37</v>
      </c>
      <c r="BC57" s="7">
        <v>26</v>
      </c>
      <c r="BD57" s="7">
        <v>36</v>
      </c>
      <c r="BE57" s="7">
        <v>34</v>
      </c>
      <c r="BF57" s="7">
        <v>42</v>
      </c>
      <c r="BG57" s="7">
        <v>39</v>
      </c>
    </row>
    <row r="58" spans="29:59">
      <c r="AC58" s="3">
        <v>52</v>
      </c>
      <c r="AD58" s="3">
        <v>65</v>
      </c>
      <c r="AH58" s="6">
        <v>47</v>
      </c>
      <c r="AI58" s="7">
        <v>36</v>
      </c>
      <c r="AJ58" s="7">
        <v>38</v>
      </c>
      <c r="AK58" s="7">
        <v>40</v>
      </c>
      <c r="AL58" s="7">
        <v>33</v>
      </c>
      <c r="AM58" s="7">
        <v>40</v>
      </c>
      <c r="AN58" s="7">
        <v>38</v>
      </c>
      <c r="AO58" s="7">
        <v>35</v>
      </c>
      <c r="AP58" s="7">
        <v>40</v>
      </c>
      <c r="AQ58" s="7">
        <v>38</v>
      </c>
      <c r="AR58" s="7">
        <v>20</v>
      </c>
      <c r="AS58" s="7">
        <v>38</v>
      </c>
      <c r="AT58" s="7">
        <v>39</v>
      </c>
      <c r="AU58" s="7">
        <v>39</v>
      </c>
      <c r="AV58" s="7">
        <v>40</v>
      </c>
      <c r="AW58" s="7">
        <v>42</v>
      </c>
      <c r="AX58" s="7">
        <v>37</v>
      </c>
      <c r="AY58" s="7">
        <v>42</v>
      </c>
      <c r="AZ58" s="7">
        <v>30</v>
      </c>
      <c r="BA58" s="7">
        <v>40</v>
      </c>
      <c r="BB58" s="7">
        <v>37</v>
      </c>
      <c r="BC58" s="7">
        <v>26</v>
      </c>
      <c r="BD58" s="7">
        <v>37</v>
      </c>
      <c r="BE58" s="7">
        <v>39</v>
      </c>
      <c r="BF58" s="7">
        <v>42</v>
      </c>
      <c r="BG58" s="7">
        <v>39</v>
      </c>
    </row>
    <row r="59" spans="29:59">
      <c r="AC59" s="3">
        <v>53</v>
      </c>
      <c r="AD59" s="3">
        <v>66</v>
      </c>
      <c r="AH59" s="6">
        <v>48</v>
      </c>
      <c r="AI59" s="7">
        <v>36</v>
      </c>
      <c r="AJ59" s="7">
        <v>41</v>
      </c>
      <c r="AK59" s="7">
        <v>40</v>
      </c>
      <c r="AL59" s="7">
        <v>38</v>
      </c>
      <c r="AM59" s="7">
        <v>41</v>
      </c>
      <c r="AN59" s="7">
        <v>41</v>
      </c>
      <c r="AO59" s="7">
        <v>43</v>
      </c>
      <c r="AP59" s="7">
        <v>40</v>
      </c>
      <c r="AQ59" s="7">
        <v>38</v>
      </c>
      <c r="AR59" s="7">
        <v>21</v>
      </c>
      <c r="AS59" s="7">
        <v>38</v>
      </c>
      <c r="AT59" s="7">
        <v>39</v>
      </c>
      <c r="AU59" s="7">
        <v>43</v>
      </c>
      <c r="AV59" s="7">
        <v>40</v>
      </c>
      <c r="AW59" s="7">
        <v>42</v>
      </c>
      <c r="AX59" s="7">
        <v>37</v>
      </c>
      <c r="AY59" s="7">
        <v>42</v>
      </c>
      <c r="AZ59" s="7">
        <v>30</v>
      </c>
      <c r="BA59" s="7">
        <v>40</v>
      </c>
      <c r="BB59" s="7">
        <v>37</v>
      </c>
      <c r="BC59" s="7">
        <v>26</v>
      </c>
      <c r="BD59" s="7">
        <v>42</v>
      </c>
      <c r="BE59" s="7">
        <v>39</v>
      </c>
      <c r="BF59" s="7">
        <v>42</v>
      </c>
      <c r="BG59" s="7">
        <v>39</v>
      </c>
    </row>
    <row r="60" spans="29:59">
      <c r="AC60" s="3">
        <v>54</v>
      </c>
      <c r="AD60" s="3">
        <v>67</v>
      </c>
      <c r="AH60" s="6">
        <v>49</v>
      </c>
      <c r="AI60" s="7">
        <v>36</v>
      </c>
      <c r="AJ60" s="7">
        <v>42</v>
      </c>
      <c r="AK60" s="7">
        <v>40</v>
      </c>
      <c r="AL60" s="7">
        <v>38</v>
      </c>
      <c r="AM60" s="7">
        <v>41</v>
      </c>
      <c r="AN60" s="7">
        <v>41</v>
      </c>
      <c r="AO60" s="7">
        <v>43</v>
      </c>
      <c r="AP60" s="7">
        <v>40</v>
      </c>
      <c r="AQ60" s="7">
        <v>39</v>
      </c>
      <c r="AR60" s="7">
        <v>26</v>
      </c>
      <c r="AS60" s="7">
        <v>38</v>
      </c>
      <c r="AT60" s="7">
        <v>39</v>
      </c>
      <c r="AU60" s="7">
        <v>43</v>
      </c>
      <c r="AV60" s="7">
        <v>40</v>
      </c>
      <c r="AW60" s="7">
        <v>42</v>
      </c>
      <c r="AX60" s="7">
        <v>37</v>
      </c>
      <c r="AY60" s="7">
        <v>42</v>
      </c>
      <c r="AZ60" s="7">
        <v>32</v>
      </c>
      <c r="BA60" s="7">
        <v>41</v>
      </c>
      <c r="BB60" s="7">
        <v>37</v>
      </c>
      <c r="BC60" s="7">
        <v>26</v>
      </c>
      <c r="BD60" s="7">
        <v>43</v>
      </c>
      <c r="BE60" s="7">
        <v>39</v>
      </c>
      <c r="BF60" s="7">
        <v>42</v>
      </c>
      <c r="BG60" s="7">
        <v>39</v>
      </c>
    </row>
    <row r="61" spans="29:59">
      <c r="AC61" s="3">
        <v>55</v>
      </c>
      <c r="AD61" s="3">
        <v>69</v>
      </c>
      <c r="AH61" s="6">
        <v>50</v>
      </c>
      <c r="AI61" s="7">
        <v>36</v>
      </c>
      <c r="AJ61" s="7">
        <v>42</v>
      </c>
      <c r="AK61" s="7">
        <v>44</v>
      </c>
      <c r="AL61" s="7">
        <v>39</v>
      </c>
      <c r="AM61" s="7">
        <v>41</v>
      </c>
      <c r="AN61" s="7">
        <v>41</v>
      </c>
      <c r="AO61" s="7">
        <v>43</v>
      </c>
      <c r="AP61" s="7">
        <v>40</v>
      </c>
      <c r="AQ61" s="7">
        <v>44</v>
      </c>
      <c r="AR61" s="7">
        <v>26</v>
      </c>
      <c r="AS61" s="7">
        <v>38</v>
      </c>
      <c r="AT61" s="7">
        <v>39</v>
      </c>
      <c r="AU61" s="7">
        <v>43</v>
      </c>
      <c r="AV61" s="7">
        <v>40</v>
      </c>
      <c r="AW61" s="7">
        <v>42</v>
      </c>
      <c r="AX61" s="7">
        <v>37</v>
      </c>
      <c r="AY61" s="7">
        <v>46</v>
      </c>
      <c r="AZ61" s="7">
        <v>38</v>
      </c>
      <c r="BA61" s="7">
        <v>45</v>
      </c>
      <c r="BB61" s="7">
        <v>37</v>
      </c>
      <c r="BC61" s="7">
        <v>26</v>
      </c>
      <c r="BD61" s="7">
        <v>43</v>
      </c>
      <c r="BE61" s="7">
        <v>39</v>
      </c>
      <c r="BF61" s="7">
        <v>43</v>
      </c>
      <c r="BG61" s="7">
        <v>39</v>
      </c>
    </row>
    <row r="62" spans="29:59">
      <c r="AC62" s="3">
        <v>56</v>
      </c>
      <c r="AD62" s="3">
        <v>70</v>
      </c>
      <c r="AH62" s="6">
        <v>51</v>
      </c>
      <c r="AI62" s="7">
        <v>36</v>
      </c>
      <c r="AJ62" s="7">
        <v>42</v>
      </c>
      <c r="AK62" s="7">
        <v>44</v>
      </c>
      <c r="AL62" s="7">
        <v>39</v>
      </c>
      <c r="AM62" s="7">
        <v>41</v>
      </c>
      <c r="AN62" s="7">
        <v>41</v>
      </c>
      <c r="AO62" s="7">
        <v>43</v>
      </c>
      <c r="AP62" s="7">
        <v>40</v>
      </c>
      <c r="AQ62" s="7">
        <v>44</v>
      </c>
      <c r="AR62" s="7">
        <v>27</v>
      </c>
      <c r="AS62" s="7">
        <v>38</v>
      </c>
      <c r="AT62" s="7">
        <v>39</v>
      </c>
      <c r="AU62" s="7">
        <v>43</v>
      </c>
      <c r="AV62" s="7">
        <v>40</v>
      </c>
      <c r="AW62" s="7">
        <v>47</v>
      </c>
      <c r="AX62" s="7">
        <v>37</v>
      </c>
      <c r="AY62" s="7">
        <v>46</v>
      </c>
      <c r="AZ62" s="7">
        <v>39</v>
      </c>
      <c r="BA62" s="7">
        <v>45</v>
      </c>
      <c r="BB62" s="7">
        <v>37</v>
      </c>
      <c r="BC62" s="7">
        <v>26</v>
      </c>
      <c r="BD62" s="7">
        <v>43</v>
      </c>
      <c r="BE62" s="7">
        <v>39</v>
      </c>
      <c r="BF62" s="7">
        <v>45</v>
      </c>
      <c r="BG62" s="7">
        <v>39</v>
      </c>
    </row>
    <row r="63" spans="29:59">
      <c r="AC63" s="3">
        <v>57</v>
      </c>
      <c r="AD63" s="3">
        <v>71</v>
      </c>
      <c r="AH63" s="6">
        <v>52</v>
      </c>
      <c r="AI63" s="7">
        <v>37</v>
      </c>
      <c r="AJ63" s="7">
        <v>42</v>
      </c>
      <c r="AK63" s="7">
        <v>44</v>
      </c>
      <c r="AL63" s="7">
        <v>39</v>
      </c>
      <c r="AM63" s="7">
        <v>42</v>
      </c>
      <c r="AN63" s="7">
        <v>42</v>
      </c>
      <c r="AO63" s="7">
        <v>43</v>
      </c>
      <c r="AP63" s="7">
        <v>40</v>
      </c>
      <c r="AQ63" s="7">
        <v>44</v>
      </c>
      <c r="AR63" s="7">
        <v>28</v>
      </c>
      <c r="AS63" s="7">
        <v>39</v>
      </c>
      <c r="AT63" s="7">
        <v>40</v>
      </c>
      <c r="AU63" s="7">
        <v>43</v>
      </c>
      <c r="AV63" s="7">
        <v>40</v>
      </c>
      <c r="AW63" s="7">
        <v>47</v>
      </c>
      <c r="AX63" s="7">
        <v>38</v>
      </c>
      <c r="AY63" s="7">
        <v>46</v>
      </c>
      <c r="AZ63" s="7">
        <v>39</v>
      </c>
      <c r="BA63" s="7">
        <v>45</v>
      </c>
      <c r="BB63" s="7">
        <v>37</v>
      </c>
      <c r="BC63" s="7">
        <v>26</v>
      </c>
      <c r="BD63" s="7">
        <v>43</v>
      </c>
      <c r="BE63" s="7">
        <v>40</v>
      </c>
      <c r="BF63" s="7">
        <v>46</v>
      </c>
      <c r="BG63" s="7">
        <v>39</v>
      </c>
    </row>
    <row r="64" spans="29:59">
      <c r="AC64" s="3">
        <v>58</v>
      </c>
      <c r="AD64" s="3">
        <v>72</v>
      </c>
      <c r="AH64" s="6">
        <v>53</v>
      </c>
      <c r="AI64" s="7">
        <v>42</v>
      </c>
      <c r="AJ64" s="7">
        <v>43</v>
      </c>
      <c r="AK64" s="7">
        <v>44</v>
      </c>
      <c r="AL64" s="7">
        <v>39</v>
      </c>
      <c r="AM64" s="7">
        <v>45</v>
      </c>
      <c r="AN64" s="7">
        <v>43</v>
      </c>
      <c r="AO64" s="7">
        <v>43</v>
      </c>
      <c r="AP64" s="7">
        <v>40</v>
      </c>
      <c r="AQ64" s="7">
        <v>44</v>
      </c>
      <c r="AR64" s="7">
        <v>31</v>
      </c>
      <c r="AS64" s="7">
        <v>43</v>
      </c>
      <c r="AT64" s="7">
        <v>45</v>
      </c>
      <c r="AU64" s="7">
        <v>43</v>
      </c>
      <c r="AV64" s="7">
        <v>45</v>
      </c>
      <c r="AW64" s="7">
        <v>47</v>
      </c>
      <c r="AX64" s="7">
        <v>45</v>
      </c>
      <c r="AY64" s="7">
        <v>46</v>
      </c>
      <c r="AZ64" s="7">
        <v>39</v>
      </c>
      <c r="BA64" s="7">
        <v>45</v>
      </c>
      <c r="BB64" s="7">
        <v>37</v>
      </c>
      <c r="BC64" s="7">
        <v>26</v>
      </c>
      <c r="BD64" s="7">
        <v>43</v>
      </c>
      <c r="BE64" s="7">
        <v>45</v>
      </c>
      <c r="BF64" s="7">
        <v>46</v>
      </c>
      <c r="BG64" s="7">
        <v>39</v>
      </c>
    </row>
    <row r="65" spans="29:59">
      <c r="AC65" s="3">
        <v>59</v>
      </c>
      <c r="AD65" s="3">
        <v>74</v>
      </c>
      <c r="AH65" s="6">
        <v>54</v>
      </c>
      <c r="AI65" s="7">
        <v>42</v>
      </c>
      <c r="AJ65" s="7">
        <v>46</v>
      </c>
      <c r="AK65" s="7">
        <v>44</v>
      </c>
      <c r="AL65" s="7">
        <v>44</v>
      </c>
      <c r="AM65" s="7">
        <v>45</v>
      </c>
      <c r="AN65" s="7">
        <v>46</v>
      </c>
      <c r="AO65" s="7">
        <v>43</v>
      </c>
      <c r="AP65" s="7">
        <v>40</v>
      </c>
      <c r="AQ65" s="7">
        <v>44</v>
      </c>
      <c r="AR65" s="7">
        <v>31</v>
      </c>
      <c r="AS65" s="7">
        <v>43</v>
      </c>
      <c r="AT65" s="7">
        <v>45</v>
      </c>
      <c r="AU65" s="7">
        <v>47</v>
      </c>
      <c r="AV65" s="7">
        <v>45</v>
      </c>
      <c r="AW65" s="7">
        <v>47</v>
      </c>
      <c r="AX65" s="7">
        <v>45</v>
      </c>
      <c r="AY65" s="7">
        <v>46</v>
      </c>
      <c r="AZ65" s="7">
        <v>39</v>
      </c>
      <c r="BA65" s="7">
        <v>45</v>
      </c>
      <c r="BB65" s="7">
        <v>37</v>
      </c>
      <c r="BC65" s="7">
        <v>26</v>
      </c>
      <c r="BD65" s="7">
        <v>43</v>
      </c>
      <c r="BE65" s="7">
        <v>45</v>
      </c>
      <c r="BF65" s="7">
        <v>46</v>
      </c>
      <c r="BG65" s="7">
        <v>39</v>
      </c>
    </row>
    <row r="66" spans="29:59">
      <c r="AC66" s="3">
        <v>60</v>
      </c>
      <c r="AD66" s="3">
        <v>75</v>
      </c>
      <c r="AH66" s="6">
        <v>55</v>
      </c>
      <c r="AI66" s="7">
        <v>42</v>
      </c>
      <c r="AJ66" s="7">
        <v>46</v>
      </c>
      <c r="AK66" s="7">
        <v>47</v>
      </c>
      <c r="AL66" s="7">
        <v>45</v>
      </c>
      <c r="AM66" s="7">
        <v>46</v>
      </c>
      <c r="AN66" s="7">
        <v>46</v>
      </c>
      <c r="AO66" s="7">
        <v>43</v>
      </c>
      <c r="AP66" s="7">
        <v>40</v>
      </c>
      <c r="AQ66" s="7">
        <v>44</v>
      </c>
      <c r="AR66" s="7">
        <v>33</v>
      </c>
      <c r="AS66" s="7">
        <v>43</v>
      </c>
      <c r="AT66" s="7">
        <v>45</v>
      </c>
      <c r="AU66" s="7">
        <v>47</v>
      </c>
      <c r="AV66" s="7">
        <v>45</v>
      </c>
      <c r="AW66" s="7">
        <v>47</v>
      </c>
      <c r="AX66" s="7">
        <v>45</v>
      </c>
      <c r="AY66" s="7">
        <v>46</v>
      </c>
      <c r="AZ66" s="7">
        <v>39</v>
      </c>
      <c r="BA66" s="7">
        <v>48</v>
      </c>
      <c r="BB66" s="7">
        <v>37</v>
      </c>
      <c r="BC66" s="7">
        <v>26</v>
      </c>
      <c r="BD66" s="7">
        <v>43</v>
      </c>
      <c r="BE66" s="7">
        <v>45</v>
      </c>
      <c r="BF66" s="7">
        <v>46</v>
      </c>
      <c r="BG66" s="7">
        <v>39</v>
      </c>
    </row>
    <row r="67" spans="29:59">
      <c r="AC67" s="3">
        <v>61</v>
      </c>
      <c r="AD67" s="3">
        <v>76</v>
      </c>
      <c r="AH67" s="6">
        <v>56</v>
      </c>
      <c r="AI67" s="7">
        <v>42</v>
      </c>
      <c r="AJ67" s="7">
        <v>46</v>
      </c>
      <c r="AK67" s="7">
        <v>47</v>
      </c>
      <c r="AL67" s="7">
        <v>45</v>
      </c>
      <c r="AM67" s="7">
        <v>46</v>
      </c>
      <c r="AN67" s="7">
        <v>46</v>
      </c>
      <c r="AO67" s="7">
        <v>43</v>
      </c>
      <c r="AP67" s="7">
        <v>40</v>
      </c>
      <c r="AQ67" s="7">
        <v>44</v>
      </c>
      <c r="AR67" s="7">
        <v>40</v>
      </c>
      <c r="AS67" s="7">
        <v>43</v>
      </c>
      <c r="AT67" s="7">
        <v>45</v>
      </c>
      <c r="AU67" s="7">
        <v>47</v>
      </c>
      <c r="AV67" s="7">
        <v>45</v>
      </c>
      <c r="AW67" s="7">
        <v>47</v>
      </c>
      <c r="AX67" s="7">
        <v>45</v>
      </c>
      <c r="AY67" s="7">
        <v>46</v>
      </c>
      <c r="AZ67" s="7">
        <v>39</v>
      </c>
      <c r="BA67" s="7">
        <v>48</v>
      </c>
      <c r="BB67" s="7">
        <v>37</v>
      </c>
      <c r="BC67" s="7">
        <v>26</v>
      </c>
      <c r="BD67" s="7">
        <v>43</v>
      </c>
      <c r="BE67" s="7">
        <v>45</v>
      </c>
      <c r="BF67" s="7">
        <v>46</v>
      </c>
      <c r="BG67" s="7">
        <v>39</v>
      </c>
    </row>
    <row r="68" spans="29:59">
      <c r="AC68" s="3">
        <v>62</v>
      </c>
      <c r="AD68" s="3">
        <v>77</v>
      </c>
      <c r="AH68" s="6">
        <v>57</v>
      </c>
      <c r="AI68" s="7">
        <v>42</v>
      </c>
      <c r="AJ68" s="7">
        <v>46</v>
      </c>
      <c r="AK68" s="7">
        <v>47</v>
      </c>
      <c r="AL68" s="7">
        <v>45</v>
      </c>
      <c r="AM68" s="7">
        <v>46</v>
      </c>
      <c r="AN68" s="7">
        <v>46</v>
      </c>
      <c r="AO68" s="7">
        <v>43</v>
      </c>
      <c r="AP68" s="7">
        <v>40</v>
      </c>
      <c r="AQ68" s="7">
        <v>44</v>
      </c>
      <c r="AR68" s="7">
        <v>40</v>
      </c>
      <c r="AS68" s="7">
        <v>43</v>
      </c>
      <c r="AT68" s="7">
        <v>45</v>
      </c>
      <c r="AU68" s="7">
        <v>47</v>
      </c>
      <c r="AV68" s="7">
        <v>45</v>
      </c>
      <c r="AW68" s="7">
        <v>47</v>
      </c>
      <c r="AX68" s="7">
        <v>45</v>
      </c>
      <c r="AY68" s="7">
        <v>46</v>
      </c>
      <c r="AZ68" s="7">
        <v>39</v>
      </c>
      <c r="BA68" s="7">
        <v>48</v>
      </c>
      <c r="BB68" s="7">
        <v>37</v>
      </c>
      <c r="BC68" s="7">
        <v>26</v>
      </c>
      <c r="BD68" s="7">
        <v>43</v>
      </c>
      <c r="BE68" s="7">
        <v>45</v>
      </c>
      <c r="BF68" s="7">
        <v>46</v>
      </c>
      <c r="BG68" s="7">
        <v>39</v>
      </c>
    </row>
    <row r="69" spans="29:59">
      <c r="AC69" s="3">
        <v>63</v>
      </c>
      <c r="AD69" s="3">
        <v>78</v>
      </c>
      <c r="AH69" s="6">
        <v>58</v>
      </c>
      <c r="AI69" s="7">
        <v>42</v>
      </c>
      <c r="AJ69" s="7">
        <v>46</v>
      </c>
      <c r="AK69" s="7">
        <v>47</v>
      </c>
      <c r="AL69" s="7">
        <v>45</v>
      </c>
      <c r="AM69" s="7">
        <v>46</v>
      </c>
      <c r="AN69" s="7">
        <v>47</v>
      </c>
      <c r="AO69" s="7">
        <v>43</v>
      </c>
      <c r="AP69" s="7">
        <v>40</v>
      </c>
      <c r="AQ69" s="7">
        <v>44</v>
      </c>
      <c r="AR69" s="7">
        <v>41</v>
      </c>
      <c r="AS69" s="7">
        <v>43</v>
      </c>
      <c r="AT69" s="7">
        <v>45</v>
      </c>
      <c r="AU69" s="7">
        <v>47</v>
      </c>
      <c r="AV69" s="7">
        <v>45</v>
      </c>
      <c r="AW69" s="7">
        <v>47</v>
      </c>
      <c r="AX69" s="7">
        <v>45</v>
      </c>
      <c r="AY69" s="7">
        <v>46</v>
      </c>
      <c r="AZ69" s="7">
        <v>39</v>
      </c>
      <c r="BA69" s="7">
        <v>48</v>
      </c>
      <c r="BB69" s="7">
        <v>38</v>
      </c>
      <c r="BC69" s="7">
        <v>26</v>
      </c>
      <c r="BD69" s="7">
        <v>43</v>
      </c>
      <c r="BE69" s="7">
        <v>45</v>
      </c>
      <c r="BF69" s="7">
        <v>46</v>
      </c>
      <c r="BG69" s="7">
        <v>39</v>
      </c>
    </row>
    <row r="70" spans="29:59">
      <c r="AC70" s="3">
        <v>64</v>
      </c>
      <c r="AD70" s="3">
        <v>79</v>
      </c>
      <c r="AH70" s="6">
        <v>59</v>
      </c>
      <c r="AI70" s="7">
        <v>43</v>
      </c>
      <c r="AJ70" s="7">
        <v>47</v>
      </c>
      <c r="AK70" s="7">
        <v>47</v>
      </c>
      <c r="AL70" s="7">
        <v>46</v>
      </c>
      <c r="AM70" s="7">
        <v>47</v>
      </c>
      <c r="AN70" s="7">
        <v>48</v>
      </c>
      <c r="AO70" s="7">
        <v>44</v>
      </c>
      <c r="AP70" s="7">
        <v>42</v>
      </c>
      <c r="AQ70" s="7">
        <v>46</v>
      </c>
      <c r="AR70" s="7">
        <v>43</v>
      </c>
      <c r="AS70" s="7">
        <v>43</v>
      </c>
      <c r="AT70" s="7">
        <v>46</v>
      </c>
      <c r="AU70" s="7">
        <v>48</v>
      </c>
      <c r="AV70" s="7">
        <v>45</v>
      </c>
      <c r="AW70" s="7">
        <v>48</v>
      </c>
      <c r="AX70" s="7">
        <v>46</v>
      </c>
      <c r="AY70" s="7">
        <v>47</v>
      </c>
      <c r="AZ70" s="7">
        <v>41</v>
      </c>
      <c r="BA70" s="7">
        <v>48</v>
      </c>
      <c r="BB70" s="7">
        <v>45</v>
      </c>
      <c r="BC70" s="7">
        <v>30</v>
      </c>
      <c r="BD70" s="7">
        <v>44</v>
      </c>
      <c r="BE70" s="7">
        <v>45</v>
      </c>
      <c r="BF70" s="7">
        <v>46</v>
      </c>
      <c r="BG70" s="7">
        <v>40</v>
      </c>
    </row>
    <row r="71" spans="29:59">
      <c r="AC71" s="3">
        <v>65</v>
      </c>
      <c r="AD71" s="3">
        <v>80</v>
      </c>
      <c r="AH71" s="6">
        <v>60</v>
      </c>
      <c r="AI71" s="7">
        <v>48</v>
      </c>
      <c r="AJ71" s="7">
        <v>50</v>
      </c>
      <c r="AK71" s="7">
        <v>51</v>
      </c>
      <c r="AL71" s="7">
        <v>51</v>
      </c>
      <c r="AM71" s="7">
        <v>50</v>
      </c>
      <c r="AN71" s="7">
        <v>51</v>
      </c>
      <c r="AO71" s="7">
        <v>49</v>
      </c>
      <c r="AP71" s="7">
        <v>50</v>
      </c>
      <c r="AQ71" s="7">
        <v>52</v>
      </c>
      <c r="AR71" s="7">
        <v>47</v>
      </c>
      <c r="AS71" s="7">
        <v>48</v>
      </c>
      <c r="AT71" s="7">
        <v>51</v>
      </c>
      <c r="AU71" s="7">
        <v>51</v>
      </c>
      <c r="AV71" s="7">
        <v>49</v>
      </c>
      <c r="AW71" s="7">
        <v>52</v>
      </c>
      <c r="AX71" s="7">
        <v>51</v>
      </c>
      <c r="AY71" s="7">
        <v>50</v>
      </c>
      <c r="AZ71" s="7">
        <v>48</v>
      </c>
      <c r="BA71" s="7">
        <v>50</v>
      </c>
      <c r="BB71" s="7">
        <v>65</v>
      </c>
      <c r="BC71" s="7">
        <v>48</v>
      </c>
      <c r="BD71" s="7">
        <v>50</v>
      </c>
      <c r="BE71" s="7">
        <v>49</v>
      </c>
      <c r="BF71" s="7">
        <v>49</v>
      </c>
      <c r="BG71" s="7">
        <v>51</v>
      </c>
    </row>
    <row r="72" spans="29:59">
      <c r="AC72" s="3">
        <v>66</v>
      </c>
      <c r="AD72" s="3">
        <v>80</v>
      </c>
      <c r="AH72" s="6">
        <v>61</v>
      </c>
      <c r="AI72" s="7">
        <v>48</v>
      </c>
      <c r="AJ72" s="7">
        <v>50</v>
      </c>
      <c r="AK72" s="7">
        <v>51</v>
      </c>
      <c r="AL72" s="7">
        <v>51</v>
      </c>
      <c r="AM72" s="7">
        <v>50</v>
      </c>
      <c r="AN72" s="7">
        <v>55</v>
      </c>
      <c r="AO72" s="7">
        <v>51</v>
      </c>
      <c r="AP72" s="7">
        <v>52</v>
      </c>
      <c r="AQ72" s="7">
        <v>53</v>
      </c>
      <c r="AR72" s="7">
        <v>47</v>
      </c>
      <c r="AS72" s="7">
        <v>48</v>
      </c>
      <c r="AT72" s="7">
        <v>51</v>
      </c>
      <c r="AU72" s="7">
        <v>52</v>
      </c>
      <c r="AV72" s="7">
        <v>49</v>
      </c>
      <c r="AW72" s="7">
        <v>52</v>
      </c>
      <c r="AX72" s="7">
        <v>51</v>
      </c>
      <c r="AY72" s="7">
        <v>50</v>
      </c>
      <c r="AZ72" s="7">
        <v>48</v>
      </c>
      <c r="BA72" s="7">
        <v>50</v>
      </c>
      <c r="BB72" s="7">
        <v>65</v>
      </c>
      <c r="BC72" s="7">
        <v>52</v>
      </c>
      <c r="BD72" s="7">
        <v>51</v>
      </c>
      <c r="BE72" s="7">
        <v>50</v>
      </c>
      <c r="BF72" s="7">
        <v>49</v>
      </c>
      <c r="BG72" s="7">
        <v>53</v>
      </c>
    </row>
    <row r="73" spans="29:59">
      <c r="AC73" s="3">
        <v>67</v>
      </c>
      <c r="AD73" s="3">
        <v>81</v>
      </c>
      <c r="AH73" s="6">
        <v>62</v>
      </c>
      <c r="AI73" s="7">
        <v>49</v>
      </c>
      <c r="AJ73" s="7">
        <v>50</v>
      </c>
      <c r="AK73" s="7">
        <v>51</v>
      </c>
      <c r="AL73" s="7">
        <v>51</v>
      </c>
      <c r="AM73" s="7">
        <v>52</v>
      </c>
      <c r="AN73" s="7">
        <v>55</v>
      </c>
      <c r="AO73" s="7">
        <v>56</v>
      </c>
      <c r="AP73" s="7">
        <v>60</v>
      </c>
      <c r="AQ73" s="7">
        <v>60</v>
      </c>
      <c r="AR73" s="7">
        <v>47</v>
      </c>
      <c r="AS73" s="7">
        <v>52</v>
      </c>
      <c r="AT73" s="7">
        <v>56</v>
      </c>
      <c r="AU73" s="7">
        <v>56</v>
      </c>
      <c r="AV73" s="7">
        <v>53</v>
      </c>
      <c r="AW73" s="7">
        <v>53</v>
      </c>
      <c r="AX73" s="7">
        <v>52</v>
      </c>
      <c r="AY73" s="7">
        <v>50</v>
      </c>
      <c r="AZ73" s="7">
        <v>49</v>
      </c>
      <c r="BA73" s="7">
        <v>50</v>
      </c>
      <c r="BB73" s="7">
        <v>65</v>
      </c>
      <c r="BC73" s="7">
        <v>61</v>
      </c>
      <c r="BD73" s="7">
        <v>55</v>
      </c>
      <c r="BE73" s="7">
        <v>56</v>
      </c>
      <c r="BF73" s="7">
        <v>52</v>
      </c>
      <c r="BG73" s="7">
        <v>61</v>
      </c>
    </row>
    <row r="74" spans="29:59">
      <c r="AC74" s="3">
        <v>68</v>
      </c>
      <c r="AD74" s="3">
        <v>82</v>
      </c>
      <c r="AH74" s="6">
        <v>63</v>
      </c>
      <c r="AI74" s="7">
        <v>54</v>
      </c>
      <c r="AJ74" s="7">
        <v>50</v>
      </c>
      <c r="AK74" s="7">
        <v>51</v>
      </c>
      <c r="AL74" s="7">
        <v>51</v>
      </c>
      <c r="AM74" s="7">
        <v>56</v>
      </c>
      <c r="AN74" s="7">
        <v>60</v>
      </c>
      <c r="AO74" s="7">
        <v>57</v>
      </c>
      <c r="AP74" s="7">
        <v>62</v>
      </c>
      <c r="AQ74" s="7">
        <v>64</v>
      </c>
      <c r="AR74" s="7">
        <v>49</v>
      </c>
      <c r="AS74" s="7">
        <v>53</v>
      </c>
      <c r="AT74" s="7">
        <v>60</v>
      </c>
      <c r="AU74" s="7">
        <v>59</v>
      </c>
      <c r="AV74" s="7">
        <v>53</v>
      </c>
      <c r="AW74" s="7">
        <v>57</v>
      </c>
      <c r="AX74" s="7">
        <v>52</v>
      </c>
      <c r="AY74" s="7">
        <v>52</v>
      </c>
      <c r="AZ74" s="7">
        <v>55</v>
      </c>
      <c r="BA74" s="7">
        <v>53</v>
      </c>
      <c r="BB74" s="7">
        <v>65</v>
      </c>
      <c r="BC74" s="7">
        <v>64</v>
      </c>
      <c r="BD74" s="7">
        <v>63</v>
      </c>
      <c r="BE74" s="7">
        <v>57</v>
      </c>
      <c r="BF74" s="7">
        <v>53</v>
      </c>
      <c r="BG74" s="7">
        <v>63</v>
      </c>
    </row>
    <row r="75" spans="29:59">
      <c r="AC75" s="3">
        <v>69</v>
      </c>
      <c r="AD75" s="3">
        <v>83</v>
      </c>
      <c r="AH75" s="6">
        <v>64</v>
      </c>
      <c r="AI75" s="7">
        <v>56</v>
      </c>
      <c r="AJ75" s="7">
        <v>50</v>
      </c>
      <c r="AK75" s="7">
        <v>51</v>
      </c>
      <c r="AL75" s="7">
        <v>51</v>
      </c>
      <c r="AM75" s="7">
        <v>58</v>
      </c>
      <c r="AN75" s="7">
        <v>63</v>
      </c>
      <c r="AO75" s="7">
        <v>61</v>
      </c>
      <c r="AP75" s="7">
        <v>67</v>
      </c>
      <c r="AQ75" s="7">
        <v>66</v>
      </c>
      <c r="AR75" s="7">
        <v>59</v>
      </c>
      <c r="AS75" s="7">
        <v>57</v>
      </c>
      <c r="AT75" s="7">
        <v>61</v>
      </c>
      <c r="AU75" s="7">
        <v>60</v>
      </c>
      <c r="AV75" s="7">
        <v>57</v>
      </c>
      <c r="AW75" s="7">
        <v>57</v>
      </c>
      <c r="AX75" s="7">
        <v>52</v>
      </c>
      <c r="AY75" s="7">
        <v>56</v>
      </c>
      <c r="AZ75" s="7">
        <v>55</v>
      </c>
      <c r="BA75" s="7">
        <v>53</v>
      </c>
      <c r="BB75" s="7">
        <v>65</v>
      </c>
      <c r="BC75" s="7">
        <v>72</v>
      </c>
      <c r="BD75" s="7">
        <v>60</v>
      </c>
      <c r="BE75" s="7">
        <v>61</v>
      </c>
      <c r="BF75" s="7">
        <v>55</v>
      </c>
      <c r="BG75" s="7">
        <v>69</v>
      </c>
    </row>
    <row r="76" spans="29:59">
      <c r="AC76" s="3">
        <v>70</v>
      </c>
      <c r="AD76" s="3">
        <v>84</v>
      </c>
      <c r="AH76" s="6">
        <v>65</v>
      </c>
      <c r="AI76" s="7">
        <v>61</v>
      </c>
      <c r="AJ76" s="7">
        <v>50</v>
      </c>
      <c r="AK76" s="7">
        <v>54</v>
      </c>
      <c r="AL76" s="7">
        <v>51</v>
      </c>
      <c r="AM76" s="7">
        <v>62</v>
      </c>
      <c r="AN76" s="7">
        <v>66</v>
      </c>
      <c r="AO76" s="7">
        <v>63</v>
      </c>
      <c r="AP76" s="7">
        <v>69</v>
      </c>
      <c r="AQ76" s="7">
        <v>70</v>
      </c>
      <c r="AR76" s="7">
        <v>59</v>
      </c>
      <c r="AS76" s="7">
        <v>58</v>
      </c>
      <c r="AT76" s="7">
        <v>65</v>
      </c>
      <c r="AU76" s="7">
        <v>64</v>
      </c>
      <c r="AV76" s="7">
        <v>58</v>
      </c>
      <c r="AW76" s="7">
        <v>58</v>
      </c>
      <c r="AX76" s="7">
        <v>52</v>
      </c>
      <c r="AY76" s="7">
        <v>56</v>
      </c>
      <c r="AZ76" s="7">
        <v>57</v>
      </c>
      <c r="BA76" s="7">
        <v>53</v>
      </c>
      <c r="BB76" s="7">
        <v>66</v>
      </c>
      <c r="BC76" s="7">
        <v>74</v>
      </c>
      <c r="BD76" s="7">
        <v>61</v>
      </c>
      <c r="BE76" s="7">
        <v>62</v>
      </c>
      <c r="BF76" s="7">
        <v>55</v>
      </c>
      <c r="BG76" s="7">
        <v>70</v>
      </c>
    </row>
    <row r="77" spans="29:59">
      <c r="AC77" s="3">
        <v>71</v>
      </c>
      <c r="AD77" s="3">
        <v>85</v>
      </c>
      <c r="AH77" s="6">
        <v>66</v>
      </c>
      <c r="AI77" s="7">
        <v>61</v>
      </c>
      <c r="AJ77" s="7">
        <v>50</v>
      </c>
      <c r="AK77" s="7">
        <v>54</v>
      </c>
      <c r="AL77" s="7">
        <v>51</v>
      </c>
      <c r="AM77" s="7">
        <v>62</v>
      </c>
      <c r="AN77" s="7">
        <v>67</v>
      </c>
      <c r="AO77" s="7">
        <v>68</v>
      </c>
      <c r="AP77" s="7">
        <v>74</v>
      </c>
      <c r="AQ77" s="7">
        <v>71</v>
      </c>
      <c r="AR77" s="7">
        <v>60</v>
      </c>
      <c r="AS77" s="7">
        <v>63</v>
      </c>
      <c r="AT77" s="7">
        <v>66</v>
      </c>
      <c r="AU77" s="7">
        <v>67</v>
      </c>
      <c r="AV77" s="7">
        <v>61</v>
      </c>
      <c r="AW77" s="7">
        <v>62</v>
      </c>
      <c r="AX77" s="7">
        <v>52</v>
      </c>
      <c r="AY77" s="7">
        <v>56</v>
      </c>
      <c r="AZ77" s="7">
        <v>65</v>
      </c>
      <c r="BA77" s="7">
        <v>55</v>
      </c>
      <c r="BB77" s="7">
        <v>67</v>
      </c>
      <c r="BC77" s="7">
        <v>76</v>
      </c>
      <c r="BD77" s="7">
        <v>65</v>
      </c>
      <c r="BE77" s="7">
        <v>66</v>
      </c>
      <c r="BF77" s="7">
        <v>57</v>
      </c>
      <c r="BG77" s="7">
        <v>76</v>
      </c>
    </row>
    <row r="78" spans="29:59">
      <c r="AC78" s="3">
        <v>72</v>
      </c>
      <c r="AD78" s="3">
        <v>86</v>
      </c>
      <c r="AH78" s="6">
        <v>67</v>
      </c>
      <c r="AI78" s="7">
        <v>62</v>
      </c>
      <c r="AJ78" s="7">
        <v>50</v>
      </c>
      <c r="AK78" s="7">
        <v>54</v>
      </c>
      <c r="AL78" s="7">
        <v>53</v>
      </c>
      <c r="AM78" s="7">
        <v>63</v>
      </c>
      <c r="AN78" s="7">
        <v>71</v>
      </c>
      <c r="AO78" s="7">
        <v>68</v>
      </c>
      <c r="AP78" s="7">
        <v>74</v>
      </c>
      <c r="AQ78" s="7">
        <v>77</v>
      </c>
      <c r="AR78" s="7">
        <v>62</v>
      </c>
      <c r="AS78" s="7">
        <v>63</v>
      </c>
      <c r="AT78" s="7">
        <v>70</v>
      </c>
      <c r="AU78" s="7">
        <v>67</v>
      </c>
      <c r="AV78" s="7">
        <v>62</v>
      </c>
      <c r="AW78" s="7">
        <v>63</v>
      </c>
      <c r="AX78" s="7">
        <v>52</v>
      </c>
      <c r="AY78" s="7">
        <v>57</v>
      </c>
      <c r="AZ78" s="7">
        <v>65</v>
      </c>
      <c r="BA78" s="7">
        <v>55</v>
      </c>
      <c r="BB78" s="7">
        <v>72</v>
      </c>
      <c r="BC78" s="7">
        <v>77</v>
      </c>
      <c r="BD78" s="7">
        <v>66</v>
      </c>
      <c r="BE78" s="7">
        <v>67</v>
      </c>
      <c r="BF78" s="7">
        <v>57</v>
      </c>
      <c r="BG78" s="7">
        <v>76</v>
      </c>
    </row>
    <row r="79" spans="29:59">
      <c r="AC79" s="3">
        <v>73</v>
      </c>
      <c r="AD79" s="3">
        <v>86</v>
      </c>
      <c r="AH79" s="6">
        <v>68</v>
      </c>
      <c r="AI79" s="7">
        <v>65</v>
      </c>
      <c r="AJ79" s="7">
        <v>50</v>
      </c>
      <c r="AK79" s="7">
        <v>54</v>
      </c>
      <c r="AL79" s="7">
        <v>57</v>
      </c>
      <c r="AM79" s="7">
        <v>67</v>
      </c>
      <c r="AN79" s="7">
        <v>73</v>
      </c>
      <c r="AO79" s="7">
        <v>70</v>
      </c>
      <c r="AP79" s="7">
        <v>76</v>
      </c>
      <c r="AQ79" s="7">
        <v>81</v>
      </c>
      <c r="AR79" s="7">
        <v>68</v>
      </c>
      <c r="AS79" s="7">
        <v>64</v>
      </c>
      <c r="AT79" s="7">
        <v>73</v>
      </c>
      <c r="AU79" s="7">
        <v>71</v>
      </c>
      <c r="AV79" s="7">
        <v>65</v>
      </c>
      <c r="AW79" s="7">
        <v>64</v>
      </c>
      <c r="AX79" s="7">
        <v>52</v>
      </c>
      <c r="AY79" s="7">
        <v>63</v>
      </c>
      <c r="AZ79" s="7">
        <v>67</v>
      </c>
      <c r="BA79" s="7">
        <v>56</v>
      </c>
      <c r="BB79" s="7">
        <v>80</v>
      </c>
      <c r="BC79" s="7">
        <v>79</v>
      </c>
      <c r="BD79" s="7">
        <v>70</v>
      </c>
      <c r="BE79" s="7">
        <v>72</v>
      </c>
      <c r="BF79" s="7">
        <v>57</v>
      </c>
      <c r="BG79" s="7">
        <v>79</v>
      </c>
    </row>
    <row r="80" spans="29:59">
      <c r="AC80" s="3">
        <v>74</v>
      </c>
      <c r="AD80" s="3">
        <v>87</v>
      </c>
      <c r="AH80" s="6">
        <v>69</v>
      </c>
      <c r="AI80" s="7">
        <v>67</v>
      </c>
      <c r="AJ80" s="7">
        <v>50</v>
      </c>
      <c r="AK80" s="7">
        <v>55</v>
      </c>
      <c r="AL80" s="7">
        <v>57</v>
      </c>
      <c r="AM80" s="7">
        <v>68</v>
      </c>
      <c r="AN80" s="7">
        <v>74</v>
      </c>
      <c r="AO80" s="7">
        <v>74</v>
      </c>
      <c r="AP80" s="7">
        <v>81</v>
      </c>
      <c r="AQ80" s="7">
        <v>82</v>
      </c>
      <c r="AR80" s="7">
        <v>68</v>
      </c>
      <c r="AS80" s="7">
        <v>68</v>
      </c>
      <c r="AT80" s="7">
        <v>75</v>
      </c>
      <c r="AU80" s="7">
        <v>74</v>
      </c>
      <c r="AV80" s="7">
        <v>69</v>
      </c>
      <c r="AW80" s="7">
        <v>68</v>
      </c>
      <c r="AX80" s="7">
        <v>52</v>
      </c>
      <c r="AY80" s="7">
        <v>64</v>
      </c>
      <c r="AZ80" s="7">
        <v>72</v>
      </c>
      <c r="BA80" s="7">
        <v>59</v>
      </c>
      <c r="BB80" s="7">
        <v>80</v>
      </c>
      <c r="BC80" s="7">
        <v>81</v>
      </c>
      <c r="BD80" s="7">
        <v>73</v>
      </c>
      <c r="BE80" s="7">
        <v>75</v>
      </c>
      <c r="BF80" s="7">
        <v>59</v>
      </c>
      <c r="BG80" s="7">
        <v>81</v>
      </c>
    </row>
    <row r="81" spans="29:59">
      <c r="AC81" s="3">
        <v>75</v>
      </c>
      <c r="AD81" s="3">
        <v>87</v>
      </c>
      <c r="AH81" s="6">
        <v>70</v>
      </c>
      <c r="AI81" s="7">
        <v>71</v>
      </c>
      <c r="AJ81" s="7">
        <v>50</v>
      </c>
      <c r="AK81" s="7">
        <v>57</v>
      </c>
      <c r="AL81" s="7">
        <v>57</v>
      </c>
      <c r="AM81" s="7">
        <v>72</v>
      </c>
      <c r="AN81" s="7">
        <v>77</v>
      </c>
      <c r="AO81" s="7">
        <v>75</v>
      </c>
      <c r="AP81" s="7">
        <v>81</v>
      </c>
      <c r="AQ81" s="7">
        <v>85</v>
      </c>
      <c r="AR81" s="7">
        <v>70</v>
      </c>
      <c r="AS81" s="7">
        <v>69</v>
      </c>
      <c r="AT81" s="7">
        <v>77</v>
      </c>
      <c r="AU81" s="7">
        <v>75</v>
      </c>
      <c r="AV81" s="7">
        <v>70</v>
      </c>
      <c r="AW81" s="7">
        <v>68</v>
      </c>
      <c r="AX81" s="7">
        <v>52</v>
      </c>
      <c r="AY81" s="7">
        <v>65</v>
      </c>
      <c r="AZ81" s="7">
        <v>72</v>
      </c>
      <c r="BA81" s="7">
        <v>59</v>
      </c>
      <c r="BB81" s="7">
        <v>80</v>
      </c>
      <c r="BC81" s="7">
        <v>81</v>
      </c>
      <c r="BD81" s="7">
        <v>75</v>
      </c>
      <c r="BE81" s="7">
        <v>76</v>
      </c>
      <c r="BF81" s="7">
        <v>60</v>
      </c>
      <c r="BG81" s="7">
        <v>82</v>
      </c>
    </row>
    <row r="82" spans="29:59">
      <c r="AC82" s="3">
        <v>76</v>
      </c>
      <c r="AD82" s="3">
        <v>88</v>
      </c>
      <c r="AH82" s="6">
        <v>71</v>
      </c>
      <c r="AI82" s="7">
        <v>71</v>
      </c>
      <c r="AJ82" s="7">
        <v>51</v>
      </c>
      <c r="AK82" s="7">
        <v>57</v>
      </c>
      <c r="AL82" s="7">
        <v>57</v>
      </c>
      <c r="AM82" s="7">
        <v>72</v>
      </c>
      <c r="AN82" s="7">
        <v>80</v>
      </c>
      <c r="AO82" s="7">
        <v>78</v>
      </c>
      <c r="AP82" s="7">
        <v>84</v>
      </c>
      <c r="AQ82" s="7">
        <v>87</v>
      </c>
      <c r="AR82" s="7">
        <v>79</v>
      </c>
      <c r="AS82" s="7">
        <v>72</v>
      </c>
      <c r="AT82" s="7">
        <v>78</v>
      </c>
      <c r="AU82" s="7">
        <v>79</v>
      </c>
      <c r="AV82" s="7">
        <v>72</v>
      </c>
      <c r="AW82" s="7">
        <v>70</v>
      </c>
      <c r="AX82" s="7">
        <v>52</v>
      </c>
      <c r="AY82" s="7">
        <v>70</v>
      </c>
      <c r="AZ82" s="7">
        <v>74</v>
      </c>
      <c r="BA82" s="7">
        <v>60</v>
      </c>
      <c r="BB82" s="7">
        <v>80</v>
      </c>
      <c r="BC82" s="7">
        <v>82</v>
      </c>
      <c r="BD82" s="7">
        <v>77</v>
      </c>
      <c r="BE82" s="7">
        <v>78</v>
      </c>
      <c r="BF82" s="7">
        <v>62</v>
      </c>
      <c r="BG82" s="7">
        <v>85</v>
      </c>
    </row>
    <row r="83" spans="29:59">
      <c r="AC83" s="3">
        <v>77</v>
      </c>
      <c r="AD83" s="3">
        <v>88</v>
      </c>
      <c r="AH83" s="6">
        <v>72</v>
      </c>
      <c r="AI83" s="7">
        <v>73</v>
      </c>
      <c r="AJ83" s="7">
        <v>51</v>
      </c>
      <c r="AK83" s="7">
        <v>57</v>
      </c>
      <c r="AL83" s="7">
        <v>57</v>
      </c>
      <c r="AM83" s="7">
        <v>73</v>
      </c>
      <c r="AN83" s="7">
        <v>83</v>
      </c>
      <c r="AO83" s="7">
        <v>80</v>
      </c>
      <c r="AP83" s="7">
        <v>85</v>
      </c>
      <c r="AQ83" s="7">
        <v>90</v>
      </c>
      <c r="AR83" s="7">
        <v>79</v>
      </c>
      <c r="AS83" s="7">
        <v>73</v>
      </c>
      <c r="AT83" s="7">
        <v>81</v>
      </c>
      <c r="AU83" s="7">
        <v>81</v>
      </c>
      <c r="AV83" s="7">
        <v>74</v>
      </c>
      <c r="AW83" s="7">
        <v>73</v>
      </c>
      <c r="AX83" s="7">
        <v>52</v>
      </c>
      <c r="AY83" s="7">
        <v>71</v>
      </c>
      <c r="AZ83" s="7">
        <v>79</v>
      </c>
      <c r="BA83" s="7">
        <v>62</v>
      </c>
      <c r="BB83" s="7">
        <v>81</v>
      </c>
      <c r="BC83" s="7">
        <v>83</v>
      </c>
      <c r="BD83" s="7">
        <v>79</v>
      </c>
      <c r="BE83" s="7">
        <v>81</v>
      </c>
      <c r="BF83" s="7">
        <v>63</v>
      </c>
      <c r="BG83" s="7">
        <v>87</v>
      </c>
    </row>
    <row r="84" spans="29:59">
      <c r="AC84" s="3">
        <v>78</v>
      </c>
      <c r="AD84" s="3">
        <v>89</v>
      </c>
      <c r="AH84" s="6">
        <v>73</v>
      </c>
      <c r="AI84" s="7">
        <v>76</v>
      </c>
      <c r="AJ84" s="7">
        <v>51</v>
      </c>
      <c r="AK84" s="7">
        <v>57</v>
      </c>
      <c r="AL84" s="7">
        <v>58</v>
      </c>
      <c r="AM84" s="7">
        <v>78</v>
      </c>
      <c r="AN84" s="7">
        <v>83</v>
      </c>
      <c r="AO84" s="7">
        <v>82</v>
      </c>
      <c r="AP84" s="7">
        <v>87</v>
      </c>
      <c r="AQ84" s="7">
        <v>92</v>
      </c>
      <c r="AR84" s="7">
        <v>79</v>
      </c>
      <c r="AS84" s="7">
        <v>75</v>
      </c>
      <c r="AT84" s="7">
        <v>83</v>
      </c>
      <c r="AU84" s="7">
        <v>82</v>
      </c>
      <c r="AV84" s="7">
        <v>76</v>
      </c>
      <c r="AW84" s="7">
        <v>73</v>
      </c>
      <c r="AX84" s="7">
        <v>52</v>
      </c>
      <c r="AY84" s="7">
        <v>72</v>
      </c>
      <c r="AZ84" s="7">
        <v>79</v>
      </c>
      <c r="BA84" s="7">
        <v>62</v>
      </c>
      <c r="BB84" s="7">
        <v>81</v>
      </c>
      <c r="BC84" s="7">
        <v>85</v>
      </c>
      <c r="BD84" s="7">
        <v>81</v>
      </c>
      <c r="BE84" s="7">
        <v>83</v>
      </c>
      <c r="BF84" s="7">
        <v>66</v>
      </c>
      <c r="BG84" s="7">
        <v>88</v>
      </c>
    </row>
    <row r="85" spans="29:59">
      <c r="AC85" s="3">
        <v>79</v>
      </c>
      <c r="AD85" s="3">
        <v>89</v>
      </c>
      <c r="AH85" s="6">
        <v>74</v>
      </c>
      <c r="AI85" s="7">
        <v>78</v>
      </c>
      <c r="AJ85" s="7">
        <v>52</v>
      </c>
      <c r="AK85" s="7">
        <v>57</v>
      </c>
      <c r="AL85" s="7">
        <v>59</v>
      </c>
      <c r="AM85" s="7">
        <v>79</v>
      </c>
      <c r="AN85" s="7">
        <v>87</v>
      </c>
      <c r="AO85" s="7">
        <v>84</v>
      </c>
      <c r="AP85" s="7">
        <v>89</v>
      </c>
      <c r="AQ85" s="7">
        <v>93</v>
      </c>
      <c r="AR85" s="7">
        <v>81</v>
      </c>
      <c r="AS85" s="7">
        <v>77</v>
      </c>
      <c r="AT85" s="7">
        <v>84</v>
      </c>
      <c r="AU85" s="7">
        <v>85</v>
      </c>
      <c r="AV85" s="7">
        <v>77</v>
      </c>
      <c r="AW85" s="7">
        <v>75</v>
      </c>
      <c r="AX85" s="7">
        <v>52</v>
      </c>
      <c r="AY85" s="7">
        <v>74</v>
      </c>
      <c r="AZ85" s="7">
        <v>81</v>
      </c>
      <c r="BA85" s="7">
        <v>62</v>
      </c>
      <c r="BB85" s="7">
        <v>83</v>
      </c>
      <c r="BC85" s="7">
        <v>85</v>
      </c>
      <c r="BD85" s="7">
        <v>83</v>
      </c>
      <c r="BE85" s="7">
        <v>85</v>
      </c>
      <c r="BF85" s="7">
        <v>67</v>
      </c>
      <c r="BG85" s="7">
        <v>90</v>
      </c>
    </row>
    <row r="86" spans="29:59">
      <c r="AC86" s="3">
        <v>80</v>
      </c>
      <c r="AD86" s="3">
        <v>90</v>
      </c>
      <c r="AH86" s="6">
        <v>75</v>
      </c>
      <c r="AI86" s="7">
        <v>80</v>
      </c>
      <c r="AJ86" s="7">
        <v>55</v>
      </c>
      <c r="AK86" s="7">
        <v>61</v>
      </c>
      <c r="AL86" s="7">
        <v>63</v>
      </c>
      <c r="AM86" s="7">
        <v>83</v>
      </c>
      <c r="AN86" s="7">
        <v>90</v>
      </c>
      <c r="AO86" s="7">
        <v>87</v>
      </c>
      <c r="AP86" s="7">
        <v>90</v>
      </c>
      <c r="AQ86" s="7">
        <v>93</v>
      </c>
      <c r="AR86" s="7">
        <v>85</v>
      </c>
      <c r="AS86" s="7">
        <v>79</v>
      </c>
      <c r="AT86" s="7">
        <v>85</v>
      </c>
      <c r="AU86" s="7">
        <v>86</v>
      </c>
      <c r="AV86" s="7">
        <v>79</v>
      </c>
      <c r="AW86" s="7">
        <v>78</v>
      </c>
      <c r="AX86" s="7">
        <v>57</v>
      </c>
      <c r="AY86" s="7">
        <v>78</v>
      </c>
      <c r="AZ86" s="7">
        <v>84</v>
      </c>
      <c r="BA86" s="7">
        <v>65</v>
      </c>
      <c r="BB86" s="7">
        <v>86</v>
      </c>
      <c r="BC86" s="7">
        <v>87</v>
      </c>
      <c r="BD86" s="7">
        <v>85</v>
      </c>
      <c r="BE86" s="7">
        <v>86</v>
      </c>
      <c r="BF86" s="7">
        <v>69</v>
      </c>
      <c r="BG86" s="7">
        <v>91</v>
      </c>
    </row>
    <row r="87" spans="29:59">
      <c r="AC87" s="3">
        <v>81</v>
      </c>
      <c r="AD87" s="3">
        <v>90</v>
      </c>
      <c r="AH87" s="6">
        <v>76</v>
      </c>
      <c r="AI87" s="7">
        <v>80</v>
      </c>
      <c r="AJ87" s="7">
        <v>56</v>
      </c>
      <c r="AK87" s="7">
        <v>63</v>
      </c>
      <c r="AL87" s="7">
        <v>63</v>
      </c>
      <c r="AM87" s="7">
        <v>83</v>
      </c>
      <c r="AN87" s="7">
        <v>90</v>
      </c>
      <c r="AO87" s="7">
        <v>87</v>
      </c>
      <c r="AP87" s="7">
        <v>90</v>
      </c>
      <c r="AQ87" s="7">
        <v>94</v>
      </c>
      <c r="AR87" s="7">
        <v>85</v>
      </c>
      <c r="AS87" s="7">
        <v>80</v>
      </c>
      <c r="AT87" s="7">
        <v>86</v>
      </c>
      <c r="AU87" s="7">
        <v>86</v>
      </c>
      <c r="AV87" s="7">
        <v>79</v>
      </c>
      <c r="AW87" s="7">
        <v>78</v>
      </c>
      <c r="AX87" s="7">
        <v>57</v>
      </c>
      <c r="AY87" s="7">
        <v>78</v>
      </c>
      <c r="AZ87" s="7">
        <v>84</v>
      </c>
      <c r="BA87" s="7">
        <v>65</v>
      </c>
      <c r="BB87" s="7">
        <v>86</v>
      </c>
      <c r="BC87" s="7">
        <v>87</v>
      </c>
      <c r="BD87" s="7">
        <v>85</v>
      </c>
      <c r="BE87" s="7">
        <v>86</v>
      </c>
      <c r="BF87" s="7">
        <v>70</v>
      </c>
      <c r="BG87" s="7">
        <v>91</v>
      </c>
    </row>
    <row r="88" spans="29:59">
      <c r="AC88" s="3">
        <v>82</v>
      </c>
      <c r="AD88" s="3">
        <v>91</v>
      </c>
      <c r="AH88" s="6">
        <v>77</v>
      </c>
      <c r="AI88" s="7">
        <v>81</v>
      </c>
      <c r="AJ88" s="7">
        <v>61</v>
      </c>
      <c r="AK88" s="7">
        <v>65</v>
      </c>
      <c r="AL88" s="7">
        <v>64</v>
      </c>
      <c r="AM88" s="7">
        <v>84</v>
      </c>
      <c r="AN88" s="7">
        <v>90</v>
      </c>
      <c r="AO88" s="7">
        <v>88</v>
      </c>
      <c r="AP88" s="7">
        <v>91</v>
      </c>
      <c r="AQ88" s="7">
        <v>95</v>
      </c>
      <c r="AR88" s="7">
        <v>85</v>
      </c>
      <c r="AS88" s="7">
        <v>82</v>
      </c>
      <c r="AT88" s="7">
        <v>87</v>
      </c>
      <c r="AU88" s="7">
        <v>87</v>
      </c>
      <c r="AV88" s="7">
        <v>80</v>
      </c>
      <c r="AW88" s="7">
        <v>80</v>
      </c>
      <c r="AX88" s="7">
        <v>59</v>
      </c>
      <c r="AY88" s="7">
        <v>78</v>
      </c>
      <c r="AZ88" s="7">
        <v>84</v>
      </c>
      <c r="BA88" s="7">
        <v>66</v>
      </c>
      <c r="BB88" s="7">
        <v>86</v>
      </c>
      <c r="BC88" s="7">
        <v>87</v>
      </c>
      <c r="BD88" s="7">
        <v>86</v>
      </c>
      <c r="BE88" s="7">
        <v>86</v>
      </c>
      <c r="BF88" s="7">
        <v>70</v>
      </c>
      <c r="BG88" s="7">
        <v>92</v>
      </c>
    </row>
    <row r="89" spans="29:59">
      <c r="AC89" s="3">
        <v>83</v>
      </c>
      <c r="AD89" s="3">
        <v>91</v>
      </c>
      <c r="AH89" s="6">
        <v>78</v>
      </c>
      <c r="AI89" s="7">
        <v>84</v>
      </c>
      <c r="AJ89" s="7">
        <v>64</v>
      </c>
      <c r="AK89" s="7">
        <v>68</v>
      </c>
      <c r="AL89" s="7">
        <v>68</v>
      </c>
      <c r="AM89" s="7">
        <v>87</v>
      </c>
      <c r="AN89" s="7">
        <v>90</v>
      </c>
      <c r="AO89" s="7">
        <v>90</v>
      </c>
      <c r="AP89" s="7">
        <v>92</v>
      </c>
      <c r="AQ89" s="7">
        <v>96</v>
      </c>
      <c r="AR89" s="7">
        <v>85</v>
      </c>
      <c r="AS89" s="7">
        <v>83</v>
      </c>
      <c r="AT89" s="7">
        <v>88</v>
      </c>
      <c r="AU89" s="7">
        <v>88</v>
      </c>
      <c r="AV89" s="7">
        <v>81</v>
      </c>
      <c r="AW89" s="7">
        <v>82</v>
      </c>
      <c r="AX89" s="7">
        <v>64</v>
      </c>
      <c r="AY89" s="7">
        <v>78</v>
      </c>
      <c r="AZ89" s="7">
        <v>84</v>
      </c>
      <c r="BA89" s="7">
        <v>69</v>
      </c>
      <c r="BB89" s="7">
        <v>86</v>
      </c>
      <c r="BC89" s="7">
        <v>88</v>
      </c>
      <c r="BD89" s="7">
        <v>86</v>
      </c>
      <c r="BE89" s="7">
        <v>86</v>
      </c>
      <c r="BF89" s="7">
        <v>72</v>
      </c>
      <c r="BG89" s="7">
        <v>92</v>
      </c>
    </row>
    <row r="90" spans="29:59">
      <c r="AC90" s="3">
        <v>84</v>
      </c>
      <c r="AD90" s="3">
        <v>92</v>
      </c>
      <c r="AH90" s="6">
        <v>79</v>
      </c>
      <c r="AI90" s="7">
        <v>84</v>
      </c>
      <c r="AJ90" s="7">
        <v>65</v>
      </c>
      <c r="AK90" s="7">
        <v>72</v>
      </c>
      <c r="AL90" s="7">
        <v>70</v>
      </c>
      <c r="AM90" s="7">
        <v>88</v>
      </c>
      <c r="AN90" s="7">
        <v>91</v>
      </c>
      <c r="AO90" s="7">
        <v>91</v>
      </c>
      <c r="AP90" s="7">
        <v>92</v>
      </c>
      <c r="AQ90" s="7">
        <v>96</v>
      </c>
      <c r="AR90" s="7">
        <v>87</v>
      </c>
      <c r="AS90" s="7">
        <v>85</v>
      </c>
      <c r="AT90" s="7">
        <v>90</v>
      </c>
      <c r="AU90" s="7">
        <v>88</v>
      </c>
      <c r="AV90" s="7">
        <v>81</v>
      </c>
      <c r="AW90" s="7">
        <v>82</v>
      </c>
      <c r="AX90" s="7">
        <v>67</v>
      </c>
      <c r="AY90" s="7">
        <v>80</v>
      </c>
      <c r="AZ90" s="7">
        <v>86</v>
      </c>
      <c r="BA90" s="7">
        <v>70</v>
      </c>
      <c r="BB90" s="7">
        <v>86</v>
      </c>
      <c r="BC90" s="7">
        <v>88</v>
      </c>
      <c r="BD90" s="7">
        <v>88</v>
      </c>
      <c r="BE90" s="7">
        <v>88</v>
      </c>
      <c r="BF90" s="7">
        <v>72</v>
      </c>
      <c r="BG90" s="7">
        <v>93</v>
      </c>
    </row>
    <row r="91" spans="29:59">
      <c r="AC91" s="3">
        <v>85</v>
      </c>
      <c r="AD91" s="3">
        <v>93</v>
      </c>
      <c r="AH91" s="6">
        <v>80</v>
      </c>
      <c r="AI91" s="7">
        <v>85</v>
      </c>
      <c r="AJ91" s="7">
        <v>68</v>
      </c>
      <c r="AK91" s="7">
        <v>74</v>
      </c>
      <c r="AL91" s="7">
        <v>73</v>
      </c>
      <c r="AM91" s="7">
        <v>91</v>
      </c>
      <c r="AN91" s="7">
        <v>93</v>
      </c>
      <c r="AO91" s="7">
        <v>92</v>
      </c>
      <c r="AP91" s="7">
        <v>92</v>
      </c>
      <c r="AQ91" s="7">
        <v>96</v>
      </c>
      <c r="AR91" s="7">
        <v>96</v>
      </c>
      <c r="AS91" s="7">
        <v>86</v>
      </c>
      <c r="AT91" s="7">
        <v>91</v>
      </c>
      <c r="AU91" s="7">
        <v>89</v>
      </c>
      <c r="AV91" s="7">
        <v>82</v>
      </c>
      <c r="AW91" s="7">
        <v>82</v>
      </c>
      <c r="AX91" s="7">
        <v>71</v>
      </c>
      <c r="AY91" s="7">
        <v>84</v>
      </c>
      <c r="AZ91" s="7">
        <v>89</v>
      </c>
      <c r="BA91" s="7">
        <v>72</v>
      </c>
      <c r="BB91" s="7">
        <v>86</v>
      </c>
      <c r="BC91" s="7">
        <v>88</v>
      </c>
      <c r="BD91" s="7">
        <v>89</v>
      </c>
      <c r="BE91" s="7">
        <v>89</v>
      </c>
      <c r="BF91" s="7">
        <v>73</v>
      </c>
      <c r="BG91" s="7">
        <v>94</v>
      </c>
    </row>
    <row r="92" spans="29:59">
      <c r="AC92" s="3">
        <v>86</v>
      </c>
      <c r="AD92" s="3">
        <v>93</v>
      </c>
      <c r="AH92" s="6">
        <v>81</v>
      </c>
      <c r="AI92" s="7">
        <v>87</v>
      </c>
      <c r="AJ92" s="7">
        <v>70</v>
      </c>
      <c r="AK92" s="7">
        <v>77</v>
      </c>
      <c r="AL92" s="7">
        <v>73</v>
      </c>
      <c r="AM92" s="7">
        <v>91</v>
      </c>
      <c r="AN92" s="7">
        <v>94</v>
      </c>
      <c r="AO92" s="7">
        <v>92</v>
      </c>
      <c r="AP92" s="7">
        <v>93</v>
      </c>
      <c r="AQ92" s="7">
        <v>97</v>
      </c>
      <c r="AR92" s="7">
        <v>96</v>
      </c>
      <c r="AS92" s="7">
        <v>87</v>
      </c>
      <c r="AT92" s="7">
        <v>91</v>
      </c>
      <c r="AU92" s="7">
        <v>90</v>
      </c>
      <c r="AV92" s="7">
        <v>83</v>
      </c>
      <c r="AW92" s="7">
        <v>84</v>
      </c>
      <c r="AX92" s="7">
        <v>71</v>
      </c>
      <c r="AY92" s="7">
        <v>84</v>
      </c>
      <c r="AZ92" s="7">
        <v>89</v>
      </c>
      <c r="BA92" s="7">
        <v>73</v>
      </c>
      <c r="BB92" s="7">
        <v>87</v>
      </c>
      <c r="BC92" s="7">
        <v>89</v>
      </c>
      <c r="BD92" s="7">
        <v>89</v>
      </c>
      <c r="BE92" s="7">
        <v>89</v>
      </c>
      <c r="BF92" s="7">
        <v>74</v>
      </c>
      <c r="BG92" s="7">
        <v>94</v>
      </c>
    </row>
    <row r="93" spans="29:59">
      <c r="AC93" s="3">
        <v>87</v>
      </c>
      <c r="AD93" s="3">
        <v>94</v>
      </c>
      <c r="AH93" s="6">
        <v>82</v>
      </c>
      <c r="AI93" s="7">
        <v>88</v>
      </c>
      <c r="AJ93" s="7">
        <v>74</v>
      </c>
      <c r="AK93" s="7">
        <v>78</v>
      </c>
      <c r="AL93" s="7">
        <v>75</v>
      </c>
      <c r="AM93" s="7">
        <v>91</v>
      </c>
      <c r="AN93" s="7">
        <v>94</v>
      </c>
      <c r="AO93" s="7">
        <v>93</v>
      </c>
      <c r="AP93" s="7">
        <v>94</v>
      </c>
      <c r="AQ93" s="7">
        <v>98</v>
      </c>
      <c r="AR93" s="7">
        <v>96</v>
      </c>
      <c r="AS93" s="7">
        <v>88</v>
      </c>
      <c r="AT93" s="7">
        <v>93</v>
      </c>
      <c r="AU93" s="7">
        <v>91</v>
      </c>
      <c r="AV93" s="7">
        <v>84</v>
      </c>
      <c r="AW93" s="7">
        <v>86</v>
      </c>
      <c r="AX93" s="7">
        <v>74</v>
      </c>
      <c r="AY93" s="7">
        <v>84</v>
      </c>
      <c r="AZ93" s="7">
        <v>90</v>
      </c>
      <c r="BA93" s="7">
        <v>74</v>
      </c>
      <c r="BB93" s="7">
        <v>87</v>
      </c>
      <c r="BC93" s="7">
        <v>89</v>
      </c>
      <c r="BD93" s="7">
        <v>89</v>
      </c>
      <c r="BE93" s="7">
        <v>89</v>
      </c>
      <c r="BF93" s="7">
        <v>76</v>
      </c>
      <c r="BG93" s="7">
        <v>95</v>
      </c>
    </row>
    <row r="94" spans="29:59">
      <c r="AC94" s="3">
        <v>88</v>
      </c>
      <c r="AD94" s="3">
        <v>94</v>
      </c>
      <c r="AH94" s="6">
        <v>83</v>
      </c>
      <c r="AI94" s="7">
        <v>88</v>
      </c>
      <c r="AJ94" s="7">
        <v>76</v>
      </c>
      <c r="AK94" s="7">
        <v>81</v>
      </c>
      <c r="AL94" s="7">
        <v>78</v>
      </c>
      <c r="AM94" s="7">
        <v>93</v>
      </c>
      <c r="AN94" s="7">
        <v>94</v>
      </c>
      <c r="AO94" s="7">
        <v>94</v>
      </c>
      <c r="AP94" s="7">
        <v>94</v>
      </c>
      <c r="AQ94" s="7">
        <v>98</v>
      </c>
      <c r="AR94" s="7">
        <v>96</v>
      </c>
      <c r="AS94" s="7">
        <v>89</v>
      </c>
      <c r="AT94" s="7">
        <v>93</v>
      </c>
      <c r="AU94" s="7">
        <v>91</v>
      </c>
      <c r="AV94" s="7">
        <v>84</v>
      </c>
      <c r="AW94" s="7">
        <v>86</v>
      </c>
      <c r="AX94" s="7">
        <v>78</v>
      </c>
      <c r="AY94" s="7">
        <v>85</v>
      </c>
      <c r="AZ94" s="7">
        <v>90</v>
      </c>
      <c r="BA94" s="7">
        <v>76</v>
      </c>
      <c r="BB94" s="7">
        <v>88</v>
      </c>
      <c r="BC94" s="7">
        <v>89</v>
      </c>
      <c r="BD94" s="7">
        <v>89</v>
      </c>
      <c r="BE94" s="7">
        <v>89</v>
      </c>
      <c r="BF94" s="7">
        <v>76</v>
      </c>
      <c r="BG94" s="7">
        <v>95</v>
      </c>
    </row>
    <row r="95" spans="29:59">
      <c r="AC95" s="3">
        <v>89</v>
      </c>
      <c r="AD95" s="3">
        <v>95</v>
      </c>
      <c r="AH95" s="6">
        <v>84</v>
      </c>
      <c r="AI95" s="7">
        <v>89</v>
      </c>
      <c r="AJ95" s="7">
        <v>78</v>
      </c>
      <c r="AK95" s="7">
        <v>85</v>
      </c>
      <c r="AL95" s="7">
        <v>80</v>
      </c>
      <c r="AM95" s="7">
        <v>94</v>
      </c>
      <c r="AN95" s="7">
        <v>94</v>
      </c>
      <c r="AO95" s="7">
        <v>95</v>
      </c>
      <c r="AP95" s="7">
        <v>95</v>
      </c>
      <c r="AQ95" s="7">
        <v>98</v>
      </c>
      <c r="AR95" s="7">
        <v>96</v>
      </c>
      <c r="AS95" s="7">
        <v>91</v>
      </c>
      <c r="AT95" s="7">
        <v>94</v>
      </c>
      <c r="AU95" s="7">
        <v>92</v>
      </c>
      <c r="AV95" s="7">
        <v>86</v>
      </c>
      <c r="AW95" s="7">
        <v>88</v>
      </c>
      <c r="AX95" s="7">
        <v>80</v>
      </c>
      <c r="AY95" s="7">
        <v>88</v>
      </c>
      <c r="AZ95" s="7">
        <v>91</v>
      </c>
      <c r="BA95" s="7">
        <v>77</v>
      </c>
      <c r="BB95" s="7">
        <v>88</v>
      </c>
      <c r="BC95" s="7">
        <v>90</v>
      </c>
      <c r="BD95" s="7">
        <v>91</v>
      </c>
      <c r="BE95" s="7">
        <v>90</v>
      </c>
      <c r="BF95" s="7">
        <v>78</v>
      </c>
      <c r="BG95" s="7">
        <v>96</v>
      </c>
    </row>
    <row r="96" spans="29:59">
      <c r="AC96" s="3">
        <v>90</v>
      </c>
      <c r="AD96" s="3">
        <v>95</v>
      </c>
      <c r="AH96" s="6">
        <v>85</v>
      </c>
      <c r="AI96" s="7">
        <v>91</v>
      </c>
      <c r="AJ96" s="7">
        <v>80</v>
      </c>
      <c r="AK96" s="7">
        <v>86</v>
      </c>
      <c r="AL96" s="7">
        <v>84</v>
      </c>
      <c r="AM96" s="7">
        <v>95</v>
      </c>
      <c r="AN96" s="7">
        <v>97</v>
      </c>
      <c r="AO96" s="7">
        <v>95</v>
      </c>
      <c r="AP96" s="7">
        <v>96</v>
      </c>
      <c r="AQ96" s="7">
        <v>98</v>
      </c>
      <c r="AR96" s="7">
        <v>97</v>
      </c>
      <c r="AS96" s="7">
        <v>92</v>
      </c>
      <c r="AT96" s="7">
        <v>94</v>
      </c>
      <c r="AU96" s="7">
        <v>92</v>
      </c>
      <c r="AV96" s="7">
        <v>87</v>
      </c>
      <c r="AW96" s="7">
        <v>89</v>
      </c>
      <c r="AX96" s="7">
        <v>82</v>
      </c>
      <c r="AY96" s="7">
        <v>90</v>
      </c>
      <c r="AZ96" s="7">
        <v>93</v>
      </c>
      <c r="BA96" s="7">
        <v>78</v>
      </c>
      <c r="BB96" s="7">
        <v>91</v>
      </c>
      <c r="BC96" s="7">
        <v>92</v>
      </c>
      <c r="BD96" s="7">
        <v>92</v>
      </c>
      <c r="BE96" s="7">
        <v>91</v>
      </c>
      <c r="BF96" s="7">
        <v>80</v>
      </c>
      <c r="BG96" s="7">
        <v>96</v>
      </c>
    </row>
    <row r="97" spans="29:59">
      <c r="AC97" s="3">
        <v>91</v>
      </c>
      <c r="AD97" s="3">
        <v>96</v>
      </c>
      <c r="AH97" s="6">
        <v>86</v>
      </c>
      <c r="AI97" s="7">
        <v>91</v>
      </c>
      <c r="AJ97" s="7">
        <v>80</v>
      </c>
      <c r="AK97" s="7">
        <v>86</v>
      </c>
      <c r="AL97" s="7">
        <v>84</v>
      </c>
      <c r="AM97" s="7">
        <v>95</v>
      </c>
      <c r="AN97" s="7">
        <v>97</v>
      </c>
      <c r="AO97" s="7">
        <v>95</v>
      </c>
      <c r="AP97" s="7">
        <v>96</v>
      </c>
      <c r="AQ97" s="7">
        <v>98</v>
      </c>
      <c r="AR97" s="7">
        <v>97</v>
      </c>
      <c r="AS97" s="7">
        <v>93</v>
      </c>
      <c r="AT97" s="7">
        <v>94</v>
      </c>
      <c r="AU97" s="7">
        <v>92</v>
      </c>
      <c r="AV97" s="7">
        <v>87</v>
      </c>
      <c r="AW97" s="7">
        <v>89</v>
      </c>
      <c r="AX97" s="7">
        <v>82</v>
      </c>
      <c r="AY97" s="7">
        <v>90</v>
      </c>
      <c r="AZ97" s="7">
        <v>93</v>
      </c>
      <c r="BA97" s="7">
        <v>78</v>
      </c>
      <c r="BB97" s="7">
        <v>91</v>
      </c>
      <c r="BC97" s="7">
        <v>92</v>
      </c>
      <c r="BD97" s="7">
        <v>92</v>
      </c>
      <c r="BE97" s="7">
        <v>91</v>
      </c>
      <c r="BF97" s="7">
        <v>80</v>
      </c>
      <c r="BG97" s="7">
        <v>96</v>
      </c>
    </row>
    <row r="98" spans="29:59">
      <c r="AC98" s="3">
        <v>92</v>
      </c>
      <c r="AD98" s="3">
        <v>96</v>
      </c>
      <c r="AH98" s="6">
        <v>87</v>
      </c>
      <c r="AI98" s="7">
        <v>91</v>
      </c>
      <c r="AJ98" s="7">
        <v>80</v>
      </c>
      <c r="AK98" s="7">
        <v>87</v>
      </c>
      <c r="AL98" s="7">
        <v>84</v>
      </c>
      <c r="AM98" s="7">
        <v>95</v>
      </c>
      <c r="AN98" s="7">
        <v>97</v>
      </c>
      <c r="AO98" s="7">
        <v>96</v>
      </c>
      <c r="AP98" s="7">
        <v>96</v>
      </c>
      <c r="AQ98" s="7">
        <v>98</v>
      </c>
      <c r="AR98" s="7">
        <v>97</v>
      </c>
      <c r="AS98" s="7">
        <v>93</v>
      </c>
      <c r="AT98" s="7">
        <v>94</v>
      </c>
      <c r="AU98" s="7">
        <v>93</v>
      </c>
      <c r="AV98" s="7">
        <v>88</v>
      </c>
      <c r="AW98" s="7">
        <v>91</v>
      </c>
      <c r="AX98" s="7">
        <v>82</v>
      </c>
      <c r="AY98" s="7">
        <v>90</v>
      </c>
      <c r="AZ98" s="7">
        <v>93</v>
      </c>
      <c r="BA98" s="7">
        <v>79</v>
      </c>
      <c r="BB98" s="7">
        <v>92</v>
      </c>
      <c r="BC98" s="7">
        <v>92</v>
      </c>
      <c r="BD98" s="7">
        <v>92</v>
      </c>
      <c r="BE98" s="7">
        <v>91</v>
      </c>
      <c r="BF98" s="7">
        <v>80</v>
      </c>
      <c r="BG98" s="7">
        <v>96</v>
      </c>
    </row>
    <row r="99" spans="29:59">
      <c r="AC99" s="3">
        <v>93</v>
      </c>
      <c r="AD99" s="3">
        <v>97</v>
      </c>
      <c r="AH99" s="6">
        <v>88</v>
      </c>
      <c r="AI99" s="7">
        <v>91</v>
      </c>
      <c r="AJ99" s="7">
        <v>81</v>
      </c>
      <c r="AK99" s="7">
        <v>87</v>
      </c>
      <c r="AL99" s="7">
        <v>86</v>
      </c>
      <c r="AM99" s="7">
        <v>98</v>
      </c>
      <c r="AN99" s="7">
        <v>97</v>
      </c>
      <c r="AO99" s="7">
        <v>96</v>
      </c>
      <c r="AP99" s="7">
        <v>97</v>
      </c>
      <c r="AQ99" s="7">
        <v>98</v>
      </c>
      <c r="AR99" s="7">
        <v>97</v>
      </c>
      <c r="AS99" s="7">
        <v>93</v>
      </c>
      <c r="AT99" s="7">
        <v>95</v>
      </c>
      <c r="AU99" s="7">
        <v>93</v>
      </c>
      <c r="AV99" s="7">
        <v>89</v>
      </c>
      <c r="AW99" s="7">
        <v>92</v>
      </c>
      <c r="AX99" s="7">
        <v>82</v>
      </c>
      <c r="AY99" s="7">
        <v>90</v>
      </c>
      <c r="AZ99" s="7">
        <v>94</v>
      </c>
      <c r="BA99" s="7">
        <v>79</v>
      </c>
      <c r="BB99" s="7">
        <v>93</v>
      </c>
      <c r="BC99" s="7">
        <v>92</v>
      </c>
      <c r="BD99" s="7">
        <v>92</v>
      </c>
      <c r="BE99" s="7">
        <v>93</v>
      </c>
      <c r="BF99" s="7">
        <v>81</v>
      </c>
      <c r="BG99" s="7">
        <v>97</v>
      </c>
    </row>
    <row r="100" spans="29:59">
      <c r="AC100" s="3">
        <v>94</v>
      </c>
      <c r="AD100" s="3">
        <v>97</v>
      </c>
      <c r="AH100" s="6">
        <v>89</v>
      </c>
      <c r="AI100" s="7">
        <v>91</v>
      </c>
      <c r="AJ100" s="7">
        <v>84</v>
      </c>
      <c r="AK100" s="7">
        <v>87</v>
      </c>
      <c r="AL100" s="7">
        <v>88</v>
      </c>
      <c r="AM100" s="7">
        <v>98</v>
      </c>
      <c r="AN100" s="7">
        <v>97</v>
      </c>
      <c r="AO100" s="7">
        <v>96</v>
      </c>
      <c r="AP100" s="7">
        <v>97</v>
      </c>
      <c r="AQ100" s="7">
        <v>99</v>
      </c>
      <c r="AR100" s="7">
        <v>97</v>
      </c>
      <c r="AS100" s="7">
        <v>95</v>
      </c>
      <c r="AT100" s="7">
        <v>95</v>
      </c>
      <c r="AU100" s="7">
        <v>95</v>
      </c>
      <c r="AV100" s="7">
        <v>90</v>
      </c>
      <c r="AW100" s="7">
        <v>92</v>
      </c>
      <c r="AX100" s="7">
        <v>84</v>
      </c>
      <c r="AY100" s="7">
        <v>90</v>
      </c>
      <c r="AZ100" s="7">
        <v>95</v>
      </c>
      <c r="BA100" s="7">
        <v>81</v>
      </c>
      <c r="BB100" s="7">
        <v>93</v>
      </c>
      <c r="BC100" s="7">
        <v>92</v>
      </c>
      <c r="BD100" s="7">
        <v>92</v>
      </c>
      <c r="BE100" s="7">
        <v>93</v>
      </c>
      <c r="BF100" s="7">
        <v>83</v>
      </c>
      <c r="BG100" s="7">
        <v>97</v>
      </c>
    </row>
    <row r="101" spans="29:59">
      <c r="AC101" s="3">
        <v>95</v>
      </c>
      <c r="AD101" s="3">
        <v>98</v>
      </c>
      <c r="AH101" s="6">
        <v>90</v>
      </c>
      <c r="AI101" s="7">
        <v>93</v>
      </c>
      <c r="AJ101" s="7">
        <v>84</v>
      </c>
      <c r="AK101" s="7">
        <v>88</v>
      </c>
      <c r="AL101" s="7">
        <v>88</v>
      </c>
      <c r="AM101" s="7">
        <v>98</v>
      </c>
      <c r="AN101" s="7">
        <v>97</v>
      </c>
      <c r="AO101" s="7">
        <v>97</v>
      </c>
      <c r="AP101" s="7">
        <v>97</v>
      </c>
      <c r="AQ101" s="7">
        <v>99</v>
      </c>
      <c r="AR101" s="7">
        <v>97</v>
      </c>
      <c r="AS101" s="7">
        <v>96</v>
      </c>
      <c r="AT101" s="7">
        <v>95</v>
      </c>
      <c r="AU101" s="7">
        <v>95</v>
      </c>
      <c r="AV101" s="7">
        <v>90</v>
      </c>
      <c r="AW101" s="7">
        <v>93</v>
      </c>
      <c r="AX101" s="7">
        <v>86</v>
      </c>
      <c r="AY101" s="7">
        <v>90</v>
      </c>
      <c r="AZ101" s="7">
        <v>96</v>
      </c>
      <c r="BA101" s="7">
        <v>83</v>
      </c>
      <c r="BB101" s="7">
        <v>93</v>
      </c>
      <c r="BC101" s="7">
        <v>93</v>
      </c>
      <c r="BD101" s="7">
        <v>93</v>
      </c>
      <c r="BE101" s="7">
        <v>94</v>
      </c>
      <c r="BF101" s="7">
        <v>83</v>
      </c>
      <c r="BG101" s="7">
        <v>98</v>
      </c>
    </row>
    <row r="102" spans="29:59">
      <c r="AC102" s="3">
        <v>96</v>
      </c>
      <c r="AD102" s="3">
        <v>98</v>
      </c>
      <c r="AH102" s="6">
        <v>91</v>
      </c>
      <c r="AI102" s="7">
        <v>94</v>
      </c>
      <c r="AJ102" s="7">
        <v>84</v>
      </c>
      <c r="AK102" s="7">
        <v>89</v>
      </c>
      <c r="AL102" s="7">
        <v>88</v>
      </c>
      <c r="AM102" s="7">
        <v>98</v>
      </c>
      <c r="AN102" s="7">
        <v>97</v>
      </c>
      <c r="AO102" s="7">
        <v>97</v>
      </c>
      <c r="AP102" s="7">
        <v>97</v>
      </c>
      <c r="AQ102" s="7">
        <v>99</v>
      </c>
      <c r="AR102" s="7">
        <v>97</v>
      </c>
      <c r="AS102" s="7">
        <v>96</v>
      </c>
      <c r="AT102" s="7">
        <v>95</v>
      </c>
      <c r="AU102" s="7">
        <v>95</v>
      </c>
      <c r="AV102" s="7">
        <v>90</v>
      </c>
      <c r="AW102" s="7">
        <v>94</v>
      </c>
      <c r="AX102" s="7">
        <v>86</v>
      </c>
      <c r="AY102" s="7">
        <v>90</v>
      </c>
      <c r="AZ102" s="7">
        <v>96</v>
      </c>
      <c r="BA102" s="7">
        <v>83</v>
      </c>
      <c r="BB102" s="7">
        <v>94</v>
      </c>
      <c r="BC102" s="7">
        <v>93</v>
      </c>
      <c r="BD102" s="7">
        <v>93</v>
      </c>
      <c r="BE102" s="7">
        <v>94</v>
      </c>
      <c r="BF102" s="7">
        <v>83</v>
      </c>
      <c r="BG102" s="7">
        <v>98</v>
      </c>
    </row>
    <row r="103" spans="29:59">
      <c r="AC103" s="3">
        <v>97</v>
      </c>
      <c r="AD103" s="3">
        <v>99</v>
      </c>
      <c r="AH103" s="6">
        <v>92</v>
      </c>
      <c r="AI103" s="7">
        <v>94</v>
      </c>
      <c r="AJ103" s="7">
        <v>84</v>
      </c>
      <c r="AK103" s="7">
        <v>89</v>
      </c>
      <c r="AL103" s="7">
        <v>88</v>
      </c>
      <c r="AM103" s="7">
        <v>98</v>
      </c>
      <c r="AN103" s="7">
        <v>97</v>
      </c>
      <c r="AO103" s="7">
        <v>97</v>
      </c>
      <c r="AP103" s="7">
        <v>98</v>
      </c>
      <c r="AQ103" s="7">
        <v>99</v>
      </c>
      <c r="AR103" s="7">
        <v>97</v>
      </c>
      <c r="AS103" s="7">
        <v>96</v>
      </c>
      <c r="AT103" s="7">
        <v>96</v>
      </c>
      <c r="AU103" s="7">
        <v>96</v>
      </c>
      <c r="AV103" s="7">
        <v>92</v>
      </c>
      <c r="AW103" s="7">
        <v>94</v>
      </c>
      <c r="AX103" s="7">
        <v>86</v>
      </c>
      <c r="AY103" s="7">
        <v>90</v>
      </c>
      <c r="AZ103" s="7">
        <v>96</v>
      </c>
      <c r="BA103" s="7">
        <v>84</v>
      </c>
      <c r="BB103" s="7">
        <v>95</v>
      </c>
      <c r="BC103" s="7">
        <v>93</v>
      </c>
      <c r="BD103" s="7">
        <v>95</v>
      </c>
      <c r="BE103" s="7">
        <v>95</v>
      </c>
      <c r="BF103" s="7">
        <v>83</v>
      </c>
      <c r="BG103" s="7">
        <v>98</v>
      </c>
    </row>
    <row r="104" spans="29:59">
      <c r="AC104" s="3">
        <v>98</v>
      </c>
      <c r="AD104" s="3">
        <v>99</v>
      </c>
      <c r="AH104" s="6">
        <v>93</v>
      </c>
      <c r="AI104" s="7">
        <v>94</v>
      </c>
      <c r="AJ104" s="7">
        <v>86</v>
      </c>
      <c r="AK104" s="7">
        <v>89</v>
      </c>
      <c r="AL104" s="7">
        <v>90</v>
      </c>
      <c r="AM104" s="7">
        <v>99</v>
      </c>
      <c r="AN104" s="7">
        <v>99</v>
      </c>
      <c r="AO104" s="7">
        <v>98</v>
      </c>
      <c r="AP104" s="7">
        <v>98</v>
      </c>
      <c r="AQ104" s="7">
        <v>99</v>
      </c>
      <c r="AR104" s="7">
        <v>97</v>
      </c>
      <c r="AS104" s="7">
        <v>96</v>
      </c>
      <c r="AT104" s="7">
        <v>96</v>
      </c>
      <c r="AU104" s="7">
        <v>96</v>
      </c>
      <c r="AV104" s="7">
        <v>92</v>
      </c>
      <c r="AW104" s="7">
        <v>95</v>
      </c>
      <c r="AX104" s="7">
        <v>87</v>
      </c>
      <c r="AY104" s="7">
        <v>91</v>
      </c>
      <c r="AZ104" s="7">
        <v>97</v>
      </c>
      <c r="BA104" s="7">
        <v>84</v>
      </c>
      <c r="BB104" s="7">
        <v>95</v>
      </c>
      <c r="BC104" s="7">
        <v>93</v>
      </c>
      <c r="BD104" s="7">
        <v>96</v>
      </c>
      <c r="BE104" s="7">
        <v>96</v>
      </c>
      <c r="BF104" s="7">
        <v>84</v>
      </c>
      <c r="BG104" s="7">
        <v>98</v>
      </c>
    </row>
    <row r="105" spans="29:59">
      <c r="AC105" s="3">
        <v>99</v>
      </c>
      <c r="AD105" s="3">
        <v>100</v>
      </c>
      <c r="AH105" s="6">
        <v>94</v>
      </c>
      <c r="AI105" s="7">
        <v>94</v>
      </c>
      <c r="AJ105" s="7">
        <v>88</v>
      </c>
      <c r="AK105" s="7">
        <v>89</v>
      </c>
      <c r="AL105" s="7">
        <v>93</v>
      </c>
      <c r="AM105" s="7">
        <v>99</v>
      </c>
      <c r="AN105" s="7">
        <v>99</v>
      </c>
      <c r="AO105" s="7">
        <v>98</v>
      </c>
      <c r="AP105" s="7">
        <v>98</v>
      </c>
      <c r="AQ105" s="7">
        <v>99</v>
      </c>
      <c r="AR105" s="7">
        <v>97</v>
      </c>
      <c r="AS105" s="7">
        <v>97</v>
      </c>
      <c r="AT105" s="7">
        <v>96</v>
      </c>
      <c r="AU105" s="7">
        <v>97</v>
      </c>
      <c r="AV105" s="7">
        <v>93</v>
      </c>
      <c r="AW105" s="7">
        <v>95</v>
      </c>
      <c r="AX105" s="7">
        <v>88</v>
      </c>
      <c r="AY105" s="7">
        <v>93</v>
      </c>
      <c r="AZ105" s="7">
        <v>97</v>
      </c>
      <c r="BA105" s="7">
        <v>86</v>
      </c>
      <c r="BB105" s="7">
        <v>96</v>
      </c>
      <c r="BC105" s="7">
        <v>94</v>
      </c>
      <c r="BD105" s="7">
        <v>96</v>
      </c>
      <c r="BE105" s="7">
        <v>96</v>
      </c>
      <c r="BF105" s="7">
        <v>86</v>
      </c>
      <c r="BG105" s="7">
        <v>99</v>
      </c>
    </row>
    <row r="106" spans="29:59">
      <c r="AC106" s="3">
        <v>100</v>
      </c>
      <c r="AD106" s="3">
        <v>100</v>
      </c>
      <c r="AH106" s="6">
        <v>95</v>
      </c>
      <c r="AI106" s="7">
        <v>94</v>
      </c>
      <c r="AJ106" s="7">
        <v>88</v>
      </c>
      <c r="AK106" s="7">
        <v>89</v>
      </c>
      <c r="AL106" s="7">
        <v>93</v>
      </c>
      <c r="AM106" s="7">
        <v>99</v>
      </c>
      <c r="AN106" s="7">
        <v>99</v>
      </c>
      <c r="AO106" s="7">
        <v>98</v>
      </c>
      <c r="AP106" s="7">
        <v>99</v>
      </c>
      <c r="AQ106" s="7">
        <v>99</v>
      </c>
      <c r="AR106" s="7">
        <v>97</v>
      </c>
      <c r="AS106" s="7">
        <v>97</v>
      </c>
      <c r="AT106" s="7">
        <v>97</v>
      </c>
      <c r="AU106" s="7">
        <v>97</v>
      </c>
      <c r="AV106" s="7">
        <v>94</v>
      </c>
      <c r="AW106" s="7">
        <v>97</v>
      </c>
      <c r="AX106" s="7">
        <v>91</v>
      </c>
      <c r="AY106" s="7">
        <v>94</v>
      </c>
      <c r="AZ106" s="7">
        <v>98</v>
      </c>
      <c r="BA106" s="7">
        <v>87</v>
      </c>
      <c r="BB106" s="7">
        <v>96</v>
      </c>
      <c r="BC106" s="7">
        <v>95</v>
      </c>
      <c r="BD106" s="7">
        <v>96</v>
      </c>
      <c r="BE106" s="7">
        <v>97</v>
      </c>
      <c r="BF106" s="7">
        <v>86</v>
      </c>
      <c r="BG106" s="7">
        <v>99</v>
      </c>
    </row>
    <row r="107" spans="29:59">
      <c r="AC107" s="3">
        <v>101</v>
      </c>
      <c r="AD107" s="3">
        <v>100</v>
      </c>
      <c r="AH107" s="6">
        <v>96</v>
      </c>
      <c r="AI107" s="7">
        <v>95</v>
      </c>
      <c r="AJ107" s="7">
        <v>88</v>
      </c>
      <c r="AK107" s="7">
        <v>91</v>
      </c>
      <c r="AL107" s="7">
        <v>93</v>
      </c>
      <c r="AM107" s="7">
        <v>99</v>
      </c>
      <c r="AN107" s="7">
        <v>99</v>
      </c>
      <c r="AO107" s="7">
        <v>99</v>
      </c>
      <c r="AP107" s="7">
        <v>99</v>
      </c>
      <c r="AQ107" s="7">
        <v>99</v>
      </c>
      <c r="AR107" s="7">
        <v>98</v>
      </c>
      <c r="AS107" s="7">
        <v>98</v>
      </c>
      <c r="AT107" s="7">
        <v>97</v>
      </c>
      <c r="AU107" s="7">
        <v>97</v>
      </c>
      <c r="AV107" s="7">
        <v>94</v>
      </c>
      <c r="AW107" s="7">
        <v>97</v>
      </c>
      <c r="AX107" s="7">
        <v>91</v>
      </c>
      <c r="AY107" s="7">
        <v>94</v>
      </c>
      <c r="AZ107" s="7">
        <v>98</v>
      </c>
      <c r="BA107" s="7">
        <v>87</v>
      </c>
      <c r="BB107" s="7">
        <v>96</v>
      </c>
      <c r="BC107" s="7">
        <v>95</v>
      </c>
      <c r="BD107" s="7">
        <v>97</v>
      </c>
      <c r="BE107" s="7">
        <v>97</v>
      </c>
      <c r="BF107" s="7">
        <v>86</v>
      </c>
      <c r="BG107" s="7">
        <v>99</v>
      </c>
    </row>
    <row r="108" spans="29:59">
      <c r="AC108" s="3">
        <v>102</v>
      </c>
      <c r="AD108" s="3">
        <v>100</v>
      </c>
      <c r="AH108" s="6">
        <v>97</v>
      </c>
      <c r="AI108" s="7">
        <v>96</v>
      </c>
      <c r="AJ108" s="7">
        <v>90</v>
      </c>
      <c r="AK108" s="7">
        <v>91</v>
      </c>
      <c r="AL108" s="7">
        <v>94</v>
      </c>
      <c r="AM108" s="7">
        <v>99</v>
      </c>
      <c r="AN108" s="7">
        <v>99</v>
      </c>
      <c r="AO108" s="7">
        <v>99</v>
      </c>
      <c r="AP108" s="7">
        <v>99</v>
      </c>
      <c r="AQ108" s="7">
        <v>99</v>
      </c>
      <c r="AR108" s="7">
        <v>98</v>
      </c>
      <c r="AS108" s="7">
        <v>98</v>
      </c>
      <c r="AT108" s="7">
        <v>97</v>
      </c>
      <c r="AU108" s="7">
        <v>97</v>
      </c>
      <c r="AV108" s="7">
        <v>94</v>
      </c>
      <c r="AW108" s="7">
        <v>98</v>
      </c>
      <c r="AX108" s="7">
        <v>91</v>
      </c>
      <c r="AY108" s="7">
        <v>94</v>
      </c>
      <c r="AZ108" s="7">
        <v>98</v>
      </c>
      <c r="BA108" s="7">
        <v>87</v>
      </c>
      <c r="BB108" s="7">
        <v>96</v>
      </c>
      <c r="BC108" s="7">
        <v>95</v>
      </c>
      <c r="BD108" s="7">
        <v>97</v>
      </c>
      <c r="BE108" s="7">
        <v>97</v>
      </c>
      <c r="BF108" s="7">
        <v>88</v>
      </c>
      <c r="BG108" s="7">
        <v>99</v>
      </c>
    </row>
    <row r="109" spans="29:59">
      <c r="AC109" s="3">
        <v>103</v>
      </c>
      <c r="AD109" s="3">
        <v>100</v>
      </c>
      <c r="AH109" s="6">
        <v>98</v>
      </c>
      <c r="AI109" s="7">
        <v>96</v>
      </c>
      <c r="AJ109" s="7">
        <v>91</v>
      </c>
      <c r="AK109" s="7">
        <v>91</v>
      </c>
      <c r="AL109" s="7">
        <v>96</v>
      </c>
      <c r="AM109" s="7">
        <v>99</v>
      </c>
      <c r="AN109" s="7">
        <v>99</v>
      </c>
      <c r="AO109" s="7">
        <v>99</v>
      </c>
      <c r="AP109" s="7">
        <v>99</v>
      </c>
      <c r="AQ109" s="7">
        <v>99</v>
      </c>
      <c r="AR109" s="7">
        <v>98</v>
      </c>
      <c r="AS109" s="7">
        <v>98</v>
      </c>
      <c r="AT109" s="7">
        <v>97</v>
      </c>
      <c r="AU109" s="7">
        <v>97</v>
      </c>
      <c r="AV109" s="7">
        <v>95</v>
      </c>
      <c r="AW109" s="7">
        <v>98</v>
      </c>
      <c r="AX109" s="7">
        <v>91</v>
      </c>
      <c r="AY109" s="7">
        <v>94</v>
      </c>
      <c r="AZ109" s="7">
        <v>98</v>
      </c>
      <c r="BA109" s="7">
        <v>87</v>
      </c>
      <c r="BB109" s="7">
        <v>97</v>
      </c>
      <c r="BC109" s="7">
        <v>95</v>
      </c>
      <c r="BD109" s="7">
        <v>97</v>
      </c>
      <c r="BE109" s="7">
        <v>97</v>
      </c>
      <c r="BF109" s="7">
        <v>89</v>
      </c>
      <c r="BG109" s="7">
        <v>99</v>
      </c>
    </row>
    <row r="110" spans="29:59">
      <c r="AC110" s="3">
        <v>104</v>
      </c>
      <c r="AD110" s="3">
        <v>100</v>
      </c>
      <c r="AH110" s="6">
        <v>99</v>
      </c>
      <c r="AI110" s="7">
        <v>96</v>
      </c>
      <c r="AJ110" s="7">
        <v>91</v>
      </c>
      <c r="AK110" s="7">
        <v>92</v>
      </c>
      <c r="AL110" s="7">
        <v>96</v>
      </c>
      <c r="AM110" s="7">
        <v>99</v>
      </c>
      <c r="AN110" s="7">
        <v>99</v>
      </c>
      <c r="AO110" s="7">
        <v>99</v>
      </c>
      <c r="AP110" s="7">
        <v>99</v>
      </c>
      <c r="AQ110" s="7">
        <v>99</v>
      </c>
      <c r="AR110" s="7">
        <v>98</v>
      </c>
      <c r="AS110" s="7">
        <v>98</v>
      </c>
      <c r="AT110" s="7">
        <v>98</v>
      </c>
      <c r="AU110" s="7">
        <v>98</v>
      </c>
      <c r="AV110" s="7">
        <v>96</v>
      </c>
      <c r="AW110" s="7">
        <v>98</v>
      </c>
      <c r="AX110" s="7">
        <v>94</v>
      </c>
      <c r="AY110" s="7">
        <v>94</v>
      </c>
      <c r="AZ110" s="7">
        <v>98</v>
      </c>
      <c r="BA110" s="7">
        <v>89</v>
      </c>
      <c r="BB110" s="7">
        <v>97</v>
      </c>
      <c r="BC110" s="7">
        <v>96</v>
      </c>
      <c r="BD110" s="7">
        <v>98</v>
      </c>
      <c r="BE110" s="7">
        <v>98</v>
      </c>
      <c r="BF110" s="7">
        <v>89</v>
      </c>
      <c r="BG110" s="7">
        <v>99</v>
      </c>
    </row>
    <row r="111" spans="29:59">
      <c r="AC111" s="3">
        <v>105</v>
      </c>
      <c r="AD111" s="3">
        <v>100</v>
      </c>
      <c r="AH111" s="6">
        <v>100</v>
      </c>
      <c r="AI111" s="7">
        <v>96</v>
      </c>
      <c r="AJ111" s="7">
        <v>92</v>
      </c>
      <c r="AK111" s="7">
        <v>92</v>
      </c>
      <c r="AL111" s="7">
        <v>96</v>
      </c>
      <c r="AM111" s="7">
        <v>99</v>
      </c>
      <c r="AN111" s="7">
        <v>99</v>
      </c>
      <c r="AO111" s="7">
        <v>99</v>
      </c>
      <c r="AP111" s="7">
        <v>99</v>
      </c>
      <c r="AQ111" s="7">
        <v>99</v>
      </c>
      <c r="AR111" s="7">
        <v>99</v>
      </c>
      <c r="AS111" s="7">
        <v>98</v>
      </c>
      <c r="AT111" s="7">
        <v>98</v>
      </c>
      <c r="AU111" s="7">
        <v>98</v>
      </c>
      <c r="AV111" s="7">
        <v>96</v>
      </c>
      <c r="AW111" s="7">
        <v>98</v>
      </c>
      <c r="AX111" s="7">
        <v>94</v>
      </c>
      <c r="AY111" s="7">
        <v>94</v>
      </c>
      <c r="AZ111" s="7">
        <v>99</v>
      </c>
      <c r="BA111" s="7">
        <v>90</v>
      </c>
      <c r="BB111" s="7">
        <v>97</v>
      </c>
      <c r="BC111" s="7">
        <v>96</v>
      </c>
      <c r="BD111" s="7">
        <v>99</v>
      </c>
      <c r="BE111" s="7">
        <v>98</v>
      </c>
      <c r="BF111" s="7">
        <v>90</v>
      </c>
      <c r="BG111" s="7">
        <v>99</v>
      </c>
    </row>
    <row r="112" spans="29:59">
      <c r="AC112" s="3">
        <v>106</v>
      </c>
      <c r="AD112" s="3">
        <v>100</v>
      </c>
      <c r="AH112" s="6">
        <v>101</v>
      </c>
      <c r="AI112" s="7">
        <v>96</v>
      </c>
      <c r="AJ112" s="7">
        <v>92</v>
      </c>
      <c r="AK112" s="7">
        <v>92</v>
      </c>
      <c r="AL112" s="7">
        <v>96</v>
      </c>
      <c r="AM112" s="7">
        <v>99</v>
      </c>
      <c r="AN112" s="7">
        <v>99</v>
      </c>
      <c r="AO112" s="7">
        <v>99</v>
      </c>
      <c r="AP112" s="7">
        <v>99</v>
      </c>
      <c r="AQ112" s="7">
        <v>99</v>
      </c>
      <c r="AR112" s="7">
        <v>99</v>
      </c>
      <c r="AS112" s="7">
        <v>98</v>
      </c>
      <c r="AT112" s="7">
        <v>98</v>
      </c>
      <c r="AU112" s="7">
        <v>98</v>
      </c>
      <c r="AV112" s="7">
        <v>96</v>
      </c>
      <c r="AW112" s="7">
        <v>99</v>
      </c>
      <c r="AX112" s="7">
        <v>94</v>
      </c>
      <c r="AY112" s="7">
        <v>94</v>
      </c>
      <c r="AZ112" s="7">
        <v>99</v>
      </c>
      <c r="BA112" s="7">
        <v>90</v>
      </c>
      <c r="BB112" s="7">
        <v>97</v>
      </c>
      <c r="BC112" s="7">
        <v>96</v>
      </c>
      <c r="BD112" s="7">
        <v>99</v>
      </c>
      <c r="BE112" s="7">
        <v>98</v>
      </c>
      <c r="BF112" s="7">
        <v>91</v>
      </c>
      <c r="BG112" s="7">
        <v>99</v>
      </c>
    </row>
    <row r="113" spans="29:59">
      <c r="AC113" s="3">
        <v>107</v>
      </c>
      <c r="AD113" s="3">
        <v>100</v>
      </c>
      <c r="AH113" s="6">
        <v>102</v>
      </c>
      <c r="AI113" s="7">
        <v>98</v>
      </c>
      <c r="AJ113" s="7">
        <v>94</v>
      </c>
      <c r="AK113" s="7">
        <v>94</v>
      </c>
      <c r="AL113" s="7">
        <v>97</v>
      </c>
      <c r="AM113" s="7">
        <v>99</v>
      </c>
      <c r="AN113" s="7">
        <v>99</v>
      </c>
      <c r="AO113" s="7">
        <v>99</v>
      </c>
      <c r="AP113" s="7">
        <v>99</v>
      </c>
      <c r="AQ113" s="7">
        <v>99</v>
      </c>
      <c r="AR113" s="7">
        <v>99</v>
      </c>
      <c r="AS113" s="7">
        <v>99</v>
      </c>
      <c r="AT113" s="7">
        <v>98</v>
      </c>
      <c r="AU113" s="7">
        <v>98</v>
      </c>
      <c r="AV113" s="7">
        <v>96</v>
      </c>
      <c r="AW113" s="7">
        <v>99</v>
      </c>
      <c r="AX113" s="7">
        <v>95</v>
      </c>
      <c r="AY113" s="7">
        <v>95</v>
      </c>
      <c r="AZ113" s="7">
        <v>99</v>
      </c>
      <c r="BA113" s="7">
        <v>90</v>
      </c>
      <c r="BB113" s="7">
        <v>98</v>
      </c>
      <c r="BC113" s="7">
        <v>97</v>
      </c>
      <c r="BD113" s="7">
        <v>99</v>
      </c>
      <c r="BE113" s="7">
        <v>99</v>
      </c>
      <c r="BF113" s="7">
        <v>93</v>
      </c>
      <c r="BG113" s="7">
        <v>99</v>
      </c>
    </row>
    <row r="114" spans="29:59">
      <c r="AC114" s="3">
        <v>108</v>
      </c>
      <c r="AD114" s="3">
        <v>100</v>
      </c>
      <c r="AH114" s="6">
        <v>103</v>
      </c>
      <c r="AI114" s="7">
        <v>98</v>
      </c>
      <c r="AJ114" s="7">
        <v>94</v>
      </c>
      <c r="AK114" s="7">
        <v>94</v>
      </c>
      <c r="AL114" s="7">
        <v>97</v>
      </c>
      <c r="AM114" s="7">
        <v>99</v>
      </c>
      <c r="AN114" s="7">
        <v>99</v>
      </c>
      <c r="AO114" s="7">
        <v>99</v>
      </c>
      <c r="AP114" s="7">
        <v>99</v>
      </c>
      <c r="AQ114" s="7">
        <v>99</v>
      </c>
      <c r="AR114" s="7">
        <v>99</v>
      </c>
      <c r="AS114" s="7">
        <v>99</v>
      </c>
      <c r="AT114" s="7">
        <v>98</v>
      </c>
      <c r="AU114" s="7">
        <v>98</v>
      </c>
      <c r="AV114" s="7">
        <v>97</v>
      </c>
      <c r="AW114" s="7">
        <v>99</v>
      </c>
      <c r="AX114" s="7">
        <v>95</v>
      </c>
      <c r="AY114" s="7">
        <v>95</v>
      </c>
      <c r="AZ114" s="7">
        <v>99</v>
      </c>
      <c r="BA114" s="7">
        <v>90</v>
      </c>
      <c r="BB114" s="7">
        <v>98</v>
      </c>
      <c r="BC114" s="7">
        <v>97</v>
      </c>
      <c r="BD114" s="7">
        <v>99</v>
      </c>
      <c r="BE114" s="7">
        <v>99</v>
      </c>
      <c r="BF114" s="7">
        <v>94</v>
      </c>
      <c r="BG114" s="7">
        <v>99</v>
      </c>
    </row>
    <row r="115" spans="29:59">
      <c r="AC115" s="3">
        <v>109</v>
      </c>
      <c r="AD115" s="3">
        <v>100</v>
      </c>
      <c r="AH115" s="6">
        <v>104</v>
      </c>
      <c r="AI115" s="7">
        <v>98</v>
      </c>
      <c r="AJ115" s="7">
        <v>94</v>
      </c>
      <c r="AK115" s="7">
        <v>94</v>
      </c>
      <c r="AL115" s="7">
        <v>97</v>
      </c>
      <c r="AM115" s="7">
        <v>99</v>
      </c>
      <c r="AN115" s="7">
        <v>99</v>
      </c>
      <c r="AO115" s="7">
        <v>99</v>
      </c>
      <c r="AP115" s="7">
        <v>99</v>
      </c>
      <c r="AQ115" s="7">
        <v>99</v>
      </c>
      <c r="AR115" s="7">
        <v>99</v>
      </c>
      <c r="AS115" s="7">
        <v>99</v>
      </c>
      <c r="AT115" s="7">
        <v>98</v>
      </c>
      <c r="AU115" s="7">
        <v>99</v>
      </c>
      <c r="AV115" s="7">
        <v>97</v>
      </c>
      <c r="AW115" s="7">
        <v>99</v>
      </c>
      <c r="AX115" s="7">
        <v>97</v>
      </c>
      <c r="AY115" s="7">
        <v>96</v>
      </c>
      <c r="AZ115" s="7">
        <v>99</v>
      </c>
      <c r="BA115" s="7">
        <v>92</v>
      </c>
      <c r="BB115" s="7">
        <v>98</v>
      </c>
      <c r="BC115" s="7">
        <v>97</v>
      </c>
      <c r="BD115" s="7">
        <v>99</v>
      </c>
      <c r="BE115" s="7">
        <v>99</v>
      </c>
      <c r="BF115" s="7">
        <v>94</v>
      </c>
      <c r="BG115" s="7">
        <v>99</v>
      </c>
    </row>
    <row r="116" spans="29:59">
      <c r="AC116" s="3">
        <v>110</v>
      </c>
      <c r="AD116" s="3">
        <v>100</v>
      </c>
      <c r="AH116" s="6">
        <v>105</v>
      </c>
      <c r="AI116" s="7">
        <v>98</v>
      </c>
      <c r="AJ116" s="7">
        <v>95</v>
      </c>
      <c r="AK116" s="7">
        <v>95</v>
      </c>
      <c r="AL116" s="7">
        <v>98</v>
      </c>
      <c r="AM116" s="7">
        <v>99</v>
      </c>
      <c r="AN116" s="7">
        <v>99</v>
      </c>
      <c r="AO116" s="7">
        <v>99</v>
      </c>
      <c r="AP116" s="7">
        <v>99</v>
      </c>
      <c r="AQ116" s="7">
        <v>99</v>
      </c>
      <c r="AR116" s="7">
        <v>99</v>
      </c>
      <c r="AS116" s="7">
        <v>99</v>
      </c>
      <c r="AT116" s="7">
        <v>99</v>
      </c>
      <c r="AU116" s="7">
        <v>99</v>
      </c>
      <c r="AV116" s="7">
        <v>97</v>
      </c>
      <c r="AW116" s="7">
        <v>99</v>
      </c>
      <c r="AX116" s="7">
        <v>97</v>
      </c>
      <c r="AY116" s="7">
        <v>98</v>
      </c>
      <c r="AZ116" s="7">
        <v>99</v>
      </c>
      <c r="BA116" s="7">
        <v>93</v>
      </c>
      <c r="BB116" s="7">
        <v>99</v>
      </c>
      <c r="BC116" s="7">
        <v>98</v>
      </c>
      <c r="BD116" s="7">
        <v>99</v>
      </c>
      <c r="BE116" s="7">
        <v>99</v>
      </c>
      <c r="BF116" s="7">
        <v>96</v>
      </c>
      <c r="BG116" s="7">
        <v>99</v>
      </c>
    </row>
    <row r="117" spans="29:59">
      <c r="AC117" s="3">
        <v>111</v>
      </c>
      <c r="AD117" s="3">
        <v>100</v>
      </c>
      <c r="AH117" s="6">
        <v>106</v>
      </c>
      <c r="AI117" s="7">
        <v>98</v>
      </c>
      <c r="AJ117" s="7">
        <v>96</v>
      </c>
      <c r="AK117" s="7">
        <v>95</v>
      </c>
      <c r="AL117" s="7">
        <v>99</v>
      </c>
      <c r="AM117" s="7">
        <v>99</v>
      </c>
      <c r="AN117" s="7">
        <v>99</v>
      </c>
      <c r="AO117" s="7">
        <v>99</v>
      </c>
      <c r="AP117" s="7">
        <v>99</v>
      </c>
      <c r="AQ117" s="7">
        <v>99</v>
      </c>
      <c r="AR117" s="7">
        <v>99</v>
      </c>
      <c r="AS117" s="7">
        <v>99</v>
      </c>
      <c r="AT117" s="7">
        <v>98</v>
      </c>
      <c r="AU117" s="7">
        <v>99</v>
      </c>
      <c r="AV117" s="7">
        <v>98</v>
      </c>
      <c r="AW117" s="7">
        <v>99</v>
      </c>
      <c r="AX117" s="7">
        <v>97</v>
      </c>
      <c r="AY117" s="7">
        <v>98</v>
      </c>
      <c r="AZ117" s="7">
        <v>99</v>
      </c>
      <c r="BA117" s="7">
        <v>93</v>
      </c>
      <c r="BB117" s="7">
        <v>99</v>
      </c>
      <c r="BC117" s="7">
        <v>98</v>
      </c>
      <c r="BD117" s="7">
        <v>99</v>
      </c>
      <c r="BE117" s="7">
        <v>99</v>
      </c>
      <c r="BF117" s="7">
        <v>96</v>
      </c>
      <c r="BG117" s="7">
        <v>99</v>
      </c>
    </row>
    <row r="118" spans="29:59">
      <c r="AC118" s="3">
        <v>112</v>
      </c>
      <c r="AD118" s="3">
        <v>100</v>
      </c>
      <c r="AH118" s="6">
        <v>107</v>
      </c>
      <c r="AI118" s="7">
        <v>98</v>
      </c>
      <c r="AJ118" s="7">
        <v>96</v>
      </c>
      <c r="AK118" s="7">
        <v>95</v>
      </c>
      <c r="AL118" s="7">
        <v>99</v>
      </c>
      <c r="AM118" s="7">
        <v>99</v>
      </c>
      <c r="AN118" s="7">
        <v>99</v>
      </c>
      <c r="AO118" s="7">
        <v>99</v>
      </c>
      <c r="AP118" s="7">
        <v>99</v>
      </c>
      <c r="AQ118" s="7">
        <v>99</v>
      </c>
      <c r="AR118" s="7">
        <v>99</v>
      </c>
      <c r="AS118" s="7">
        <v>99</v>
      </c>
      <c r="AT118" s="7">
        <v>99</v>
      </c>
      <c r="AU118" s="7">
        <v>99</v>
      </c>
      <c r="AV118" s="7">
        <v>99</v>
      </c>
      <c r="AW118" s="7">
        <v>99</v>
      </c>
      <c r="AX118" s="7">
        <v>97</v>
      </c>
      <c r="AY118" s="7">
        <v>98</v>
      </c>
      <c r="AZ118" s="7">
        <v>99</v>
      </c>
      <c r="BA118" s="7">
        <v>93</v>
      </c>
      <c r="BB118" s="7">
        <v>99</v>
      </c>
      <c r="BC118" s="7">
        <v>98</v>
      </c>
      <c r="BD118" s="7">
        <v>99</v>
      </c>
      <c r="BE118" s="7">
        <v>99</v>
      </c>
      <c r="BF118" s="7">
        <v>96</v>
      </c>
      <c r="BG118" s="7">
        <v>99</v>
      </c>
    </row>
    <row r="119" spans="29:59">
      <c r="AC119" s="3">
        <v>113</v>
      </c>
      <c r="AD119" s="3">
        <v>100</v>
      </c>
      <c r="AH119" s="6">
        <v>108</v>
      </c>
      <c r="AI119" s="7">
        <v>99</v>
      </c>
      <c r="AJ119" s="7">
        <v>96</v>
      </c>
      <c r="AK119" s="7">
        <v>96</v>
      </c>
      <c r="AL119" s="7">
        <v>99</v>
      </c>
      <c r="AM119" s="7">
        <v>99</v>
      </c>
      <c r="AN119" s="7">
        <v>99</v>
      </c>
      <c r="AO119" s="7">
        <v>99</v>
      </c>
      <c r="AP119" s="7">
        <v>99</v>
      </c>
      <c r="AQ119" s="7">
        <v>99</v>
      </c>
      <c r="AR119" s="7">
        <v>99</v>
      </c>
      <c r="AS119" s="7">
        <v>99</v>
      </c>
      <c r="AT119" s="7">
        <v>99</v>
      </c>
      <c r="AU119" s="7">
        <v>99</v>
      </c>
      <c r="AV119" s="7">
        <v>99</v>
      </c>
      <c r="AW119" s="7">
        <v>99</v>
      </c>
      <c r="AX119" s="7">
        <v>98</v>
      </c>
      <c r="AY119" s="7">
        <v>98</v>
      </c>
      <c r="AZ119" s="7">
        <v>99</v>
      </c>
      <c r="BA119" s="7">
        <v>94</v>
      </c>
      <c r="BB119" s="7">
        <v>99</v>
      </c>
      <c r="BC119" s="7">
        <v>98</v>
      </c>
      <c r="BD119" s="7">
        <v>99</v>
      </c>
      <c r="BE119" s="7">
        <v>99</v>
      </c>
      <c r="BF119" s="7">
        <v>97</v>
      </c>
      <c r="BG119" s="7">
        <v>99</v>
      </c>
    </row>
    <row r="120" spans="29:59">
      <c r="AC120" s="3">
        <v>114</v>
      </c>
      <c r="AD120" s="3">
        <v>100</v>
      </c>
      <c r="AH120" s="6">
        <v>109</v>
      </c>
      <c r="AI120" s="7">
        <v>99</v>
      </c>
      <c r="AJ120" s="7">
        <v>96</v>
      </c>
      <c r="AK120" s="7">
        <v>97</v>
      </c>
      <c r="AL120" s="7">
        <v>99</v>
      </c>
      <c r="AM120" s="7">
        <v>99</v>
      </c>
      <c r="AN120" s="7">
        <v>99</v>
      </c>
      <c r="AO120" s="7">
        <v>99</v>
      </c>
      <c r="AP120" s="7">
        <v>99</v>
      </c>
      <c r="AQ120" s="7">
        <v>99</v>
      </c>
      <c r="AR120" s="7">
        <v>99</v>
      </c>
      <c r="AS120" s="7">
        <v>99</v>
      </c>
      <c r="AT120" s="7">
        <v>99</v>
      </c>
      <c r="AU120" s="7">
        <v>99</v>
      </c>
      <c r="AV120" s="7">
        <v>99</v>
      </c>
      <c r="AW120" s="7">
        <v>99</v>
      </c>
      <c r="AX120" s="7">
        <v>99</v>
      </c>
      <c r="AY120" s="7">
        <v>98</v>
      </c>
      <c r="AZ120" s="7">
        <v>99</v>
      </c>
      <c r="BA120" s="7">
        <v>96</v>
      </c>
      <c r="BB120" s="7">
        <v>99</v>
      </c>
      <c r="BC120" s="7">
        <v>99</v>
      </c>
      <c r="BD120" s="7">
        <v>99</v>
      </c>
      <c r="BE120" s="7">
        <v>99</v>
      </c>
      <c r="BF120" s="7">
        <v>97</v>
      </c>
      <c r="BG120" s="7">
        <v>99</v>
      </c>
    </row>
    <row r="121" spans="29:59">
      <c r="AH121" s="6">
        <v>110</v>
      </c>
      <c r="AI121" s="7">
        <v>99</v>
      </c>
      <c r="AJ121" s="7">
        <v>98</v>
      </c>
      <c r="AK121" s="7">
        <v>97</v>
      </c>
      <c r="AL121" s="7">
        <v>99</v>
      </c>
      <c r="AM121" s="7">
        <v>99</v>
      </c>
      <c r="AN121" s="7">
        <v>99</v>
      </c>
      <c r="AO121" s="7">
        <v>99</v>
      </c>
      <c r="AP121" s="7">
        <v>99</v>
      </c>
      <c r="AQ121" s="7">
        <v>99</v>
      </c>
      <c r="AR121" s="7">
        <v>99</v>
      </c>
      <c r="AS121" s="7">
        <v>99</v>
      </c>
      <c r="AT121" s="7">
        <v>99</v>
      </c>
      <c r="AU121" s="7">
        <v>99</v>
      </c>
      <c r="AV121" s="7">
        <v>99</v>
      </c>
      <c r="AW121" s="7">
        <v>99</v>
      </c>
      <c r="AX121" s="7">
        <v>99</v>
      </c>
      <c r="AY121" s="7">
        <v>98</v>
      </c>
      <c r="AZ121" s="7">
        <v>99</v>
      </c>
      <c r="BA121" s="7">
        <v>97</v>
      </c>
      <c r="BB121" s="7">
        <v>99</v>
      </c>
      <c r="BC121" s="7">
        <v>99</v>
      </c>
      <c r="BD121" s="7">
        <v>99</v>
      </c>
      <c r="BE121" s="7">
        <v>99</v>
      </c>
      <c r="BF121" s="7">
        <v>97</v>
      </c>
      <c r="BG121" s="7">
        <v>99</v>
      </c>
    </row>
    <row r="122" spans="29:59">
      <c r="AH122" s="6">
        <v>111</v>
      </c>
      <c r="AI122" s="7">
        <v>99</v>
      </c>
      <c r="AJ122" s="7">
        <v>99</v>
      </c>
      <c r="AK122" s="7">
        <v>98</v>
      </c>
      <c r="AL122" s="7">
        <v>99</v>
      </c>
      <c r="AM122" s="7">
        <v>99</v>
      </c>
      <c r="AN122" s="7">
        <v>99</v>
      </c>
      <c r="AO122" s="7">
        <v>99</v>
      </c>
      <c r="AP122" s="7">
        <v>99</v>
      </c>
      <c r="AQ122" s="7">
        <v>99</v>
      </c>
      <c r="AR122" s="7">
        <v>99</v>
      </c>
      <c r="AS122" s="7">
        <v>99</v>
      </c>
      <c r="AT122" s="7">
        <v>99</v>
      </c>
      <c r="AU122" s="7">
        <v>99</v>
      </c>
      <c r="AV122" s="7">
        <v>99</v>
      </c>
      <c r="AW122" s="7">
        <v>99</v>
      </c>
      <c r="AX122" s="7">
        <v>99</v>
      </c>
      <c r="AY122" s="7">
        <v>98</v>
      </c>
      <c r="AZ122" s="7">
        <v>99</v>
      </c>
      <c r="BA122" s="7">
        <v>97</v>
      </c>
      <c r="BB122" s="7">
        <v>99</v>
      </c>
      <c r="BC122" s="7">
        <v>99</v>
      </c>
      <c r="BD122" s="7">
        <v>99</v>
      </c>
      <c r="BE122" s="7">
        <v>99</v>
      </c>
      <c r="BF122" s="7">
        <v>98</v>
      </c>
      <c r="BG122" s="7">
        <v>99</v>
      </c>
    </row>
    <row r="123" spans="29:59">
      <c r="AH123" s="6">
        <v>112</v>
      </c>
      <c r="AI123" s="7">
        <v>99</v>
      </c>
      <c r="AJ123" s="7">
        <v>99</v>
      </c>
      <c r="AK123" s="7">
        <v>98</v>
      </c>
      <c r="AL123" s="7">
        <v>99</v>
      </c>
      <c r="AM123" s="7">
        <v>99</v>
      </c>
      <c r="AN123" s="7">
        <v>99</v>
      </c>
      <c r="AO123" s="7">
        <v>99</v>
      </c>
      <c r="AP123" s="7">
        <v>99</v>
      </c>
      <c r="AQ123" s="7">
        <v>99</v>
      </c>
      <c r="AR123" s="7">
        <v>99</v>
      </c>
      <c r="AS123" s="7">
        <v>99</v>
      </c>
      <c r="AT123" s="7">
        <v>99</v>
      </c>
      <c r="AU123" s="7">
        <v>99</v>
      </c>
      <c r="AV123" s="7">
        <v>99</v>
      </c>
      <c r="AW123" s="7">
        <v>99</v>
      </c>
      <c r="AX123" s="7">
        <v>99</v>
      </c>
      <c r="AY123" s="7">
        <v>98</v>
      </c>
      <c r="AZ123" s="7">
        <v>99</v>
      </c>
      <c r="BA123" s="7">
        <v>97</v>
      </c>
      <c r="BB123" s="7">
        <v>99</v>
      </c>
      <c r="BC123" s="7">
        <v>99</v>
      </c>
      <c r="BD123" s="7">
        <v>99</v>
      </c>
      <c r="BE123" s="7">
        <v>99</v>
      </c>
      <c r="BF123" s="7">
        <v>98</v>
      </c>
      <c r="BG123" s="7">
        <v>99</v>
      </c>
    </row>
    <row r="124" spans="29:59">
      <c r="AH124" s="6">
        <v>113</v>
      </c>
      <c r="AI124" s="7">
        <v>99</v>
      </c>
      <c r="AJ124" s="7">
        <v>99</v>
      </c>
      <c r="AK124" s="7">
        <v>98</v>
      </c>
      <c r="AL124" s="7">
        <v>99</v>
      </c>
      <c r="AM124" s="7">
        <v>99</v>
      </c>
      <c r="AN124" s="7">
        <v>99</v>
      </c>
      <c r="AO124" s="7">
        <v>99</v>
      </c>
      <c r="AP124" s="7">
        <v>99</v>
      </c>
      <c r="AQ124" s="7">
        <v>99</v>
      </c>
      <c r="AR124" s="7">
        <v>99</v>
      </c>
      <c r="AS124" s="7">
        <v>99</v>
      </c>
      <c r="AT124" s="7">
        <v>99</v>
      </c>
      <c r="AU124" s="7">
        <v>99</v>
      </c>
      <c r="AV124" s="7">
        <v>99</v>
      </c>
      <c r="AW124" s="7">
        <v>99</v>
      </c>
      <c r="AX124" s="7">
        <v>99</v>
      </c>
      <c r="AY124" s="7">
        <v>98</v>
      </c>
      <c r="AZ124" s="7">
        <v>99</v>
      </c>
      <c r="BA124" s="7">
        <v>98</v>
      </c>
      <c r="BB124" s="7">
        <v>99</v>
      </c>
      <c r="BC124" s="7">
        <v>99</v>
      </c>
      <c r="BD124" s="7">
        <v>99</v>
      </c>
      <c r="BE124" s="7">
        <v>99</v>
      </c>
      <c r="BF124" s="7">
        <v>98</v>
      </c>
      <c r="BG124" s="7">
        <v>99</v>
      </c>
    </row>
    <row r="125" spans="29:59">
      <c r="AH125" s="6">
        <v>114</v>
      </c>
      <c r="AI125" s="7">
        <v>99</v>
      </c>
      <c r="AJ125" s="7">
        <v>99</v>
      </c>
      <c r="AK125" s="7">
        <v>99</v>
      </c>
      <c r="AL125" s="7">
        <v>99</v>
      </c>
      <c r="AM125" s="7">
        <v>99</v>
      </c>
      <c r="AN125" s="7">
        <v>99</v>
      </c>
      <c r="AO125" s="7">
        <v>99</v>
      </c>
      <c r="AP125" s="7">
        <v>99</v>
      </c>
      <c r="AQ125" s="7">
        <v>99</v>
      </c>
      <c r="AR125" s="7">
        <v>99</v>
      </c>
      <c r="AS125" s="7">
        <v>99</v>
      </c>
      <c r="AT125" s="7">
        <v>99</v>
      </c>
      <c r="AU125" s="7">
        <v>99</v>
      </c>
      <c r="AV125" s="7">
        <v>99</v>
      </c>
      <c r="AW125" s="7">
        <v>99</v>
      </c>
      <c r="AX125" s="7">
        <v>99</v>
      </c>
      <c r="AY125" s="7">
        <v>99</v>
      </c>
      <c r="AZ125" s="7">
        <v>99</v>
      </c>
      <c r="BA125" s="7">
        <v>99</v>
      </c>
      <c r="BB125" s="7">
        <v>99</v>
      </c>
      <c r="BC125" s="7">
        <v>99</v>
      </c>
      <c r="BD125" s="7">
        <v>99</v>
      </c>
      <c r="BE125" s="7">
        <v>99</v>
      </c>
      <c r="BF125" s="7">
        <v>99</v>
      </c>
      <c r="BG125" s="7">
        <v>99</v>
      </c>
    </row>
    <row r="126" spans="29:59">
      <c r="AH126" s="6">
        <v>115</v>
      </c>
      <c r="AI126" s="7">
        <v>99</v>
      </c>
      <c r="AJ126" s="7">
        <v>99</v>
      </c>
      <c r="AK126" s="7">
        <v>99</v>
      </c>
      <c r="AL126" s="7">
        <v>99</v>
      </c>
      <c r="AM126" s="7">
        <v>99</v>
      </c>
      <c r="AN126" s="7">
        <v>99</v>
      </c>
      <c r="AO126" s="7">
        <v>99</v>
      </c>
      <c r="AP126" s="7">
        <v>99</v>
      </c>
      <c r="AQ126" s="7">
        <v>99</v>
      </c>
      <c r="AR126" s="7">
        <v>99</v>
      </c>
      <c r="AS126" s="7">
        <v>99</v>
      </c>
      <c r="AT126" s="7">
        <v>99</v>
      </c>
      <c r="AU126" s="7">
        <v>99</v>
      </c>
      <c r="AV126" s="7">
        <v>99</v>
      </c>
      <c r="AW126" s="7">
        <v>99</v>
      </c>
      <c r="AX126" s="7">
        <v>99</v>
      </c>
      <c r="AY126" s="7">
        <v>99</v>
      </c>
      <c r="AZ126" s="7">
        <v>99</v>
      </c>
      <c r="BA126" s="7">
        <v>99</v>
      </c>
      <c r="BB126" s="7">
        <v>99</v>
      </c>
      <c r="BC126" s="7">
        <v>99</v>
      </c>
      <c r="BD126" s="7">
        <v>99</v>
      </c>
      <c r="BE126" s="7">
        <v>99</v>
      </c>
      <c r="BF126" s="7">
        <v>99</v>
      </c>
      <c r="BG126" s="7">
        <v>99</v>
      </c>
    </row>
  </sheetData>
  <sheetProtection algorithmName="SHA-512" hashValue="rylATMaTNtzZDThRJAQjMHLEb7LqyTI6S+eJzVvf8xQV8b165iPVCl8192FQqjZILVv5KqRF0sq1CmlaU29+aA==" saltValue="ZlTA3jK7/fsyxOOhz/PPqw==" spinCount="100000" sheet="1" objects="1" scenarios="1"/>
  <mergeCells count="46">
    <mergeCell ref="BI5:BI6"/>
    <mergeCell ref="ER5:ES5"/>
    <mergeCell ref="ET5:EU5"/>
    <mergeCell ref="B4:AA4"/>
    <mergeCell ref="AC4:AF4"/>
    <mergeCell ref="AH4:BG4"/>
    <mergeCell ref="BJ4:EU4"/>
    <mergeCell ref="EF5:EG5"/>
    <mergeCell ref="EH5:EI5"/>
    <mergeCell ref="EJ5:EK5"/>
    <mergeCell ref="EL5:EM5"/>
    <mergeCell ref="EN5:EO5"/>
    <mergeCell ref="EP5:EQ5"/>
    <mergeCell ref="DP5:DQ5"/>
    <mergeCell ref="DR5:DS5"/>
    <mergeCell ref="DT5:DU5"/>
    <mergeCell ref="DX5:DY5"/>
    <mergeCell ref="DZ5:EA5"/>
    <mergeCell ref="EB5:EC5"/>
    <mergeCell ref="DB5:DC5"/>
    <mergeCell ref="DD5:DE5"/>
    <mergeCell ref="DH5:DI5"/>
    <mergeCell ref="DJ5:DK5"/>
    <mergeCell ref="DL5:DM5"/>
    <mergeCell ref="DN5:DO5"/>
    <mergeCell ref="CN5:CO5"/>
    <mergeCell ref="CP5:CQ5"/>
    <mergeCell ref="CR5:CS5"/>
    <mergeCell ref="CT5:CU5"/>
    <mergeCell ref="CV5:CW5"/>
    <mergeCell ref="B2:EU2"/>
    <mergeCell ref="BJ5:BK5"/>
    <mergeCell ref="BL5:BM5"/>
    <mergeCell ref="BN5:BO5"/>
    <mergeCell ref="BP5:BQ5"/>
    <mergeCell ref="BR5:BS5"/>
    <mergeCell ref="BT5:BU5"/>
    <mergeCell ref="BX5:BY5"/>
    <mergeCell ref="BV5:BW5"/>
    <mergeCell ref="CX5:CY5"/>
    <mergeCell ref="BZ5:CA5"/>
    <mergeCell ref="CB5:CC5"/>
    <mergeCell ref="CF5:CG5"/>
    <mergeCell ref="CH5:CI5"/>
    <mergeCell ref="CJ5:CK5"/>
    <mergeCell ref="CL5:CM5"/>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A5B62E-69BC-4966-9495-6E20B31BAA4C}">
  <sheetPr codeName="Hoja6"/>
  <dimension ref="B1:EU121"/>
  <sheetViews>
    <sheetView showGridLines="0" workbookViewId="0">
      <pane ySplit="1" topLeftCell="A2" activePane="bottomLeft" state="frozenSplit"/>
      <selection pane="bottomLeft" activeCell="EL36" sqref="EL36"/>
    </sheetView>
  </sheetViews>
  <sheetFormatPr baseColWidth="10" defaultRowHeight="15"/>
  <cols>
    <col min="2" max="27" width="6.85546875" style="10" customWidth="1"/>
    <col min="29" max="32" width="11.7109375" style="10" customWidth="1"/>
    <col min="34" max="34" width="4.85546875" style="10" bestFit="1" customWidth="1"/>
    <col min="35" max="35" width="5.28515625" style="10" customWidth="1"/>
    <col min="36" max="37" width="5.7109375" style="10" bestFit="1" customWidth="1"/>
    <col min="38" max="38" width="5.28515625" style="10" customWidth="1"/>
    <col min="39" max="39" width="4.85546875" style="10" bestFit="1" customWidth="1"/>
    <col min="40" max="40" width="5.7109375" style="10" bestFit="1" customWidth="1"/>
    <col min="41" max="41" width="5.28515625" style="10" customWidth="1"/>
    <col min="42" max="42" width="3.42578125" style="10" bestFit="1" customWidth="1"/>
    <col min="43" max="43" width="4" style="10" bestFit="1" customWidth="1"/>
    <col min="44" max="44" width="5.28515625" style="10" customWidth="1"/>
    <col min="45" max="45" width="5.7109375" style="10" bestFit="1" customWidth="1"/>
    <col min="46" max="46" width="5.28515625" style="10" customWidth="1"/>
    <col min="47" max="47" width="6.140625" style="10" bestFit="1" customWidth="1"/>
    <col min="48" max="48" width="5.28515625" style="10" customWidth="1"/>
    <col min="49" max="49" width="6.140625" style="10" bestFit="1" customWidth="1"/>
    <col min="50" max="50" width="5.7109375" style="10" bestFit="1" customWidth="1"/>
    <col min="51" max="51" width="5.28515625" style="10" customWidth="1"/>
    <col min="52" max="53" width="4.85546875" style="10" bestFit="1" customWidth="1"/>
    <col min="54" max="54" width="7.42578125" style="10" bestFit="1" customWidth="1"/>
    <col min="55" max="56" width="4.85546875" style="10" bestFit="1" customWidth="1"/>
    <col min="57" max="58" width="4.42578125" style="10" bestFit="1" customWidth="1"/>
    <col min="59" max="59" width="6.140625" style="10" bestFit="1" customWidth="1"/>
    <col min="61" max="61" width="7.42578125" style="10" bestFit="1" customWidth="1"/>
    <col min="62" max="64" width="4.140625" style="10" customWidth="1"/>
    <col min="65" max="66" width="4" style="10" bestFit="1" customWidth="1"/>
    <col min="67" max="68" width="4.140625" style="10" customWidth="1"/>
    <col min="69" max="72" width="4" style="10" bestFit="1" customWidth="1"/>
    <col min="73" max="74" width="4.140625" style="10" customWidth="1"/>
    <col min="75" max="75" width="4.42578125" style="10" bestFit="1" customWidth="1"/>
    <col min="76" max="76" width="4" style="10" bestFit="1" customWidth="1"/>
    <col min="77" max="77" width="4.42578125" style="10" bestFit="1" customWidth="1"/>
    <col min="78" max="78" width="4.140625" style="10" customWidth="1"/>
    <col min="79" max="82" width="4" style="10" bestFit="1" customWidth="1"/>
    <col min="83" max="83" width="5.28515625" style="10" bestFit="1" customWidth="1"/>
    <col min="84" max="86" width="4" style="10" bestFit="1" customWidth="1"/>
    <col min="87" max="87" width="6.7109375" style="10" bestFit="1" customWidth="1"/>
    <col min="88" max="89" width="7.28515625" style="10" bestFit="1" customWidth="1"/>
    <col min="90" max="90" width="6.7109375" style="10" bestFit="1" customWidth="1"/>
    <col min="91" max="91" width="6.140625" style="10" bestFit="1" customWidth="1"/>
    <col min="92" max="92" width="7.85546875" style="10" bestFit="1" customWidth="1"/>
    <col min="93" max="93" width="6.7109375" style="10" bestFit="1" customWidth="1"/>
    <col min="94" max="94" width="4" style="10" bestFit="1" customWidth="1"/>
    <col min="95" max="95" width="5" style="10" bestFit="1" customWidth="1"/>
    <col min="96" max="96" width="7.28515625" style="10" bestFit="1" customWidth="1"/>
    <col min="97" max="97" width="5.5703125" style="10" bestFit="1" customWidth="1"/>
    <col min="98" max="98" width="8.42578125" style="10" bestFit="1" customWidth="1"/>
    <col min="99" max="99" width="6.7109375" style="10" bestFit="1" customWidth="1"/>
    <col min="100" max="100" width="7.85546875" style="10" bestFit="1" customWidth="1"/>
    <col min="101" max="101" width="6.7109375" style="10" bestFit="1" customWidth="1"/>
    <col min="102" max="102" width="7.85546875" style="10" bestFit="1" customWidth="1"/>
    <col min="103" max="103" width="7.28515625" style="10" bestFit="1" customWidth="1"/>
    <col min="104" max="104" width="6.7109375" style="10" bestFit="1" customWidth="1"/>
    <col min="105" max="105" width="6.140625" style="10" bestFit="1" customWidth="1"/>
    <col min="106" max="106" width="7.28515625" style="10" bestFit="1" customWidth="1"/>
    <col min="107" max="107" width="6.140625" style="10" bestFit="1" customWidth="1"/>
    <col min="108" max="108" width="8.42578125" style="10" bestFit="1" customWidth="1"/>
    <col min="109" max="109" width="6.140625" style="10" bestFit="1" customWidth="1"/>
    <col min="110" max="110" width="6.7109375" style="10" bestFit="1" customWidth="1"/>
    <col min="111" max="111" width="5.5703125" style="10" bestFit="1" customWidth="1"/>
    <col min="112" max="114" width="8.85546875" style="10" bestFit="1" customWidth="1"/>
    <col min="115" max="115" width="7.42578125" style="10" bestFit="1" customWidth="1"/>
    <col min="116" max="116" width="9.5703125" style="10" bestFit="1" customWidth="1"/>
    <col min="117" max="117" width="8.140625" style="10" bestFit="1" customWidth="1"/>
    <col min="118" max="118" width="6.7109375" style="10" bestFit="1" customWidth="1"/>
    <col min="119" max="119" width="8.140625" style="10" bestFit="1" customWidth="1"/>
    <col min="120" max="120" width="7.42578125" style="10" bestFit="1" customWidth="1"/>
    <col min="121" max="121" width="6.7109375" style="10" bestFit="1" customWidth="1"/>
    <col min="122" max="122" width="8.140625" style="10" bestFit="1" customWidth="1"/>
    <col min="123" max="123" width="9.5703125" style="10" bestFit="1" customWidth="1"/>
    <col min="124" max="124" width="10.28515625" style="10" bestFit="1" customWidth="1"/>
    <col min="125" max="125" width="8.85546875" style="10" bestFit="1" customWidth="1"/>
    <col min="126" max="127" width="8.140625" style="10" bestFit="1" customWidth="1"/>
    <col min="128" max="128" width="4" style="10" bestFit="1" customWidth="1"/>
    <col min="129" max="129" width="9.5703125" style="10" bestFit="1" customWidth="1"/>
    <col min="130" max="130" width="8.140625" style="10" bestFit="1" customWidth="1"/>
    <col min="131" max="131" width="12" style="10" bestFit="1" customWidth="1"/>
    <col min="132" max="132" width="10" style="10" bestFit="1" customWidth="1"/>
    <col min="133" max="133" width="9.5703125" style="10" bestFit="1" customWidth="1"/>
    <col min="134" max="135" width="10.42578125" style="10" bestFit="1" customWidth="1"/>
    <col min="136" max="136" width="9.5703125" style="10" bestFit="1" customWidth="1"/>
    <col min="137" max="137" width="8.7109375" style="10" bestFit="1" customWidth="1"/>
    <col min="138" max="138" width="11.28515625" style="10" bestFit="1" customWidth="1"/>
    <col min="139" max="139" width="9.5703125" style="10" bestFit="1" customWidth="1"/>
    <col min="140" max="140" width="7.85546875" style="10" bestFit="1" customWidth="1"/>
    <col min="141" max="141" width="9.5703125" style="10" bestFit="1" customWidth="1"/>
    <col min="142" max="142" width="8.7109375" style="10" bestFit="1" customWidth="1"/>
    <col min="143" max="144" width="10.42578125" style="10" bestFit="1" customWidth="1"/>
    <col min="145" max="145" width="8.7109375" style="10" bestFit="1" customWidth="1"/>
    <col min="146" max="146" width="7.85546875" style="10" bestFit="1" customWidth="1"/>
    <col min="147" max="147" width="9.5703125" style="10" bestFit="1" customWidth="1"/>
    <col min="148" max="148" width="12.140625" style="10" bestFit="1" customWidth="1"/>
    <col min="149" max="149" width="11.28515625" style="10" bestFit="1" customWidth="1"/>
    <col min="150" max="150" width="9.5703125" style="10" bestFit="1" customWidth="1"/>
    <col min="151" max="151" width="8.7109375" style="10" bestFit="1" customWidth="1"/>
  </cols>
  <sheetData>
    <row r="1" spans="2:151" s="25" customFormat="1">
      <c r="B1" s="23" t="s">
        <v>260</v>
      </c>
      <c r="C1" s="23" t="s">
        <v>264</v>
      </c>
      <c r="D1" s="23" t="s">
        <v>247</v>
      </c>
      <c r="E1" s="23" t="s">
        <v>263</v>
      </c>
      <c r="F1" s="23" t="s">
        <v>377</v>
      </c>
      <c r="G1" s="23" t="s">
        <v>196</v>
      </c>
      <c r="H1" s="23" t="s">
        <v>378</v>
      </c>
      <c r="I1" s="23" t="s">
        <v>261</v>
      </c>
      <c r="J1" s="23" t="s">
        <v>379</v>
      </c>
      <c r="K1" s="23" t="s">
        <v>380</v>
      </c>
      <c r="L1" s="23" t="s">
        <v>381</v>
      </c>
      <c r="M1" s="23" t="s">
        <v>382</v>
      </c>
      <c r="N1" s="23" t="s">
        <v>383</v>
      </c>
      <c r="O1" s="23" t="s">
        <v>262</v>
      </c>
      <c r="P1" s="23" t="s">
        <v>248</v>
      </c>
      <c r="Q1" s="23" t="s">
        <v>384</v>
      </c>
      <c r="R1" s="23" t="s">
        <v>266</v>
      </c>
      <c r="S1" s="23" t="s">
        <v>246</v>
      </c>
      <c r="T1" s="23" t="s">
        <v>265</v>
      </c>
      <c r="U1" s="23" t="s">
        <v>385</v>
      </c>
      <c r="V1" s="23" t="s">
        <v>195</v>
      </c>
      <c r="W1" s="23" t="s">
        <v>278</v>
      </c>
      <c r="X1" s="23" t="s">
        <v>234</v>
      </c>
      <c r="Y1" s="23" t="s">
        <v>235</v>
      </c>
      <c r="Z1" s="23" t="s">
        <v>236</v>
      </c>
      <c r="AA1" s="23" t="s">
        <v>386</v>
      </c>
      <c r="AB1" s="23"/>
      <c r="AC1" s="23" t="s">
        <v>549</v>
      </c>
      <c r="AD1" s="23" t="s">
        <v>546</v>
      </c>
      <c r="AE1" s="23" t="s">
        <v>547</v>
      </c>
      <c r="AF1" s="23" t="s">
        <v>548</v>
      </c>
      <c r="AG1" s="23"/>
      <c r="AH1" s="23" t="s">
        <v>434</v>
      </c>
      <c r="AI1" s="23" t="s">
        <v>435</v>
      </c>
      <c r="AJ1" s="23" t="s">
        <v>436</v>
      </c>
      <c r="AK1" s="23" t="s">
        <v>437</v>
      </c>
      <c r="AL1" s="23" t="s">
        <v>438</v>
      </c>
      <c r="AM1" s="23" t="s">
        <v>439</v>
      </c>
      <c r="AN1" s="23" t="s">
        <v>440</v>
      </c>
      <c r="AO1" s="23" t="s">
        <v>441</v>
      </c>
      <c r="AP1" s="23" t="s">
        <v>442</v>
      </c>
      <c r="AQ1" s="23" t="s">
        <v>443</v>
      </c>
      <c r="AR1" s="23" t="s">
        <v>444</v>
      </c>
      <c r="AS1" s="23" t="s">
        <v>445</v>
      </c>
      <c r="AT1" s="23" t="s">
        <v>446</v>
      </c>
      <c r="AU1" s="23" t="s">
        <v>447</v>
      </c>
      <c r="AV1" s="23" t="s">
        <v>448</v>
      </c>
      <c r="AW1" s="23" t="s">
        <v>449</v>
      </c>
      <c r="AX1" s="23" t="s">
        <v>450</v>
      </c>
      <c r="AY1" s="23" t="s">
        <v>451</v>
      </c>
      <c r="AZ1" s="23" t="s">
        <v>452</v>
      </c>
      <c r="BA1" s="23" t="s">
        <v>453</v>
      </c>
      <c r="BB1" s="23" t="s">
        <v>454</v>
      </c>
      <c r="BC1" s="23" t="s">
        <v>455</v>
      </c>
      <c r="BD1" s="23" t="s">
        <v>456</v>
      </c>
      <c r="BE1" s="23" t="s">
        <v>457</v>
      </c>
      <c r="BF1" s="23" t="s">
        <v>458</v>
      </c>
      <c r="BG1" s="23" t="s">
        <v>459</v>
      </c>
      <c r="BH1" s="23"/>
      <c r="BI1" s="23" t="s">
        <v>460</v>
      </c>
      <c r="BJ1" s="24" t="s">
        <v>432</v>
      </c>
      <c r="BK1" s="23" t="s">
        <v>268</v>
      </c>
      <c r="BL1" s="24" t="s">
        <v>433</v>
      </c>
      <c r="BM1" s="23" t="s">
        <v>461</v>
      </c>
      <c r="BN1" s="24" t="s">
        <v>462</v>
      </c>
      <c r="BO1" s="23" t="s">
        <v>463</v>
      </c>
      <c r="BP1" s="24" t="s">
        <v>464</v>
      </c>
      <c r="BQ1" s="23" t="s">
        <v>465</v>
      </c>
      <c r="BR1" s="24" t="s">
        <v>466</v>
      </c>
      <c r="BS1" s="23" t="s">
        <v>467</v>
      </c>
      <c r="BT1" s="24" t="s">
        <v>468</v>
      </c>
      <c r="BU1" s="23" t="s">
        <v>469</v>
      </c>
      <c r="BV1" s="24" t="s">
        <v>470</v>
      </c>
      <c r="BW1" s="23" t="s">
        <v>471</v>
      </c>
      <c r="BX1" s="24" t="s">
        <v>269</v>
      </c>
      <c r="BY1" s="23" t="s">
        <v>472</v>
      </c>
      <c r="BZ1" s="24" t="s">
        <v>473</v>
      </c>
      <c r="CA1" s="23" t="s">
        <v>267</v>
      </c>
      <c r="CB1" s="24" t="s">
        <v>474</v>
      </c>
      <c r="CC1" s="23" t="s">
        <v>475</v>
      </c>
      <c r="CD1" s="24" t="s">
        <v>476</v>
      </c>
      <c r="CE1" s="23" t="s">
        <v>477</v>
      </c>
      <c r="CF1" s="24" t="s">
        <v>478</v>
      </c>
      <c r="CG1" s="23" t="s">
        <v>479</v>
      </c>
      <c r="CH1" s="24" t="s">
        <v>480</v>
      </c>
      <c r="CI1" s="23" t="s">
        <v>481</v>
      </c>
      <c r="CJ1" s="24" t="s">
        <v>482</v>
      </c>
      <c r="CK1" s="23" t="s">
        <v>483</v>
      </c>
      <c r="CL1" s="24" t="s">
        <v>484</v>
      </c>
      <c r="CM1" s="23" t="s">
        <v>485</v>
      </c>
      <c r="CN1" s="24" t="s">
        <v>486</v>
      </c>
      <c r="CO1" s="23" t="s">
        <v>487</v>
      </c>
      <c r="CP1" s="24" t="s">
        <v>488</v>
      </c>
      <c r="CQ1" s="23" t="s">
        <v>489</v>
      </c>
      <c r="CR1" s="24" t="s">
        <v>490</v>
      </c>
      <c r="CS1" s="23" t="s">
        <v>491</v>
      </c>
      <c r="CT1" s="24" t="s">
        <v>492</v>
      </c>
      <c r="CU1" s="23" t="s">
        <v>493</v>
      </c>
      <c r="CV1" s="24" t="s">
        <v>494</v>
      </c>
      <c r="CW1" s="23" t="s">
        <v>495</v>
      </c>
      <c r="CX1" s="24" t="s">
        <v>496</v>
      </c>
      <c r="CY1" s="23" t="s">
        <v>497</v>
      </c>
      <c r="CZ1" s="24" t="s">
        <v>498</v>
      </c>
      <c r="DA1" s="23" t="s">
        <v>499</v>
      </c>
      <c r="DB1" s="24" t="s">
        <v>500</v>
      </c>
      <c r="DC1" s="23" t="s">
        <v>501</v>
      </c>
      <c r="DD1" s="24" t="s">
        <v>502</v>
      </c>
      <c r="DE1" s="23" t="s">
        <v>503</v>
      </c>
      <c r="DF1" s="24" t="s">
        <v>504</v>
      </c>
      <c r="DG1" s="23" t="s">
        <v>505</v>
      </c>
      <c r="DH1" s="24" t="s">
        <v>506</v>
      </c>
      <c r="DI1" s="23" t="s">
        <v>507</v>
      </c>
      <c r="DJ1" s="24" t="s">
        <v>508</v>
      </c>
      <c r="DK1" s="23" t="s">
        <v>509</v>
      </c>
      <c r="DL1" s="24" t="s">
        <v>543</v>
      </c>
      <c r="DM1" s="23" t="s">
        <v>510</v>
      </c>
      <c r="DN1" s="24" t="s">
        <v>521</v>
      </c>
      <c r="DO1" s="23" t="s">
        <v>544</v>
      </c>
      <c r="DP1" s="24" t="s">
        <v>511</v>
      </c>
      <c r="DQ1" s="23" t="s">
        <v>512</v>
      </c>
      <c r="DR1" s="24" t="s">
        <v>545</v>
      </c>
      <c r="DS1" s="23" t="s">
        <v>513</v>
      </c>
      <c r="DT1" s="24" t="s">
        <v>514</v>
      </c>
      <c r="DU1" s="23" t="s">
        <v>515</v>
      </c>
      <c r="DV1" s="24" t="s">
        <v>516</v>
      </c>
      <c r="DW1" s="23" t="s">
        <v>517</v>
      </c>
      <c r="DX1" s="24" t="s">
        <v>518</v>
      </c>
      <c r="DY1" s="23" t="s">
        <v>519</v>
      </c>
      <c r="DZ1" s="24" t="s">
        <v>520</v>
      </c>
      <c r="EA1" s="23" t="s">
        <v>542</v>
      </c>
      <c r="EB1" s="24" t="s">
        <v>522</v>
      </c>
      <c r="EC1" s="23" t="s">
        <v>523</v>
      </c>
      <c r="ED1" s="24" t="s">
        <v>524</v>
      </c>
      <c r="EE1" s="23" t="s">
        <v>525</v>
      </c>
      <c r="EF1" s="24" t="s">
        <v>526</v>
      </c>
      <c r="EG1" s="23" t="s">
        <v>527</v>
      </c>
      <c r="EH1" s="24" t="s">
        <v>528</v>
      </c>
      <c r="EI1" s="23" t="s">
        <v>529</v>
      </c>
      <c r="EJ1" s="24" t="s">
        <v>530</v>
      </c>
      <c r="EK1" s="23" t="s">
        <v>531</v>
      </c>
      <c r="EL1" s="24" t="s">
        <v>532</v>
      </c>
      <c r="EM1" s="23" t="s">
        <v>533</v>
      </c>
      <c r="EN1" s="24" t="s">
        <v>534</v>
      </c>
      <c r="EO1" s="23" t="s">
        <v>535</v>
      </c>
      <c r="EP1" s="24" t="s">
        <v>536</v>
      </c>
      <c r="EQ1" s="23" t="s">
        <v>537</v>
      </c>
      <c r="ER1" s="24" t="s">
        <v>538</v>
      </c>
      <c r="ES1" s="23" t="s">
        <v>539</v>
      </c>
      <c r="ET1" s="24" t="s">
        <v>540</v>
      </c>
      <c r="EU1" s="23" t="s">
        <v>541</v>
      </c>
    </row>
    <row r="2" spans="2:151">
      <c r="B2" s="259" t="s">
        <v>374</v>
      </c>
      <c r="C2" s="259"/>
      <c r="D2" s="259"/>
      <c r="E2" s="259"/>
      <c r="F2" s="259"/>
      <c r="G2" s="259"/>
      <c r="H2" s="259"/>
      <c r="I2" s="259"/>
      <c r="J2" s="259"/>
      <c r="K2" s="259"/>
      <c r="L2" s="259"/>
      <c r="M2" s="259"/>
      <c r="N2" s="259"/>
      <c r="O2" s="259"/>
      <c r="P2" s="259"/>
      <c r="Q2" s="259"/>
      <c r="R2" s="259"/>
      <c r="S2" s="259"/>
      <c r="T2" s="259"/>
      <c r="U2" s="259"/>
      <c r="V2" s="259"/>
      <c r="W2" s="259"/>
      <c r="X2" s="259"/>
      <c r="Y2" s="259"/>
      <c r="Z2" s="259"/>
      <c r="AA2" s="259"/>
      <c r="AB2" s="259"/>
      <c r="AC2" s="259"/>
      <c r="AD2" s="259"/>
      <c r="AE2" s="259"/>
      <c r="AF2" s="259"/>
      <c r="AG2" s="259"/>
      <c r="AH2" s="259"/>
      <c r="AI2" s="259"/>
      <c r="AJ2" s="259"/>
      <c r="AK2" s="259"/>
      <c r="AL2" s="259"/>
      <c r="AM2" s="259"/>
      <c r="AN2" s="259"/>
      <c r="AO2" s="259"/>
      <c r="AP2" s="259"/>
      <c r="AQ2" s="259"/>
      <c r="AR2" s="259"/>
      <c r="AS2" s="259"/>
      <c r="AT2" s="259"/>
      <c r="AU2" s="259"/>
      <c r="AV2" s="259"/>
      <c r="AW2" s="259"/>
      <c r="AX2" s="259"/>
      <c r="AY2" s="259"/>
      <c r="AZ2" s="259"/>
      <c r="BA2" s="259"/>
      <c r="BB2" s="259"/>
      <c r="BC2" s="259"/>
      <c r="BD2" s="259"/>
      <c r="BE2" s="259"/>
      <c r="BF2" s="259"/>
      <c r="BG2" s="259"/>
      <c r="BH2" s="259"/>
      <c r="BI2" s="259"/>
      <c r="BJ2" s="259"/>
      <c r="BK2" s="259"/>
      <c r="BL2" s="259"/>
      <c r="BM2" s="259"/>
      <c r="BN2" s="259"/>
      <c r="BO2" s="259"/>
      <c r="BP2" s="259"/>
      <c r="BQ2" s="259"/>
      <c r="BR2" s="259"/>
      <c r="BS2" s="259"/>
      <c r="BT2" s="259"/>
      <c r="BU2" s="259"/>
      <c r="BV2" s="259"/>
      <c r="BW2" s="259"/>
      <c r="BX2" s="259"/>
      <c r="BY2" s="259"/>
      <c r="BZ2" s="259"/>
      <c r="CA2" s="259"/>
      <c r="CB2" s="259"/>
      <c r="CC2" s="259"/>
      <c r="CD2" s="259"/>
      <c r="CE2" s="259"/>
      <c r="CF2" s="259"/>
      <c r="CG2" s="259"/>
      <c r="CH2" s="259"/>
      <c r="CI2" s="259"/>
      <c r="CJ2" s="259"/>
      <c r="CK2" s="259"/>
      <c r="CL2" s="259"/>
      <c r="CM2" s="259"/>
      <c r="CN2" s="259"/>
      <c r="CO2" s="259"/>
      <c r="CP2" s="259"/>
      <c r="CQ2" s="259"/>
      <c r="CR2" s="259"/>
      <c r="CS2" s="259"/>
      <c r="CT2" s="259"/>
      <c r="CU2" s="259"/>
      <c r="CV2" s="259"/>
      <c r="CW2" s="259"/>
      <c r="CX2" s="259"/>
      <c r="CY2" s="259"/>
      <c r="CZ2" s="259"/>
      <c r="DA2" s="259"/>
      <c r="DB2" s="259"/>
      <c r="DC2" s="259"/>
      <c r="DD2" s="259"/>
      <c r="DE2" s="259"/>
      <c r="DF2" s="259"/>
      <c r="DG2" s="259"/>
      <c r="DH2" s="259"/>
      <c r="DI2" s="259"/>
      <c r="DJ2" s="259"/>
      <c r="DK2" s="259"/>
      <c r="DL2" s="259"/>
      <c r="DM2" s="259"/>
      <c r="DN2" s="259"/>
      <c r="DO2" s="259"/>
      <c r="DP2" s="259"/>
      <c r="DQ2" s="259"/>
      <c r="DR2" s="259"/>
      <c r="DS2" s="259"/>
      <c r="DT2" s="259"/>
      <c r="DU2" s="259"/>
      <c r="DV2" s="259"/>
      <c r="DW2" s="259"/>
      <c r="DX2" s="259"/>
      <c r="DY2" s="259"/>
      <c r="DZ2" s="259"/>
      <c r="EA2" s="259"/>
      <c r="EB2" s="259"/>
      <c r="EC2" s="259"/>
      <c r="ED2" s="259"/>
      <c r="EE2" s="259"/>
      <c r="EF2" s="259"/>
      <c r="EG2" s="259"/>
      <c r="EH2" s="259"/>
      <c r="EI2" s="259"/>
      <c r="EJ2" s="259"/>
      <c r="EK2" s="259"/>
      <c r="EL2" s="259"/>
      <c r="EM2" s="259"/>
      <c r="EN2" s="259"/>
      <c r="EO2" s="259"/>
      <c r="EP2" s="259"/>
      <c r="EQ2" s="259"/>
      <c r="ER2" s="259"/>
      <c r="ES2" s="259"/>
      <c r="ET2" s="259"/>
      <c r="EU2" s="259"/>
    </row>
    <row r="4" spans="2:151">
      <c r="B4" s="259" t="s">
        <v>353</v>
      </c>
      <c r="C4" s="259"/>
      <c r="D4" s="259"/>
      <c r="E4" s="259"/>
      <c r="F4" s="259"/>
      <c r="G4" s="259"/>
      <c r="H4" s="259"/>
      <c r="I4" s="259"/>
      <c r="J4" s="259"/>
      <c r="K4" s="259"/>
      <c r="L4" s="259"/>
      <c r="M4" s="259"/>
      <c r="N4" s="259"/>
      <c r="O4" s="259"/>
      <c r="P4" s="259"/>
      <c r="Q4" s="259"/>
      <c r="R4" s="259"/>
      <c r="S4" s="259"/>
      <c r="T4" s="259"/>
      <c r="U4" s="259"/>
      <c r="V4" s="259"/>
      <c r="W4" s="259"/>
      <c r="X4" s="259"/>
      <c r="Y4" s="259"/>
      <c r="Z4" s="259"/>
      <c r="AA4" s="259"/>
      <c r="AC4" s="259" t="s">
        <v>355</v>
      </c>
      <c r="AD4" s="259"/>
      <c r="AE4" s="259"/>
      <c r="AF4" s="259"/>
      <c r="AH4" s="259" t="s">
        <v>352</v>
      </c>
      <c r="AI4" s="259"/>
      <c r="AJ4" s="259"/>
      <c r="AK4" s="259"/>
      <c r="AL4" s="259"/>
      <c r="AM4" s="259"/>
      <c r="AN4" s="259"/>
      <c r="AO4" s="259"/>
      <c r="AP4" s="259"/>
      <c r="AQ4" s="259"/>
      <c r="AR4" s="259"/>
      <c r="AS4" s="259"/>
      <c r="AT4" s="259"/>
      <c r="AU4" s="259"/>
      <c r="AV4" s="259"/>
      <c r="AW4" s="259"/>
      <c r="AX4" s="259"/>
      <c r="AY4" s="259"/>
      <c r="AZ4" s="259"/>
      <c r="BA4" s="259"/>
      <c r="BB4" s="259"/>
      <c r="BC4" s="259"/>
      <c r="BD4" s="259"/>
      <c r="BE4" s="259"/>
      <c r="BF4" s="259"/>
      <c r="BG4" s="259"/>
      <c r="BI4" s="260" t="s">
        <v>227</v>
      </c>
      <c r="BJ4" s="260" t="s">
        <v>307</v>
      </c>
      <c r="BK4" s="260"/>
      <c r="BL4" s="260" t="s">
        <v>308</v>
      </c>
      <c r="BM4" s="260"/>
      <c r="BN4" s="260" t="s">
        <v>309</v>
      </c>
      <c r="BO4" s="261"/>
      <c r="BP4" s="262" t="s">
        <v>310</v>
      </c>
      <c r="BQ4" s="260"/>
      <c r="BR4" s="260" t="s">
        <v>311</v>
      </c>
      <c r="BS4" s="260"/>
      <c r="BT4" s="260" t="s">
        <v>312</v>
      </c>
      <c r="BU4" s="261"/>
      <c r="BV4" s="262" t="s">
        <v>313</v>
      </c>
      <c r="BW4" s="260"/>
      <c r="BX4" s="260" t="s">
        <v>314</v>
      </c>
      <c r="BY4" s="260"/>
      <c r="BZ4" s="260" t="s">
        <v>315</v>
      </c>
      <c r="CA4" s="261"/>
      <c r="CB4" s="262" t="s">
        <v>316</v>
      </c>
      <c r="CC4" s="260"/>
      <c r="CD4" s="11" t="s">
        <v>317</v>
      </c>
      <c r="CE4" s="11"/>
      <c r="CF4" s="260" t="s">
        <v>318</v>
      </c>
      <c r="CG4" s="261"/>
      <c r="CH4" s="262" t="s">
        <v>319</v>
      </c>
      <c r="CI4" s="260"/>
      <c r="CJ4" s="260" t="s">
        <v>320</v>
      </c>
      <c r="CK4" s="260"/>
      <c r="CL4" s="260" t="s">
        <v>321</v>
      </c>
      <c r="CM4" s="261"/>
      <c r="CN4" s="262" t="s">
        <v>322</v>
      </c>
      <c r="CO4" s="260"/>
      <c r="CP4" s="260" t="s">
        <v>323</v>
      </c>
      <c r="CQ4" s="260"/>
      <c r="CR4" s="260" t="s">
        <v>324</v>
      </c>
      <c r="CS4" s="261"/>
      <c r="CT4" s="262" t="s">
        <v>325</v>
      </c>
      <c r="CU4" s="260"/>
      <c r="CV4" s="260" t="s">
        <v>326</v>
      </c>
      <c r="CW4" s="260"/>
      <c r="CX4" s="260" t="s">
        <v>327</v>
      </c>
      <c r="CY4" s="261"/>
      <c r="CZ4" s="11" t="s">
        <v>328</v>
      </c>
      <c r="DA4" s="11"/>
      <c r="DB4" s="260" t="s">
        <v>329</v>
      </c>
      <c r="DC4" s="260"/>
      <c r="DD4" s="260" t="s">
        <v>330</v>
      </c>
      <c r="DE4" s="261"/>
      <c r="DF4" s="11" t="s">
        <v>331</v>
      </c>
      <c r="DG4" s="11"/>
      <c r="DH4" s="260" t="s">
        <v>332</v>
      </c>
      <c r="DI4" s="260"/>
      <c r="DJ4" s="260" t="s">
        <v>333</v>
      </c>
      <c r="DK4" s="261"/>
      <c r="DL4" s="262" t="s">
        <v>334</v>
      </c>
      <c r="DM4" s="260"/>
      <c r="DN4" s="260" t="s">
        <v>335</v>
      </c>
      <c r="DO4" s="260"/>
      <c r="DP4" s="260" t="s">
        <v>336</v>
      </c>
      <c r="DQ4" s="261"/>
      <c r="DR4" s="262" t="s">
        <v>337</v>
      </c>
      <c r="DS4" s="260"/>
      <c r="DT4" s="260" t="s">
        <v>338</v>
      </c>
      <c r="DU4" s="260"/>
      <c r="DV4" s="11" t="s">
        <v>339</v>
      </c>
      <c r="DW4" s="12"/>
      <c r="DX4" s="262" t="s">
        <v>340</v>
      </c>
      <c r="DY4" s="260"/>
      <c r="DZ4" s="260" t="s">
        <v>341</v>
      </c>
      <c r="EA4" s="260"/>
      <c r="EB4" s="260" t="s">
        <v>342</v>
      </c>
      <c r="EC4" s="261"/>
      <c r="ED4" s="11" t="s">
        <v>343</v>
      </c>
      <c r="EE4" s="11"/>
      <c r="EF4" s="260" t="s">
        <v>344</v>
      </c>
      <c r="EG4" s="260"/>
      <c r="EH4" s="260" t="s">
        <v>345</v>
      </c>
      <c r="EI4" s="261"/>
      <c r="EJ4" s="262" t="s">
        <v>346</v>
      </c>
      <c r="EK4" s="260"/>
      <c r="EL4" s="260" t="s">
        <v>347</v>
      </c>
      <c r="EM4" s="260"/>
      <c r="EN4" s="260" t="s">
        <v>348</v>
      </c>
      <c r="EO4" s="261"/>
      <c r="EP4" s="262" t="s">
        <v>349</v>
      </c>
      <c r="EQ4" s="260"/>
      <c r="ER4" s="260" t="s">
        <v>350</v>
      </c>
      <c r="ES4" s="260"/>
      <c r="ET4" s="260" t="s">
        <v>351</v>
      </c>
      <c r="EU4" s="261"/>
    </row>
    <row r="5" spans="2:151">
      <c r="B5" s="2" t="s">
        <v>305</v>
      </c>
      <c r="C5" s="2">
        <v>1</v>
      </c>
      <c r="D5" s="2" t="s">
        <v>210</v>
      </c>
      <c r="E5" s="2" t="s">
        <v>211</v>
      </c>
      <c r="F5" s="2">
        <v>3</v>
      </c>
      <c r="G5" s="2" t="s">
        <v>212</v>
      </c>
      <c r="H5" s="2" t="s">
        <v>213</v>
      </c>
      <c r="I5" s="2">
        <v>5</v>
      </c>
      <c r="J5" s="2" t="s">
        <v>214</v>
      </c>
      <c r="K5" s="2" t="s">
        <v>215</v>
      </c>
      <c r="L5" s="2">
        <v>7</v>
      </c>
      <c r="M5" s="2" t="s">
        <v>216</v>
      </c>
      <c r="N5" s="2" t="s">
        <v>217</v>
      </c>
      <c r="O5" s="2" t="s">
        <v>246</v>
      </c>
      <c r="P5" s="2" t="s">
        <v>247</v>
      </c>
      <c r="Q5" s="2" t="s">
        <v>248</v>
      </c>
      <c r="R5" s="16" t="s">
        <v>260</v>
      </c>
      <c r="S5" s="2" t="s">
        <v>261</v>
      </c>
      <c r="T5" s="2" t="s">
        <v>262</v>
      </c>
      <c r="U5" s="2" t="s">
        <v>263</v>
      </c>
      <c r="V5" s="2" t="s">
        <v>264</v>
      </c>
      <c r="W5" s="2" t="s">
        <v>265</v>
      </c>
      <c r="X5" s="2" t="s">
        <v>266</v>
      </c>
      <c r="Y5" s="2" t="s">
        <v>267</v>
      </c>
      <c r="Z5" s="2" t="s">
        <v>268</v>
      </c>
      <c r="AA5" s="2" t="s">
        <v>269</v>
      </c>
      <c r="AC5" s="2" t="s">
        <v>227</v>
      </c>
      <c r="AD5" s="2" t="s">
        <v>234</v>
      </c>
      <c r="AE5" s="2" t="s">
        <v>235</v>
      </c>
      <c r="AF5" s="2" t="s">
        <v>236</v>
      </c>
      <c r="AH5" s="5" t="s">
        <v>228</v>
      </c>
      <c r="AI5" s="5">
        <v>1</v>
      </c>
      <c r="AJ5" s="5" t="s">
        <v>210</v>
      </c>
      <c r="AK5" s="5" t="s">
        <v>211</v>
      </c>
      <c r="AL5" s="5">
        <v>3</v>
      </c>
      <c r="AM5" s="5" t="s">
        <v>212</v>
      </c>
      <c r="AN5" s="5" t="s">
        <v>213</v>
      </c>
      <c r="AO5" s="5">
        <v>5</v>
      </c>
      <c r="AP5" s="5" t="s">
        <v>214</v>
      </c>
      <c r="AQ5" s="5" t="s">
        <v>215</v>
      </c>
      <c r="AR5" s="5">
        <v>7</v>
      </c>
      <c r="AS5" s="5" t="s">
        <v>216</v>
      </c>
      <c r="AT5" s="5" t="s">
        <v>217</v>
      </c>
      <c r="AU5" s="5" t="s">
        <v>246</v>
      </c>
      <c r="AV5" s="5" t="s">
        <v>247</v>
      </c>
      <c r="AW5" s="5" t="s">
        <v>248</v>
      </c>
      <c r="AX5" s="5" t="s">
        <v>260</v>
      </c>
      <c r="AY5" s="5" t="s">
        <v>261</v>
      </c>
      <c r="AZ5" s="5" t="s">
        <v>262</v>
      </c>
      <c r="BA5" s="5" t="s">
        <v>263</v>
      </c>
      <c r="BB5" s="5" t="s">
        <v>264</v>
      </c>
      <c r="BC5" s="5" t="s">
        <v>265</v>
      </c>
      <c r="BD5" s="5" t="s">
        <v>266</v>
      </c>
      <c r="BE5" s="5" t="s">
        <v>267</v>
      </c>
      <c r="BF5" s="5" t="s">
        <v>268</v>
      </c>
      <c r="BG5" s="5" t="s">
        <v>269</v>
      </c>
      <c r="BI5" s="260"/>
      <c r="BJ5" s="8" t="s">
        <v>228</v>
      </c>
      <c r="BK5" s="8" t="s">
        <v>238</v>
      </c>
      <c r="BL5" s="8" t="s">
        <v>228</v>
      </c>
      <c r="BM5" s="8" t="s">
        <v>238</v>
      </c>
      <c r="BN5" s="8" t="s">
        <v>228</v>
      </c>
      <c r="BO5" s="13" t="s">
        <v>238</v>
      </c>
      <c r="BP5" s="14" t="s">
        <v>228</v>
      </c>
      <c r="BQ5" s="8" t="s">
        <v>238</v>
      </c>
      <c r="BR5" s="8" t="s">
        <v>228</v>
      </c>
      <c r="BS5" s="8" t="s">
        <v>238</v>
      </c>
      <c r="BT5" s="8" t="s">
        <v>228</v>
      </c>
      <c r="BU5" s="13" t="s">
        <v>238</v>
      </c>
      <c r="BV5" s="14" t="s">
        <v>228</v>
      </c>
      <c r="BW5" s="8" t="s">
        <v>238</v>
      </c>
      <c r="BX5" s="8" t="s">
        <v>228</v>
      </c>
      <c r="BY5" s="8" t="s">
        <v>238</v>
      </c>
      <c r="BZ5" s="8" t="s">
        <v>228</v>
      </c>
      <c r="CA5" s="13" t="s">
        <v>238</v>
      </c>
      <c r="CB5" s="8" t="s">
        <v>228</v>
      </c>
      <c r="CC5" s="8" t="s">
        <v>238</v>
      </c>
      <c r="CD5" s="8" t="s">
        <v>228</v>
      </c>
      <c r="CE5" s="8" t="s">
        <v>238</v>
      </c>
      <c r="CF5" s="8" t="s">
        <v>228</v>
      </c>
      <c r="CG5" s="8" t="s">
        <v>238</v>
      </c>
      <c r="CH5" s="8" t="s">
        <v>228</v>
      </c>
      <c r="CI5" s="8" t="s">
        <v>238</v>
      </c>
      <c r="CJ5" s="8" t="s">
        <v>228</v>
      </c>
      <c r="CK5" s="8" t="s">
        <v>238</v>
      </c>
      <c r="CL5" s="8" t="s">
        <v>228</v>
      </c>
      <c r="CM5" s="13" t="s">
        <v>238</v>
      </c>
      <c r="CN5" s="8" t="s">
        <v>228</v>
      </c>
      <c r="CO5" s="8" t="s">
        <v>238</v>
      </c>
      <c r="CP5" s="8" t="s">
        <v>228</v>
      </c>
      <c r="CQ5" s="8" t="s">
        <v>238</v>
      </c>
      <c r="CR5" s="8" t="s">
        <v>228</v>
      </c>
      <c r="CS5" s="13" t="s">
        <v>238</v>
      </c>
      <c r="CT5" s="8" t="s">
        <v>228</v>
      </c>
      <c r="CU5" s="8" t="s">
        <v>238</v>
      </c>
      <c r="CV5" s="8" t="s">
        <v>228</v>
      </c>
      <c r="CW5" s="8" t="s">
        <v>238</v>
      </c>
      <c r="CX5" s="8" t="s">
        <v>228</v>
      </c>
      <c r="CY5" s="13" t="s">
        <v>238</v>
      </c>
      <c r="CZ5" s="8" t="s">
        <v>228</v>
      </c>
      <c r="DA5" s="8" t="s">
        <v>238</v>
      </c>
      <c r="DB5" s="8" t="s">
        <v>228</v>
      </c>
      <c r="DC5" s="8" t="s">
        <v>238</v>
      </c>
      <c r="DD5" s="8" t="s">
        <v>228</v>
      </c>
      <c r="DE5" s="13" t="s">
        <v>238</v>
      </c>
      <c r="DF5" s="8" t="s">
        <v>228</v>
      </c>
      <c r="DG5" s="8" t="s">
        <v>238</v>
      </c>
      <c r="DH5" s="8" t="s">
        <v>228</v>
      </c>
      <c r="DI5" s="8" t="s">
        <v>238</v>
      </c>
      <c r="DJ5" s="8" t="s">
        <v>228</v>
      </c>
      <c r="DK5" s="13" t="s">
        <v>238</v>
      </c>
      <c r="DL5" s="8" t="s">
        <v>228</v>
      </c>
      <c r="DM5" s="8" t="s">
        <v>238</v>
      </c>
      <c r="DN5" s="8" t="s">
        <v>228</v>
      </c>
      <c r="DO5" s="8" t="s">
        <v>238</v>
      </c>
      <c r="DP5" s="8" t="s">
        <v>228</v>
      </c>
      <c r="DQ5" s="13" t="s">
        <v>238</v>
      </c>
      <c r="DR5" s="8" t="s">
        <v>228</v>
      </c>
      <c r="DS5" s="8" t="s">
        <v>238</v>
      </c>
      <c r="DT5" s="8" t="s">
        <v>228</v>
      </c>
      <c r="DU5" s="8" t="s">
        <v>238</v>
      </c>
      <c r="DV5" s="8" t="s">
        <v>228</v>
      </c>
      <c r="DW5" s="13" t="s">
        <v>238</v>
      </c>
      <c r="DX5" s="8" t="s">
        <v>228</v>
      </c>
      <c r="DY5" s="8" t="s">
        <v>238</v>
      </c>
      <c r="DZ5" s="8" t="s">
        <v>228</v>
      </c>
      <c r="EA5" s="8" t="s">
        <v>238</v>
      </c>
      <c r="EB5" s="8" t="s">
        <v>228</v>
      </c>
      <c r="EC5" s="13" t="s">
        <v>238</v>
      </c>
      <c r="ED5" s="8" t="s">
        <v>228</v>
      </c>
      <c r="EE5" s="8" t="s">
        <v>238</v>
      </c>
      <c r="EF5" s="8" t="s">
        <v>228</v>
      </c>
      <c r="EG5" s="8" t="s">
        <v>238</v>
      </c>
      <c r="EH5" s="8" t="s">
        <v>228</v>
      </c>
      <c r="EI5" s="13" t="s">
        <v>238</v>
      </c>
      <c r="EJ5" s="14" t="s">
        <v>228</v>
      </c>
      <c r="EK5" s="8" t="s">
        <v>238</v>
      </c>
      <c r="EL5" s="8" t="s">
        <v>228</v>
      </c>
      <c r="EM5" s="8" t="s">
        <v>238</v>
      </c>
      <c r="EN5" s="8" t="s">
        <v>228</v>
      </c>
      <c r="EO5" s="13" t="s">
        <v>238</v>
      </c>
      <c r="EP5" s="8" t="s">
        <v>228</v>
      </c>
      <c r="EQ5" s="8" t="s">
        <v>238</v>
      </c>
      <c r="ER5" s="8" t="s">
        <v>228</v>
      </c>
      <c r="ES5" s="8" t="s">
        <v>238</v>
      </c>
      <c r="ET5" s="8" t="s">
        <v>228</v>
      </c>
      <c r="EU5" s="13" t="s">
        <v>238</v>
      </c>
    </row>
    <row r="6" spans="2:151">
      <c r="B6" s="9">
        <v>0</v>
      </c>
      <c r="C6" s="9">
        <v>0</v>
      </c>
      <c r="D6" s="9">
        <v>0</v>
      </c>
      <c r="E6" s="9">
        <v>0</v>
      </c>
      <c r="F6" s="9">
        <v>0</v>
      </c>
      <c r="G6" s="9">
        <v>0</v>
      </c>
      <c r="H6" s="9">
        <v>0</v>
      </c>
      <c r="I6" s="9">
        <v>0</v>
      </c>
      <c r="J6" s="9">
        <v>0</v>
      </c>
      <c r="K6" s="9">
        <v>0</v>
      </c>
      <c r="L6" s="9">
        <v>0</v>
      </c>
      <c r="M6" s="9">
        <v>0</v>
      </c>
      <c r="N6" s="9">
        <v>0</v>
      </c>
      <c r="O6" s="9">
        <v>0</v>
      </c>
      <c r="P6" s="9">
        <v>0</v>
      </c>
      <c r="Q6" s="9">
        <v>0</v>
      </c>
      <c r="R6" s="17">
        <v>0</v>
      </c>
      <c r="S6" s="9">
        <v>0</v>
      </c>
      <c r="T6" s="9">
        <v>0</v>
      </c>
      <c r="U6" s="9">
        <v>0</v>
      </c>
      <c r="V6" s="9">
        <v>0</v>
      </c>
      <c r="W6" s="9">
        <v>0</v>
      </c>
      <c r="X6" s="10">
        <v>0</v>
      </c>
      <c r="Y6" s="10">
        <v>0</v>
      </c>
      <c r="Z6" s="10">
        <v>0</v>
      </c>
      <c r="AA6" s="10">
        <v>0</v>
      </c>
      <c r="AC6" s="10">
        <v>0</v>
      </c>
      <c r="AD6" s="10">
        <v>0</v>
      </c>
      <c r="AE6" s="10">
        <v>0</v>
      </c>
      <c r="AF6" s="10">
        <v>0</v>
      </c>
      <c r="AH6" s="10">
        <v>0</v>
      </c>
      <c r="AI6" s="10">
        <v>3</v>
      </c>
      <c r="AJ6" s="10">
        <v>3</v>
      </c>
      <c r="AK6" s="10">
        <v>3</v>
      </c>
      <c r="AL6" s="10">
        <v>1</v>
      </c>
      <c r="AM6" s="10">
        <v>1</v>
      </c>
      <c r="AN6" s="10">
        <v>2</v>
      </c>
      <c r="AO6" s="10">
        <v>3</v>
      </c>
      <c r="AP6" s="10">
        <v>6</v>
      </c>
      <c r="AQ6" s="10">
        <v>5</v>
      </c>
      <c r="AR6" s="10">
        <v>1</v>
      </c>
      <c r="AS6" s="10">
        <v>3</v>
      </c>
      <c r="AT6" s="10">
        <v>4</v>
      </c>
      <c r="AU6" s="10">
        <v>4</v>
      </c>
      <c r="AV6" s="10">
        <v>6</v>
      </c>
      <c r="AW6" s="10">
        <v>7</v>
      </c>
      <c r="AX6" s="10">
        <v>5</v>
      </c>
      <c r="AY6" s="10">
        <v>7</v>
      </c>
      <c r="AZ6" s="10">
        <v>1</v>
      </c>
      <c r="BA6" s="10">
        <v>4</v>
      </c>
      <c r="BB6" s="10">
        <v>14</v>
      </c>
      <c r="BC6" s="10">
        <v>10</v>
      </c>
      <c r="BD6" s="10">
        <v>8</v>
      </c>
      <c r="BE6" s="10">
        <v>3</v>
      </c>
      <c r="BF6" s="10">
        <v>7</v>
      </c>
      <c r="BG6" s="10">
        <v>13</v>
      </c>
      <c r="BI6" s="10">
        <v>0</v>
      </c>
      <c r="BJ6" s="10">
        <v>0</v>
      </c>
      <c r="BK6" s="10">
        <v>8</v>
      </c>
      <c r="BL6" s="10">
        <v>0</v>
      </c>
      <c r="BM6" s="10">
        <v>7</v>
      </c>
      <c r="BN6" s="10">
        <v>0</v>
      </c>
      <c r="BO6" s="10">
        <v>10</v>
      </c>
      <c r="BP6" s="10">
        <v>0</v>
      </c>
      <c r="BQ6" s="10">
        <v>4</v>
      </c>
      <c r="BR6" s="10">
        <v>0</v>
      </c>
      <c r="BS6" s="10">
        <v>8</v>
      </c>
      <c r="BT6" s="10">
        <v>0</v>
      </c>
      <c r="BU6" s="10">
        <v>12</v>
      </c>
      <c r="BV6" s="10">
        <v>0</v>
      </c>
      <c r="BW6" s="10">
        <v>6</v>
      </c>
      <c r="BX6" s="10">
        <v>0</v>
      </c>
      <c r="BY6" s="10">
        <v>16</v>
      </c>
      <c r="BZ6" s="10">
        <v>0</v>
      </c>
      <c r="CA6" s="10">
        <v>9</v>
      </c>
      <c r="CB6" s="10">
        <v>0</v>
      </c>
      <c r="CC6" s="10">
        <v>8</v>
      </c>
      <c r="CD6" s="10">
        <v>0</v>
      </c>
      <c r="CE6" s="10">
        <v>11</v>
      </c>
      <c r="CF6" s="10">
        <v>0</v>
      </c>
      <c r="CG6" s="10">
        <v>7</v>
      </c>
      <c r="CH6" s="10">
        <v>0</v>
      </c>
      <c r="CI6" s="10">
        <v>12</v>
      </c>
      <c r="CJ6" s="10">
        <v>0</v>
      </c>
      <c r="CK6" s="10">
        <v>2</v>
      </c>
      <c r="CL6" s="10">
        <v>0</v>
      </c>
      <c r="CM6" s="10">
        <v>2</v>
      </c>
      <c r="CN6" s="10">
        <v>0</v>
      </c>
      <c r="CO6" s="10">
        <v>7</v>
      </c>
      <c r="CP6" s="10">
        <v>0</v>
      </c>
      <c r="CQ6" s="10">
        <v>3</v>
      </c>
      <c r="CR6" s="10">
        <v>0</v>
      </c>
      <c r="CS6" s="10">
        <v>3</v>
      </c>
      <c r="CT6" s="10">
        <v>0</v>
      </c>
      <c r="CU6" s="10">
        <v>10</v>
      </c>
      <c r="CV6" s="10">
        <v>0</v>
      </c>
      <c r="CW6" s="10">
        <v>3</v>
      </c>
      <c r="CX6" s="10">
        <v>0</v>
      </c>
      <c r="CY6" s="10">
        <v>18</v>
      </c>
      <c r="CZ6" s="10">
        <v>0</v>
      </c>
      <c r="DA6" s="10">
        <v>7</v>
      </c>
      <c r="DB6" s="10">
        <v>0</v>
      </c>
      <c r="DC6" s="10">
        <v>8</v>
      </c>
      <c r="DD6" s="10">
        <v>0</v>
      </c>
      <c r="DE6" s="10">
        <v>13</v>
      </c>
      <c r="DF6" s="10">
        <v>0</v>
      </c>
      <c r="DG6" s="10">
        <v>10</v>
      </c>
      <c r="DH6" s="10">
        <v>0</v>
      </c>
      <c r="DI6" s="10">
        <v>13</v>
      </c>
      <c r="DJ6" s="10">
        <v>0</v>
      </c>
      <c r="DK6" s="10">
        <v>19</v>
      </c>
      <c r="DL6" s="10">
        <v>0</v>
      </c>
      <c r="DM6" s="10">
        <v>1</v>
      </c>
      <c r="DN6" s="10">
        <v>0</v>
      </c>
      <c r="DO6" s="10">
        <v>2</v>
      </c>
      <c r="DP6" s="10">
        <v>0</v>
      </c>
      <c r="DQ6" s="10">
        <v>1</v>
      </c>
      <c r="DR6" s="10">
        <v>0</v>
      </c>
      <c r="DS6" s="10">
        <v>12</v>
      </c>
      <c r="DT6" s="10">
        <v>0</v>
      </c>
      <c r="DU6" s="10">
        <v>7</v>
      </c>
      <c r="DV6" s="10">
        <v>0</v>
      </c>
      <c r="DW6" s="10">
        <v>13</v>
      </c>
      <c r="DX6" s="10">
        <v>0</v>
      </c>
      <c r="DY6" s="10">
        <v>9</v>
      </c>
      <c r="DZ6" s="10">
        <v>0</v>
      </c>
      <c r="EA6" s="10">
        <v>13</v>
      </c>
      <c r="EB6" s="10">
        <v>0</v>
      </c>
      <c r="EC6" s="10">
        <v>3</v>
      </c>
      <c r="ED6" s="10">
        <v>0</v>
      </c>
      <c r="EE6" s="10">
        <v>9</v>
      </c>
      <c r="EF6" s="10">
        <v>0</v>
      </c>
      <c r="EG6" s="10">
        <v>10</v>
      </c>
      <c r="EH6" s="10">
        <v>0</v>
      </c>
      <c r="EI6" s="10">
        <v>17</v>
      </c>
      <c r="EJ6" s="10">
        <v>0</v>
      </c>
      <c r="EK6" s="10">
        <v>14</v>
      </c>
      <c r="EL6" s="10">
        <v>0</v>
      </c>
      <c r="EM6" s="10">
        <v>13</v>
      </c>
      <c r="EN6" s="10">
        <v>0</v>
      </c>
      <c r="EO6" s="10">
        <v>13</v>
      </c>
      <c r="EP6" s="10">
        <v>0</v>
      </c>
      <c r="EQ6" s="10">
        <v>9</v>
      </c>
      <c r="ER6" s="10">
        <v>0</v>
      </c>
      <c r="ES6" s="10">
        <v>14</v>
      </c>
      <c r="ET6" s="10">
        <v>0</v>
      </c>
      <c r="EU6" s="10">
        <v>17</v>
      </c>
    </row>
    <row r="7" spans="2:151">
      <c r="B7" s="9">
        <v>1</v>
      </c>
      <c r="C7" s="9">
        <v>9</v>
      </c>
      <c r="D7" s="9">
        <v>9</v>
      </c>
      <c r="E7" s="9">
        <v>8</v>
      </c>
      <c r="F7" s="9">
        <v>10</v>
      </c>
      <c r="G7" s="9">
        <v>6</v>
      </c>
      <c r="H7" s="9">
        <v>6</v>
      </c>
      <c r="I7" s="9">
        <v>12</v>
      </c>
      <c r="J7" s="9">
        <v>20</v>
      </c>
      <c r="K7" s="9">
        <v>15</v>
      </c>
      <c r="L7" s="9">
        <v>4</v>
      </c>
      <c r="M7" s="9">
        <v>10</v>
      </c>
      <c r="N7" s="9">
        <v>12</v>
      </c>
      <c r="O7" s="9">
        <v>12</v>
      </c>
      <c r="P7" s="9">
        <v>10</v>
      </c>
      <c r="Q7" s="9">
        <v>15</v>
      </c>
      <c r="R7" s="17">
        <v>15</v>
      </c>
      <c r="S7" s="9">
        <v>10</v>
      </c>
      <c r="T7" s="9">
        <v>12</v>
      </c>
      <c r="U7" s="9">
        <v>7</v>
      </c>
      <c r="V7" s="9">
        <v>60</v>
      </c>
      <c r="W7" s="9">
        <v>60</v>
      </c>
      <c r="X7" s="10">
        <v>20</v>
      </c>
      <c r="Y7" s="10">
        <v>9</v>
      </c>
      <c r="Z7" s="10">
        <v>12</v>
      </c>
      <c r="AA7" s="10">
        <v>62</v>
      </c>
      <c r="AC7" s="10">
        <v>1</v>
      </c>
      <c r="AD7" s="10">
        <v>0</v>
      </c>
      <c r="AE7" s="10">
        <v>5</v>
      </c>
      <c r="AF7" s="10">
        <v>35</v>
      </c>
      <c r="AH7" s="15">
        <v>1</v>
      </c>
      <c r="AI7" s="15">
        <v>7</v>
      </c>
      <c r="AJ7" s="15">
        <v>7</v>
      </c>
      <c r="AK7" s="15">
        <v>6</v>
      </c>
      <c r="AL7" s="15">
        <v>6</v>
      </c>
      <c r="AM7" s="15">
        <v>2</v>
      </c>
      <c r="AN7" s="15">
        <v>4</v>
      </c>
      <c r="AO7" s="15">
        <v>7</v>
      </c>
      <c r="AP7" s="15">
        <v>12</v>
      </c>
      <c r="AQ7" s="15">
        <v>11</v>
      </c>
      <c r="AR7" s="15">
        <v>1</v>
      </c>
      <c r="AS7" s="15">
        <v>8</v>
      </c>
      <c r="AT7" s="15">
        <v>9</v>
      </c>
      <c r="AU7" s="15">
        <v>10</v>
      </c>
      <c r="AV7" s="15">
        <v>13</v>
      </c>
      <c r="AW7" s="15">
        <v>16</v>
      </c>
      <c r="AX7" s="15">
        <v>10</v>
      </c>
      <c r="AY7" s="15">
        <v>15</v>
      </c>
      <c r="AZ7" s="15">
        <v>3</v>
      </c>
      <c r="BA7" s="15">
        <v>8</v>
      </c>
      <c r="BB7" s="10">
        <v>29</v>
      </c>
      <c r="BC7" s="10">
        <v>22</v>
      </c>
      <c r="BD7" s="10">
        <v>16</v>
      </c>
      <c r="BE7" s="10">
        <v>7</v>
      </c>
      <c r="BF7" s="10">
        <v>15</v>
      </c>
      <c r="BG7" s="10">
        <v>28</v>
      </c>
      <c r="BI7" s="10">
        <v>1</v>
      </c>
      <c r="BJ7" s="10">
        <v>30</v>
      </c>
      <c r="BK7" s="10">
        <v>23</v>
      </c>
      <c r="BL7" s="10">
        <v>20</v>
      </c>
      <c r="BM7" s="10">
        <v>20</v>
      </c>
      <c r="BN7" s="10">
        <v>30</v>
      </c>
      <c r="BO7" s="10">
        <v>29</v>
      </c>
      <c r="BP7" s="10">
        <v>20</v>
      </c>
      <c r="BQ7" s="10">
        <v>14</v>
      </c>
      <c r="BR7" s="10">
        <v>30</v>
      </c>
      <c r="BS7" s="10">
        <v>24</v>
      </c>
      <c r="BT7" s="10">
        <v>30</v>
      </c>
      <c r="BU7" s="10">
        <v>33</v>
      </c>
      <c r="BV7" s="10">
        <v>20</v>
      </c>
      <c r="BW7" s="10">
        <v>17</v>
      </c>
      <c r="BX7" s="10">
        <v>60</v>
      </c>
      <c r="BY7" s="10">
        <v>41</v>
      </c>
      <c r="BZ7" s="10">
        <v>30</v>
      </c>
      <c r="CA7" s="10">
        <v>30</v>
      </c>
      <c r="CB7" s="10">
        <v>20</v>
      </c>
      <c r="CC7" s="10">
        <v>21</v>
      </c>
      <c r="CD7" s="10">
        <v>60</v>
      </c>
      <c r="CE7" s="10">
        <v>33</v>
      </c>
      <c r="CF7" s="10">
        <v>30</v>
      </c>
      <c r="CG7" s="10">
        <v>22</v>
      </c>
      <c r="CH7" s="10">
        <v>60</v>
      </c>
      <c r="CI7" s="10">
        <v>35</v>
      </c>
      <c r="CJ7" s="10">
        <v>12</v>
      </c>
      <c r="CK7" s="10">
        <v>7</v>
      </c>
      <c r="CL7" s="10">
        <v>12</v>
      </c>
      <c r="CM7" s="10">
        <v>8</v>
      </c>
      <c r="CN7" s="10">
        <v>20</v>
      </c>
      <c r="CO7" s="10">
        <v>22</v>
      </c>
      <c r="CP7" s="10">
        <v>15</v>
      </c>
      <c r="CQ7" s="10">
        <v>11</v>
      </c>
      <c r="CR7" s="10">
        <v>15</v>
      </c>
      <c r="CS7" s="10">
        <v>10</v>
      </c>
      <c r="CT7" s="10">
        <v>30</v>
      </c>
      <c r="CU7" s="10">
        <v>31</v>
      </c>
      <c r="CV7" s="10">
        <v>12</v>
      </c>
      <c r="CW7" s="10">
        <v>10</v>
      </c>
      <c r="CX7" s="10">
        <v>60</v>
      </c>
      <c r="CY7" s="10">
        <v>50</v>
      </c>
      <c r="CZ7" s="10">
        <v>30</v>
      </c>
      <c r="DA7" s="10">
        <v>26</v>
      </c>
      <c r="DB7" s="10">
        <v>30</v>
      </c>
      <c r="DC7" s="10">
        <v>27</v>
      </c>
      <c r="DD7" s="10">
        <v>60</v>
      </c>
      <c r="DE7" s="10">
        <v>40</v>
      </c>
      <c r="DF7" s="10">
        <v>30</v>
      </c>
      <c r="DG7" s="10">
        <v>29</v>
      </c>
      <c r="DH7" s="10">
        <v>60</v>
      </c>
      <c r="DI7" s="10">
        <v>35</v>
      </c>
      <c r="DJ7" s="10">
        <v>60</v>
      </c>
      <c r="DK7" s="10">
        <v>49</v>
      </c>
      <c r="DL7" s="10">
        <v>15</v>
      </c>
      <c r="DM7" s="10">
        <v>6</v>
      </c>
      <c r="DN7" s="10">
        <v>12</v>
      </c>
      <c r="DO7" s="10">
        <v>7</v>
      </c>
      <c r="DP7" s="10">
        <v>10</v>
      </c>
      <c r="DQ7" s="10">
        <v>1</v>
      </c>
      <c r="DR7" s="10">
        <v>60</v>
      </c>
      <c r="DS7" s="10">
        <v>34</v>
      </c>
      <c r="DT7" s="10">
        <v>20</v>
      </c>
      <c r="DU7" s="10">
        <v>21</v>
      </c>
      <c r="DV7" s="10">
        <v>60</v>
      </c>
      <c r="DW7" s="10">
        <v>36</v>
      </c>
      <c r="DX7" s="10">
        <v>30</v>
      </c>
      <c r="DY7" s="10">
        <v>26</v>
      </c>
      <c r="DZ7" s="10">
        <v>30</v>
      </c>
      <c r="EA7" s="10">
        <v>35</v>
      </c>
      <c r="EB7" s="10">
        <v>24</v>
      </c>
      <c r="EC7" s="10">
        <v>12</v>
      </c>
      <c r="ED7" s="10">
        <v>20</v>
      </c>
      <c r="EE7" s="10">
        <v>24</v>
      </c>
      <c r="EF7" s="10">
        <v>30</v>
      </c>
      <c r="EG7" s="10">
        <v>29</v>
      </c>
      <c r="EH7" s="10">
        <v>60</v>
      </c>
      <c r="EI7" s="10">
        <v>43</v>
      </c>
      <c r="EJ7" s="10">
        <v>30</v>
      </c>
      <c r="EK7" s="10">
        <v>34</v>
      </c>
      <c r="EL7" s="10">
        <v>30</v>
      </c>
      <c r="EM7" s="10">
        <v>34</v>
      </c>
      <c r="EN7" s="10">
        <v>30</v>
      </c>
      <c r="EO7" s="10">
        <v>33</v>
      </c>
      <c r="EP7" s="10">
        <v>30</v>
      </c>
      <c r="EQ7" s="10">
        <v>28</v>
      </c>
      <c r="ER7" s="10">
        <v>60</v>
      </c>
      <c r="ES7" s="10">
        <v>39</v>
      </c>
      <c r="ET7" s="10">
        <v>60</v>
      </c>
      <c r="EU7" s="10">
        <v>43</v>
      </c>
    </row>
    <row r="8" spans="2:151">
      <c r="B8" s="9">
        <v>2</v>
      </c>
      <c r="C8" s="9">
        <v>17</v>
      </c>
      <c r="D8" s="9">
        <v>17</v>
      </c>
      <c r="E8" s="9">
        <v>15</v>
      </c>
      <c r="F8" s="9">
        <v>20</v>
      </c>
      <c r="G8" s="9">
        <v>11</v>
      </c>
      <c r="H8" s="9">
        <v>12</v>
      </c>
      <c r="I8" s="9">
        <v>24</v>
      </c>
      <c r="J8" s="9">
        <v>40</v>
      </c>
      <c r="K8" s="9">
        <v>30</v>
      </c>
      <c r="L8" s="9">
        <v>8</v>
      </c>
      <c r="M8" s="9">
        <v>20</v>
      </c>
      <c r="N8" s="9">
        <v>24</v>
      </c>
      <c r="O8" s="9">
        <v>24</v>
      </c>
      <c r="P8" s="9">
        <v>20</v>
      </c>
      <c r="Q8" s="9">
        <v>30</v>
      </c>
      <c r="R8" s="17">
        <v>30</v>
      </c>
      <c r="S8" s="9">
        <v>20</v>
      </c>
      <c r="T8" s="9">
        <v>24</v>
      </c>
      <c r="U8" s="9">
        <v>14</v>
      </c>
      <c r="V8" s="9">
        <v>68</v>
      </c>
      <c r="W8" s="9">
        <v>62</v>
      </c>
      <c r="X8" s="9">
        <v>40</v>
      </c>
      <c r="Y8" s="10">
        <v>17</v>
      </c>
      <c r="Z8" s="9">
        <v>24</v>
      </c>
      <c r="AA8" s="10">
        <v>62</v>
      </c>
      <c r="AC8" s="10">
        <v>2</v>
      </c>
      <c r="AD8" s="10">
        <v>0</v>
      </c>
      <c r="AE8" s="10">
        <v>10</v>
      </c>
      <c r="AF8" s="10">
        <v>38</v>
      </c>
      <c r="AH8" s="15">
        <v>2</v>
      </c>
      <c r="AI8" s="15">
        <v>7</v>
      </c>
      <c r="AJ8" s="15">
        <v>7</v>
      </c>
      <c r="AK8" s="15">
        <v>7</v>
      </c>
      <c r="AL8" s="15">
        <v>7</v>
      </c>
      <c r="AM8" s="15">
        <v>2</v>
      </c>
      <c r="AN8" s="15">
        <v>4</v>
      </c>
      <c r="AO8" s="15">
        <v>8</v>
      </c>
      <c r="AP8" s="15">
        <v>12</v>
      </c>
      <c r="AQ8" s="15">
        <v>13</v>
      </c>
      <c r="AR8" s="15">
        <v>1</v>
      </c>
      <c r="AS8" s="15">
        <v>9</v>
      </c>
      <c r="AT8" s="15">
        <v>10</v>
      </c>
      <c r="AU8" s="15">
        <v>11</v>
      </c>
      <c r="AV8" s="15">
        <v>15</v>
      </c>
      <c r="AW8" s="15">
        <v>19</v>
      </c>
      <c r="AX8" s="15">
        <v>12</v>
      </c>
      <c r="AY8" s="15">
        <v>16</v>
      </c>
      <c r="AZ8" s="15">
        <v>4</v>
      </c>
      <c r="BA8" s="15">
        <v>9</v>
      </c>
      <c r="BB8" s="10">
        <v>32</v>
      </c>
      <c r="BC8" s="10">
        <v>23</v>
      </c>
      <c r="BD8" s="10">
        <v>19</v>
      </c>
      <c r="BE8" s="10">
        <v>9</v>
      </c>
      <c r="BF8" s="10">
        <v>17</v>
      </c>
      <c r="BG8" s="10">
        <v>31</v>
      </c>
      <c r="BI8" s="10">
        <v>2</v>
      </c>
      <c r="BJ8" s="10">
        <v>60</v>
      </c>
      <c r="BK8" s="10">
        <v>38</v>
      </c>
      <c r="BL8" s="10">
        <v>40</v>
      </c>
      <c r="BM8" s="10">
        <v>33</v>
      </c>
      <c r="BN8" s="10">
        <v>60</v>
      </c>
      <c r="BO8" s="10">
        <v>44</v>
      </c>
      <c r="BP8" s="10">
        <v>40</v>
      </c>
      <c r="BQ8" s="10">
        <v>27</v>
      </c>
      <c r="BR8" s="10">
        <v>60</v>
      </c>
      <c r="BS8" s="10">
        <v>38</v>
      </c>
      <c r="BT8" s="10">
        <v>60</v>
      </c>
      <c r="BU8" s="10">
        <v>47</v>
      </c>
      <c r="BV8" s="10">
        <v>40</v>
      </c>
      <c r="BW8" s="10">
        <v>28</v>
      </c>
      <c r="BX8" s="10">
        <v>65</v>
      </c>
      <c r="BY8" s="10">
        <v>55</v>
      </c>
      <c r="BZ8" s="10">
        <v>60</v>
      </c>
      <c r="CA8" s="10">
        <v>48</v>
      </c>
      <c r="CB8" s="10">
        <v>40</v>
      </c>
      <c r="CC8" s="10">
        <v>34</v>
      </c>
      <c r="CD8" s="10">
        <v>65</v>
      </c>
      <c r="CE8" s="10">
        <v>55</v>
      </c>
      <c r="CF8" s="10">
        <v>60</v>
      </c>
      <c r="CG8" s="10">
        <v>38</v>
      </c>
      <c r="CH8" s="10">
        <v>65</v>
      </c>
      <c r="CI8" s="10">
        <v>55</v>
      </c>
      <c r="CJ8" s="10">
        <v>24</v>
      </c>
      <c r="CK8" s="10">
        <v>14</v>
      </c>
      <c r="CL8" s="10">
        <v>24</v>
      </c>
      <c r="CM8" s="10">
        <v>17</v>
      </c>
      <c r="CN8" s="10">
        <v>40</v>
      </c>
      <c r="CO8" s="10">
        <v>35</v>
      </c>
      <c r="CP8" s="10">
        <v>30</v>
      </c>
      <c r="CQ8" s="10">
        <v>22</v>
      </c>
      <c r="CR8" s="10">
        <v>30</v>
      </c>
      <c r="CS8" s="10">
        <v>20</v>
      </c>
      <c r="CT8" s="10">
        <v>60</v>
      </c>
      <c r="CU8" s="10">
        <v>50</v>
      </c>
      <c r="CV8" s="10">
        <v>24</v>
      </c>
      <c r="CW8" s="10">
        <v>20</v>
      </c>
      <c r="CX8" s="10">
        <v>68</v>
      </c>
      <c r="CY8" s="10">
        <v>71</v>
      </c>
      <c r="CZ8" s="10">
        <v>60</v>
      </c>
      <c r="DA8" s="10">
        <v>48</v>
      </c>
      <c r="DB8" s="10">
        <v>60</v>
      </c>
      <c r="DC8" s="10">
        <v>48</v>
      </c>
      <c r="DD8" s="10">
        <v>64</v>
      </c>
      <c r="DE8" s="10">
        <v>61</v>
      </c>
      <c r="DF8" s="10">
        <v>60</v>
      </c>
      <c r="DG8" s="10">
        <v>46</v>
      </c>
      <c r="DH8" s="10">
        <v>64</v>
      </c>
      <c r="DI8" s="10">
        <v>55</v>
      </c>
      <c r="DJ8" s="10">
        <v>64</v>
      </c>
      <c r="DK8" s="10">
        <v>66</v>
      </c>
      <c r="DL8" s="10">
        <v>30</v>
      </c>
      <c r="DM8" s="10">
        <v>15</v>
      </c>
      <c r="DN8" s="10">
        <v>24</v>
      </c>
      <c r="DO8" s="10">
        <v>14</v>
      </c>
      <c r="DP8" s="10">
        <v>20</v>
      </c>
      <c r="DQ8" s="10">
        <v>3</v>
      </c>
      <c r="DR8" s="10">
        <v>65</v>
      </c>
      <c r="DS8" s="10">
        <v>51</v>
      </c>
      <c r="DT8" s="10">
        <v>40</v>
      </c>
      <c r="DU8" s="10">
        <v>34</v>
      </c>
      <c r="DV8" s="10">
        <v>64</v>
      </c>
      <c r="DW8" s="10">
        <v>51</v>
      </c>
      <c r="DX8" s="10">
        <v>60</v>
      </c>
      <c r="DY8" s="10">
        <v>40</v>
      </c>
      <c r="DZ8" s="10">
        <v>60</v>
      </c>
      <c r="EA8" s="10">
        <v>49</v>
      </c>
      <c r="EB8" s="10">
        <v>36</v>
      </c>
      <c r="EC8" s="10">
        <v>22</v>
      </c>
      <c r="ED8" s="10">
        <v>40</v>
      </c>
      <c r="EE8" s="10">
        <v>37</v>
      </c>
      <c r="EF8" s="10">
        <v>60</v>
      </c>
      <c r="EG8" s="10">
        <v>43</v>
      </c>
      <c r="EH8" s="10">
        <v>63</v>
      </c>
      <c r="EI8" s="10">
        <v>60</v>
      </c>
      <c r="EJ8" s="10">
        <v>60</v>
      </c>
      <c r="EK8" s="10">
        <v>47</v>
      </c>
      <c r="EL8" s="10">
        <v>60</v>
      </c>
      <c r="EM8" s="10">
        <v>48</v>
      </c>
      <c r="EN8" s="10">
        <v>60</v>
      </c>
      <c r="EO8" s="10">
        <v>47</v>
      </c>
      <c r="EP8" s="10">
        <v>60</v>
      </c>
      <c r="EQ8" s="10">
        <v>44</v>
      </c>
      <c r="ER8" s="10">
        <v>65</v>
      </c>
      <c r="ES8" s="10">
        <v>58</v>
      </c>
      <c r="ET8" s="10">
        <v>65</v>
      </c>
      <c r="EU8" s="10">
        <v>60</v>
      </c>
    </row>
    <row r="9" spans="2:151">
      <c r="B9" s="9">
        <v>3</v>
      </c>
      <c r="C9" s="9">
        <v>25</v>
      </c>
      <c r="D9" s="9">
        <v>25</v>
      </c>
      <c r="E9" s="9">
        <v>22</v>
      </c>
      <c r="F9" s="9">
        <v>30</v>
      </c>
      <c r="G9" s="9">
        <v>16</v>
      </c>
      <c r="H9" s="9">
        <v>18</v>
      </c>
      <c r="I9" s="9">
        <v>36</v>
      </c>
      <c r="J9" s="9">
        <v>60</v>
      </c>
      <c r="K9" s="9">
        <v>45</v>
      </c>
      <c r="L9" s="9">
        <v>13</v>
      </c>
      <c r="M9" s="9">
        <v>30</v>
      </c>
      <c r="N9" s="9">
        <v>36</v>
      </c>
      <c r="O9" s="9">
        <v>36</v>
      </c>
      <c r="P9" s="9">
        <v>30</v>
      </c>
      <c r="Q9" s="9">
        <v>45</v>
      </c>
      <c r="R9" s="17">
        <v>45</v>
      </c>
      <c r="S9" s="9">
        <v>30</v>
      </c>
      <c r="T9" s="9">
        <v>36</v>
      </c>
      <c r="U9" s="9">
        <v>20</v>
      </c>
      <c r="V9" s="9">
        <v>75</v>
      </c>
      <c r="W9" s="9">
        <v>65</v>
      </c>
      <c r="X9" s="9">
        <v>60</v>
      </c>
      <c r="Y9" s="10">
        <v>25</v>
      </c>
      <c r="Z9" s="10">
        <v>36</v>
      </c>
      <c r="AA9" s="10">
        <v>64</v>
      </c>
      <c r="AC9" s="10">
        <v>3</v>
      </c>
      <c r="AD9" s="10">
        <v>0</v>
      </c>
      <c r="AE9" s="10">
        <v>15</v>
      </c>
      <c r="AF9" s="10">
        <v>41</v>
      </c>
      <c r="AH9" s="15">
        <v>3</v>
      </c>
      <c r="AI9" s="15">
        <v>8</v>
      </c>
      <c r="AJ9" s="15">
        <v>7</v>
      </c>
      <c r="AK9" s="15">
        <v>8</v>
      </c>
      <c r="AL9" s="15">
        <v>7</v>
      </c>
      <c r="AM9" s="15">
        <v>2</v>
      </c>
      <c r="AN9" s="15">
        <v>4</v>
      </c>
      <c r="AO9" s="15">
        <v>8</v>
      </c>
      <c r="AP9" s="15">
        <v>13</v>
      </c>
      <c r="AQ9" s="15">
        <v>14</v>
      </c>
      <c r="AR9" s="15">
        <v>1</v>
      </c>
      <c r="AS9" s="15">
        <v>10</v>
      </c>
      <c r="AT9" s="15">
        <v>10</v>
      </c>
      <c r="AU9" s="15">
        <v>13</v>
      </c>
      <c r="AV9" s="15">
        <v>16</v>
      </c>
      <c r="AW9" s="15">
        <v>20</v>
      </c>
      <c r="AX9" s="15">
        <v>13</v>
      </c>
      <c r="AY9" s="15">
        <v>17</v>
      </c>
      <c r="AZ9" s="15">
        <v>4</v>
      </c>
      <c r="BA9" s="15">
        <v>10</v>
      </c>
      <c r="BB9" s="10">
        <v>33</v>
      </c>
      <c r="BC9" s="10">
        <v>24</v>
      </c>
      <c r="BD9" s="10">
        <v>20</v>
      </c>
      <c r="BE9" s="10">
        <v>10</v>
      </c>
      <c r="BF9" s="10">
        <v>18</v>
      </c>
      <c r="BG9" s="10">
        <v>33</v>
      </c>
      <c r="BI9" s="10">
        <v>3</v>
      </c>
      <c r="BJ9" s="10">
        <v>64</v>
      </c>
      <c r="BK9" s="10">
        <v>53</v>
      </c>
      <c r="BL9" s="10">
        <v>60</v>
      </c>
      <c r="BM9" s="10">
        <v>46</v>
      </c>
      <c r="BN9" s="10">
        <v>64</v>
      </c>
      <c r="BO9" s="10">
        <v>56</v>
      </c>
      <c r="BP9" s="10">
        <v>60</v>
      </c>
      <c r="BQ9" s="10">
        <v>41</v>
      </c>
      <c r="BR9" s="10">
        <v>65</v>
      </c>
      <c r="BS9" s="10">
        <v>50</v>
      </c>
      <c r="BT9" s="10">
        <v>68</v>
      </c>
      <c r="BU9" s="10">
        <v>59</v>
      </c>
      <c r="BV9" s="10">
        <v>60</v>
      </c>
      <c r="BW9" s="10">
        <v>39</v>
      </c>
      <c r="BX9" s="10">
        <v>70</v>
      </c>
      <c r="BY9" s="10">
        <v>65</v>
      </c>
      <c r="BZ9" s="10">
        <v>65</v>
      </c>
      <c r="CA9" s="10">
        <v>57</v>
      </c>
      <c r="CB9" s="10">
        <v>60</v>
      </c>
      <c r="CC9" s="10">
        <v>47</v>
      </c>
      <c r="CD9" s="10">
        <v>70</v>
      </c>
      <c r="CE9" s="10">
        <v>70</v>
      </c>
      <c r="CF9" s="10">
        <v>65</v>
      </c>
      <c r="CG9" s="10">
        <v>54</v>
      </c>
      <c r="CH9" s="10">
        <v>70</v>
      </c>
      <c r="CI9" s="10">
        <v>70</v>
      </c>
      <c r="CJ9" s="10">
        <v>36</v>
      </c>
      <c r="CK9" s="10">
        <v>22</v>
      </c>
      <c r="CL9" s="10">
        <v>36</v>
      </c>
      <c r="CM9" s="10">
        <v>26</v>
      </c>
      <c r="CN9" s="10">
        <v>60</v>
      </c>
      <c r="CO9" s="10">
        <v>48</v>
      </c>
      <c r="CP9" s="10">
        <v>45</v>
      </c>
      <c r="CQ9" s="10">
        <v>34</v>
      </c>
      <c r="CR9" s="10">
        <v>45</v>
      </c>
      <c r="CS9" s="10">
        <v>30</v>
      </c>
      <c r="CT9" s="10">
        <v>65</v>
      </c>
      <c r="CU9" s="10">
        <v>64</v>
      </c>
      <c r="CV9" s="10">
        <v>36</v>
      </c>
      <c r="CW9" s="10">
        <v>30</v>
      </c>
      <c r="CX9" s="10">
        <v>75</v>
      </c>
      <c r="CY9" s="10">
        <v>83</v>
      </c>
      <c r="CZ9" s="10">
        <v>65</v>
      </c>
      <c r="DA9" s="10">
        <v>65</v>
      </c>
      <c r="DB9" s="10">
        <v>65</v>
      </c>
      <c r="DC9" s="10">
        <v>66</v>
      </c>
      <c r="DD9" s="10">
        <v>68</v>
      </c>
      <c r="DE9" s="10">
        <v>75</v>
      </c>
      <c r="DF9" s="10">
        <v>64</v>
      </c>
      <c r="DG9" s="10">
        <v>61</v>
      </c>
      <c r="DH9" s="10">
        <v>68</v>
      </c>
      <c r="DI9" s="10">
        <v>72</v>
      </c>
      <c r="DJ9" s="10">
        <v>68</v>
      </c>
      <c r="DK9" s="10">
        <v>76</v>
      </c>
      <c r="DL9" s="10">
        <v>45</v>
      </c>
      <c r="DM9" s="10">
        <v>28</v>
      </c>
      <c r="DN9" s="10">
        <v>36</v>
      </c>
      <c r="DO9" s="10">
        <v>23</v>
      </c>
      <c r="DP9" s="10">
        <v>30</v>
      </c>
      <c r="DQ9" s="10">
        <v>7</v>
      </c>
      <c r="DR9" s="10">
        <v>70</v>
      </c>
      <c r="DS9" s="10">
        <v>64</v>
      </c>
      <c r="DT9" s="10">
        <v>60</v>
      </c>
      <c r="DU9" s="10">
        <v>44</v>
      </c>
      <c r="DV9" s="10">
        <v>68</v>
      </c>
      <c r="DW9" s="10">
        <v>62</v>
      </c>
      <c r="DX9" s="10">
        <v>62</v>
      </c>
      <c r="DY9" s="10">
        <v>50</v>
      </c>
      <c r="DZ9" s="10">
        <v>64</v>
      </c>
      <c r="EA9" s="10">
        <v>61</v>
      </c>
      <c r="EB9" s="10">
        <v>48</v>
      </c>
      <c r="EC9" s="10">
        <v>32</v>
      </c>
      <c r="ED9" s="10">
        <v>60</v>
      </c>
      <c r="EE9" s="10">
        <v>49</v>
      </c>
      <c r="EF9" s="10">
        <v>62</v>
      </c>
      <c r="EG9" s="10">
        <v>53</v>
      </c>
      <c r="EH9" s="10">
        <v>66</v>
      </c>
      <c r="EI9" s="10">
        <v>71</v>
      </c>
      <c r="EJ9" s="10">
        <v>64</v>
      </c>
      <c r="EK9" s="10">
        <v>56</v>
      </c>
      <c r="EL9" s="10">
        <v>63</v>
      </c>
      <c r="EM9" s="10">
        <v>58</v>
      </c>
      <c r="EN9" s="10">
        <v>64</v>
      </c>
      <c r="EO9" s="10">
        <v>59</v>
      </c>
      <c r="EP9" s="10">
        <v>64</v>
      </c>
      <c r="EQ9" s="10">
        <v>57</v>
      </c>
      <c r="ER9" s="10">
        <v>70</v>
      </c>
      <c r="ES9" s="10">
        <v>73</v>
      </c>
      <c r="ET9" s="10">
        <v>70</v>
      </c>
      <c r="EU9" s="10">
        <v>72</v>
      </c>
    </row>
    <row r="10" spans="2:151">
      <c r="B10" s="9">
        <v>4</v>
      </c>
      <c r="C10" s="9">
        <v>34</v>
      </c>
      <c r="D10" s="9">
        <v>34</v>
      </c>
      <c r="E10" s="9">
        <v>29</v>
      </c>
      <c r="F10" s="9">
        <v>40</v>
      </c>
      <c r="G10" s="9">
        <v>21</v>
      </c>
      <c r="H10" s="9">
        <v>24</v>
      </c>
      <c r="I10" s="9">
        <v>48</v>
      </c>
      <c r="J10" s="9">
        <v>62</v>
      </c>
      <c r="K10" s="9">
        <v>60</v>
      </c>
      <c r="L10" s="9">
        <v>17</v>
      </c>
      <c r="M10" s="9">
        <v>40</v>
      </c>
      <c r="N10" s="9">
        <v>48</v>
      </c>
      <c r="O10" s="9">
        <v>48</v>
      </c>
      <c r="P10" s="9">
        <v>40</v>
      </c>
      <c r="Q10" s="9">
        <v>60</v>
      </c>
      <c r="R10" s="17">
        <v>60</v>
      </c>
      <c r="S10" s="9">
        <v>40</v>
      </c>
      <c r="T10" s="9">
        <v>48</v>
      </c>
      <c r="U10" s="9">
        <v>26</v>
      </c>
      <c r="V10" s="9">
        <v>78</v>
      </c>
      <c r="W10" s="9">
        <v>67</v>
      </c>
      <c r="X10" s="9">
        <v>62</v>
      </c>
      <c r="Y10" s="10">
        <v>34</v>
      </c>
      <c r="Z10" s="10">
        <v>48</v>
      </c>
      <c r="AA10" s="10">
        <v>66</v>
      </c>
      <c r="AC10" s="10">
        <v>4</v>
      </c>
      <c r="AD10" s="10">
        <v>0</v>
      </c>
      <c r="AE10" s="10">
        <v>20</v>
      </c>
      <c r="AF10" s="10">
        <v>44</v>
      </c>
      <c r="AH10" s="15">
        <v>4</v>
      </c>
      <c r="AI10" s="15">
        <v>8</v>
      </c>
      <c r="AJ10" s="15">
        <v>8</v>
      </c>
      <c r="AK10" s="15">
        <v>8</v>
      </c>
      <c r="AL10" s="15">
        <v>8</v>
      </c>
      <c r="AM10" s="15">
        <v>2</v>
      </c>
      <c r="AN10" s="15">
        <v>4</v>
      </c>
      <c r="AO10" s="15">
        <v>9</v>
      </c>
      <c r="AP10" s="15">
        <v>13</v>
      </c>
      <c r="AQ10" s="15">
        <v>15</v>
      </c>
      <c r="AR10" s="15">
        <v>1</v>
      </c>
      <c r="AS10" s="15">
        <v>11</v>
      </c>
      <c r="AT10" s="15">
        <v>11</v>
      </c>
      <c r="AU10" s="15">
        <v>13</v>
      </c>
      <c r="AV10" s="15">
        <v>17</v>
      </c>
      <c r="AW10" s="15">
        <v>21</v>
      </c>
      <c r="AX10" s="15">
        <v>13</v>
      </c>
      <c r="AY10" s="15">
        <v>17</v>
      </c>
      <c r="AZ10" s="15">
        <v>5</v>
      </c>
      <c r="BA10" s="15">
        <v>10</v>
      </c>
      <c r="BB10" s="10">
        <v>34</v>
      </c>
      <c r="BC10" s="10">
        <v>24</v>
      </c>
      <c r="BD10" s="10">
        <v>20</v>
      </c>
      <c r="BE10" s="10">
        <v>10</v>
      </c>
      <c r="BF10" s="10">
        <v>18</v>
      </c>
      <c r="BG10" s="10">
        <v>33</v>
      </c>
      <c r="BI10" s="10">
        <v>4</v>
      </c>
      <c r="BJ10" s="10">
        <v>68</v>
      </c>
      <c r="BK10" s="10">
        <v>66</v>
      </c>
      <c r="BL10" s="10">
        <v>64</v>
      </c>
      <c r="BM10" s="10">
        <v>57</v>
      </c>
      <c r="BN10" s="10">
        <v>68</v>
      </c>
      <c r="BO10" s="10">
        <v>66</v>
      </c>
      <c r="BP10" s="10">
        <v>68</v>
      </c>
      <c r="BQ10" s="10">
        <v>53</v>
      </c>
      <c r="BR10" s="10">
        <v>70</v>
      </c>
      <c r="BS10" s="10">
        <v>61</v>
      </c>
      <c r="BT10" s="10">
        <v>75</v>
      </c>
      <c r="BU10" s="10">
        <v>69</v>
      </c>
      <c r="BV10" s="10">
        <v>65</v>
      </c>
      <c r="BW10" s="10">
        <v>50</v>
      </c>
      <c r="BX10" s="10">
        <v>75</v>
      </c>
      <c r="BY10" s="10">
        <v>73</v>
      </c>
      <c r="BZ10" s="10">
        <v>70</v>
      </c>
      <c r="CA10" s="10">
        <v>65</v>
      </c>
      <c r="CB10" s="10">
        <v>65</v>
      </c>
      <c r="CC10" s="10">
        <v>59</v>
      </c>
      <c r="CD10" s="10">
        <v>75</v>
      </c>
      <c r="CE10" s="10">
        <v>81</v>
      </c>
      <c r="CF10" s="10">
        <v>70</v>
      </c>
      <c r="CG10" s="10">
        <v>66</v>
      </c>
      <c r="CH10" s="10">
        <v>75</v>
      </c>
      <c r="CI10" s="10">
        <v>83</v>
      </c>
      <c r="CJ10" s="10">
        <v>48</v>
      </c>
      <c r="CK10" s="10">
        <v>32</v>
      </c>
      <c r="CL10" s="10">
        <v>48</v>
      </c>
      <c r="CM10" s="10">
        <v>35</v>
      </c>
      <c r="CN10" s="10">
        <v>65</v>
      </c>
      <c r="CO10" s="10">
        <v>59</v>
      </c>
      <c r="CP10" s="10">
        <v>60</v>
      </c>
      <c r="CQ10" s="10">
        <v>45</v>
      </c>
      <c r="CR10" s="10">
        <v>60</v>
      </c>
      <c r="CS10" s="10">
        <v>41</v>
      </c>
      <c r="CT10" s="10">
        <v>70</v>
      </c>
      <c r="CU10" s="10">
        <v>76</v>
      </c>
      <c r="CV10" s="10">
        <v>48</v>
      </c>
      <c r="CW10" s="10">
        <v>40</v>
      </c>
      <c r="CX10" s="10">
        <v>80</v>
      </c>
      <c r="CY10" s="10">
        <v>92</v>
      </c>
      <c r="CZ10" s="10">
        <v>70</v>
      </c>
      <c r="DA10" s="10">
        <v>77</v>
      </c>
      <c r="DB10" s="10">
        <v>70</v>
      </c>
      <c r="DC10" s="10">
        <v>79</v>
      </c>
      <c r="DD10" s="10">
        <v>72</v>
      </c>
      <c r="DE10" s="10">
        <v>83</v>
      </c>
      <c r="DF10" s="10">
        <v>68</v>
      </c>
      <c r="DG10" s="10">
        <v>74</v>
      </c>
      <c r="DH10" s="10">
        <v>72</v>
      </c>
      <c r="DI10" s="10">
        <v>85</v>
      </c>
      <c r="DJ10" s="10">
        <v>72</v>
      </c>
      <c r="DK10" s="10">
        <v>84</v>
      </c>
      <c r="DL10" s="10">
        <v>60</v>
      </c>
      <c r="DM10" s="10">
        <v>42</v>
      </c>
      <c r="DN10" s="10">
        <v>48</v>
      </c>
      <c r="DO10" s="10">
        <v>34</v>
      </c>
      <c r="DP10" s="10">
        <v>40</v>
      </c>
      <c r="DQ10" s="10">
        <v>14</v>
      </c>
      <c r="DR10" s="10">
        <v>75</v>
      </c>
      <c r="DS10" s="10">
        <v>75</v>
      </c>
      <c r="DT10" s="10">
        <v>64</v>
      </c>
      <c r="DU10" s="10">
        <v>54</v>
      </c>
      <c r="DV10" s="10">
        <v>72</v>
      </c>
      <c r="DW10" s="10">
        <v>71</v>
      </c>
      <c r="DX10" s="10">
        <v>65</v>
      </c>
      <c r="DY10" s="10">
        <v>60</v>
      </c>
      <c r="DZ10" s="10">
        <v>68</v>
      </c>
      <c r="EA10" s="10">
        <v>70</v>
      </c>
      <c r="EB10" s="10">
        <v>60</v>
      </c>
      <c r="EC10" s="10">
        <v>44</v>
      </c>
      <c r="ED10" s="10">
        <v>63</v>
      </c>
      <c r="EE10" s="10">
        <v>60</v>
      </c>
      <c r="EF10" s="10">
        <v>64</v>
      </c>
      <c r="EG10" s="10">
        <v>62</v>
      </c>
      <c r="EH10" s="10">
        <v>69</v>
      </c>
      <c r="EI10" s="10">
        <v>79</v>
      </c>
      <c r="EJ10" s="10">
        <v>68</v>
      </c>
      <c r="EK10" s="10">
        <v>63</v>
      </c>
      <c r="EL10" s="10">
        <v>66</v>
      </c>
      <c r="EM10" s="10">
        <v>66</v>
      </c>
      <c r="EN10" s="10">
        <v>68</v>
      </c>
      <c r="EO10" s="10">
        <v>69</v>
      </c>
      <c r="EP10" s="10">
        <v>68</v>
      </c>
      <c r="EQ10" s="10">
        <v>68</v>
      </c>
      <c r="ER10" s="10">
        <v>75</v>
      </c>
      <c r="ES10" s="10">
        <v>85</v>
      </c>
      <c r="ET10" s="10">
        <v>75</v>
      </c>
      <c r="EU10" s="10">
        <v>81</v>
      </c>
    </row>
    <row r="11" spans="2:151">
      <c r="B11" s="9">
        <v>5</v>
      </c>
      <c r="C11" s="9">
        <v>43</v>
      </c>
      <c r="D11" s="9">
        <v>43</v>
      </c>
      <c r="E11" s="9">
        <v>37</v>
      </c>
      <c r="F11" s="9">
        <v>50</v>
      </c>
      <c r="G11" s="9">
        <v>26</v>
      </c>
      <c r="H11" s="9">
        <v>30</v>
      </c>
      <c r="I11" s="9">
        <v>60</v>
      </c>
      <c r="J11" s="9">
        <v>64</v>
      </c>
      <c r="K11" s="9">
        <v>61</v>
      </c>
      <c r="L11" s="9">
        <v>21</v>
      </c>
      <c r="M11" s="9">
        <v>50</v>
      </c>
      <c r="N11" s="9">
        <v>60</v>
      </c>
      <c r="O11" s="9">
        <v>60</v>
      </c>
      <c r="P11" s="9">
        <v>50</v>
      </c>
      <c r="Q11" s="9">
        <v>62</v>
      </c>
      <c r="R11" s="17">
        <v>75</v>
      </c>
      <c r="S11" s="9">
        <v>50</v>
      </c>
      <c r="T11" s="9">
        <v>60</v>
      </c>
      <c r="U11" s="9">
        <v>33</v>
      </c>
      <c r="V11" s="9">
        <v>82</v>
      </c>
      <c r="W11" s="9">
        <v>69</v>
      </c>
      <c r="X11" s="9">
        <v>64</v>
      </c>
      <c r="Y11" s="10">
        <v>43</v>
      </c>
      <c r="Z11" s="10">
        <v>60</v>
      </c>
      <c r="AA11" s="10">
        <v>68</v>
      </c>
      <c r="AC11" s="10">
        <v>5</v>
      </c>
      <c r="AD11" s="10">
        <v>0</v>
      </c>
      <c r="AE11" s="10">
        <v>25</v>
      </c>
      <c r="AF11" s="10">
        <v>47</v>
      </c>
      <c r="AH11" s="15">
        <v>5</v>
      </c>
      <c r="AI11" s="15">
        <v>8</v>
      </c>
      <c r="AJ11" s="15">
        <v>8</v>
      </c>
      <c r="AK11" s="15">
        <v>8</v>
      </c>
      <c r="AL11" s="15">
        <v>8</v>
      </c>
      <c r="AM11" s="15">
        <v>2</v>
      </c>
      <c r="AN11" s="15">
        <v>4</v>
      </c>
      <c r="AO11" s="15">
        <v>9</v>
      </c>
      <c r="AP11" s="15">
        <v>14</v>
      </c>
      <c r="AQ11" s="15">
        <v>16</v>
      </c>
      <c r="AR11" s="15">
        <v>1</v>
      </c>
      <c r="AS11" s="15">
        <v>11</v>
      </c>
      <c r="AT11" s="15">
        <v>11</v>
      </c>
      <c r="AU11" s="15">
        <v>13</v>
      </c>
      <c r="AV11" s="15">
        <v>17</v>
      </c>
      <c r="AW11" s="15">
        <v>21</v>
      </c>
      <c r="AX11" s="15">
        <v>13</v>
      </c>
      <c r="AY11" s="15">
        <v>17</v>
      </c>
      <c r="AZ11" s="15">
        <v>5</v>
      </c>
      <c r="BA11" s="15">
        <v>10</v>
      </c>
      <c r="BB11" s="10">
        <v>34</v>
      </c>
      <c r="BC11" s="10">
        <v>24</v>
      </c>
      <c r="BD11" s="10">
        <v>21</v>
      </c>
      <c r="BE11" s="10">
        <v>11</v>
      </c>
      <c r="BF11" s="10">
        <v>18</v>
      </c>
      <c r="BG11" s="10">
        <v>34</v>
      </c>
      <c r="BI11" s="10">
        <v>5</v>
      </c>
      <c r="BJ11" s="10">
        <v>72</v>
      </c>
      <c r="BK11" s="10">
        <v>77</v>
      </c>
      <c r="BL11" s="10">
        <v>68</v>
      </c>
      <c r="BM11" s="10">
        <v>67</v>
      </c>
      <c r="BN11" s="10">
        <v>68</v>
      </c>
      <c r="BO11" s="10">
        <v>66</v>
      </c>
      <c r="BP11" s="10">
        <v>75</v>
      </c>
      <c r="BQ11" s="10">
        <v>64</v>
      </c>
      <c r="BR11" s="10">
        <v>75</v>
      </c>
      <c r="BS11" s="10">
        <v>70</v>
      </c>
      <c r="BT11" s="10">
        <v>77</v>
      </c>
      <c r="BU11" s="10">
        <v>76</v>
      </c>
      <c r="BV11" s="10">
        <v>70</v>
      </c>
      <c r="BW11" s="10">
        <v>60</v>
      </c>
      <c r="BX11" s="10">
        <v>78</v>
      </c>
      <c r="BY11" s="10">
        <v>79</v>
      </c>
      <c r="BZ11" s="10">
        <v>75</v>
      </c>
      <c r="CA11" s="10">
        <v>71</v>
      </c>
      <c r="CB11" s="10">
        <v>70</v>
      </c>
      <c r="CC11" s="10">
        <v>69</v>
      </c>
      <c r="CD11" s="10">
        <v>80</v>
      </c>
      <c r="CE11" s="10">
        <v>90</v>
      </c>
      <c r="CF11" s="10">
        <v>75</v>
      </c>
      <c r="CG11" s="10">
        <v>76</v>
      </c>
      <c r="CH11" s="10">
        <v>80</v>
      </c>
      <c r="CI11" s="10">
        <v>92</v>
      </c>
      <c r="CJ11" s="10">
        <v>60</v>
      </c>
      <c r="CK11" s="10">
        <v>41</v>
      </c>
      <c r="CL11" s="10">
        <v>60</v>
      </c>
      <c r="CM11" s="10">
        <v>44</v>
      </c>
      <c r="CN11" s="10">
        <v>70</v>
      </c>
      <c r="CO11" s="10">
        <v>69</v>
      </c>
      <c r="CP11" s="10">
        <v>65</v>
      </c>
      <c r="CQ11" s="10">
        <v>57</v>
      </c>
      <c r="CR11" s="10">
        <v>65</v>
      </c>
      <c r="CS11" s="10">
        <v>53</v>
      </c>
      <c r="CT11" s="10">
        <v>75</v>
      </c>
      <c r="CU11" s="10">
        <v>84</v>
      </c>
      <c r="CV11" s="10">
        <v>60</v>
      </c>
      <c r="CW11" s="10">
        <v>50</v>
      </c>
      <c r="CX11" s="10">
        <v>85</v>
      </c>
      <c r="CY11" s="10">
        <v>96</v>
      </c>
      <c r="CZ11" s="10">
        <v>75</v>
      </c>
      <c r="DA11" s="10">
        <v>87</v>
      </c>
      <c r="DB11" s="10">
        <v>75</v>
      </c>
      <c r="DC11" s="10">
        <v>87</v>
      </c>
      <c r="DD11" s="10">
        <v>75</v>
      </c>
      <c r="DE11" s="10">
        <v>88</v>
      </c>
      <c r="DF11" s="10">
        <v>72</v>
      </c>
      <c r="DG11" s="10">
        <v>84</v>
      </c>
      <c r="DH11" s="10">
        <v>75</v>
      </c>
      <c r="DI11" s="10">
        <v>93</v>
      </c>
      <c r="DJ11" s="10">
        <v>75</v>
      </c>
      <c r="DK11" s="10">
        <v>90</v>
      </c>
      <c r="DL11" s="10">
        <v>65</v>
      </c>
      <c r="DM11" s="10">
        <v>57</v>
      </c>
      <c r="DN11" s="10">
        <v>60</v>
      </c>
      <c r="DO11" s="10">
        <v>44</v>
      </c>
      <c r="DP11" s="10">
        <v>50</v>
      </c>
      <c r="DQ11" s="10">
        <v>23</v>
      </c>
      <c r="DR11" s="10">
        <v>77</v>
      </c>
      <c r="DS11" s="10">
        <v>83</v>
      </c>
      <c r="DT11" s="10">
        <v>68</v>
      </c>
      <c r="DU11" s="10">
        <v>64</v>
      </c>
      <c r="DV11" s="10">
        <v>75</v>
      </c>
      <c r="DW11" s="10">
        <v>78</v>
      </c>
      <c r="DX11" s="10">
        <v>67</v>
      </c>
      <c r="DY11" s="10">
        <v>67</v>
      </c>
      <c r="DZ11" s="10">
        <v>72</v>
      </c>
      <c r="EA11" s="10">
        <v>79</v>
      </c>
      <c r="EB11" s="10">
        <v>65</v>
      </c>
      <c r="EC11" s="10">
        <v>55</v>
      </c>
      <c r="ED11" s="10">
        <v>66</v>
      </c>
      <c r="EE11" s="10">
        <v>71</v>
      </c>
      <c r="EF11" s="10">
        <v>66</v>
      </c>
      <c r="EG11" s="10">
        <v>70</v>
      </c>
      <c r="EH11" s="10">
        <v>72</v>
      </c>
      <c r="EI11" s="10">
        <v>86</v>
      </c>
      <c r="EJ11" s="10">
        <v>72</v>
      </c>
      <c r="EK11" s="10">
        <v>71</v>
      </c>
      <c r="EL11" s="10">
        <v>69</v>
      </c>
      <c r="EM11" s="10">
        <v>73</v>
      </c>
      <c r="EN11" s="10">
        <v>72</v>
      </c>
      <c r="EO11" s="10">
        <v>76</v>
      </c>
      <c r="EP11" s="10">
        <v>72</v>
      </c>
      <c r="EQ11" s="10">
        <v>78</v>
      </c>
      <c r="ER11" s="10">
        <v>80</v>
      </c>
      <c r="ES11" s="10">
        <v>92</v>
      </c>
      <c r="ET11" s="10">
        <v>77</v>
      </c>
      <c r="EU11" s="10">
        <v>87</v>
      </c>
    </row>
    <row r="12" spans="2:151">
      <c r="B12" s="9">
        <v>6</v>
      </c>
      <c r="C12" s="9">
        <v>52</v>
      </c>
      <c r="D12" s="9">
        <v>52</v>
      </c>
      <c r="E12" s="9">
        <v>45</v>
      </c>
      <c r="F12" s="9">
        <v>60</v>
      </c>
      <c r="G12" s="9">
        <v>31</v>
      </c>
      <c r="H12" s="9">
        <v>36</v>
      </c>
      <c r="I12" s="9">
        <v>62</v>
      </c>
      <c r="J12" s="9">
        <v>66</v>
      </c>
      <c r="K12" s="9">
        <v>63</v>
      </c>
      <c r="L12" s="9">
        <v>26</v>
      </c>
      <c r="M12" s="9">
        <v>60</v>
      </c>
      <c r="N12" s="9">
        <v>62</v>
      </c>
      <c r="O12" s="9">
        <v>61</v>
      </c>
      <c r="P12" s="9">
        <v>60</v>
      </c>
      <c r="Q12" s="9">
        <v>64</v>
      </c>
      <c r="R12" s="17">
        <v>77</v>
      </c>
      <c r="S12" s="9">
        <v>60</v>
      </c>
      <c r="T12" s="9">
        <v>63</v>
      </c>
      <c r="U12" s="9">
        <v>40</v>
      </c>
      <c r="V12" s="9">
        <v>85</v>
      </c>
      <c r="W12" s="9">
        <v>72</v>
      </c>
      <c r="X12" s="10">
        <v>66</v>
      </c>
      <c r="Y12" s="9">
        <v>52</v>
      </c>
      <c r="Z12" s="10">
        <v>64</v>
      </c>
      <c r="AA12" s="10">
        <v>70</v>
      </c>
      <c r="AC12" s="10">
        <v>6</v>
      </c>
      <c r="AD12" s="10">
        <v>0</v>
      </c>
      <c r="AE12" s="10">
        <v>30</v>
      </c>
      <c r="AF12" s="10">
        <v>50</v>
      </c>
      <c r="AH12" s="15">
        <v>6</v>
      </c>
      <c r="AI12" s="15">
        <v>9</v>
      </c>
      <c r="AJ12" s="15">
        <v>8</v>
      </c>
      <c r="AK12" s="15">
        <v>8</v>
      </c>
      <c r="AL12" s="15">
        <v>8</v>
      </c>
      <c r="AM12" s="15">
        <v>3</v>
      </c>
      <c r="AN12" s="15">
        <v>6</v>
      </c>
      <c r="AO12" s="15">
        <v>9</v>
      </c>
      <c r="AP12" s="15">
        <v>14</v>
      </c>
      <c r="AQ12" s="15">
        <v>16</v>
      </c>
      <c r="AR12" s="15">
        <v>1</v>
      </c>
      <c r="AS12" s="15">
        <v>12</v>
      </c>
      <c r="AT12" s="15">
        <v>11</v>
      </c>
      <c r="AU12" s="15">
        <v>13</v>
      </c>
      <c r="AV12" s="15">
        <v>17</v>
      </c>
      <c r="AW12" s="15">
        <v>21</v>
      </c>
      <c r="AX12" s="15">
        <v>13</v>
      </c>
      <c r="AY12" s="15">
        <v>17</v>
      </c>
      <c r="AZ12" s="15">
        <v>5</v>
      </c>
      <c r="BA12" s="15">
        <v>10</v>
      </c>
      <c r="BB12" s="10">
        <v>34</v>
      </c>
      <c r="BC12" s="10">
        <v>24</v>
      </c>
      <c r="BD12" s="10">
        <v>21</v>
      </c>
      <c r="BE12" s="10">
        <v>11</v>
      </c>
      <c r="BF12" s="10">
        <v>18</v>
      </c>
      <c r="BG12" s="10">
        <v>34</v>
      </c>
      <c r="BI12" s="10">
        <v>6</v>
      </c>
      <c r="BJ12" s="10">
        <v>75</v>
      </c>
      <c r="BK12" s="10">
        <v>86</v>
      </c>
      <c r="BL12" s="10">
        <v>72</v>
      </c>
      <c r="BM12" s="10">
        <v>76</v>
      </c>
      <c r="BN12" s="10">
        <v>72</v>
      </c>
      <c r="BO12" s="10">
        <v>74</v>
      </c>
      <c r="BP12" s="10">
        <v>78</v>
      </c>
      <c r="BQ12" s="10">
        <v>74</v>
      </c>
      <c r="BR12" s="10">
        <v>78</v>
      </c>
      <c r="BS12" s="10">
        <v>78</v>
      </c>
      <c r="BT12" s="10">
        <v>80</v>
      </c>
      <c r="BU12" s="10">
        <v>83</v>
      </c>
      <c r="BV12" s="10">
        <v>75</v>
      </c>
      <c r="BW12" s="10">
        <v>70</v>
      </c>
      <c r="BX12" s="10">
        <v>82</v>
      </c>
      <c r="BY12" s="10">
        <v>85</v>
      </c>
      <c r="BZ12" s="10">
        <v>78</v>
      </c>
      <c r="CA12" s="10">
        <v>76</v>
      </c>
      <c r="CB12" s="10">
        <v>75</v>
      </c>
      <c r="CC12" s="10">
        <v>79</v>
      </c>
      <c r="CD12" s="10">
        <v>85</v>
      </c>
      <c r="CE12" s="10">
        <v>96</v>
      </c>
      <c r="CF12" s="10">
        <v>78</v>
      </c>
      <c r="CG12" s="10">
        <v>84</v>
      </c>
      <c r="CH12" s="10">
        <v>85</v>
      </c>
      <c r="CI12" s="10">
        <v>97</v>
      </c>
      <c r="CJ12" s="10">
        <v>65</v>
      </c>
      <c r="CK12" s="10">
        <v>52</v>
      </c>
      <c r="CL12" s="10">
        <v>64</v>
      </c>
      <c r="CM12" s="10">
        <v>53</v>
      </c>
      <c r="CN12" s="10">
        <v>75</v>
      </c>
      <c r="CO12" s="10">
        <v>80</v>
      </c>
      <c r="CP12" s="10">
        <v>70</v>
      </c>
      <c r="CQ12" s="10">
        <v>71</v>
      </c>
      <c r="CR12" s="10">
        <v>70</v>
      </c>
      <c r="CS12" s="10">
        <v>68</v>
      </c>
      <c r="CT12" s="10">
        <v>80</v>
      </c>
      <c r="CU12" s="10">
        <v>91</v>
      </c>
      <c r="CV12" s="10">
        <v>65</v>
      </c>
      <c r="CW12" s="10">
        <v>61</v>
      </c>
      <c r="CX12" s="10">
        <v>90</v>
      </c>
      <c r="CY12" s="10">
        <v>98</v>
      </c>
      <c r="CZ12" s="10">
        <v>80</v>
      </c>
      <c r="DA12" s="10">
        <v>94</v>
      </c>
      <c r="DB12" s="10">
        <v>80</v>
      </c>
      <c r="DC12" s="10">
        <v>93</v>
      </c>
      <c r="DD12" s="10">
        <v>78</v>
      </c>
      <c r="DE12" s="10">
        <v>92</v>
      </c>
      <c r="DF12" s="10">
        <v>75</v>
      </c>
      <c r="DG12" s="10">
        <v>90</v>
      </c>
      <c r="DH12" s="10">
        <v>85</v>
      </c>
      <c r="DI12" s="10">
        <v>98</v>
      </c>
      <c r="DJ12" s="10">
        <v>85</v>
      </c>
      <c r="DK12" s="10">
        <v>95</v>
      </c>
      <c r="DL12" s="10">
        <v>70</v>
      </c>
      <c r="DM12" s="10">
        <v>72</v>
      </c>
      <c r="DN12" s="10">
        <v>64</v>
      </c>
      <c r="DO12" s="10">
        <v>55</v>
      </c>
      <c r="DP12" s="10">
        <v>60</v>
      </c>
      <c r="DQ12" s="10">
        <v>36</v>
      </c>
      <c r="DR12" s="10">
        <v>80</v>
      </c>
      <c r="DS12" s="10">
        <v>89</v>
      </c>
      <c r="DT12" s="10">
        <v>72</v>
      </c>
      <c r="DU12" s="10">
        <v>73</v>
      </c>
      <c r="DV12" s="10">
        <v>77</v>
      </c>
      <c r="DW12" s="10">
        <v>84</v>
      </c>
      <c r="DX12" s="10">
        <v>69</v>
      </c>
      <c r="DY12" s="10">
        <v>73</v>
      </c>
      <c r="DZ12" s="10">
        <v>75</v>
      </c>
      <c r="EA12" s="10">
        <v>87</v>
      </c>
      <c r="EB12" s="10">
        <v>70</v>
      </c>
      <c r="EC12" s="10">
        <v>67</v>
      </c>
      <c r="ED12" s="10">
        <v>69</v>
      </c>
      <c r="EE12" s="10">
        <v>80</v>
      </c>
      <c r="EF12" s="10">
        <v>69</v>
      </c>
      <c r="EG12" s="10">
        <v>76</v>
      </c>
      <c r="EH12" s="10">
        <v>75</v>
      </c>
      <c r="EI12" s="10">
        <v>90</v>
      </c>
      <c r="EJ12" s="10">
        <v>75</v>
      </c>
      <c r="EK12" s="10">
        <v>78</v>
      </c>
      <c r="EL12" s="10">
        <v>72</v>
      </c>
      <c r="EM12" s="10">
        <v>79</v>
      </c>
      <c r="EN12" s="10">
        <v>75</v>
      </c>
      <c r="EO12" s="10">
        <v>82</v>
      </c>
      <c r="EP12" s="10">
        <v>75</v>
      </c>
      <c r="EQ12" s="10">
        <v>86</v>
      </c>
      <c r="ER12" s="10">
        <v>85</v>
      </c>
      <c r="ES12" s="10">
        <v>97</v>
      </c>
      <c r="ET12" s="10">
        <v>80</v>
      </c>
      <c r="EU12" s="10">
        <v>92</v>
      </c>
    </row>
    <row r="13" spans="2:151">
      <c r="B13" s="9">
        <v>7</v>
      </c>
      <c r="C13" s="9">
        <v>60</v>
      </c>
      <c r="D13" s="9">
        <v>60</v>
      </c>
      <c r="E13" s="9">
        <v>53</v>
      </c>
      <c r="F13" s="9">
        <v>64</v>
      </c>
      <c r="G13" s="9">
        <v>37</v>
      </c>
      <c r="H13" s="9">
        <v>42</v>
      </c>
      <c r="I13" s="9">
        <v>65</v>
      </c>
      <c r="J13" s="9">
        <v>69</v>
      </c>
      <c r="K13" s="9">
        <v>65</v>
      </c>
      <c r="L13" s="9">
        <v>30</v>
      </c>
      <c r="M13" s="9">
        <v>62</v>
      </c>
      <c r="N13" s="9">
        <v>65</v>
      </c>
      <c r="O13" s="9">
        <v>63</v>
      </c>
      <c r="P13" s="9">
        <v>63</v>
      </c>
      <c r="Q13" s="9">
        <v>66</v>
      </c>
      <c r="R13" s="17">
        <v>80</v>
      </c>
      <c r="S13" s="9">
        <v>64</v>
      </c>
      <c r="T13" s="9">
        <v>66</v>
      </c>
      <c r="U13" s="9">
        <v>47</v>
      </c>
      <c r="V13" s="9">
        <v>89</v>
      </c>
      <c r="W13" s="9">
        <v>75</v>
      </c>
      <c r="X13" s="9">
        <v>69</v>
      </c>
      <c r="Y13" s="10">
        <v>60</v>
      </c>
      <c r="Z13" s="10">
        <v>68</v>
      </c>
      <c r="AA13" s="10">
        <v>72</v>
      </c>
      <c r="AC13" s="10">
        <v>7</v>
      </c>
      <c r="AD13" s="10">
        <v>0</v>
      </c>
      <c r="AE13" s="10">
        <v>35</v>
      </c>
      <c r="AF13" s="10">
        <v>53</v>
      </c>
      <c r="AH13" s="15">
        <v>7</v>
      </c>
      <c r="AI13" s="15">
        <v>9</v>
      </c>
      <c r="AJ13" s="15">
        <v>8</v>
      </c>
      <c r="AK13" s="15">
        <v>9</v>
      </c>
      <c r="AL13" s="15">
        <v>8</v>
      </c>
      <c r="AM13" s="15">
        <v>4</v>
      </c>
      <c r="AN13" s="15">
        <v>8</v>
      </c>
      <c r="AO13" s="15">
        <v>9</v>
      </c>
      <c r="AP13" s="15">
        <v>14</v>
      </c>
      <c r="AQ13" s="15">
        <v>16</v>
      </c>
      <c r="AR13" s="15">
        <v>1</v>
      </c>
      <c r="AS13" s="15">
        <v>12</v>
      </c>
      <c r="AT13" s="15">
        <v>11</v>
      </c>
      <c r="AU13" s="15">
        <v>13</v>
      </c>
      <c r="AV13" s="15">
        <v>17</v>
      </c>
      <c r="AW13" s="15">
        <v>21</v>
      </c>
      <c r="AX13" s="15">
        <v>13</v>
      </c>
      <c r="AY13" s="15">
        <v>17</v>
      </c>
      <c r="AZ13" s="15">
        <v>5</v>
      </c>
      <c r="BA13" s="15">
        <v>12</v>
      </c>
      <c r="BB13" s="10">
        <v>34</v>
      </c>
      <c r="BC13" s="10">
        <v>24</v>
      </c>
      <c r="BD13" s="10">
        <v>21</v>
      </c>
      <c r="BE13" s="10">
        <v>11</v>
      </c>
      <c r="BF13" s="10">
        <v>18</v>
      </c>
      <c r="BG13" s="10">
        <v>34</v>
      </c>
      <c r="BI13" s="10">
        <v>7</v>
      </c>
      <c r="BJ13" s="10">
        <v>80</v>
      </c>
      <c r="BK13" s="10">
        <v>93</v>
      </c>
      <c r="BL13" s="10">
        <v>75</v>
      </c>
      <c r="BM13" s="10">
        <v>85</v>
      </c>
      <c r="BN13" s="10">
        <v>75</v>
      </c>
      <c r="BO13" s="10">
        <v>82</v>
      </c>
      <c r="BP13" s="10">
        <v>82</v>
      </c>
      <c r="BQ13" s="10">
        <v>85</v>
      </c>
      <c r="BR13" s="10">
        <v>82</v>
      </c>
      <c r="BS13" s="10">
        <v>87</v>
      </c>
      <c r="BT13" s="10">
        <v>83</v>
      </c>
      <c r="BU13" s="10">
        <v>89</v>
      </c>
      <c r="BV13" s="10">
        <v>80</v>
      </c>
      <c r="BW13" s="10">
        <v>80</v>
      </c>
      <c r="BX13" s="10">
        <v>85</v>
      </c>
      <c r="BY13" s="10">
        <v>90</v>
      </c>
      <c r="BZ13" s="10">
        <v>82</v>
      </c>
      <c r="CA13" s="10">
        <v>83</v>
      </c>
      <c r="CB13" s="10">
        <v>80</v>
      </c>
      <c r="CC13" s="10">
        <v>87</v>
      </c>
      <c r="CD13" s="10">
        <v>100</v>
      </c>
      <c r="CE13" s="10">
        <v>99</v>
      </c>
      <c r="CF13" s="10">
        <v>82</v>
      </c>
      <c r="CG13" s="10">
        <v>91</v>
      </c>
      <c r="CH13" s="10">
        <v>100</v>
      </c>
      <c r="CI13" s="10">
        <v>99</v>
      </c>
      <c r="CJ13" s="10">
        <v>70</v>
      </c>
      <c r="CK13" s="10">
        <v>64</v>
      </c>
      <c r="CL13" s="10">
        <v>68</v>
      </c>
      <c r="CM13" s="10">
        <v>61</v>
      </c>
      <c r="CN13" s="10">
        <v>85</v>
      </c>
      <c r="CO13" s="10">
        <v>89</v>
      </c>
      <c r="CP13" s="10">
        <v>75</v>
      </c>
      <c r="CQ13" s="10">
        <v>84</v>
      </c>
      <c r="CR13" s="10">
        <v>75</v>
      </c>
      <c r="CS13" s="10">
        <v>84</v>
      </c>
      <c r="CT13" s="10">
        <v>85</v>
      </c>
      <c r="CU13" s="10">
        <v>96</v>
      </c>
      <c r="CV13" s="10">
        <v>70</v>
      </c>
      <c r="CW13" s="10">
        <v>71</v>
      </c>
      <c r="CX13" s="10">
        <v>95</v>
      </c>
      <c r="CY13" s="10">
        <v>99</v>
      </c>
      <c r="CZ13" s="10">
        <v>85</v>
      </c>
      <c r="DA13" s="10">
        <v>98</v>
      </c>
      <c r="DB13" s="10">
        <v>85</v>
      </c>
      <c r="DC13" s="10">
        <v>97</v>
      </c>
      <c r="DD13" s="10">
        <v>82</v>
      </c>
      <c r="DE13" s="10">
        <v>95</v>
      </c>
      <c r="DF13" s="10">
        <v>78</v>
      </c>
      <c r="DG13" s="10">
        <v>94</v>
      </c>
      <c r="DH13" s="10">
        <v>100</v>
      </c>
      <c r="DI13" s="10">
        <v>99</v>
      </c>
      <c r="DJ13" s="10">
        <v>100</v>
      </c>
      <c r="DK13" s="10">
        <v>99</v>
      </c>
      <c r="DL13" s="10">
        <v>75</v>
      </c>
      <c r="DM13" s="10">
        <v>86</v>
      </c>
      <c r="DN13" s="10">
        <v>68</v>
      </c>
      <c r="DO13" s="10">
        <v>66</v>
      </c>
      <c r="DP13" s="10">
        <v>68</v>
      </c>
      <c r="DQ13" s="10">
        <v>52</v>
      </c>
      <c r="DR13" s="10">
        <v>83</v>
      </c>
      <c r="DS13" s="10">
        <v>94</v>
      </c>
      <c r="DT13" s="10">
        <v>75</v>
      </c>
      <c r="DU13" s="10">
        <v>79</v>
      </c>
      <c r="DV13" s="10">
        <v>80</v>
      </c>
      <c r="DW13" s="10">
        <v>88</v>
      </c>
      <c r="DX13" s="10">
        <v>72</v>
      </c>
      <c r="DY13" s="10">
        <v>79</v>
      </c>
      <c r="DZ13" s="10">
        <v>80</v>
      </c>
      <c r="EA13" s="10">
        <v>93</v>
      </c>
      <c r="EB13" s="10">
        <v>75</v>
      </c>
      <c r="EC13" s="10">
        <v>79</v>
      </c>
      <c r="ED13" s="10">
        <v>72</v>
      </c>
      <c r="EE13" s="10">
        <v>87</v>
      </c>
      <c r="EF13" s="10">
        <v>71</v>
      </c>
      <c r="EG13" s="10">
        <v>82</v>
      </c>
      <c r="EH13" s="10">
        <v>78</v>
      </c>
      <c r="EI13" s="10">
        <v>94</v>
      </c>
      <c r="EJ13" s="10">
        <v>80</v>
      </c>
      <c r="EK13" s="10">
        <v>87</v>
      </c>
      <c r="EL13" s="10">
        <v>75</v>
      </c>
      <c r="EM13" s="10">
        <v>84</v>
      </c>
      <c r="EN13" s="10">
        <v>78</v>
      </c>
      <c r="EO13" s="10">
        <v>89</v>
      </c>
      <c r="EP13" s="10">
        <v>80</v>
      </c>
      <c r="EQ13" s="10">
        <v>93</v>
      </c>
      <c r="ER13" s="10">
        <v>100</v>
      </c>
      <c r="ES13" s="10">
        <v>99</v>
      </c>
      <c r="ET13" s="10">
        <v>83</v>
      </c>
      <c r="EU13" s="10">
        <v>95</v>
      </c>
    </row>
    <row r="14" spans="2:151">
      <c r="B14" s="9">
        <v>8</v>
      </c>
      <c r="C14" s="9">
        <v>62</v>
      </c>
      <c r="D14" s="9">
        <v>65</v>
      </c>
      <c r="E14" s="9">
        <v>60</v>
      </c>
      <c r="F14" s="9">
        <v>68</v>
      </c>
      <c r="G14" s="9">
        <v>43</v>
      </c>
      <c r="H14" s="9">
        <v>48</v>
      </c>
      <c r="I14" s="9">
        <v>67</v>
      </c>
      <c r="J14" s="9">
        <v>71</v>
      </c>
      <c r="K14" s="9">
        <v>67</v>
      </c>
      <c r="L14" s="9">
        <v>34</v>
      </c>
      <c r="M14" s="9">
        <v>65</v>
      </c>
      <c r="N14" s="9">
        <v>67</v>
      </c>
      <c r="O14" s="9">
        <v>65</v>
      </c>
      <c r="P14" s="9">
        <v>66</v>
      </c>
      <c r="Q14" s="9">
        <v>69</v>
      </c>
      <c r="R14" s="17">
        <v>83</v>
      </c>
      <c r="S14" s="9">
        <v>68</v>
      </c>
      <c r="T14" s="9">
        <v>69</v>
      </c>
      <c r="U14" s="9">
        <v>54</v>
      </c>
      <c r="V14" s="9">
        <v>94</v>
      </c>
      <c r="W14" s="9">
        <v>77</v>
      </c>
      <c r="X14" s="9">
        <v>71</v>
      </c>
      <c r="Y14" s="10">
        <v>61</v>
      </c>
      <c r="Z14" s="10">
        <v>72</v>
      </c>
      <c r="AA14" s="10">
        <v>74</v>
      </c>
      <c r="AC14" s="10">
        <v>8</v>
      </c>
      <c r="AD14" s="10">
        <v>2</v>
      </c>
      <c r="AE14" s="10">
        <v>40</v>
      </c>
      <c r="AF14" s="10">
        <v>56</v>
      </c>
      <c r="AH14" s="15">
        <v>8</v>
      </c>
      <c r="AI14" s="15">
        <v>9</v>
      </c>
      <c r="AJ14" s="15">
        <v>9</v>
      </c>
      <c r="AK14" s="15">
        <v>10</v>
      </c>
      <c r="AL14" s="15">
        <v>8</v>
      </c>
      <c r="AM14" s="15">
        <v>4</v>
      </c>
      <c r="AN14" s="15">
        <v>8</v>
      </c>
      <c r="AO14" s="15">
        <v>9</v>
      </c>
      <c r="AP14" s="15">
        <v>14</v>
      </c>
      <c r="AQ14" s="15">
        <v>16</v>
      </c>
      <c r="AR14" s="15">
        <v>1</v>
      </c>
      <c r="AS14" s="15">
        <v>12</v>
      </c>
      <c r="AT14" s="15">
        <v>11</v>
      </c>
      <c r="AU14" s="15">
        <v>13</v>
      </c>
      <c r="AV14" s="15">
        <v>18</v>
      </c>
      <c r="AW14" s="15">
        <v>21</v>
      </c>
      <c r="AX14" s="15">
        <v>13</v>
      </c>
      <c r="AY14" s="15">
        <v>17</v>
      </c>
      <c r="AZ14" s="15">
        <v>5</v>
      </c>
      <c r="BA14" s="15">
        <v>15</v>
      </c>
      <c r="BB14" s="10">
        <v>34</v>
      </c>
      <c r="BC14" s="10">
        <v>24</v>
      </c>
      <c r="BD14" s="10">
        <v>21</v>
      </c>
      <c r="BE14" s="10">
        <v>11</v>
      </c>
      <c r="BF14" s="10">
        <v>18</v>
      </c>
      <c r="BG14" s="10">
        <v>34</v>
      </c>
      <c r="BI14" s="10">
        <v>8</v>
      </c>
      <c r="BJ14" s="10">
        <v>85</v>
      </c>
      <c r="BK14" s="10">
        <v>97</v>
      </c>
      <c r="BL14" s="10">
        <v>85</v>
      </c>
      <c r="BM14" s="10">
        <v>92</v>
      </c>
      <c r="BN14" s="10">
        <v>80</v>
      </c>
      <c r="BO14" s="10">
        <v>89</v>
      </c>
      <c r="BP14" s="10">
        <v>85</v>
      </c>
      <c r="BQ14" s="10">
        <v>96</v>
      </c>
      <c r="BR14" s="10">
        <v>85</v>
      </c>
      <c r="BS14" s="10">
        <v>94</v>
      </c>
      <c r="BT14" s="10">
        <v>85</v>
      </c>
      <c r="BU14" s="10">
        <v>95</v>
      </c>
      <c r="BV14" s="10">
        <v>85</v>
      </c>
      <c r="BW14" s="10">
        <v>89</v>
      </c>
      <c r="BX14" s="10">
        <v>92</v>
      </c>
      <c r="BY14" s="10">
        <v>95</v>
      </c>
      <c r="BZ14" s="10">
        <v>85</v>
      </c>
      <c r="CA14" s="10">
        <v>90</v>
      </c>
      <c r="CB14" s="10">
        <v>85</v>
      </c>
      <c r="CC14" s="10">
        <v>94</v>
      </c>
      <c r="CF14" s="10">
        <v>85</v>
      </c>
      <c r="CG14" s="10">
        <v>96</v>
      </c>
      <c r="CJ14" s="10">
        <v>75</v>
      </c>
      <c r="CK14" s="10">
        <v>76</v>
      </c>
      <c r="CL14" s="10">
        <v>72</v>
      </c>
      <c r="CM14" s="10">
        <v>69</v>
      </c>
      <c r="CN14" s="10">
        <v>100</v>
      </c>
      <c r="CO14" s="10">
        <v>97</v>
      </c>
      <c r="CP14" s="10">
        <v>85</v>
      </c>
      <c r="CQ14" s="10">
        <v>95</v>
      </c>
      <c r="CR14" s="10">
        <v>85</v>
      </c>
      <c r="CS14" s="10">
        <v>96</v>
      </c>
      <c r="CT14" s="10">
        <v>92</v>
      </c>
      <c r="CU14" s="10">
        <v>98</v>
      </c>
      <c r="CV14" s="10">
        <v>75</v>
      </c>
      <c r="CW14" s="10">
        <v>82</v>
      </c>
      <c r="CX14" s="10">
        <v>100</v>
      </c>
      <c r="CY14" s="10">
        <v>99</v>
      </c>
      <c r="CZ14" s="10">
        <v>100</v>
      </c>
      <c r="DA14" s="10">
        <v>99</v>
      </c>
      <c r="DB14" s="10">
        <v>90</v>
      </c>
      <c r="DC14" s="10">
        <v>99</v>
      </c>
      <c r="DD14" s="10">
        <v>85</v>
      </c>
      <c r="DE14" s="10">
        <v>97</v>
      </c>
      <c r="DF14" s="10">
        <v>82</v>
      </c>
      <c r="DG14" s="10">
        <v>97</v>
      </c>
      <c r="DL14" s="10">
        <v>85</v>
      </c>
      <c r="DM14" s="10">
        <v>96</v>
      </c>
      <c r="DN14" s="10">
        <v>72</v>
      </c>
      <c r="DO14" s="10">
        <v>76</v>
      </c>
      <c r="DP14" s="10">
        <v>75</v>
      </c>
      <c r="DQ14" s="10">
        <v>72</v>
      </c>
      <c r="DR14" s="10">
        <v>85</v>
      </c>
      <c r="DS14" s="10">
        <v>97</v>
      </c>
      <c r="DT14" s="10">
        <v>78</v>
      </c>
      <c r="DU14" s="10">
        <v>85</v>
      </c>
      <c r="DV14" s="10">
        <v>83</v>
      </c>
      <c r="DW14" s="10">
        <v>93</v>
      </c>
      <c r="DX14" s="10">
        <v>75</v>
      </c>
      <c r="DY14" s="10">
        <v>84</v>
      </c>
      <c r="DZ14" s="10">
        <v>85</v>
      </c>
      <c r="EA14" s="10">
        <v>97</v>
      </c>
      <c r="EB14" s="10">
        <v>80</v>
      </c>
      <c r="EC14" s="10">
        <v>89</v>
      </c>
      <c r="ED14" s="10">
        <v>75</v>
      </c>
      <c r="EE14" s="10">
        <v>93</v>
      </c>
      <c r="EF14" s="10">
        <v>73</v>
      </c>
      <c r="EG14" s="10">
        <v>87</v>
      </c>
      <c r="EH14" s="10">
        <v>82</v>
      </c>
      <c r="EI14" s="10">
        <v>96</v>
      </c>
      <c r="EJ14" s="10">
        <v>85</v>
      </c>
      <c r="EK14" s="10">
        <v>95</v>
      </c>
      <c r="EL14" s="10">
        <v>78</v>
      </c>
      <c r="EM14" s="10">
        <v>90</v>
      </c>
      <c r="EN14" s="10">
        <v>82</v>
      </c>
      <c r="EO14" s="10">
        <v>94</v>
      </c>
      <c r="EP14" s="10">
        <v>85</v>
      </c>
      <c r="EQ14" s="10">
        <v>97</v>
      </c>
      <c r="ET14" s="10">
        <v>85</v>
      </c>
      <c r="EU14" s="10">
        <v>97</v>
      </c>
    </row>
    <row r="15" spans="2:151">
      <c r="B15" s="9">
        <v>9</v>
      </c>
      <c r="C15" s="9">
        <v>64</v>
      </c>
      <c r="D15" s="9">
        <v>70</v>
      </c>
      <c r="E15" s="9">
        <v>65</v>
      </c>
      <c r="F15" s="9">
        <v>72</v>
      </c>
      <c r="G15" s="9">
        <v>49</v>
      </c>
      <c r="H15" s="9">
        <v>54</v>
      </c>
      <c r="I15" s="9">
        <v>69</v>
      </c>
      <c r="J15" s="9">
        <v>73</v>
      </c>
      <c r="K15" s="9">
        <v>69</v>
      </c>
      <c r="L15" s="9">
        <v>39</v>
      </c>
      <c r="M15" s="9">
        <v>67</v>
      </c>
      <c r="N15" s="9">
        <v>69</v>
      </c>
      <c r="O15" s="9">
        <v>66</v>
      </c>
      <c r="P15" s="9">
        <v>69</v>
      </c>
      <c r="Q15" s="9">
        <v>71</v>
      </c>
      <c r="R15" s="17">
        <v>85</v>
      </c>
      <c r="S15" s="9">
        <v>72</v>
      </c>
      <c r="T15" s="9">
        <v>72</v>
      </c>
      <c r="U15" s="9">
        <v>60</v>
      </c>
      <c r="V15" s="9">
        <v>98</v>
      </c>
      <c r="W15" s="9">
        <v>80</v>
      </c>
      <c r="X15" s="10">
        <v>73</v>
      </c>
      <c r="Y15" s="9">
        <v>63</v>
      </c>
      <c r="Z15" s="10">
        <v>75</v>
      </c>
      <c r="AA15" s="10">
        <v>75</v>
      </c>
      <c r="AC15" s="10">
        <v>9</v>
      </c>
      <c r="AD15" s="10">
        <v>5</v>
      </c>
      <c r="AE15" s="10">
        <v>45</v>
      </c>
      <c r="AF15" s="10">
        <v>60</v>
      </c>
      <c r="AH15" s="15">
        <v>9</v>
      </c>
      <c r="AI15" s="15">
        <v>10</v>
      </c>
      <c r="AJ15" s="15">
        <v>11</v>
      </c>
      <c r="AK15" s="15">
        <v>13</v>
      </c>
      <c r="AL15" s="15">
        <v>8</v>
      </c>
      <c r="AM15" s="15">
        <v>4</v>
      </c>
      <c r="AN15" s="15">
        <v>8</v>
      </c>
      <c r="AO15" s="15">
        <v>9</v>
      </c>
      <c r="AP15" s="15">
        <v>14</v>
      </c>
      <c r="AQ15" s="15">
        <v>16</v>
      </c>
      <c r="AR15" s="15">
        <v>1</v>
      </c>
      <c r="AS15" s="15">
        <v>12</v>
      </c>
      <c r="AT15" s="15">
        <v>11</v>
      </c>
      <c r="AU15" s="15">
        <v>13</v>
      </c>
      <c r="AV15" s="15">
        <v>18</v>
      </c>
      <c r="AW15" s="15">
        <v>21</v>
      </c>
      <c r="AX15" s="15">
        <v>13</v>
      </c>
      <c r="AY15" s="15">
        <v>17</v>
      </c>
      <c r="AZ15" s="15">
        <v>5</v>
      </c>
      <c r="BA15" s="15">
        <v>16</v>
      </c>
      <c r="BB15" s="10">
        <v>34</v>
      </c>
      <c r="BC15" s="10">
        <v>24</v>
      </c>
      <c r="BD15" s="10">
        <v>21</v>
      </c>
      <c r="BE15" s="10">
        <v>13</v>
      </c>
      <c r="BF15" s="10">
        <v>18</v>
      </c>
      <c r="BG15" s="10">
        <v>34</v>
      </c>
      <c r="BI15" s="10">
        <v>9</v>
      </c>
      <c r="BJ15" s="10">
        <v>100</v>
      </c>
      <c r="BK15" s="10">
        <v>100</v>
      </c>
      <c r="BL15" s="10">
        <v>100</v>
      </c>
      <c r="BM15" s="10">
        <v>98</v>
      </c>
      <c r="BN15" s="10">
        <v>85</v>
      </c>
      <c r="BO15" s="10">
        <v>95</v>
      </c>
      <c r="BR15" s="10">
        <v>100</v>
      </c>
      <c r="BS15" s="10">
        <v>98</v>
      </c>
      <c r="BT15" s="10">
        <v>100</v>
      </c>
      <c r="BU15" s="10">
        <v>98</v>
      </c>
      <c r="BV15" s="10">
        <v>100</v>
      </c>
      <c r="BW15" s="10">
        <v>97</v>
      </c>
      <c r="BX15" s="10">
        <v>100</v>
      </c>
      <c r="BY15" s="10">
        <v>99</v>
      </c>
      <c r="BZ15" s="10">
        <v>100</v>
      </c>
      <c r="CA15" s="10">
        <v>97</v>
      </c>
      <c r="CB15" s="10">
        <v>100</v>
      </c>
      <c r="CC15" s="10">
        <v>98</v>
      </c>
      <c r="CF15" s="10">
        <v>100</v>
      </c>
      <c r="CG15" s="10">
        <v>99</v>
      </c>
      <c r="CJ15" s="10">
        <v>80</v>
      </c>
      <c r="CK15" s="10">
        <v>88</v>
      </c>
      <c r="CL15" s="10">
        <v>75</v>
      </c>
      <c r="CM15" s="10">
        <v>77</v>
      </c>
      <c r="CR15" s="10">
        <v>100</v>
      </c>
      <c r="CS15" s="10">
        <v>99</v>
      </c>
      <c r="CV15" s="10">
        <v>100</v>
      </c>
      <c r="CW15" s="10">
        <v>99</v>
      </c>
      <c r="DD15" s="10">
        <v>95</v>
      </c>
      <c r="DE15" s="10">
        <v>99</v>
      </c>
      <c r="DF15" s="10">
        <v>92</v>
      </c>
      <c r="DG15" s="10">
        <v>99</v>
      </c>
      <c r="DN15" s="10">
        <v>75</v>
      </c>
      <c r="DO15" s="10">
        <v>84</v>
      </c>
      <c r="DP15" s="10">
        <v>85</v>
      </c>
      <c r="DQ15" s="10">
        <v>92</v>
      </c>
      <c r="DR15" s="10">
        <v>100</v>
      </c>
      <c r="DS15" s="10">
        <v>99</v>
      </c>
      <c r="DT15" s="10">
        <v>82</v>
      </c>
      <c r="DU15" s="10">
        <v>92</v>
      </c>
      <c r="DV15" s="10">
        <v>85</v>
      </c>
      <c r="DW15" s="10">
        <v>97</v>
      </c>
      <c r="DX15" s="10">
        <v>78</v>
      </c>
      <c r="DY15" s="10">
        <v>88</v>
      </c>
      <c r="DZ15" s="10">
        <v>100</v>
      </c>
      <c r="EA15" s="10">
        <v>99</v>
      </c>
      <c r="EB15" s="10">
        <v>85</v>
      </c>
      <c r="EC15" s="10">
        <v>97</v>
      </c>
      <c r="ED15" s="10">
        <v>85</v>
      </c>
      <c r="EE15" s="10">
        <v>98</v>
      </c>
      <c r="EF15" s="10">
        <v>75</v>
      </c>
      <c r="EG15" s="10">
        <v>92</v>
      </c>
      <c r="EH15" s="10">
        <v>85</v>
      </c>
      <c r="EI15" s="10">
        <v>98</v>
      </c>
      <c r="EL15" s="10">
        <v>82</v>
      </c>
      <c r="EM15" s="10">
        <v>94</v>
      </c>
      <c r="EN15" s="10">
        <v>85</v>
      </c>
      <c r="EO15" s="10">
        <v>98</v>
      </c>
      <c r="EP15" s="10">
        <v>100</v>
      </c>
      <c r="EQ15" s="10">
        <v>99</v>
      </c>
      <c r="ET15" s="10">
        <v>92</v>
      </c>
      <c r="EU15" s="10">
        <v>98</v>
      </c>
    </row>
    <row r="16" spans="2:151">
      <c r="B16" s="9">
        <v>10</v>
      </c>
      <c r="C16" s="9">
        <v>66</v>
      </c>
      <c r="D16" s="9">
        <v>75</v>
      </c>
      <c r="E16" s="9">
        <v>70</v>
      </c>
      <c r="F16" s="9">
        <v>75</v>
      </c>
      <c r="G16" s="9">
        <v>54</v>
      </c>
      <c r="H16" s="9">
        <v>60</v>
      </c>
      <c r="I16" s="9">
        <v>72</v>
      </c>
      <c r="J16" s="9">
        <v>75</v>
      </c>
      <c r="K16" s="9">
        <v>71</v>
      </c>
      <c r="L16" s="9">
        <v>43</v>
      </c>
      <c r="M16" s="9">
        <v>69</v>
      </c>
      <c r="N16" s="9">
        <v>72</v>
      </c>
      <c r="O16" s="9">
        <v>67</v>
      </c>
      <c r="P16" s="10">
        <v>72</v>
      </c>
      <c r="Q16" s="9">
        <v>73</v>
      </c>
      <c r="R16" s="17">
        <v>88</v>
      </c>
      <c r="S16" s="9">
        <v>75</v>
      </c>
      <c r="T16" s="9">
        <v>75</v>
      </c>
      <c r="U16" s="9">
        <v>61</v>
      </c>
      <c r="V16" s="9">
        <v>102</v>
      </c>
      <c r="W16" s="9">
        <v>83</v>
      </c>
      <c r="X16" s="10">
        <v>75</v>
      </c>
      <c r="Y16" s="9">
        <v>64</v>
      </c>
      <c r="Z16" s="10">
        <v>77</v>
      </c>
      <c r="AA16" s="10">
        <v>76</v>
      </c>
      <c r="AC16" s="10">
        <v>10</v>
      </c>
      <c r="AD16" s="10">
        <v>7</v>
      </c>
      <c r="AE16" s="10">
        <v>50</v>
      </c>
      <c r="AF16" s="10">
        <v>62</v>
      </c>
      <c r="AH16" s="15">
        <v>10</v>
      </c>
      <c r="AI16" s="15">
        <v>12</v>
      </c>
      <c r="AJ16" s="15">
        <v>14</v>
      </c>
      <c r="AK16" s="15">
        <v>13</v>
      </c>
      <c r="AL16" s="15">
        <v>11</v>
      </c>
      <c r="AM16" s="15">
        <v>4</v>
      </c>
      <c r="AN16" s="15">
        <v>8</v>
      </c>
      <c r="AO16" s="15">
        <v>9</v>
      </c>
      <c r="AP16" s="15">
        <v>14</v>
      </c>
      <c r="AQ16" s="15">
        <v>17</v>
      </c>
      <c r="AR16" s="15">
        <v>1</v>
      </c>
      <c r="AS16" s="15">
        <v>15</v>
      </c>
      <c r="AT16" s="15">
        <v>12</v>
      </c>
      <c r="AU16" s="15">
        <v>14</v>
      </c>
      <c r="AV16" s="15">
        <v>21</v>
      </c>
      <c r="AW16" s="15">
        <v>21</v>
      </c>
      <c r="AX16" s="15">
        <v>13</v>
      </c>
      <c r="AY16" s="15">
        <v>19</v>
      </c>
      <c r="AZ16" s="15">
        <v>5</v>
      </c>
      <c r="BA16" s="15">
        <v>17</v>
      </c>
      <c r="BB16" s="10">
        <v>34</v>
      </c>
      <c r="BC16" s="10">
        <v>24</v>
      </c>
      <c r="BD16" s="10">
        <v>21</v>
      </c>
      <c r="BE16" s="10">
        <v>16</v>
      </c>
      <c r="BF16" s="10">
        <v>18</v>
      </c>
      <c r="BG16" s="10">
        <v>34</v>
      </c>
      <c r="BI16" s="10">
        <v>10</v>
      </c>
      <c r="BN16" s="10">
        <v>100</v>
      </c>
      <c r="BO16" s="10">
        <v>99</v>
      </c>
      <c r="CJ16" s="10">
        <v>85</v>
      </c>
      <c r="CK16" s="10">
        <v>97</v>
      </c>
      <c r="CL16" s="10">
        <v>78</v>
      </c>
      <c r="CM16" s="10">
        <v>86</v>
      </c>
      <c r="DD16" s="10">
        <v>100</v>
      </c>
      <c r="DE16" s="10">
        <v>99</v>
      </c>
      <c r="DF16" s="10">
        <v>100</v>
      </c>
      <c r="DG16" s="10">
        <v>99</v>
      </c>
      <c r="DN16" s="10">
        <v>80</v>
      </c>
      <c r="DO16" s="10">
        <v>91</v>
      </c>
      <c r="DT16" s="10">
        <v>85</v>
      </c>
      <c r="DU16" s="10">
        <v>95</v>
      </c>
      <c r="DV16" s="10">
        <v>100</v>
      </c>
      <c r="DW16" s="10">
        <v>99</v>
      </c>
      <c r="DX16" s="10">
        <v>82</v>
      </c>
      <c r="DY16" s="10">
        <v>93</v>
      </c>
      <c r="EF16" s="10">
        <v>85</v>
      </c>
      <c r="EG16" s="10">
        <v>97</v>
      </c>
      <c r="EH16" s="10">
        <v>92</v>
      </c>
      <c r="EI16" s="10">
        <v>99</v>
      </c>
      <c r="EL16" s="10">
        <v>85</v>
      </c>
      <c r="EM16" s="10">
        <v>98</v>
      </c>
      <c r="EN16" s="10">
        <v>100</v>
      </c>
      <c r="EO16" s="10">
        <v>99</v>
      </c>
      <c r="ET16" s="10">
        <v>100</v>
      </c>
      <c r="EU16" s="10">
        <v>99</v>
      </c>
    </row>
    <row r="17" spans="2:143">
      <c r="B17" s="10">
        <v>11</v>
      </c>
      <c r="C17" s="10">
        <v>69</v>
      </c>
      <c r="D17" s="10">
        <v>76</v>
      </c>
      <c r="E17" s="10">
        <v>75</v>
      </c>
      <c r="F17" s="10">
        <v>76</v>
      </c>
      <c r="G17" s="10">
        <v>60</v>
      </c>
      <c r="H17" s="10">
        <v>61</v>
      </c>
      <c r="I17" s="10">
        <v>75</v>
      </c>
      <c r="J17" s="10">
        <v>77</v>
      </c>
      <c r="K17" s="10">
        <v>73</v>
      </c>
      <c r="L17" s="9">
        <v>47</v>
      </c>
      <c r="M17" s="10">
        <v>72</v>
      </c>
      <c r="N17" s="10">
        <v>75</v>
      </c>
      <c r="O17" s="10">
        <v>68</v>
      </c>
      <c r="P17" s="10">
        <v>75</v>
      </c>
      <c r="Q17" s="10">
        <v>75</v>
      </c>
      <c r="R17" s="18">
        <v>91</v>
      </c>
      <c r="S17" s="10">
        <v>78</v>
      </c>
      <c r="T17" s="10">
        <v>78</v>
      </c>
      <c r="U17" s="10">
        <v>63</v>
      </c>
      <c r="V17" s="10">
        <v>106</v>
      </c>
      <c r="W17" s="10">
        <v>85</v>
      </c>
      <c r="X17" s="10">
        <v>78</v>
      </c>
      <c r="Y17" s="9">
        <v>65</v>
      </c>
      <c r="Z17" s="10">
        <v>79</v>
      </c>
      <c r="AA17" s="10">
        <v>78</v>
      </c>
      <c r="AC17" s="10">
        <v>11</v>
      </c>
      <c r="AD17" s="10">
        <v>10</v>
      </c>
      <c r="AE17" s="10">
        <v>55</v>
      </c>
      <c r="AF17" s="10">
        <v>64</v>
      </c>
      <c r="AH17" s="15">
        <v>11</v>
      </c>
      <c r="AI17" s="15">
        <v>12</v>
      </c>
      <c r="AJ17" s="15">
        <v>14</v>
      </c>
      <c r="AK17" s="15">
        <v>13</v>
      </c>
      <c r="AL17" s="15">
        <v>13</v>
      </c>
      <c r="AM17" s="15">
        <v>6</v>
      </c>
      <c r="AN17" s="15">
        <v>9</v>
      </c>
      <c r="AO17" s="15">
        <v>9</v>
      </c>
      <c r="AP17" s="15">
        <v>14</v>
      </c>
      <c r="AQ17" s="15">
        <v>17</v>
      </c>
      <c r="AR17" s="15">
        <v>1</v>
      </c>
      <c r="AS17" s="15">
        <v>17</v>
      </c>
      <c r="AT17" s="15">
        <v>13</v>
      </c>
      <c r="AU17" s="15">
        <v>14</v>
      </c>
      <c r="AV17" s="15">
        <v>24</v>
      </c>
      <c r="AW17" s="15">
        <v>21</v>
      </c>
      <c r="AX17" s="15">
        <v>13</v>
      </c>
      <c r="AY17" s="15">
        <v>22</v>
      </c>
      <c r="AZ17" s="15">
        <v>5</v>
      </c>
      <c r="BA17" s="15">
        <v>17</v>
      </c>
      <c r="BB17" s="10">
        <v>34</v>
      </c>
      <c r="BC17" s="10">
        <v>24</v>
      </c>
      <c r="BD17" s="10">
        <v>21</v>
      </c>
      <c r="BE17" s="10">
        <v>17</v>
      </c>
      <c r="BF17" s="10">
        <v>18</v>
      </c>
      <c r="BG17" s="10">
        <v>34</v>
      </c>
      <c r="BI17" s="10">
        <v>11</v>
      </c>
      <c r="CL17" s="10">
        <v>82</v>
      </c>
      <c r="CM17" s="10">
        <v>93</v>
      </c>
      <c r="DN17" s="10">
        <v>85</v>
      </c>
      <c r="DO17" s="10">
        <v>97</v>
      </c>
      <c r="DT17" s="10">
        <v>100</v>
      </c>
      <c r="DU17" s="10">
        <v>99</v>
      </c>
      <c r="DX17" s="10">
        <v>85</v>
      </c>
      <c r="DY17" s="10">
        <v>96</v>
      </c>
      <c r="EF17" s="10">
        <v>100</v>
      </c>
      <c r="EG17" s="10">
        <v>99</v>
      </c>
      <c r="EH17" s="10">
        <v>100</v>
      </c>
      <c r="EI17" s="10">
        <v>99</v>
      </c>
      <c r="EL17" s="10">
        <v>100</v>
      </c>
      <c r="EM17" s="10">
        <v>99</v>
      </c>
    </row>
    <row r="18" spans="2:143">
      <c r="B18" s="10">
        <v>12</v>
      </c>
      <c r="C18" s="10">
        <v>71</v>
      </c>
      <c r="D18" s="10">
        <v>77</v>
      </c>
      <c r="E18" s="10">
        <v>76</v>
      </c>
      <c r="F18" s="10">
        <v>78</v>
      </c>
      <c r="G18" s="10">
        <v>62</v>
      </c>
      <c r="H18" s="10">
        <v>63</v>
      </c>
      <c r="I18" s="10">
        <v>77</v>
      </c>
      <c r="J18" s="10">
        <v>79</v>
      </c>
      <c r="K18" s="10">
        <v>74</v>
      </c>
      <c r="L18" s="9">
        <v>52</v>
      </c>
      <c r="M18" s="10">
        <v>75</v>
      </c>
      <c r="N18" s="10">
        <v>76</v>
      </c>
      <c r="O18" s="10">
        <v>69</v>
      </c>
      <c r="P18" s="10">
        <v>76</v>
      </c>
      <c r="Q18" s="10">
        <v>76</v>
      </c>
      <c r="R18" s="18">
        <v>94</v>
      </c>
      <c r="S18" s="10">
        <v>82</v>
      </c>
      <c r="T18" s="10">
        <v>82</v>
      </c>
      <c r="U18" s="10">
        <v>65</v>
      </c>
      <c r="V18" s="10">
        <v>111</v>
      </c>
      <c r="W18" s="10">
        <v>89</v>
      </c>
      <c r="X18" s="10">
        <v>82</v>
      </c>
      <c r="Y18" s="9">
        <v>66</v>
      </c>
      <c r="Z18" s="10">
        <v>80</v>
      </c>
      <c r="AA18" s="10">
        <v>79</v>
      </c>
      <c r="AC18" s="10">
        <v>12</v>
      </c>
      <c r="AD18" s="10">
        <v>12</v>
      </c>
      <c r="AE18" s="10">
        <v>60</v>
      </c>
      <c r="AF18" s="10">
        <v>66</v>
      </c>
      <c r="AH18" s="15">
        <v>12</v>
      </c>
      <c r="AI18" s="15">
        <v>12</v>
      </c>
      <c r="AJ18" s="15">
        <v>15</v>
      </c>
      <c r="AK18" s="15">
        <v>14</v>
      </c>
      <c r="AL18" s="15">
        <v>14</v>
      </c>
      <c r="AM18" s="15">
        <v>8</v>
      </c>
      <c r="AN18" s="15">
        <v>11</v>
      </c>
      <c r="AO18" s="15">
        <v>12</v>
      </c>
      <c r="AP18" s="15">
        <v>14</v>
      </c>
      <c r="AQ18" s="15">
        <v>17</v>
      </c>
      <c r="AR18" s="15">
        <v>1</v>
      </c>
      <c r="AS18" s="15">
        <v>17</v>
      </c>
      <c r="AT18" s="15">
        <v>16</v>
      </c>
      <c r="AU18" s="15">
        <v>17</v>
      </c>
      <c r="AV18" s="15">
        <v>24</v>
      </c>
      <c r="AW18" s="15">
        <v>21</v>
      </c>
      <c r="AX18" s="15">
        <v>13</v>
      </c>
      <c r="AY18" s="15">
        <v>23</v>
      </c>
      <c r="AZ18" s="15">
        <v>8</v>
      </c>
      <c r="BA18" s="15">
        <v>17</v>
      </c>
      <c r="BB18" s="10">
        <v>34</v>
      </c>
      <c r="BC18" s="10">
        <v>24</v>
      </c>
      <c r="BD18" s="10">
        <v>21</v>
      </c>
      <c r="BE18" s="10">
        <v>17</v>
      </c>
      <c r="BF18" s="10">
        <v>21</v>
      </c>
      <c r="BG18" s="10">
        <v>34</v>
      </c>
      <c r="BI18" s="10">
        <v>12</v>
      </c>
      <c r="DN18" s="10">
        <v>100</v>
      </c>
      <c r="DO18" s="10">
        <v>99</v>
      </c>
      <c r="DX18" s="10">
        <v>100</v>
      </c>
      <c r="DY18" s="10">
        <v>99</v>
      </c>
    </row>
    <row r="19" spans="2:143">
      <c r="B19" s="10">
        <v>13</v>
      </c>
      <c r="C19" s="10">
        <v>73</v>
      </c>
      <c r="D19" s="10">
        <v>78</v>
      </c>
      <c r="E19" s="10">
        <v>77</v>
      </c>
      <c r="F19" s="10">
        <v>79</v>
      </c>
      <c r="G19" s="10">
        <v>65</v>
      </c>
      <c r="H19" s="10">
        <v>65</v>
      </c>
      <c r="I19" s="10">
        <v>79</v>
      </c>
      <c r="J19" s="10">
        <v>81</v>
      </c>
      <c r="K19" s="10">
        <v>75</v>
      </c>
      <c r="L19" s="9">
        <v>56</v>
      </c>
      <c r="M19" s="10">
        <v>76</v>
      </c>
      <c r="N19" s="10">
        <v>77</v>
      </c>
      <c r="O19" s="10">
        <v>71</v>
      </c>
      <c r="P19" s="10">
        <v>77</v>
      </c>
      <c r="Q19" s="10">
        <v>78</v>
      </c>
      <c r="R19" s="18">
        <v>97</v>
      </c>
      <c r="S19" s="10">
        <v>85</v>
      </c>
      <c r="T19" s="10">
        <v>85</v>
      </c>
      <c r="U19" s="10">
        <v>67</v>
      </c>
      <c r="V19" s="10">
        <v>115</v>
      </c>
      <c r="W19" s="10">
        <v>94</v>
      </c>
      <c r="X19" s="10">
        <v>85</v>
      </c>
      <c r="Y19" s="9">
        <v>67</v>
      </c>
      <c r="Z19" s="10">
        <v>81</v>
      </c>
      <c r="AA19" s="10">
        <v>81</v>
      </c>
      <c r="AC19" s="10">
        <v>13</v>
      </c>
      <c r="AD19" s="10">
        <v>15</v>
      </c>
      <c r="AE19" s="10">
        <v>63</v>
      </c>
      <c r="AF19" s="10">
        <v>68</v>
      </c>
      <c r="AH19" s="15">
        <v>13</v>
      </c>
      <c r="AI19" s="15">
        <v>12</v>
      </c>
      <c r="AJ19" s="15">
        <v>15</v>
      </c>
      <c r="AK19" s="15">
        <v>15</v>
      </c>
      <c r="AL19" s="15">
        <v>14</v>
      </c>
      <c r="AM19" s="15">
        <v>8</v>
      </c>
      <c r="AN19" s="15">
        <v>12</v>
      </c>
      <c r="AO19" s="15">
        <v>14</v>
      </c>
      <c r="AP19" s="15">
        <v>14</v>
      </c>
      <c r="AQ19" s="15">
        <v>17</v>
      </c>
      <c r="AR19" s="15">
        <v>1</v>
      </c>
      <c r="AS19" s="15">
        <v>18</v>
      </c>
      <c r="AT19" s="15">
        <v>19</v>
      </c>
      <c r="AU19" s="15">
        <v>20</v>
      </c>
      <c r="AV19" s="15">
        <v>25</v>
      </c>
      <c r="AW19" s="15">
        <v>21</v>
      </c>
      <c r="AX19" s="15">
        <v>13</v>
      </c>
      <c r="AY19" s="15">
        <v>24</v>
      </c>
      <c r="AZ19" s="15">
        <v>11</v>
      </c>
      <c r="BA19" s="15">
        <v>17</v>
      </c>
      <c r="BB19" s="10">
        <v>34</v>
      </c>
      <c r="BC19" s="10">
        <v>24</v>
      </c>
      <c r="BD19" s="10">
        <v>21</v>
      </c>
      <c r="BE19" s="10">
        <v>17</v>
      </c>
      <c r="BF19" s="10">
        <v>25</v>
      </c>
      <c r="BG19" s="10">
        <v>34</v>
      </c>
    </row>
    <row r="20" spans="2:143">
      <c r="B20" s="10">
        <v>14</v>
      </c>
      <c r="C20" s="10">
        <v>75</v>
      </c>
      <c r="D20" s="10">
        <v>79</v>
      </c>
      <c r="E20" s="10">
        <v>78</v>
      </c>
      <c r="F20" s="10">
        <v>81</v>
      </c>
      <c r="G20" s="10">
        <v>67</v>
      </c>
      <c r="H20" s="10">
        <v>67</v>
      </c>
      <c r="I20" s="10">
        <v>81</v>
      </c>
      <c r="J20" s="10">
        <v>83</v>
      </c>
      <c r="K20" s="10">
        <v>77</v>
      </c>
      <c r="L20" s="9">
        <v>60</v>
      </c>
      <c r="M20" s="10">
        <v>77</v>
      </c>
      <c r="N20" s="10">
        <v>78</v>
      </c>
      <c r="O20" s="10">
        <v>73</v>
      </c>
      <c r="P20" s="10">
        <v>78</v>
      </c>
      <c r="Q20" s="10">
        <v>79</v>
      </c>
      <c r="R20" s="18">
        <v>100</v>
      </c>
      <c r="S20" s="10">
        <v>100</v>
      </c>
      <c r="T20" s="10">
        <v>90</v>
      </c>
      <c r="U20" s="10">
        <v>69</v>
      </c>
      <c r="W20" s="10">
        <v>98</v>
      </c>
      <c r="X20" s="10">
        <v>90</v>
      </c>
      <c r="Y20" s="9">
        <v>68</v>
      </c>
      <c r="Z20" s="10">
        <v>83</v>
      </c>
      <c r="AA20" s="10">
        <v>82</v>
      </c>
      <c r="AC20" s="10">
        <v>14</v>
      </c>
      <c r="AD20" s="10">
        <v>17</v>
      </c>
      <c r="AE20" s="10">
        <v>66</v>
      </c>
      <c r="AF20" s="10">
        <v>70</v>
      </c>
      <c r="AH20" s="15">
        <v>14</v>
      </c>
      <c r="AI20" s="15">
        <v>13</v>
      </c>
      <c r="AJ20" s="15">
        <v>16</v>
      </c>
      <c r="AK20" s="15">
        <v>16</v>
      </c>
      <c r="AL20" s="15">
        <v>14</v>
      </c>
      <c r="AM20" s="15">
        <v>8</v>
      </c>
      <c r="AN20" s="15">
        <v>13</v>
      </c>
      <c r="AO20" s="15">
        <v>14</v>
      </c>
      <c r="AP20" s="15">
        <v>14</v>
      </c>
      <c r="AQ20" s="15">
        <v>17</v>
      </c>
      <c r="AR20" s="15">
        <v>2</v>
      </c>
      <c r="AS20" s="15">
        <v>18</v>
      </c>
      <c r="AT20" s="15">
        <v>19</v>
      </c>
      <c r="AU20" s="15">
        <v>21</v>
      </c>
      <c r="AV20" s="15">
        <v>25</v>
      </c>
      <c r="AW20" s="15">
        <v>21</v>
      </c>
      <c r="AX20" s="15">
        <v>13</v>
      </c>
      <c r="AY20" s="15">
        <v>24</v>
      </c>
      <c r="AZ20" s="15">
        <v>11</v>
      </c>
      <c r="BA20" s="15">
        <v>20</v>
      </c>
      <c r="BB20" s="10">
        <v>34</v>
      </c>
      <c r="BC20" s="10">
        <v>24</v>
      </c>
      <c r="BD20" s="10">
        <v>21</v>
      </c>
      <c r="BE20" s="10">
        <v>18</v>
      </c>
      <c r="BF20" s="10">
        <v>25</v>
      </c>
      <c r="BG20" s="10">
        <v>34</v>
      </c>
    </row>
    <row r="21" spans="2:143">
      <c r="B21" s="10">
        <v>15</v>
      </c>
      <c r="C21" s="10">
        <v>76</v>
      </c>
      <c r="D21" s="10">
        <v>81</v>
      </c>
      <c r="E21" s="10">
        <v>79</v>
      </c>
      <c r="F21" s="10">
        <v>82</v>
      </c>
      <c r="G21" s="10">
        <v>69</v>
      </c>
      <c r="H21" s="10">
        <v>68</v>
      </c>
      <c r="I21" s="10">
        <v>83</v>
      </c>
      <c r="J21" s="10">
        <v>85</v>
      </c>
      <c r="K21" s="10">
        <v>79</v>
      </c>
      <c r="L21" s="9">
        <v>62</v>
      </c>
      <c r="M21" s="10">
        <v>78</v>
      </c>
      <c r="N21" s="10">
        <v>79</v>
      </c>
      <c r="O21" s="10">
        <v>74</v>
      </c>
      <c r="P21" s="10">
        <v>79</v>
      </c>
      <c r="Q21" s="10">
        <v>80</v>
      </c>
      <c r="R21" s="18">
        <v>103</v>
      </c>
      <c r="S21" s="10">
        <v>115</v>
      </c>
      <c r="T21" s="10">
        <v>95</v>
      </c>
      <c r="U21" s="10">
        <v>71</v>
      </c>
      <c r="W21" s="10">
        <v>102</v>
      </c>
      <c r="X21" s="10">
        <v>95</v>
      </c>
      <c r="Y21" s="9">
        <v>69</v>
      </c>
      <c r="Z21" s="10">
        <v>85</v>
      </c>
      <c r="AA21" s="10">
        <v>84</v>
      </c>
      <c r="AC21" s="10">
        <v>15</v>
      </c>
      <c r="AD21" s="10">
        <v>19</v>
      </c>
      <c r="AE21" s="10">
        <v>69</v>
      </c>
      <c r="AF21" s="10">
        <v>72</v>
      </c>
      <c r="AH21" s="15">
        <v>15</v>
      </c>
      <c r="AI21" s="15">
        <v>13</v>
      </c>
      <c r="AJ21" s="15">
        <v>16</v>
      </c>
      <c r="AK21" s="15">
        <v>18</v>
      </c>
      <c r="AL21" s="15">
        <v>15</v>
      </c>
      <c r="AM21" s="15">
        <v>8</v>
      </c>
      <c r="AN21" s="15">
        <v>13</v>
      </c>
      <c r="AO21" s="15">
        <v>14</v>
      </c>
      <c r="AP21" s="15">
        <v>14</v>
      </c>
      <c r="AQ21" s="15">
        <v>19</v>
      </c>
      <c r="AR21" s="15">
        <v>2</v>
      </c>
      <c r="AS21" s="15">
        <v>18</v>
      </c>
      <c r="AT21" s="15">
        <v>20</v>
      </c>
      <c r="AU21" s="15">
        <v>21</v>
      </c>
      <c r="AV21" s="15">
        <v>25</v>
      </c>
      <c r="AW21" s="15">
        <v>24</v>
      </c>
      <c r="AX21" s="15">
        <v>16</v>
      </c>
      <c r="AY21" s="15">
        <v>24</v>
      </c>
      <c r="AZ21" s="15">
        <v>12</v>
      </c>
      <c r="BA21" s="15">
        <v>22</v>
      </c>
      <c r="BB21" s="10">
        <v>34</v>
      </c>
      <c r="BC21" s="10">
        <v>24</v>
      </c>
      <c r="BD21" s="10">
        <v>21</v>
      </c>
      <c r="BE21" s="10">
        <v>18</v>
      </c>
      <c r="BF21" s="10">
        <v>25</v>
      </c>
      <c r="BG21" s="10">
        <v>34</v>
      </c>
    </row>
    <row r="22" spans="2:143">
      <c r="B22" s="10">
        <v>16</v>
      </c>
      <c r="C22" s="10">
        <v>78</v>
      </c>
      <c r="D22" s="10">
        <v>82</v>
      </c>
      <c r="E22" s="10">
        <v>79</v>
      </c>
      <c r="F22" s="10">
        <v>84</v>
      </c>
      <c r="G22" s="10">
        <v>72</v>
      </c>
      <c r="H22" s="10">
        <v>69</v>
      </c>
      <c r="I22" s="10">
        <v>85</v>
      </c>
      <c r="J22" s="10">
        <v>90</v>
      </c>
      <c r="K22" s="10">
        <v>81</v>
      </c>
      <c r="L22" s="9">
        <v>65</v>
      </c>
      <c r="M22" s="10">
        <v>79</v>
      </c>
      <c r="N22" s="10">
        <v>80</v>
      </c>
      <c r="O22" s="10">
        <v>75</v>
      </c>
      <c r="P22" s="10">
        <v>81</v>
      </c>
      <c r="Q22" s="10">
        <v>81</v>
      </c>
      <c r="R22" s="18">
        <v>106</v>
      </c>
      <c r="T22" s="10">
        <v>100</v>
      </c>
      <c r="U22" s="10">
        <v>73</v>
      </c>
      <c r="W22" s="10">
        <v>106</v>
      </c>
      <c r="X22" s="10">
        <v>100</v>
      </c>
      <c r="Y22" s="9">
        <v>71</v>
      </c>
      <c r="Z22" s="10">
        <v>88</v>
      </c>
      <c r="AA22" s="10">
        <v>85</v>
      </c>
      <c r="AC22" s="10">
        <v>16</v>
      </c>
      <c r="AD22" s="10">
        <v>21</v>
      </c>
      <c r="AE22" s="10">
        <v>72</v>
      </c>
      <c r="AF22" s="10">
        <v>74</v>
      </c>
      <c r="AH22" s="15">
        <v>16</v>
      </c>
      <c r="AI22" s="15">
        <v>13</v>
      </c>
      <c r="AJ22" s="15">
        <v>17</v>
      </c>
      <c r="AK22" s="15">
        <v>20</v>
      </c>
      <c r="AL22" s="15">
        <v>15</v>
      </c>
      <c r="AM22" s="15">
        <v>10</v>
      </c>
      <c r="AN22" s="15">
        <v>13</v>
      </c>
      <c r="AO22" s="15">
        <v>14</v>
      </c>
      <c r="AP22" s="15">
        <v>14</v>
      </c>
      <c r="AQ22" s="15">
        <v>22</v>
      </c>
      <c r="AR22" s="15">
        <v>2</v>
      </c>
      <c r="AS22" s="15">
        <v>18</v>
      </c>
      <c r="AT22" s="15">
        <v>20</v>
      </c>
      <c r="AU22" s="15">
        <v>21</v>
      </c>
      <c r="AV22" s="15">
        <v>25</v>
      </c>
      <c r="AW22" s="15">
        <v>27</v>
      </c>
      <c r="AX22" s="15">
        <v>20</v>
      </c>
      <c r="AY22" s="15">
        <v>24</v>
      </c>
      <c r="AZ22" s="15">
        <v>12</v>
      </c>
      <c r="BA22" s="15">
        <v>23</v>
      </c>
      <c r="BB22" s="10">
        <v>34</v>
      </c>
      <c r="BC22" s="10">
        <v>24</v>
      </c>
      <c r="BD22" s="10">
        <v>21</v>
      </c>
      <c r="BE22" s="10">
        <v>18</v>
      </c>
      <c r="BF22" s="10">
        <v>25</v>
      </c>
      <c r="BG22" s="10">
        <v>34</v>
      </c>
    </row>
    <row r="23" spans="2:143">
      <c r="B23" s="10">
        <v>17</v>
      </c>
      <c r="C23" s="10">
        <v>79</v>
      </c>
      <c r="D23" s="10">
        <v>83</v>
      </c>
      <c r="E23" s="10">
        <v>80</v>
      </c>
      <c r="F23" s="10">
        <v>85</v>
      </c>
      <c r="G23" s="10">
        <v>75</v>
      </c>
      <c r="H23" s="10">
        <v>71</v>
      </c>
      <c r="I23" s="10">
        <v>88</v>
      </c>
      <c r="J23" s="10">
        <v>95</v>
      </c>
      <c r="K23" s="10">
        <v>83</v>
      </c>
      <c r="L23" s="9">
        <v>67</v>
      </c>
      <c r="M23" s="10">
        <v>80</v>
      </c>
      <c r="N23" s="10">
        <v>80</v>
      </c>
      <c r="O23" s="10">
        <v>76</v>
      </c>
      <c r="P23" s="10">
        <v>82</v>
      </c>
      <c r="Q23" s="10">
        <v>82</v>
      </c>
      <c r="R23" s="18">
        <v>109</v>
      </c>
      <c r="T23" s="10">
        <v>105</v>
      </c>
      <c r="U23" s="10">
        <v>74</v>
      </c>
      <c r="W23" s="10">
        <v>111</v>
      </c>
      <c r="X23" s="10">
        <v>105</v>
      </c>
      <c r="Y23" s="9">
        <v>73</v>
      </c>
      <c r="Z23" s="10">
        <v>92</v>
      </c>
      <c r="AA23" s="10">
        <v>95</v>
      </c>
      <c r="AC23" s="10">
        <v>17</v>
      </c>
      <c r="AD23" s="10">
        <v>23</v>
      </c>
      <c r="AE23" s="10">
        <v>75</v>
      </c>
      <c r="AF23" s="10">
        <v>75</v>
      </c>
      <c r="AH23" s="15">
        <v>17</v>
      </c>
      <c r="AI23" s="15">
        <v>16</v>
      </c>
      <c r="AJ23" s="15">
        <v>19</v>
      </c>
      <c r="AK23" s="15">
        <v>21</v>
      </c>
      <c r="AL23" s="15">
        <v>15</v>
      </c>
      <c r="AM23" s="15">
        <v>12</v>
      </c>
      <c r="AN23" s="15">
        <v>13</v>
      </c>
      <c r="AO23" s="15">
        <v>14</v>
      </c>
      <c r="AP23" s="15">
        <v>14</v>
      </c>
      <c r="AQ23" s="15">
        <v>22</v>
      </c>
      <c r="AR23" s="15">
        <v>2</v>
      </c>
      <c r="AS23" s="15">
        <v>18</v>
      </c>
      <c r="AT23" s="15">
        <v>20</v>
      </c>
      <c r="AU23" s="15">
        <v>21</v>
      </c>
      <c r="AV23" s="15">
        <v>25</v>
      </c>
      <c r="AW23" s="15">
        <v>27</v>
      </c>
      <c r="AX23" s="15">
        <v>21</v>
      </c>
      <c r="AY23" s="15">
        <v>24</v>
      </c>
      <c r="AZ23" s="15">
        <v>12</v>
      </c>
      <c r="BA23" s="15">
        <v>23</v>
      </c>
      <c r="BB23" s="10">
        <v>34</v>
      </c>
      <c r="BC23" s="10">
        <v>24</v>
      </c>
      <c r="BD23" s="10">
        <v>21</v>
      </c>
      <c r="BE23" s="10">
        <v>20</v>
      </c>
      <c r="BF23" s="10">
        <v>25</v>
      </c>
      <c r="BG23" s="10">
        <v>34</v>
      </c>
    </row>
    <row r="24" spans="2:143">
      <c r="B24" s="10">
        <v>18</v>
      </c>
      <c r="C24" s="10">
        <v>81</v>
      </c>
      <c r="D24" s="10">
        <v>84</v>
      </c>
      <c r="E24" s="10">
        <v>80</v>
      </c>
      <c r="F24" s="10">
        <v>90</v>
      </c>
      <c r="G24" s="10">
        <v>77</v>
      </c>
      <c r="H24" s="10">
        <v>73</v>
      </c>
      <c r="I24" s="10">
        <v>92</v>
      </c>
      <c r="J24" s="10">
        <v>100</v>
      </c>
      <c r="K24" s="10">
        <v>85</v>
      </c>
      <c r="L24" s="9">
        <v>69</v>
      </c>
      <c r="M24" s="10">
        <v>81</v>
      </c>
      <c r="N24" s="10">
        <v>81</v>
      </c>
      <c r="O24" s="10">
        <v>77</v>
      </c>
      <c r="P24" s="10">
        <v>83</v>
      </c>
      <c r="Q24" s="10">
        <v>84</v>
      </c>
      <c r="R24" s="18">
        <v>112</v>
      </c>
      <c r="T24" s="10">
        <v>110</v>
      </c>
      <c r="U24" s="10">
        <v>75</v>
      </c>
      <c r="W24" s="10">
        <v>115</v>
      </c>
      <c r="X24" s="10">
        <v>110</v>
      </c>
      <c r="Y24" s="9">
        <v>74</v>
      </c>
      <c r="Z24" s="10">
        <v>95</v>
      </c>
      <c r="AA24" s="10">
        <v>105</v>
      </c>
      <c r="AC24" s="10">
        <v>18</v>
      </c>
      <c r="AD24" s="10">
        <v>25</v>
      </c>
      <c r="AE24" s="10">
        <v>78</v>
      </c>
      <c r="AF24" s="10">
        <v>77</v>
      </c>
      <c r="AH24" s="15">
        <v>18</v>
      </c>
      <c r="AI24" s="15">
        <v>19</v>
      </c>
      <c r="AJ24" s="15">
        <v>21</v>
      </c>
      <c r="AK24" s="15">
        <v>21</v>
      </c>
      <c r="AL24" s="15">
        <v>15</v>
      </c>
      <c r="AM24" s="15">
        <v>12</v>
      </c>
      <c r="AN24" s="15">
        <v>15</v>
      </c>
      <c r="AO24" s="15">
        <v>14</v>
      </c>
      <c r="AP24" s="15">
        <v>14</v>
      </c>
      <c r="AQ24" s="15">
        <v>22</v>
      </c>
      <c r="AR24" s="15">
        <v>2</v>
      </c>
      <c r="AS24" s="15">
        <v>18</v>
      </c>
      <c r="AT24" s="15">
        <v>20</v>
      </c>
      <c r="AU24" s="15">
        <v>21</v>
      </c>
      <c r="AV24" s="15">
        <v>25</v>
      </c>
      <c r="AW24" s="15">
        <v>27</v>
      </c>
      <c r="AX24" s="15">
        <v>21</v>
      </c>
      <c r="AY24" s="15">
        <v>24</v>
      </c>
      <c r="AZ24" s="15">
        <v>12</v>
      </c>
      <c r="BA24" s="15">
        <v>23</v>
      </c>
      <c r="BB24" s="10">
        <v>34</v>
      </c>
      <c r="BC24" s="10">
        <v>24</v>
      </c>
      <c r="BD24" s="10">
        <v>21</v>
      </c>
      <c r="BE24" s="10">
        <v>23</v>
      </c>
      <c r="BF24" s="10">
        <v>25</v>
      </c>
      <c r="BG24" s="10">
        <v>34</v>
      </c>
    </row>
    <row r="25" spans="2:143">
      <c r="B25" s="10">
        <v>19</v>
      </c>
      <c r="C25" s="10">
        <v>82</v>
      </c>
      <c r="D25" s="10">
        <v>85</v>
      </c>
      <c r="E25" s="10">
        <v>81</v>
      </c>
      <c r="F25" s="10">
        <v>95</v>
      </c>
      <c r="G25" s="10">
        <v>80</v>
      </c>
      <c r="H25" s="10">
        <v>74</v>
      </c>
      <c r="I25" s="10">
        <v>95</v>
      </c>
      <c r="J25" s="10">
        <v>105</v>
      </c>
      <c r="K25" s="10">
        <v>92</v>
      </c>
      <c r="L25" s="9">
        <v>72</v>
      </c>
      <c r="M25" s="10">
        <v>82</v>
      </c>
      <c r="N25" s="10">
        <v>82</v>
      </c>
      <c r="O25" s="10">
        <v>78</v>
      </c>
      <c r="P25" s="10">
        <v>84</v>
      </c>
      <c r="Q25" s="10">
        <v>85</v>
      </c>
      <c r="R25" s="18">
        <v>115</v>
      </c>
      <c r="T25" s="10">
        <v>115</v>
      </c>
      <c r="U25" s="10">
        <v>77</v>
      </c>
      <c r="X25" s="10">
        <v>115</v>
      </c>
      <c r="Y25" s="9">
        <v>75</v>
      </c>
      <c r="Z25" s="10">
        <v>99</v>
      </c>
      <c r="AA25" s="10">
        <v>115</v>
      </c>
      <c r="AC25" s="10">
        <v>19</v>
      </c>
      <c r="AD25" s="10">
        <v>28</v>
      </c>
      <c r="AE25" s="10">
        <v>81</v>
      </c>
      <c r="AF25" s="10">
        <v>79</v>
      </c>
      <c r="AH25" s="15">
        <v>19</v>
      </c>
      <c r="AI25" s="15">
        <v>20</v>
      </c>
      <c r="AJ25" s="15">
        <v>21</v>
      </c>
      <c r="AK25" s="15">
        <v>21</v>
      </c>
      <c r="AL25" s="15">
        <v>15</v>
      </c>
      <c r="AM25" s="15">
        <v>12</v>
      </c>
      <c r="AN25" s="15">
        <v>17</v>
      </c>
      <c r="AO25" s="15">
        <v>15</v>
      </c>
      <c r="AP25" s="15">
        <v>14</v>
      </c>
      <c r="AQ25" s="15">
        <v>22</v>
      </c>
      <c r="AR25" s="15">
        <v>3</v>
      </c>
      <c r="AS25" s="15">
        <v>18</v>
      </c>
      <c r="AT25" s="15">
        <v>21</v>
      </c>
      <c r="AU25" s="15">
        <v>21</v>
      </c>
      <c r="AV25" s="15">
        <v>26</v>
      </c>
      <c r="AW25" s="15">
        <v>27</v>
      </c>
      <c r="AX25" s="15">
        <v>21</v>
      </c>
      <c r="AY25" s="15">
        <v>24</v>
      </c>
      <c r="AZ25" s="15">
        <v>12</v>
      </c>
      <c r="BA25" s="15">
        <v>23</v>
      </c>
      <c r="BB25" s="10">
        <v>34</v>
      </c>
      <c r="BC25" s="10">
        <v>24</v>
      </c>
      <c r="BD25" s="10">
        <v>21</v>
      </c>
      <c r="BE25" s="10">
        <v>23</v>
      </c>
      <c r="BF25" s="10">
        <v>25</v>
      </c>
      <c r="BG25" s="10">
        <v>34</v>
      </c>
    </row>
    <row r="26" spans="2:143">
      <c r="B26" s="10">
        <v>20</v>
      </c>
      <c r="C26" s="10">
        <v>84</v>
      </c>
      <c r="D26" s="10">
        <v>91</v>
      </c>
      <c r="E26" s="10">
        <v>82</v>
      </c>
      <c r="F26" s="10">
        <v>100</v>
      </c>
      <c r="G26" s="10">
        <v>83</v>
      </c>
      <c r="H26" s="10">
        <v>75</v>
      </c>
      <c r="I26" s="10">
        <v>99</v>
      </c>
      <c r="J26" s="10">
        <v>110</v>
      </c>
      <c r="K26" s="10">
        <v>99</v>
      </c>
      <c r="L26" s="9">
        <v>75</v>
      </c>
      <c r="M26" s="10">
        <v>83</v>
      </c>
      <c r="N26" s="10">
        <v>83</v>
      </c>
      <c r="O26" s="10">
        <v>79</v>
      </c>
      <c r="P26" s="10">
        <v>85</v>
      </c>
      <c r="Q26" s="10">
        <v>91</v>
      </c>
      <c r="R26" s="18"/>
      <c r="U26" s="10">
        <v>80</v>
      </c>
      <c r="Y26" s="9">
        <v>77</v>
      </c>
      <c r="Z26" s="10">
        <v>102</v>
      </c>
      <c r="AC26" s="10">
        <v>20</v>
      </c>
      <c r="AD26" s="10">
        <v>30</v>
      </c>
      <c r="AE26" s="10">
        <v>85</v>
      </c>
      <c r="AF26" s="10">
        <v>80</v>
      </c>
      <c r="AH26" s="15">
        <v>20</v>
      </c>
      <c r="AI26" s="15">
        <v>20</v>
      </c>
      <c r="AJ26" s="15">
        <v>22</v>
      </c>
      <c r="AK26" s="15">
        <v>22</v>
      </c>
      <c r="AL26" s="15">
        <v>19</v>
      </c>
      <c r="AM26" s="15">
        <v>12</v>
      </c>
      <c r="AN26" s="15">
        <v>18</v>
      </c>
      <c r="AO26" s="15">
        <v>15</v>
      </c>
      <c r="AP26" s="15">
        <v>19</v>
      </c>
      <c r="AQ26" s="15">
        <v>22</v>
      </c>
      <c r="AR26" s="15">
        <v>3</v>
      </c>
      <c r="AS26" s="15">
        <v>21</v>
      </c>
      <c r="AT26" s="15">
        <v>21</v>
      </c>
      <c r="AU26" s="15">
        <v>21</v>
      </c>
      <c r="AV26" s="15">
        <v>28</v>
      </c>
      <c r="AW26" s="15">
        <v>27</v>
      </c>
      <c r="AX26" s="15">
        <v>21</v>
      </c>
      <c r="AY26" s="15">
        <v>27</v>
      </c>
      <c r="AZ26" s="15">
        <v>12</v>
      </c>
      <c r="BA26" s="15">
        <v>25</v>
      </c>
      <c r="BB26" s="10">
        <v>34</v>
      </c>
      <c r="BC26" s="10">
        <v>24</v>
      </c>
      <c r="BD26" s="10">
        <v>26</v>
      </c>
      <c r="BE26" s="10">
        <v>23</v>
      </c>
      <c r="BF26" s="10">
        <v>25</v>
      </c>
      <c r="BG26" s="10">
        <v>34</v>
      </c>
    </row>
    <row r="27" spans="2:143">
      <c r="B27" s="10">
        <v>21</v>
      </c>
      <c r="C27" s="10">
        <v>85</v>
      </c>
      <c r="D27" s="10">
        <v>97</v>
      </c>
      <c r="E27" s="10">
        <v>83</v>
      </c>
      <c r="F27" s="10">
        <v>105</v>
      </c>
      <c r="G27" s="10">
        <v>85</v>
      </c>
      <c r="H27" s="10">
        <v>78</v>
      </c>
      <c r="I27" s="10">
        <v>102</v>
      </c>
      <c r="J27" s="10">
        <v>115</v>
      </c>
      <c r="K27" s="10">
        <v>106</v>
      </c>
      <c r="L27" s="9">
        <v>80</v>
      </c>
      <c r="M27" s="10">
        <v>84</v>
      </c>
      <c r="N27" s="10">
        <v>84</v>
      </c>
      <c r="O27" s="10">
        <v>81</v>
      </c>
      <c r="P27" s="10">
        <v>89</v>
      </c>
      <c r="Q27" s="10">
        <v>97</v>
      </c>
      <c r="R27" s="18"/>
      <c r="U27" s="10">
        <v>83</v>
      </c>
      <c r="Y27" s="10">
        <v>80</v>
      </c>
      <c r="Z27" s="10">
        <v>106</v>
      </c>
      <c r="AC27" s="10">
        <v>21</v>
      </c>
      <c r="AD27" s="10">
        <v>33</v>
      </c>
      <c r="AE27" s="10">
        <v>89</v>
      </c>
      <c r="AF27" s="10">
        <v>81</v>
      </c>
      <c r="AH27" s="15">
        <v>21</v>
      </c>
      <c r="AI27" s="15">
        <v>20</v>
      </c>
      <c r="AJ27" s="15">
        <v>22</v>
      </c>
      <c r="AK27" s="15">
        <v>22</v>
      </c>
      <c r="AL27" s="15">
        <v>23</v>
      </c>
      <c r="AM27" s="15">
        <v>14</v>
      </c>
      <c r="AN27" s="15">
        <v>18</v>
      </c>
      <c r="AO27" s="15">
        <v>15</v>
      </c>
      <c r="AP27" s="15">
        <v>24</v>
      </c>
      <c r="AQ27" s="15">
        <v>22</v>
      </c>
      <c r="AR27" s="15">
        <v>3</v>
      </c>
      <c r="AS27" s="15">
        <v>24</v>
      </c>
      <c r="AT27" s="15">
        <v>21</v>
      </c>
      <c r="AU27" s="15">
        <v>21</v>
      </c>
      <c r="AV27" s="15">
        <v>31</v>
      </c>
      <c r="AW27" s="15">
        <v>27</v>
      </c>
      <c r="AX27" s="15">
        <v>21</v>
      </c>
      <c r="AY27" s="15">
        <v>30</v>
      </c>
      <c r="AZ27" s="15">
        <v>12</v>
      </c>
      <c r="BA27" s="15">
        <v>27</v>
      </c>
      <c r="BB27" s="10">
        <v>34</v>
      </c>
      <c r="BC27" s="10">
        <v>24</v>
      </c>
      <c r="BD27" s="10">
        <v>32</v>
      </c>
      <c r="BE27" s="10">
        <v>23</v>
      </c>
      <c r="BF27" s="10">
        <v>25</v>
      </c>
      <c r="BG27" s="10">
        <v>34</v>
      </c>
    </row>
    <row r="28" spans="2:143">
      <c r="B28" s="10">
        <v>22</v>
      </c>
      <c r="C28" s="10">
        <v>100</v>
      </c>
      <c r="D28" s="10">
        <v>10</v>
      </c>
      <c r="E28" s="10">
        <v>84</v>
      </c>
      <c r="F28" s="10">
        <v>110</v>
      </c>
      <c r="G28" s="10">
        <v>90</v>
      </c>
      <c r="H28" s="10">
        <v>82</v>
      </c>
      <c r="I28" s="10">
        <v>106</v>
      </c>
      <c r="K28" s="10">
        <v>115</v>
      </c>
      <c r="L28" s="9">
        <v>85</v>
      </c>
      <c r="M28" s="10">
        <v>85</v>
      </c>
      <c r="N28" s="10">
        <v>85</v>
      </c>
      <c r="O28" s="10">
        <v>82</v>
      </c>
      <c r="P28" s="10">
        <v>94</v>
      </c>
      <c r="Q28" s="10">
        <v>103</v>
      </c>
      <c r="R28" s="18"/>
      <c r="U28" s="10">
        <v>85</v>
      </c>
      <c r="Y28" s="10">
        <v>83</v>
      </c>
      <c r="Z28" s="10">
        <v>109</v>
      </c>
      <c r="AC28" s="10">
        <v>22</v>
      </c>
      <c r="AD28" s="10">
        <v>35</v>
      </c>
      <c r="AE28" s="10">
        <v>93</v>
      </c>
      <c r="AF28" s="10">
        <v>83</v>
      </c>
      <c r="AH28" s="15">
        <v>22</v>
      </c>
      <c r="AI28" s="15">
        <v>21</v>
      </c>
      <c r="AJ28" s="15">
        <v>23</v>
      </c>
      <c r="AK28" s="15">
        <v>24</v>
      </c>
      <c r="AL28" s="15">
        <v>24</v>
      </c>
      <c r="AM28" s="15">
        <v>16</v>
      </c>
      <c r="AN28" s="15">
        <v>18</v>
      </c>
      <c r="AO28" s="15">
        <v>15</v>
      </c>
      <c r="AP28" s="15">
        <v>25</v>
      </c>
      <c r="AQ28" s="15">
        <v>22</v>
      </c>
      <c r="AR28" s="15">
        <v>3</v>
      </c>
      <c r="AS28" s="15">
        <v>25</v>
      </c>
      <c r="AT28" s="15">
        <v>22</v>
      </c>
      <c r="AU28" s="15">
        <v>21</v>
      </c>
      <c r="AV28" s="15">
        <v>31</v>
      </c>
      <c r="AW28" s="15">
        <v>27</v>
      </c>
      <c r="AX28" s="15">
        <v>21</v>
      </c>
      <c r="AY28" s="15">
        <v>30</v>
      </c>
      <c r="AZ28" s="15">
        <v>12</v>
      </c>
      <c r="BA28" s="15">
        <v>27</v>
      </c>
      <c r="BB28" s="10">
        <v>34</v>
      </c>
      <c r="BC28" s="10">
        <v>24</v>
      </c>
      <c r="BD28" s="10">
        <v>33</v>
      </c>
      <c r="BE28" s="10">
        <v>23</v>
      </c>
      <c r="BF28" s="10">
        <v>25</v>
      </c>
      <c r="BG28" s="10">
        <v>34</v>
      </c>
    </row>
    <row r="29" spans="2:143">
      <c r="B29" s="10">
        <v>23</v>
      </c>
      <c r="C29" s="10">
        <v>115</v>
      </c>
      <c r="D29" s="10">
        <v>109</v>
      </c>
      <c r="E29" s="10">
        <v>85</v>
      </c>
      <c r="F29" s="10">
        <v>115</v>
      </c>
      <c r="G29" s="10">
        <v>95</v>
      </c>
      <c r="H29" s="10">
        <v>85</v>
      </c>
      <c r="I29" s="10">
        <v>109</v>
      </c>
      <c r="L29" s="9">
        <v>100</v>
      </c>
      <c r="M29" s="10">
        <v>92</v>
      </c>
      <c r="N29" s="10">
        <v>95</v>
      </c>
      <c r="O29" s="10">
        <v>83</v>
      </c>
      <c r="P29" s="10">
        <v>98</v>
      </c>
      <c r="Q29" s="10">
        <v>109</v>
      </c>
      <c r="R29" s="18"/>
      <c r="U29" s="10">
        <v>91</v>
      </c>
      <c r="Y29" s="10">
        <v>85</v>
      </c>
      <c r="Z29" s="10">
        <v>112</v>
      </c>
      <c r="AC29" s="10">
        <v>23</v>
      </c>
      <c r="AD29" s="10">
        <v>37</v>
      </c>
      <c r="AE29" s="10">
        <v>97</v>
      </c>
      <c r="AF29" s="10">
        <v>85</v>
      </c>
      <c r="AH29" s="15">
        <v>23</v>
      </c>
      <c r="AI29" s="15">
        <v>21</v>
      </c>
      <c r="AJ29" s="15">
        <v>23</v>
      </c>
      <c r="AK29" s="15">
        <v>26</v>
      </c>
      <c r="AL29" s="15">
        <v>24</v>
      </c>
      <c r="AM29" s="15">
        <v>16</v>
      </c>
      <c r="AN29" s="15">
        <v>18</v>
      </c>
      <c r="AO29" s="15">
        <v>15</v>
      </c>
      <c r="AP29" s="15">
        <v>25</v>
      </c>
      <c r="AQ29" s="15">
        <v>22</v>
      </c>
      <c r="AR29" s="15">
        <v>3</v>
      </c>
      <c r="AS29" s="15">
        <v>25</v>
      </c>
      <c r="AT29" s="15">
        <v>22</v>
      </c>
      <c r="AU29" s="15">
        <v>22</v>
      </c>
      <c r="AV29" s="15">
        <v>31</v>
      </c>
      <c r="AW29" s="15">
        <v>27</v>
      </c>
      <c r="AX29" s="15">
        <v>21</v>
      </c>
      <c r="AY29" s="15">
        <v>31</v>
      </c>
      <c r="AZ29" s="15">
        <v>12</v>
      </c>
      <c r="BA29" s="15">
        <v>27</v>
      </c>
      <c r="BB29" s="10">
        <v>34</v>
      </c>
      <c r="BC29" s="10">
        <v>24</v>
      </c>
      <c r="BD29" s="10">
        <v>33</v>
      </c>
      <c r="BE29" s="10">
        <v>23</v>
      </c>
      <c r="BF29" s="10">
        <v>25</v>
      </c>
      <c r="BG29" s="10">
        <v>34</v>
      </c>
    </row>
    <row r="30" spans="2:143">
      <c r="B30" s="10">
        <v>24</v>
      </c>
      <c r="D30" s="10">
        <v>115</v>
      </c>
      <c r="E30" s="10">
        <v>91</v>
      </c>
      <c r="G30" s="10">
        <v>100</v>
      </c>
      <c r="H30" s="10">
        <v>93</v>
      </c>
      <c r="I30" s="10">
        <v>111</v>
      </c>
      <c r="L30" s="9"/>
      <c r="M30" s="10">
        <v>99</v>
      </c>
      <c r="N30" s="10">
        <v>105</v>
      </c>
      <c r="O30" s="10">
        <v>84</v>
      </c>
      <c r="P30" s="10">
        <v>102</v>
      </c>
      <c r="Q30" s="10">
        <v>115</v>
      </c>
      <c r="R30" s="18"/>
      <c r="U30" s="10">
        <v>97</v>
      </c>
      <c r="Y30" s="10">
        <v>92</v>
      </c>
      <c r="Z30" s="10">
        <v>115</v>
      </c>
      <c r="AC30" s="10">
        <v>24</v>
      </c>
      <c r="AD30" s="10">
        <v>39</v>
      </c>
      <c r="AE30" s="10">
        <v>100</v>
      </c>
      <c r="AF30" s="10">
        <v>88</v>
      </c>
      <c r="AH30" s="15">
        <v>24</v>
      </c>
      <c r="AI30" s="15">
        <v>21</v>
      </c>
      <c r="AJ30" s="15">
        <v>24</v>
      </c>
      <c r="AK30" s="15">
        <v>26</v>
      </c>
      <c r="AL30" s="15">
        <v>24</v>
      </c>
      <c r="AM30" s="15">
        <v>16</v>
      </c>
      <c r="AN30" s="15">
        <v>20</v>
      </c>
      <c r="AO30" s="15">
        <v>19</v>
      </c>
      <c r="AP30" s="15">
        <v>26</v>
      </c>
      <c r="AQ30" s="15">
        <v>22</v>
      </c>
      <c r="AR30" s="15">
        <v>3</v>
      </c>
      <c r="AS30" s="15">
        <v>25</v>
      </c>
      <c r="AT30" s="15">
        <v>25</v>
      </c>
      <c r="AU30" s="15">
        <v>25</v>
      </c>
      <c r="AV30" s="15">
        <v>31</v>
      </c>
      <c r="AW30" s="15">
        <v>27</v>
      </c>
      <c r="AX30" s="15">
        <v>21</v>
      </c>
      <c r="AY30" s="15">
        <v>31</v>
      </c>
      <c r="AZ30" s="15">
        <v>15</v>
      </c>
      <c r="BA30" s="15">
        <v>27</v>
      </c>
      <c r="BB30" s="10">
        <v>34</v>
      </c>
      <c r="BC30" s="10">
        <v>24</v>
      </c>
      <c r="BD30" s="10">
        <v>33</v>
      </c>
      <c r="BE30" s="10">
        <v>23</v>
      </c>
      <c r="BF30" s="10">
        <v>28</v>
      </c>
      <c r="BG30" s="10">
        <v>34</v>
      </c>
    </row>
    <row r="31" spans="2:143">
      <c r="B31" s="10">
        <v>25</v>
      </c>
      <c r="E31" s="10">
        <v>97</v>
      </c>
      <c r="H31" s="10">
        <v>100</v>
      </c>
      <c r="I31" s="10">
        <v>113</v>
      </c>
      <c r="L31" s="9"/>
      <c r="M31" s="10">
        <v>106</v>
      </c>
      <c r="N31" s="10">
        <v>115</v>
      </c>
      <c r="O31" s="10">
        <v>85</v>
      </c>
      <c r="P31" s="10">
        <v>106</v>
      </c>
      <c r="R31" s="18"/>
      <c r="U31" s="10">
        <v>103</v>
      </c>
      <c r="Y31" s="10">
        <v>99</v>
      </c>
      <c r="AC31" s="10">
        <v>25</v>
      </c>
      <c r="AD31" s="10">
        <v>41</v>
      </c>
      <c r="AF31" s="10">
        <v>91</v>
      </c>
      <c r="AH31" s="15">
        <v>25</v>
      </c>
      <c r="AI31" s="15">
        <v>23</v>
      </c>
      <c r="AJ31" s="15">
        <v>27</v>
      </c>
      <c r="AK31" s="15">
        <v>27</v>
      </c>
      <c r="AL31" s="15">
        <v>24</v>
      </c>
      <c r="AM31" s="15">
        <v>17</v>
      </c>
      <c r="AN31" s="15">
        <v>22</v>
      </c>
      <c r="AO31" s="15">
        <v>24</v>
      </c>
      <c r="AP31" s="15">
        <v>26</v>
      </c>
      <c r="AQ31" s="15">
        <v>22</v>
      </c>
      <c r="AR31" s="15">
        <v>4</v>
      </c>
      <c r="AS31" s="15">
        <v>26</v>
      </c>
      <c r="AT31" s="15">
        <v>27</v>
      </c>
      <c r="AU31" s="15">
        <v>28</v>
      </c>
      <c r="AV31" s="15">
        <v>31</v>
      </c>
      <c r="AW31" s="15">
        <v>27</v>
      </c>
      <c r="AX31" s="15">
        <v>21</v>
      </c>
      <c r="AY31" s="15">
        <v>31</v>
      </c>
      <c r="AZ31" s="15">
        <v>19</v>
      </c>
      <c r="BA31" s="15">
        <v>27</v>
      </c>
      <c r="BB31" s="10">
        <v>34</v>
      </c>
      <c r="BC31" s="10">
        <v>24</v>
      </c>
      <c r="BD31" s="10">
        <v>33</v>
      </c>
      <c r="BE31" s="10">
        <v>26</v>
      </c>
      <c r="BF31" s="10">
        <v>32</v>
      </c>
      <c r="BG31" s="10">
        <v>34</v>
      </c>
    </row>
    <row r="32" spans="2:143">
      <c r="B32" s="10">
        <v>26</v>
      </c>
      <c r="E32" s="10">
        <v>103</v>
      </c>
      <c r="I32" s="10">
        <v>115</v>
      </c>
      <c r="M32" s="10">
        <v>115</v>
      </c>
      <c r="O32" s="10">
        <v>92</v>
      </c>
      <c r="P32" s="10">
        <v>111</v>
      </c>
      <c r="R32" s="18"/>
      <c r="U32" s="10">
        <v>109</v>
      </c>
      <c r="Y32" s="10">
        <v>106</v>
      </c>
      <c r="AC32" s="10">
        <v>26</v>
      </c>
      <c r="AD32" s="10">
        <v>43</v>
      </c>
      <c r="AF32" s="10">
        <v>93</v>
      </c>
      <c r="AH32" s="15">
        <v>26</v>
      </c>
      <c r="AI32" s="15">
        <v>25</v>
      </c>
      <c r="AJ32" s="15">
        <v>28</v>
      </c>
      <c r="AK32" s="15">
        <v>27</v>
      </c>
      <c r="AL32" s="15">
        <v>24</v>
      </c>
      <c r="AM32" s="15">
        <v>18</v>
      </c>
      <c r="AN32" s="15">
        <v>22</v>
      </c>
      <c r="AO32" s="15">
        <v>24</v>
      </c>
      <c r="AP32" s="15">
        <v>26</v>
      </c>
      <c r="AQ32" s="15">
        <v>22</v>
      </c>
      <c r="AR32" s="15">
        <v>4</v>
      </c>
      <c r="AS32" s="15">
        <v>26</v>
      </c>
      <c r="AT32" s="15">
        <v>27</v>
      </c>
      <c r="AU32" s="15">
        <v>28</v>
      </c>
      <c r="AV32" s="15">
        <v>32</v>
      </c>
      <c r="AW32" s="15">
        <v>27</v>
      </c>
      <c r="AX32" s="15">
        <v>21</v>
      </c>
      <c r="AY32" s="15">
        <v>31</v>
      </c>
      <c r="AZ32" s="15">
        <v>20</v>
      </c>
      <c r="BA32" s="15">
        <v>29</v>
      </c>
      <c r="BB32" s="10">
        <v>34</v>
      </c>
      <c r="BC32" s="10">
        <v>24</v>
      </c>
      <c r="BD32" s="10">
        <v>33</v>
      </c>
      <c r="BE32" s="10">
        <v>29</v>
      </c>
      <c r="BF32" s="10">
        <v>32</v>
      </c>
      <c r="BG32" s="10">
        <v>34</v>
      </c>
    </row>
    <row r="33" spans="2:59">
      <c r="B33" s="10">
        <v>27</v>
      </c>
      <c r="E33" s="10">
        <v>109</v>
      </c>
      <c r="O33" s="10">
        <v>99</v>
      </c>
      <c r="P33" s="10">
        <v>115</v>
      </c>
      <c r="R33" s="18"/>
      <c r="U33" s="10">
        <v>115</v>
      </c>
      <c r="Y33" s="10">
        <v>115</v>
      </c>
      <c r="AC33" s="10">
        <v>27</v>
      </c>
      <c r="AD33" s="10">
        <v>45</v>
      </c>
      <c r="AF33" s="10">
        <v>95</v>
      </c>
      <c r="AH33" s="15">
        <v>27</v>
      </c>
      <c r="AI33" s="15">
        <v>26</v>
      </c>
      <c r="AJ33" s="15">
        <v>29</v>
      </c>
      <c r="AK33" s="15">
        <v>27</v>
      </c>
      <c r="AL33" s="15">
        <v>24</v>
      </c>
      <c r="AM33" s="15">
        <v>20</v>
      </c>
      <c r="AN33" s="15">
        <v>22</v>
      </c>
      <c r="AO33" s="15">
        <v>25</v>
      </c>
      <c r="AP33" s="15">
        <v>27</v>
      </c>
      <c r="AQ33" s="15">
        <v>22</v>
      </c>
      <c r="AR33" s="15">
        <v>5</v>
      </c>
      <c r="AS33" s="15">
        <v>26</v>
      </c>
      <c r="AT33" s="15">
        <v>28</v>
      </c>
      <c r="AU33" s="15">
        <v>28</v>
      </c>
      <c r="AV33" s="15">
        <v>32</v>
      </c>
      <c r="AW33" s="15">
        <v>27</v>
      </c>
      <c r="AX33" s="15">
        <v>21</v>
      </c>
      <c r="AY33" s="15">
        <v>31</v>
      </c>
      <c r="AZ33" s="15">
        <v>20</v>
      </c>
      <c r="BA33" s="15">
        <v>31</v>
      </c>
      <c r="BB33" s="10">
        <v>34</v>
      </c>
      <c r="BC33" s="10">
        <v>24</v>
      </c>
      <c r="BD33" s="10">
        <v>33</v>
      </c>
      <c r="BE33" s="10">
        <v>29</v>
      </c>
      <c r="BF33" s="10">
        <v>32</v>
      </c>
      <c r="BG33" s="10">
        <v>34</v>
      </c>
    </row>
    <row r="34" spans="2:59">
      <c r="B34" s="10">
        <v>28</v>
      </c>
      <c r="E34" s="10">
        <v>115</v>
      </c>
      <c r="O34" s="10">
        <v>106</v>
      </c>
      <c r="R34" s="18"/>
      <c r="AC34" s="10">
        <v>28</v>
      </c>
      <c r="AD34" s="10">
        <v>46</v>
      </c>
      <c r="AF34" s="10">
        <v>97</v>
      </c>
      <c r="AH34" s="15">
        <v>28</v>
      </c>
      <c r="AI34" s="15">
        <v>26</v>
      </c>
      <c r="AJ34" s="15">
        <v>29</v>
      </c>
      <c r="AK34" s="15">
        <v>28</v>
      </c>
      <c r="AL34" s="15">
        <v>24</v>
      </c>
      <c r="AM34" s="15">
        <v>21</v>
      </c>
      <c r="AN34" s="15">
        <v>22</v>
      </c>
      <c r="AO34" s="15">
        <v>25</v>
      </c>
      <c r="AP34" s="15">
        <v>27</v>
      </c>
      <c r="AQ34" s="15">
        <v>22</v>
      </c>
      <c r="AR34" s="15">
        <v>6</v>
      </c>
      <c r="AS34" s="15">
        <v>26</v>
      </c>
      <c r="AT34" s="15">
        <v>28</v>
      </c>
      <c r="AU34" s="15">
        <v>28</v>
      </c>
      <c r="AV34" s="15">
        <v>32</v>
      </c>
      <c r="AW34" s="15">
        <v>27</v>
      </c>
      <c r="AX34" s="15">
        <v>21</v>
      </c>
      <c r="AY34" s="15">
        <v>31</v>
      </c>
      <c r="AZ34" s="15">
        <v>20</v>
      </c>
      <c r="BA34" s="15">
        <v>31</v>
      </c>
      <c r="BB34" s="10">
        <v>34</v>
      </c>
      <c r="BC34" s="10">
        <v>24</v>
      </c>
      <c r="BD34" s="10">
        <v>33</v>
      </c>
      <c r="BE34" s="10">
        <v>29</v>
      </c>
      <c r="BF34" s="10">
        <v>32</v>
      </c>
      <c r="BG34" s="10">
        <v>34</v>
      </c>
    </row>
    <row r="35" spans="2:59">
      <c r="B35" s="10">
        <v>29</v>
      </c>
      <c r="O35" s="10">
        <v>115</v>
      </c>
      <c r="R35" s="18"/>
      <c r="AC35" s="10">
        <v>29</v>
      </c>
      <c r="AD35" s="10">
        <v>47</v>
      </c>
      <c r="AF35" s="10">
        <v>100</v>
      </c>
      <c r="AH35" s="15">
        <v>29</v>
      </c>
      <c r="AI35" s="15">
        <v>26</v>
      </c>
      <c r="AJ35" s="15">
        <v>30</v>
      </c>
      <c r="AK35" s="15">
        <v>30</v>
      </c>
      <c r="AL35" s="15">
        <v>24</v>
      </c>
      <c r="AM35" s="15">
        <v>21</v>
      </c>
      <c r="AN35" s="15">
        <v>23</v>
      </c>
      <c r="AO35" s="15">
        <v>25</v>
      </c>
      <c r="AP35" s="15">
        <v>27</v>
      </c>
      <c r="AQ35" s="15">
        <v>22</v>
      </c>
      <c r="AR35" s="15">
        <v>6</v>
      </c>
      <c r="AS35" s="15">
        <v>26</v>
      </c>
      <c r="AT35" s="15">
        <v>28</v>
      </c>
      <c r="AU35" s="15">
        <v>29</v>
      </c>
      <c r="AV35" s="15">
        <v>33</v>
      </c>
      <c r="AW35" s="15">
        <v>27</v>
      </c>
      <c r="AX35" s="15">
        <v>21</v>
      </c>
      <c r="AY35" s="15">
        <v>31</v>
      </c>
      <c r="AZ35" s="15">
        <v>21</v>
      </c>
      <c r="BA35" s="15">
        <v>31</v>
      </c>
      <c r="BB35" s="10">
        <v>34</v>
      </c>
      <c r="BC35" s="10">
        <v>24</v>
      </c>
      <c r="BD35" s="10">
        <v>33</v>
      </c>
      <c r="BE35" s="10">
        <v>29</v>
      </c>
      <c r="BF35" s="10">
        <v>32</v>
      </c>
      <c r="BG35" s="10">
        <v>34</v>
      </c>
    </row>
    <row r="36" spans="2:59">
      <c r="R36" s="18"/>
      <c r="AC36" s="10">
        <v>30</v>
      </c>
      <c r="AD36" s="10">
        <v>48</v>
      </c>
      <c r="AF36" s="10">
        <v>100</v>
      </c>
      <c r="AH36" s="15">
        <v>30</v>
      </c>
      <c r="AI36" s="15">
        <v>26</v>
      </c>
      <c r="AJ36" s="15">
        <v>30</v>
      </c>
      <c r="AK36" s="15">
        <v>31</v>
      </c>
      <c r="AL36" s="15">
        <v>27</v>
      </c>
      <c r="AM36" s="15">
        <v>21</v>
      </c>
      <c r="AN36" s="15">
        <v>25</v>
      </c>
      <c r="AO36" s="15">
        <v>26</v>
      </c>
      <c r="AP36" s="15">
        <v>27</v>
      </c>
      <c r="AQ36" s="15">
        <v>28</v>
      </c>
      <c r="AR36" s="15">
        <v>7</v>
      </c>
      <c r="AS36" s="15">
        <v>28</v>
      </c>
      <c r="AT36" s="15">
        <v>29</v>
      </c>
      <c r="AU36" s="15">
        <v>29</v>
      </c>
      <c r="AV36" s="15">
        <v>35</v>
      </c>
      <c r="AW36" s="15">
        <v>33</v>
      </c>
      <c r="AX36" s="15">
        <v>25</v>
      </c>
      <c r="AY36" s="15">
        <v>34</v>
      </c>
      <c r="AZ36" s="15">
        <v>21</v>
      </c>
      <c r="BA36" s="15">
        <v>31</v>
      </c>
      <c r="BB36" s="10">
        <v>34</v>
      </c>
      <c r="BC36" s="10">
        <v>24</v>
      </c>
      <c r="BD36" s="10">
        <v>33</v>
      </c>
      <c r="BE36" s="10">
        <v>29</v>
      </c>
      <c r="BF36" s="10">
        <v>32</v>
      </c>
      <c r="BG36" s="10">
        <v>34</v>
      </c>
    </row>
    <row r="37" spans="2:59">
      <c r="AC37" s="10">
        <v>31</v>
      </c>
      <c r="AD37" s="10">
        <v>49</v>
      </c>
      <c r="AH37" s="15">
        <v>31</v>
      </c>
      <c r="AI37" s="15">
        <v>26</v>
      </c>
      <c r="AJ37" s="15">
        <v>30</v>
      </c>
      <c r="AK37" s="15">
        <v>32</v>
      </c>
      <c r="AL37" s="15">
        <v>31</v>
      </c>
      <c r="AM37" s="15">
        <v>23</v>
      </c>
      <c r="AN37" s="15">
        <v>26</v>
      </c>
      <c r="AO37" s="15">
        <v>26</v>
      </c>
      <c r="AP37" s="15">
        <v>27</v>
      </c>
      <c r="AQ37" s="15">
        <v>33</v>
      </c>
      <c r="AR37" s="15">
        <v>9</v>
      </c>
      <c r="AS37" s="15">
        <v>31</v>
      </c>
      <c r="AT37" s="15">
        <v>29</v>
      </c>
      <c r="AU37" s="15">
        <v>29</v>
      </c>
      <c r="AV37" s="15">
        <v>36</v>
      </c>
      <c r="AW37" s="15">
        <v>38</v>
      </c>
      <c r="AX37" s="15">
        <v>29</v>
      </c>
      <c r="AY37" s="15">
        <v>37</v>
      </c>
      <c r="AZ37" s="15">
        <v>21</v>
      </c>
      <c r="BA37" s="15">
        <v>31</v>
      </c>
      <c r="BB37" s="10">
        <v>34</v>
      </c>
      <c r="BC37" s="10">
        <v>24</v>
      </c>
      <c r="BD37" s="10">
        <v>33</v>
      </c>
      <c r="BE37" s="10">
        <v>29</v>
      </c>
      <c r="BF37" s="10">
        <v>32</v>
      </c>
      <c r="BG37" s="10">
        <v>34</v>
      </c>
    </row>
    <row r="38" spans="2:59">
      <c r="AC38" s="10">
        <v>32</v>
      </c>
      <c r="AD38" s="10">
        <v>50</v>
      </c>
      <c r="AH38" s="10">
        <v>32</v>
      </c>
      <c r="AI38" s="10">
        <v>26</v>
      </c>
      <c r="AJ38" s="10">
        <v>30</v>
      </c>
      <c r="AK38" s="10">
        <v>32</v>
      </c>
      <c r="AL38" s="10">
        <v>31</v>
      </c>
      <c r="AM38" s="10">
        <v>25</v>
      </c>
      <c r="AN38" s="10">
        <v>26</v>
      </c>
      <c r="AO38" s="10">
        <v>26</v>
      </c>
      <c r="AP38" s="10">
        <v>27</v>
      </c>
      <c r="AQ38" s="10">
        <v>33</v>
      </c>
      <c r="AR38" s="10">
        <v>9</v>
      </c>
      <c r="AS38" s="10">
        <v>31</v>
      </c>
      <c r="AT38" s="10">
        <v>29</v>
      </c>
      <c r="AU38" s="10">
        <v>29</v>
      </c>
      <c r="AV38" s="10">
        <v>36</v>
      </c>
      <c r="AW38" s="10">
        <v>38</v>
      </c>
      <c r="AX38" s="10">
        <v>29</v>
      </c>
      <c r="AY38" s="10">
        <v>37</v>
      </c>
      <c r="AZ38" s="10">
        <v>21</v>
      </c>
      <c r="BA38" s="10">
        <v>31</v>
      </c>
      <c r="BB38" s="10">
        <v>34</v>
      </c>
      <c r="BC38" s="10">
        <v>24</v>
      </c>
      <c r="BD38" s="10">
        <v>33</v>
      </c>
      <c r="BE38" s="10">
        <v>29</v>
      </c>
      <c r="BF38" s="10">
        <v>32</v>
      </c>
      <c r="BG38" s="10">
        <v>34</v>
      </c>
    </row>
    <row r="39" spans="2:59">
      <c r="AC39" s="10">
        <v>33</v>
      </c>
      <c r="AD39" s="10">
        <v>52</v>
      </c>
      <c r="AH39" s="10">
        <v>33</v>
      </c>
      <c r="AI39" s="10">
        <v>26</v>
      </c>
      <c r="AJ39" s="10">
        <v>31</v>
      </c>
      <c r="AK39" s="10">
        <v>32</v>
      </c>
      <c r="AL39" s="10">
        <v>32</v>
      </c>
      <c r="AM39" s="10">
        <v>25</v>
      </c>
      <c r="AN39" s="10">
        <v>27</v>
      </c>
      <c r="AO39" s="10">
        <v>26</v>
      </c>
      <c r="AP39" s="10">
        <v>27</v>
      </c>
      <c r="AQ39" s="10">
        <v>34</v>
      </c>
      <c r="AR39" s="10">
        <v>9</v>
      </c>
      <c r="AS39" s="10">
        <v>31</v>
      </c>
      <c r="AT39" s="10">
        <v>30</v>
      </c>
      <c r="AU39" s="10">
        <v>29</v>
      </c>
      <c r="AV39" s="10">
        <v>36</v>
      </c>
      <c r="AW39" s="10">
        <v>39</v>
      </c>
      <c r="AX39" s="10">
        <v>30</v>
      </c>
      <c r="AY39" s="10">
        <v>37</v>
      </c>
      <c r="AZ39" s="10">
        <v>21</v>
      </c>
      <c r="BA39" s="10">
        <v>32</v>
      </c>
      <c r="BB39" s="10">
        <v>34</v>
      </c>
      <c r="BC39" s="10">
        <v>24</v>
      </c>
      <c r="BD39" s="10">
        <v>33</v>
      </c>
      <c r="BE39" s="10">
        <v>29</v>
      </c>
      <c r="BF39" s="10">
        <v>32</v>
      </c>
      <c r="BG39" s="10">
        <v>34</v>
      </c>
    </row>
    <row r="40" spans="2:59">
      <c r="AC40" s="10">
        <v>34</v>
      </c>
      <c r="AD40" s="10">
        <v>54</v>
      </c>
      <c r="AH40" s="10">
        <v>34</v>
      </c>
      <c r="AI40" s="10">
        <v>29</v>
      </c>
      <c r="AJ40" s="10">
        <v>33</v>
      </c>
      <c r="AK40" s="10">
        <v>32</v>
      </c>
      <c r="AL40" s="10">
        <v>32</v>
      </c>
      <c r="AM40" s="10">
        <v>25</v>
      </c>
      <c r="AN40" s="10">
        <v>27</v>
      </c>
      <c r="AO40" s="10">
        <v>26</v>
      </c>
      <c r="AP40" s="10">
        <v>27</v>
      </c>
      <c r="AQ40" s="10">
        <v>34</v>
      </c>
      <c r="AR40" s="10">
        <v>10</v>
      </c>
      <c r="AS40" s="10">
        <v>31</v>
      </c>
      <c r="AT40" s="10">
        <v>31</v>
      </c>
      <c r="AU40" s="10">
        <v>29</v>
      </c>
      <c r="AV40" s="10">
        <v>36</v>
      </c>
      <c r="AW40" s="10">
        <v>39</v>
      </c>
      <c r="AX40" s="10">
        <v>30</v>
      </c>
      <c r="AY40" s="10">
        <v>37</v>
      </c>
      <c r="AZ40" s="10">
        <v>21</v>
      </c>
      <c r="BA40" s="10">
        <v>34</v>
      </c>
      <c r="BB40" s="10">
        <v>34</v>
      </c>
      <c r="BC40" s="10">
        <v>24</v>
      </c>
      <c r="BD40" s="10">
        <v>33</v>
      </c>
      <c r="BE40" s="10">
        <v>31</v>
      </c>
      <c r="BF40" s="10">
        <v>32</v>
      </c>
      <c r="BG40" s="10">
        <v>34</v>
      </c>
    </row>
    <row r="41" spans="2:59">
      <c r="AC41" s="10">
        <v>35</v>
      </c>
      <c r="AD41" s="10">
        <v>56</v>
      </c>
      <c r="AH41" s="10">
        <v>35</v>
      </c>
      <c r="AI41" s="10">
        <v>31</v>
      </c>
      <c r="AJ41" s="10">
        <v>34</v>
      </c>
      <c r="AK41" s="10">
        <v>33</v>
      </c>
      <c r="AL41" s="10">
        <v>32</v>
      </c>
      <c r="AM41" s="10">
        <v>26</v>
      </c>
      <c r="AN41" s="10">
        <v>27</v>
      </c>
      <c r="AO41" s="10">
        <v>26</v>
      </c>
      <c r="AP41" s="10">
        <v>27</v>
      </c>
      <c r="AQ41" s="10">
        <v>34</v>
      </c>
      <c r="AR41" s="10">
        <v>12</v>
      </c>
      <c r="AS41" s="10">
        <v>31</v>
      </c>
      <c r="AT41" s="10">
        <v>31</v>
      </c>
      <c r="AU41" s="10">
        <v>30</v>
      </c>
      <c r="AV41" s="10">
        <v>36</v>
      </c>
      <c r="AW41" s="10">
        <v>39</v>
      </c>
      <c r="AX41" s="10">
        <v>30</v>
      </c>
      <c r="AY41" s="10">
        <v>37</v>
      </c>
      <c r="AZ41" s="10">
        <v>21</v>
      </c>
      <c r="BA41" s="10">
        <v>34</v>
      </c>
      <c r="BB41" s="10">
        <v>34</v>
      </c>
      <c r="BC41" s="10">
        <v>24</v>
      </c>
      <c r="BD41" s="10">
        <v>33</v>
      </c>
      <c r="BE41" s="10">
        <v>34</v>
      </c>
      <c r="BF41" s="10">
        <v>32</v>
      </c>
      <c r="BG41" s="10">
        <v>34</v>
      </c>
    </row>
    <row r="42" spans="2:59">
      <c r="AC42" s="10">
        <v>36</v>
      </c>
      <c r="AD42" s="10">
        <v>58</v>
      </c>
      <c r="AH42" s="10">
        <v>36</v>
      </c>
      <c r="AI42" s="10">
        <v>31</v>
      </c>
      <c r="AJ42" s="10">
        <v>35</v>
      </c>
      <c r="AK42" s="10">
        <v>33</v>
      </c>
      <c r="AL42" s="10">
        <v>32</v>
      </c>
      <c r="AM42" s="10">
        <v>26</v>
      </c>
      <c r="AN42" s="10">
        <v>28</v>
      </c>
      <c r="AO42" s="10">
        <v>30</v>
      </c>
      <c r="AP42" s="10">
        <v>27</v>
      </c>
      <c r="AQ42" s="10">
        <v>34</v>
      </c>
      <c r="AR42" s="10">
        <v>12</v>
      </c>
      <c r="AS42" s="10">
        <v>31</v>
      </c>
      <c r="AT42" s="10">
        <v>31</v>
      </c>
      <c r="AU42" s="10">
        <v>33</v>
      </c>
      <c r="AV42" s="10">
        <v>37</v>
      </c>
      <c r="AW42" s="10">
        <v>39</v>
      </c>
      <c r="AX42" s="10">
        <v>30</v>
      </c>
      <c r="AY42" s="10">
        <v>38</v>
      </c>
      <c r="AZ42" s="10">
        <v>25</v>
      </c>
      <c r="BA42" s="10">
        <v>34</v>
      </c>
      <c r="BB42" s="10">
        <v>34</v>
      </c>
      <c r="BC42" s="10">
        <v>24</v>
      </c>
      <c r="BD42" s="10">
        <v>33</v>
      </c>
      <c r="BE42" s="10">
        <v>34</v>
      </c>
      <c r="BF42" s="10">
        <v>35</v>
      </c>
      <c r="BG42" s="10">
        <v>34</v>
      </c>
    </row>
    <row r="43" spans="2:59">
      <c r="AC43" s="10">
        <v>37</v>
      </c>
      <c r="AD43" s="10">
        <v>60</v>
      </c>
      <c r="AH43" s="10">
        <v>37</v>
      </c>
      <c r="AI43" s="10">
        <v>32</v>
      </c>
      <c r="AJ43" s="10">
        <v>35</v>
      </c>
      <c r="AK43" s="10">
        <v>35</v>
      </c>
      <c r="AL43" s="10">
        <v>32</v>
      </c>
      <c r="AM43" s="10">
        <v>28</v>
      </c>
      <c r="AN43" s="10">
        <v>30</v>
      </c>
      <c r="AO43" s="10">
        <v>33</v>
      </c>
      <c r="AP43" s="10">
        <v>27</v>
      </c>
      <c r="AQ43" s="10">
        <v>34</v>
      </c>
      <c r="AR43" s="10">
        <v>12</v>
      </c>
      <c r="AS43" s="10">
        <v>31</v>
      </c>
      <c r="AT43" s="10">
        <v>31</v>
      </c>
      <c r="AU43" s="10">
        <v>35</v>
      </c>
      <c r="AV43" s="10">
        <v>37</v>
      </c>
      <c r="AW43" s="10">
        <v>39</v>
      </c>
      <c r="AX43" s="10">
        <v>30</v>
      </c>
      <c r="AY43" s="10">
        <v>38</v>
      </c>
      <c r="AZ43" s="10">
        <v>29</v>
      </c>
      <c r="BA43" s="10">
        <v>34</v>
      </c>
      <c r="BB43" s="10">
        <v>34</v>
      </c>
      <c r="BC43" s="10">
        <v>24</v>
      </c>
      <c r="BD43" s="10">
        <v>33</v>
      </c>
      <c r="BE43" s="10">
        <v>34</v>
      </c>
      <c r="BF43" s="10">
        <v>38</v>
      </c>
      <c r="BG43" s="10">
        <v>34</v>
      </c>
    </row>
    <row r="44" spans="2:59">
      <c r="AC44" s="10">
        <v>38</v>
      </c>
      <c r="AD44" s="10">
        <v>61</v>
      </c>
      <c r="AH44" s="10">
        <v>38</v>
      </c>
      <c r="AI44" s="10">
        <v>32</v>
      </c>
      <c r="AJ44" s="10">
        <v>35</v>
      </c>
      <c r="AK44" s="10">
        <v>36</v>
      </c>
      <c r="AL44" s="10">
        <v>32</v>
      </c>
      <c r="AM44" s="10">
        <v>31</v>
      </c>
      <c r="AN44" s="10">
        <v>30</v>
      </c>
      <c r="AO44" s="10">
        <v>33</v>
      </c>
      <c r="AP44" s="10">
        <v>27</v>
      </c>
      <c r="AQ44" s="10">
        <v>34</v>
      </c>
      <c r="AR44" s="10">
        <v>12</v>
      </c>
      <c r="AS44" s="10">
        <v>31</v>
      </c>
      <c r="AT44" s="10">
        <v>31</v>
      </c>
      <c r="AU44" s="10">
        <v>35</v>
      </c>
      <c r="AV44" s="10">
        <v>38</v>
      </c>
      <c r="AW44" s="10">
        <v>39</v>
      </c>
      <c r="AX44" s="10">
        <v>30</v>
      </c>
      <c r="AY44" s="10">
        <v>38</v>
      </c>
      <c r="AZ44" s="10">
        <v>30</v>
      </c>
      <c r="BA44" s="10">
        <v>34</v>
      </c>
      <c r="BB44" s="10">
        <v>34</v>
      </c>
      <c r="BC44" s="10">
        <v>24</v>
      </c>
      <c r="BD44" s="10">
        <v>33</v>
      </c>
      <c r="BE44" s="10">
        <v>34</v>
      </c>
      <c r="BF44" s="10">
        <v>38</v>
      </c>
      <c r="BG44" s="10">
        <v>34</v>
      </c>
    </row>
    <row r="45" spans="2:59">
      <c r="AC45" s="10">
        <v>39</v>
      </c>
      <c r="AD45" s="10">
        <v>62</v>
      </c>
      <c r="AH45" s="10">
        <v>39</v>
      </c>
      <c r="AI45" s="10">
        <v>32</v>
      </c>
      <c r="AJ45" s="10">
        <v>35</v>
      </c>
      <c r="AK45" s="10">
        <v>37</v>
      </c>
      <c r="AL45" s="10">
        <v>32</v>
      </c>
      <c r="AM45" s="10">
        <v>31</v>
      </c>
      <c r="AN45" s="10">
        <v>30</v>
      </c>
      <c r="AO45" s="10">
        <v>34</v>
      </c>
      <c r="AP45" s="10">
        <v>28</v>
      </c>
      <c r="AQ45" s="10">
        <v>34</v>
      </c>
      <c r="AR45" s="10">
        <v>14</v>
      </c>
      <c r="AS45" s="10">
        <v>31</v>
      </c>
      <c r="AT45" s="10">
        <v>31</v>
      </c>
      <c r="AU45" s="10">
        <v>35</v>
      </c>
      <c r="AV45" s="10">
        <v>39</v>
      </c>
      <c r="AW45" s="10">
        <v>39</v>
      </c>
      <c r="AX45" s="10">
        <v>30</v>
      </c>
      <c r="AY45" s="10">
        <v>38</v>
      </c>
      <c r="AZ45" s="10">
        <v>30</v>
      </c>
      <c r="BA45" s="10">
        <v>34</v>
      </c>
      <c r="BB45" s="10">
        <v>34</v>
      </c>
      <c r="BC45" s="10">
        <v>24</v>
      </c>
      <c r="BD45" s="10">
        <v>33</v>
      </c>
      <c r="BE45" s="10">
        <v>34</v>
      </c>
      <c r="BF45" s="10">
        <v>38</v>
      </c>
      <c r="BG45" s="10">
        <v>34</v>
      </c>
    </row>
    <row r="46" spans="2:59">
      <c r="AC46" s="10">
        <v>40</v>
      </c>
      <c r="AD46" s="10">
        <v>63</v>
      </c>
      <c r="AH46" s="10">
        <v>40</v>
      </c>
      <c r="AI46" s="10">
        <v>32</v>
      </c>
      <c r="AJ46" s="10">
        <v>35</v>
      </c>
      <c r="AK46" s="10">
        <v>37</v>
      </c>
      <c r="AL46" s="10">
        <v>36</v>
      </c>
      <c r="AM46" s="10">
        <v>31</v>
      </c>
      <c r="AN46" s="10">
        <v>31</v>
      </c>
      <c r="AO46" s="10">
        <v>34</v>
      </c>
      <c r="AP46" s="10">
        <v>32</v>
      </c>
      <c r="AQ46" s="10">
        <v>34</v>
      </c>
      <c r="AR46" s="10">
        <v>16</v>
      </c>
      <c r="AS46" s="10">
        <v>34</v>
      </c>
      <c r="AT46" s="10">
        <v>31</v>
      </c>
      <c r="AU46" s="10">
        <v>36</v>
      </c>
      <c r="AV46" s="10">
        <v>41</v>
      </c>
      <c r="AW46" s="10">
        <v>39</v>
      </c>
      <c r="AX46" s="10">
        <v>30</v>
      </c>
      <c r="AY46" s="10">
        <v>40</v>
      </c>
      <c r="AZ46" s="10">
        <v>30</v>
      </c>
      <c r="BA46" s="10">
        <v>36</v>
      </c>
      <c r="BB46" s="10">
        <v>34</v>
      </c>
      <c r="BC46" s="10">
        <v>24</v>
      </c>
      <c r="BD46" s="10">
        <v>38</v>
      </c>
      <c r="BE46" s="10">
        <v>34</v>
      </c>
      <c r="BF46" s="10">
        <v>38</v>
      </c>
      <c r="BG46" s="10">
        <v>34</v>
      </c>
    </row>
    <row r="47" spans="2:59">
      <c r="AC47" s="10">
        <v>41</v>
      </c>
      <c r="AD47" s="10">
        <v>64</v>
      </c>
      <c r="AH47" s="10">
        <v>41</v>
      </c>
      <c r="AI47" s="10">
        <v>32</v>
      </c>
      <c r="AJ47" s="10">
        <v>36</v>
      </c>
      <c r="AK47" s="10">
        <v>37</v>
      </c>
      <c r="AL47" s="10">
        <v>40</v>
      </c>
      <c r="AM47" s="10">
        <v>31</v>
      </c>
      <c r="AN47" s="10">
        <v>31</v>
      </c>
      <c r="AO47" s="10">
        <v>34</v>
      </c>
      <c r="AP47" s="10">
        <v>36</v>
      </c>
      <c r="AQ47" s="10">
        <v>34</v>
      </c>
      <c r="AR47" s="10">
        <v>17</v>
      </c>
      <c r="AS47" s="10">
        <v>37</v>
      </c>
      <c r="AT47" s="10">
        <v>31</v>
      </c>
      <c r="AU47" s="10">
        <v>36</v>
      </c>
      <c r="AV47" s="10">
        <v>42</v>
      </c>
      <c r="AW47" s="10">
        <v>39</v>
      </c>
      <c r="AX47" s="10">
        <v>30</v>
      </c>
      <c r="AY47" s="10">
        <v>42</v>
      </c>
      <c r="AZ47" s="10">
        <v>30</v>
      </c>
      <c r="BA47" s="10">
        <v>38</v>
      </c>
      <c r="BB47" s="10">
        <v>34</v>
      </c>
      <c r="BC47" s="10">
        <v>24</v>
      </c>
      <c r="BD47" s="10">
        <v>43</v>
      </c>
      <c r="BE47" s="10">
        <v>34</v>
      </c>
      <c r="BF47" s="10">
        <v>38</v>
      </c>
      <c r="BG47" s="10">
        <v>34</v>
      </c>
    </row>
    <row r="48" spans="2:59">
      <c r="AC48" s="10">
        <v>42</v>
      </c>
      <c r="AD48" s="10">
        <v>65</v>
      </c>
      <c r="AH48" s="10">
        <v>42</v>
      </c>
      <c r="AI48" s="10">
        <v>32</v>
      </c>
      <c r="AJ48" s="10">
        <v>37</v>
      </c>
      <c r="AK48" s="10">
        <v>38</v>
      </c>
      <c r="AL48" s="10">
        <v>40</v>
      </c>
      <c r="AM48" s="10">
        <v>31</v>
      </c>
      <c r="AN48" s="10">
        <v>33</v>
      </c>
      <c r="AO48" s="10">
        <v>34</v>
      </c>
      <c r="AP48" s="10">
        <v>37</v>
      </c>
      <c r="AQ48" s="10">
        <v>34</v>
      </c>
      <c r="AR48" s="10">
        <v>17</v>
      </c>
      <c r="AS48" s="10">
        <v>37</v>
      </c>
      <c r="AT48" s="10">
        <v>31</v>
      </c>
      <c r="AU48" s="10">
        <v>36</v>
      </c>
      <c r="AV48" s="10">
        <v>42</v>
      </c>
      <c r="AW48" s="10">
        <v>39</v>
      </c>
      <c r="AX48" s="10">
        <v>30</v>
      </c>
      <c r="AY48" s="10">
        <v>42</v>
      </c>
      <c r="AZ48" s="10">
        <v>30</v>
      </c>
      <c r="BA48" s="10">
        <v>38</v>
      </c>
      <c r="BB48" s="10">
        <v>34</v>
      </c>
      <c r="BC48" s="10">
        <v>24</v>
      </c>
      <c r="BD48" s="10">
        <v>43</v>
      </c>
      <c r="BE48" s="10">
        <v>34</v>
      </c>
      <c r="BF48" s="10">
        <v>38</v>
      </c>
      <c r="BG48" s="10">
        <v>34</v>
      </c>
    </row>
    <row r="49" spans="29:59">
      <c r="AC49" s="10">
        <v>43</v>
      </c>
      <c r="AD49" s="10">
        <v>66</v>
      </c>
      <c r="AH49" s="10">
        <v>43</v>
      </c>
      <c r="AI49" s="10">
        <v>35</v>
      </c>
      <c r="AJ49" s="10">
        <v>39</v>
      </c>
      <c r="AK49" s="10">
        <v>38</v>
      </c>
      <c r="AL49" s="10">
        <v>40</v>
      </c>
      <c r="AM49" s="10">
        <v>33</v>
      </c>
      <c r="AN49" s="10">
        <v>35</v>
      </c>
      <c r="AO49" s="10">
        <v>34</v>
      </c>
      <c r="AP49" s="10">
        <v>37</v>
      </c>
      <c r="AQ49" s="10">
        <v>34</v>
      </c>
      <c r="AR49" s="10">
        <v>19</v>
      </c>
      <c r="AS49" s="10">
        <v>37</v>
      </c>
      <c r="AT49" s="10">
        <v>34</v>
      </c>
      <c r="AU49" s="10">
        <v>36</v>
      </c>
      <c r="AV49" s="10">
        <v>42</v>
      </c>
      <c r="AW49" s="10">
        <v>39</v>
      </c>
      <c r="AX49" s="10">
        <v>30</v>
      </c>
      <c r="AY49" s="10">
        <v>42</v>
      </c>
      <c r="AZ49" s="10">
        <v>30</v>
      </c>
      <c r="BA49" s="10">
        <v>38</v>
      </c>
      <c r="BB49" s="10">
        <v>34</v>
      </c>
      <c r="BC49" s="10">
        <v>24</v>
      </c>
      <c r="BD49" s="10">
        <v>43</v>
      </c>
      <c r="BE49" s="10">
        <v>38</v>
      </c>
      <c r="BF49" s="10">
        <v>38</v>
      </c>
      <c r="BG49" s="10">
        <v>34</v>
      </c>
    </row>
    <row r="50" spans="29:59">
      <c r="AC50" s="10">
        <v>44</v>
      </c>
      <c r="AD50" s="10">
        <v>67</v>
      </c>
      <c r="AH50" s="10">
        <v>44</v>
      </c>
      <c r="AI50" s="10">
        <v>38</v>
      </c>
      <c r="AJ50" s="10">
        <v>40</v>
      </c>
      <c r="AK50" s="10">
        <v>39</v>
      </c>
      <c r="AL50" s="10">
        <v>40</v>
      </c>
      <c r="AM50" s="10">
        <v>34</v>
      </c>
      <c r="AN50" s="10">
        <v>36</v>
      </c>
      <c r="AO50" s="10">
        <v>34</v>
      </c>
      <c r="AP50" s="10">
        <v>37</v>
      </c>
      <c r="AQ50" s="10">
        <v>34</v>
      </c>
      <c r="AR50" s="10">
        <v>21</v>
      </c>
      <c r="AS50" s="10">
        <v>37</v>
      </c>
      <c r="AT50" s="10">
        <v>37</v>
      </c>
      <c r="AU50" s="10">
        <v>36</v>
      </c>
      <c r="AV50" s="10">
        <v>42</v>
      </c>
      <c r="AW50" s="10">
        <v>39</v>
      </c>
      <c r="AX50" s="10">
        <v>30</v>
      </c>
      <c r="AY50" s="10">
        <v>42</v>
      </c>
      <c r="AZ50" s="10">
        <v>30</v>
      </c>
      <c r="BA50" s="10">
        <v>38</v>
      </c>
      <c r="BB50" s="10">
        <v>34</v>
      </c>
      <c r="BC50" s="10">
        <v>24</v>
      </c>
      <c r="BD50" s="10">
        <v>43</v>
      </c>
      <c r="BE50" s="10">
        <v>41</v>
      </c>
      <c r="BF50" s="10">
        <v>38</v>
      </c>
      <c r="BG50" s="10">
        <v>34</v>
      </c>
    </row>
    <row r="51" spans="29:59">
      <c r="AC51" s="10">
        <v>45</v>
      </c>
      <c r="AD51" s="10">
        <v>68</v>
      </c>
      <c r="AH51" s="10">
        <v>45</v>
      </c>
      <c r="AI51" s="10">
        <v>38</v>
      </c>
      <c r="AJ51" s="10">
        <v>40</v>
      </c>
      <c r="AK51" s="10">
        <v>40</v>
      </c>
      <c r="AL51" s="10">
        <v>40</v>
      </c>
      <c r="AM51" s="10">
        <v>35</v>
      </c>
      <c r="AN51" s="10">
        <v>36</v>
      </c>
      <c r="AO51" s="10">
        <v>34</v>
      </c>
      <c r="AP51" s="10">
        <v>38</v>
      </c>
      <c r="AQ51" s="10">
        <v>38</v>
      </c>
      <c r="AR51" s="10">
        <v>21</v>
      </c>
      <c r="AS51" s="10">
        <v>37</v>
      </c>
      <c r="AT51" s="10">
        <v>37</v>
      </c>
      <c r="AU51" s="10">
        <v>36</v>
      </c>
      <c r="AV51" s="10">
        <v>42</v>
      </c>
      <c r="AW51" s="10">
        <v>41</v>
      </c>
      <c r="AX51" s="10">
        <v>33</v>
      </c>
      <c r="AY51" s="10">
        <v>42</v>
      </c>
      <c r="AZ51" s="10">
        <v>30</v>
      </c>
      <c r="BA51" s="10">
        <v>38</v>
      </c>
      <c r="BB51" s="10">
        <v>34</v>
      </c>
      <c r="BC51" s="10">
        <v>24</v>
      </c>
      <c r="BD51" s="10">
        <v>43</v>
      </c>
      <c r="BE51" s="10">
        <v>42</v>
      </c>
      <c r="BF51" s="10">
        <v>38</v>
      </c>
      <c r="BG51" s="10">
        <v>34</v>
      </c>
    </row>
    <row r="52" spans="29:59">
      <c r="AC52" s="10">
        <v>46</v>
      </c>
      <c r="AD52" s="10">
        <v>68</v>
      </c>
      <c r="AH52" s="10">
        <v>46</v>
      </c>
      <c r="AI52" s="10">
        <v>38</v>
      </c>
      <c r="AJ52" s="10">
        <v>40</v>
      </c>
      <c r="AK52" s="10">
        <v>41</v>
      </c>
      <c r="AL52" s="10">
        <v>40</v>
      </c>
      <c r="AM52" s="10">
        <v>35</v>
      </c>
      <c r="AN52" s="10">
        <v>36</v>
      </c>
      <c r="AO52" s="10">
        <v>34</v>
      </c>
      <c r="AP52" s="10">
        <v>38</v>
      </c>
      <c r="AQ52" s="10">
        <v>41</v>
      </c>
      <c r="AR52" s="10">
        <v>21</v>
      </c>
      <c r="AS52" s="10">
        <v>37</v>
      </c>
      <c r="AT52" s="10">
        <v>37</v>
      </c>
      <c r="AU52" s="10">
        <v>37</v>
      </c>
      <c r="AV52" s="10">
        <v>43</v>
      </c>
      <c r="AW52" s="10">
        <v>44</v>
      </c>
      <c r="AX52" s="10">
        <v>37</v>
      </c>
      <c r="AY52" s="10">
        <v>42</v>
      </c>
      <c r="AZ52" s="10">
        <v>30</v>
      </c>
      <c r="BA52" s="10">
        <v>38</v>
      </c>
      <c r="BB52" s="10">
        <v>34</v>
      </c>
      <c r="BC52" s="10">
        <v>24</v>
      </c>
      <c r="BD52" s="10">
        <v>43</v>
      </c>
      <c r="BE52" s="10">
        <v>42</v>
      </c>
      <c r="BF52" s="10">
        <v>38</v>
      </c>
      <c r="BG52" s="10">
        <v>34</v>
      </c>
    </row>
    <row r="53" spans="29:59">
      <c r="AC53" s="10">
        <v>47</v>
      </c>
      <c r="AD53" s="10">
        <v>69</v>
      </c>
      <c r="AH53" s="10">
        <v>47</v>
      </c>
      <c r="AI53" s="10">
        <v>38</v>
      </c>
      <c r="AJ53" s="10">
        <v>40</v>
      </c>
      <c r="AK53" s="10">
        <v>41</v>
      </c>
      <c r="AL53" s="10">
        <v>40</v>
      </c>
      <c r="AM53" s="10">
        <v>35</v>
      </c>
      <c r="AN53" s="10">
        <v>36</v>
      </c>
      <c r="AO53" s="10">
        <v>34</v>
      </c>
      <c r="AP53" s="10">
        <v>38</v>
      </c>
      <c r="AQ53" s="10">
        <v>42</v>
      </c>
      <c r="AR53" s="10">
        <v>24</v>
      </c>
      <c r="AS53" s="10">
        <v>37</v>
      </c>
      <c r="AT53" s="10">
        <v>37</v>
      </c>
      <c r="AU53" s="10">
        <v>38</v>
      </c>
      <c r="AV53" s="10">
        <v>43</v>
      </c>
      <c r="AW53" s="10">
        <v>44</v>
      </c>
      <c r="AX53" s="10">
        <v>37</v>
      </c>
      <c r="AY53" s="10">
        <v>42</v>
      </c>
      <c r="AZ53" s="10">
        <v>30</v>
      </c>
      <c r="BA53" s="10">
        <v>41</v>
      </c>
      <c r="BB53" s="10">
        <v>34</v>
      </c>
      <c r="BC53" s="10">
        <v>24</v>
      </c>
      <c r="BD53" s="10">
        <v>43</v>
      </c>
      <c r="BE53" s="10">
        <v>42</v>
      </c>
      <c r="BF53" s="10">
        <v>38</v>
      </c>
      <c r="BG53" s="10">
        <v>34</v>
      </c>
    </row>
    <row r="54" spans="29:59">
      <c r="AC54" s="10">
        <v>48</v>
      </c>
      <c r="AD54" s="10">
        <v>70</v>
      </c>
      <c r="AH54" s="10">
        <v>48</v>
      </c>
      <c r="AI54" s="10">
        <v>39</v>
      </c>
      <c r="AJ54" s="10">
        <v>40</v>
      </c>
      <c r="AK54" s="10">
        <v>41</v>
      </c>
      <c r="AL54" s="10">
        <v>40</v>
      </c>
      <c r="AM54" s="10">
        <v>35</v>
      </c>
      <c r="AN54" s="10">
        <v>38</v>
      </c>
      <c r="AO54" s="10">
        <v>38</v>
      </c>
      <c r="AP54" s="10">
        <v>38</v>
      </c>
      <c r="AQ54" s="10">
        <v>42</v>
      </c>
      <c r="AR54" s="10">
        <v>26</v>
      </c>
      <c r="AS54" s="10">
        <v>37</v>
      </c>
      <c r="AT54" s="10">
        <v>37</v>
      </c>
      <c r="AU54" s="10">
        <v>40</v>
      </c>
      <c r="AV54" s="10">
        <v>44</v>
      </c>
      <c r="AW54" s="10">
        <v>44</v>
      </c>
      <c r="AX54" s="10">
        <v>37</v>
      </c>
      <c r="AY54" s="10">
        <v>42</v>
      </c>
      <c r="AZ54" s="10">
        <v>34</v>
      </c>
      <c r="BA54" s="10">
        <v>43</v>
      </c>
      <c r="BB54" s="10">
        <v>34</v>
      </c>
      <c r="BC54" s="10">
        <v>24</v>
      </c>
      <c r="BD54" s="10">
        <v>43</v>
      </c>
      <c r="BE54" s="10">
        <v>42</v>
      </c>
      <c r="BF54" s="10">
        <v>41</v>
      </c>
      <c r="BG54" s="10">
        <v>34</v>
      </c>
    </row>
    <row r="55" spans="29:59">
      <c r="AC55" s="10">
        <v>49</v>
      </c>
      <c r="AD55" s="10">
        <v>71</v>
      </c>
      <c r="AH55" s="10">
        <v>49</v>
      </c>
      <c r="AI55" s="10">
        <v>39</v>
      </c>
      <c r="AJ55" s="10">
        <v>41</v>
      </c>
      <c r="AK55" s="10">
        <v>42</v>
      </c>
      <c r="AL55" s="10">
        <v>40</v>
      </c>
      <c r="AM55" s="10">
        <v>37</v>
      </c>
      <c r="AN55" s="10">
        <v>40</v>
      </c>
      <c r="AO55" s="10">
        <v>43</v>
      </c>
      <c r="AP55" s="10">
        <v>38</v>
      </c>
      <c r="AQ55" s="10">
        <v>42</v>
      </c>
      <c r="AR55" s="10">
        <v>27</v>
      </c>
      <c r="AS55" s="10">
        <v>37</v>
      </c>
      <c r="AT55" s="10">
        <v>37</v>
      </c>
      <c r="AU55" s="10">
        <v>41</v>
      </c>
      <c r="AV55" s="10">
        <v>44</v>
      </c>
      <c r="AW55" s="10">
        <v>44</v>
      </c>
      <c r="AX55" s="10">
        <v>37</v>
      </c>
      <c r="AY55" s="10">
        <v>42</v>
      </c>
      <c r="AZ55" s="10">
        <v>37</v>
      </c>
      <c r="BA55" s="10">
        <v>43</v>
      </c>
      <c r="BB55" s="10">
        <v>34</v>
      </c>
      <c r="BC55" s="10">
        <v>24</v>
      </c>
      <c r="BD55" s="10">
        <v>43</v>
      </c>
      <c r="BE55" s="10">
        <v>42</v>
      </c>
      <c r="BF55" s="10">
        <v>43</v>
      </c>
      <c r="BG55" s="10">
        <v>34</v>
      </c>
    </row>
    <row r="56" spans="29:59">
      <c r="AC56" s="10">
        <v>50</v>
      </c>
      <c r="AD56" s="10">
        <v>72</v>
      </c>
      <c r="AH56" s="10">
        <v>50</v>
      </c>
      <c r="AI56" s="10">
        <v>39</v>
      </c>
      <c r="AJ56" s="10">
        <v>41</v>
      </c>
      <c r="AK56" s="10">
        <v>42</v>
      </c>
      <c r="AL56" s="10">
        <v>43</v>
      </c>
      <c r="AM56" s="10">
        <v>39</v>
      </c>
      <c r="AN56" s="10">
        <v>40</v>
      </c>
      <c r="AO56" s="10">
        <v>43</v>
      </c>
      <c r="AP56" s="10">
        <v>38</v>
      </c>
      <c r="AQ56" s="10">
        <v>42</v>
      </c>
      <c r="AR56" s="10">
        <v>27</v>
      </c>
      <c r="AS56" s="10">
        <v>40</v>
      </c>
      <c r="AT56" s="10">
        <v>37</v>
      </c>
      <c r="AU56" s="10">
        <v>41</v>
      </c>
      <c r="AV56" s="10">
        <v>46</v>
      </c>
      <c r="AW56" s="10">
        <v>44</v>
      </c>
      <c r="AX56" s="10">
        <v>37</v>
      </c>
      <c r="AY56" s="10">
        <v>44</v>
      </c>
      <c r="AZ56" s="10">
        <v>37</v>
      </c>
      <c r="BA56" s="10">
        <v>43</v>
      </c>
      <c r="BB56" s="10">
        <v>34</v>
      </c>
      <c r="BC56" s="10">
        <v>24</v>
      </c>
      <c r="BD56" s="10">
        <v>43</v>
      </c>
      <c r="BE56" s="10">
        <v>42</v>
      </c>
      <c r="BF56" s="10">
        <v>43</v>
      </c>
      <c r="BG56" s="10">
        <v>34</v>
      </c>
    </row>
    <row r="57" spans="29:59">
      <c r="AC57" s="10">
        <v>51</v>
      </c>
      <c r="AD57" s="10">
        <v>73</v>
      </c>
      <c r="AH57" s="10">
        <v>51</v>
      </c>
      <c r="AI57" s="10">
        <v>39</v>
      </c>
      <c r="AJ57" s="10">
        <v>43</v>
      </c>
      <c r="AK57" s="10">
        <v>43</v>
      </c>
      <c r="AL57" s="10">
        <v>46</v>
      </c>
      <c r="AM57" s="10">
        <v>39</v>
      </c>
      <c r="AN57" s="10">
        <v>40</v>
      </c>
      <c r="AO57" s="10">
        <v>43</v>
      </c>
      <c r="AP57" s="10">
        <v>38</v>
      </c>
      <c r="AQ57" s="10">
        <v>42</v>
      </c>
      <c r="AR57" s="10">
        <v>28</v>
      </c>
      <c r="AS57" s="10">
        <v>43</v>
      </c>
      <c r="AT57" s="10">
        <v>37</v>
      </c>
      <c r="AU57" s="10">
        <v>41</v>
      </c>
      <c r="AV57" s="10">
        <v>47</v>
      </c>
      <c r="AW57" s="10">
        <v>44</v>
      </c>
      <c r="AX57" s="10">
        <v>37</v>
      </c>
      <c r="AY57" s="10">
        <v>46</v>
      </c>
      <c r="AZ57" s="10">
        <v>38</v>
      </c>
      <c r="BA57" s="10">
        <v>43</v>
      </c>
      <c r="BB57" s="10">
        <v>34</v>
      </c>
      <c r="BC57" s="10">
        <v>24</v>
      </c>
      <c r="BD57" s="10">
        <v>43</v>
      </c>
      <c r="BE57" s="10">
        <v>42</v>
      </c>
      <c r="BF57" s="10">
        <v>43</v>
      </c>
      <c r="BG57" s="10">
        <v>34</v>
      </c>
    </row>
    <row r="58" spans="29:59">
      <c r="AC58" s="10">
        <v>52</v>
      </c>
      <c r="AD58" s="10">
        <v>74</v>
      </c>
      <c r="AH58" s="10">
        <v>52</v>
      </c>
      <c r="AI58" s="10">
        <v>41</v>
      </c>
      <c r="AJ58" s="10">
        <v>44</v>
      </c>
      <c r="AK58" s="10">
        <v>44</v>
      </c>
      <c r="AL58" s="10">
        <v>46</v>
      </c>
      <c r="AM58" s="10">
        <v>39</v>
      </c>
      <c r="AN58" s="10">
        <v>41</v>
      </c>
      <c r="AO58" s="10">
        <v>44</v>
      </c>
      <c r="AP58" s="10">
        <v>38</v>
      </c>
      <c r="AQ58" s="10">
        <v>42</v>
      </c>
      <c r="AR58" s="10">
        <v>30</v>
      </c>
      <c r="AS58" s="10">
        <v>43</v>
      </c>
      <c r="AT58" s="10">
        <v>37</v>
      </c>
      <c r="AU58" s="10">
        <v>41</v>
      </c>
      <c r="AV58" s="10">
        <v>47</v>
      </c>
      <c r="AW58" s="10">
        <v>44</v>
      </c>
      <c r="AX58" s="10">
        <v>37</v>
      </c>
      <c r="AY58" s="10">
        <v>47</v>
      </c>
      <c r="AZ58" s="10">
        <v>38</v>
      </c>
      <c r="BA58" s="10">
        <v>43</v>
      </c>
      <c r="BB58" s="10">
        <v>34</v>
      </c>
      <c r="BC58" s="10">
        <v>24</v>
      </c>
      <c r="BD58" s="10">
        <v>43</v>
      </c>
      <c r="BE58" s="10">
        <v>44</v>
      </c>
      <c r="BF58" s="10">
        <v>43</v>
      </c>
      <c r="BG58" s="10">
        <v>34</v>
      </c>
    </row>
    <row r="59" spans="29:59">
      <c r="AC59" s="10">
        <v>53</v>
      </c>
      <c r="AD59" s="10">
        <v>75</v>
      </c>
      <c r="AH59" s="10">
        <v>53</v>
      </c>
      <c r="AI59" s="10">
        <v>44</v>
      </c>
      <c r="AJ59" s="10">
        <v>45</v>
      </c>
      <c r="AK59" s="10">
        <v>45</v>
      </c>
      <c r="AL59" s="10">
        <v>46</v>
      </c>
      <c r="AM59" s="10">
        <v>40</v>
      </c>
      <c r="AN59" s="10">
        <v>41</v>
      </c>
      <c r="AO59" s="10">
        <v>44</v>
      </c>
      <c r="AP59" s="10">
        <v>38</v>
      </c>
      <c r="AQ59" s="10">
        <v>42</v>
      </c>
      <c r="AR59" s="10">
        <v>32</v>
      </c>
      <c r="AS59" s="10">
        <v>43</v>
      </c>
      <c r="AT59" s="10">
        <v>40</v>
      </c>
      <c r="AU59" s="10">
        <v>41</v>
      </c>
      <c r="AV59" s="10">
        <v>47</v>
      </c>
      <c r="AW59" s="10">
        <v>44</v>
      </c>
      <c r="AX59" s="10">
        <v>37</v>
      </c>
      <c r="AY59" s="10">
        <v>47</v>
      </c>
      <c r="AZ59" s="10">
        <v>38</v>
      </c>
      <c r="BA59" s="10">
        <v>43</v>
      </c>
      <c r="BB59" s="10">
        <v>34</v>
      </c>
      <c r="BC59" s="10">
        <v>24</v>
      </c>
      <c r="BD59" s="10">
        <v>43</v>
      </c>
      <c r="BE59" s="10">
        <v>47</v>
      </c>
      <c r="BF59" s="10">
        <v>43</v>
      </c>
      <c r="BG59" s="10">
        <v>34</v>
      </c>
    </row>
    <row r="60" spans="29:59">
      <c r="AC60" s="10">
        <v>54</v>
      </c>
      <c r="AD60" s="10">
        <v>76</v>
      </c>
      <c r="AH60" s="10">
        <v>54</v>
      </c>
      <c r="AI60" s="10">
        <v>44</v>
      </c>
      <c r="AJ60" s="10">
        <v>45</v>
      </c>
      <c r="AK60" s="10">
        <v>46</v>
      </c>
      <c r="AL60" s="10">
        <v>46</v>
      </c>
      <c r="AM60" s="10">
        <v>42</v>
      </c>
      <c r="AN60" s="10">
        <v>42</v>
      </c>
      <c r="AO60" s="10">
        <v>44</v>
      </c>
      <c r="AP60" s="10">
        <v>38</v>
      </c>
      <c r="AQ60" s="10">
        <v>42</v>
      </c>
      <c r="AR60" s="10">
        <v>32</v>
      </c>
      <c r="AS60" s="10">
        <v>43</v>
      </c>
      <c r="AT60" s="10">
        <v>43</v>
      </c>
      <c r="AU60" s="10">
        <v>41</v>
      </c>
      <c r="AV60" s="10">
        <v>47</v>
      </c>
      <c r="AW60" s="10">
        <v>44</v>
      </c>
      <c r="AX60" s="10">
        <v>37</v>
      </c>
      <c r="AY60" s="10">
        <v>47</v>
      </c>
      <c r="AZ60" s="10">
        <v>38</v>
      </c>
      <c r="BA60" s="10">
        <v>45</v>
      </c>
      <c r="BB60" s="10">
        <v>34</v>
      </c>
      <c r="BC60" s="10">
        <v>24</v>
      </c>
      <c r="BD60" s="10">
        <v>43</v>
      </c>
      <c r="BE60" s="10">
        <v>47</v>
      </c>
      <c r="BF60" s="10">
        <v>44</v>
      </c>
      <c r="BG60" s="10">
        <v>34</v>
      </c>
    </row>
    <row r="61" spans="29:59">
      <c r="AC61" s="10">
        <v>55</v>
      </c>
      <c r="AD61" s="10">
        <v>77</v>
      </c>
      <c r="AH61" s="10">
        <v>55</v>
      </c>
      <c r="AI61" s="10">
        <v>44</v>
      </c>
      <c r="AJ61" s="10">
        <v>45</v>
      </c>
      <c r="AK61" s="10">
        <v>46</v>
      </c>
      <c r="AL61" s="10">
        <v>46</v>
      </c>
      <c r="AM61" s="10">
        <v>44</v>
      </c>
      <c r="AN61" s="10">
        <v>44</v>
      </c>
      <c r="AO61" s="10">
        <v>44</v>
      </c>
      <c r="AP61" s="10">
        <v>38</v>
      </c>
      <c r="AQ61" s="10">
        <v>42</v>
      </c>
      <c r="AR61" s="10">
        <v>33</v>
      </c>
      <c r="AS61" s="10">
        <v>43</v>
      </c>
      <c r="AT61" s="10">
        <v>43</v>
      </c>
      <c r="AU61" s="10">
        <v>41</v>
      </c>
      <c r="AV61" s="10">
        <v>47</v>
      </c>
      <c r="AW61" s="10">
        <v>44</v>
      </c>
      <c r="AX61" s="10">
        <v>37</v>
      </c>
      <c r="AY61" s="10">
        <v>47</v>
      </c>
      <c r="AZ61" s="10">
        <v>38</v>
      </c>
      <c r="BA61" s="10">
        <v>46</v>
      </c>
      <c r="BB61" s="10">
        <v>34</v>
      </c>
      <c r="BC61" s="10">
        <v>24</v>
      </c>
      <c r="BD61" s="10">
        <v>43</v>
      </c>
      <c r="BE61" s="10">
        <v>47</v>
      </c>
      <c r="BF61" s="10">
        <v>44</v>
      </c>
      <c r="BG61" s="10">
        <v>34</v>
      </c>
    </row>
    <row r="62" spans="29:59">
      <c r="AC62" s="10">
        <v>56</v>
      </c>
      <c r="AD62" s="10">
        <v>78</v>
      </c>
      <c r="AH62" s="10">
        <v>56</v>
      </c>
      <c r="AI62" s="10">
        <v>44</v>
      </c>
      <c r="AJ62" s="10">
        <v>46</v>
      </c>
      <c r="AK62" s="10">
        <v>47</v>
      </c>
      <c r="AL62" s="10">
        <v>46</v>
      </c>
      <c r="AM62" s="10">
        <v>44</v>
      </c>
      <c r="AN62" s="10">
        <v>44</v>
      </c>
      <c r="AO62" s="10">
        <v>44</v>
      </c>
      <c r="AP62" s="10">
        <v>38</v>
      </c>
      <c r="AQ62" s="10">
        <v>42</v>
      </c>
      <c r="AR62" s="10">
        <v>36</v>
      </c>
      <c r="AS62" s="10">
        <v>43</v>
      </c>
      <c r="AT62" s="10">
        <v>43</v>
      </c>
      <c r="AU62" s="10">
        <v>42</v>
      </c>
      <c r="AV62" s="10">
        <v>48</v>
      </c>
      <c r="AW62" s="10">
        <v>44</v>
      </c>
      <c r="AX62" s="10">
        <v>37</v>
      </c>
      <c r="AY62" s="10">
        <v>47</v>
      </c>
      <c r="AZ62" s="10">
        <v>38</v>
      </c>
      <c r="BA62" s="10">
        <v>46</v>
      </c>
      <c r="BB62" s="10">
        <v>34</v>
      </c>
      <c r="BC62" s="10">
        <v>24</v>
      </c>
      <c r="BD62" s="10">
        <v>43</v>
      </c>
      <c r="BE62" s="10">
        <v>47</v>
      </c>
      <c r="BF62" s="10">
        <v>44</v>
      </c>
      <c r="BG62" s="10">
        <v>34</v>
      </c>
    </row>
    <row r="63" spans="29:59">
      <c r="AC63" s="10">
        <v>57</v>
      </c>
      <c r="AD63" s="10">
        <v>79</v>
      </c>
      <c r="AH63" s="10">
        <v>57</v>
      </c>
      <c r="AI63" s="10">
        <v>44</v>
      </c>
      <c r="AJ63" s="10">
        <v>46</v>
      </c>
      <c r="AK63" s="10">
        <v>47</v>
      </c>
      <c r="AL63" s="10">
        <v>47</v>
      </c>
      <c r="AM63" s="10">
        <v>45</v>
      </c>
      <c r="AN63" s="10">
        <v>44</v>
      </c>
      <c r="AO63" s="10">
        <v>44</v>
      </c>
      <c r="AP63" s="10">
        <v>38</v>
      </c>
      <c r="AQ63" s="10">
        <v>42</v>
      </c>
      <c r="AR63" s="10">
        <v>39</v>
      </c>
      <c r="AS63" s="10">
        <v>43</v>
      </c>
      <c r="AT63" s="10">
        <v>43</v>
      </c>
      <c r="AU63" s="10">
        <v>42</v>
      </c>
      <c r="AV63" s="10">
        <v>48</v>
      </c>
      <c r="AW63" s="10">
        <v>44</v>
      </c>
      <c r="AX63" s="10">
        <v>37</v>
      </c>
      <c r="AY63" s="10">
        <v>47</v>
      </c>
      <c r="AZ63" s="10">
        <v>38</v>
      </c>
      <c r="BA63" s="10">
        <v>46</v>
      </c>
      <c r="BB63" s="10">
        <v>35</v>
      </c>
      <c r="BC63" s="10">
        <v>24</v>
      </c>
      <c r="BD63" s="10">
        <v>43</v>
      </c>
      <c r="BE63" s="10">
        <v>47</v>
      </c>
      <c r="BF63" s="10">
        <v>44</v>
      </c>
      <c r="BG63" s="10">
        <v>34</v>
      </c>
    </row>
    <row r="64" spans="29:59">
      <c r="AC64" s="10">
        <v>58</v>
      </c>
      <c r="AD64" s="10">
        <v>79</v>
      </c>
      <c r="AH64" s="10">
        <v>58</v>
      </c>
      <c r="AI64" s="10">
        <v>45</v>
      </c>
      <c r="AJ64" s="10">
        <v>47</v>
      </c>
      <c r="AK64" s="10">
        <v>47</v>
      </c>
      <c r="AL64" s="10">
        <v>47</v>
      </c>
      <c r="AM64" s="10">
        <v>45</v>
      </c>
      <c r="AN64" s="10">
        <v>45</v>
      </c>
      <c r="AO64" s="10">
        <v>44</v>
      </c>
      <c r="AP64" s="10">
        <v>38</v>
      </c>
      <c r="AQ64" s="10">
        <v>42</v>
      </c>
      <c r="AR64" s="10">
        <v>40</v>
      </c>
      <c r="AS64" s="10">
        <v>43</v>
      </c>
      <c r="AT64" s="10">
        <v>43</v>
      </c>
      <c r="AU64" s="10">
        <v>43</v>
      </c>
      <c r="AV64" s="10">
        <v>49</v>
      </c>
      <c r="AW64" s="10">
        <v>44</v>
      </c>
      <c r="AX64" s="10">
        <v>37</v>
      </c>
      <c r="AY64" s="10">
        <v>47</v>
      </c>
      <c r="AZ64" s="10">
        <v>38</v>
      </c>
      <c r="BA64" s="10">
        <v>46</v>
      </c>
      <c r="BB64" s="10">
        <v>35</v>
      </c>
      <c r="BC64" s="10">
        <v>24</v>
      </c>
      <c r="BD64" s="10">
        <v>43</v>
      </c>
      <c r="BE64" s="10">
        <v>47</v>
      </c>
      <c r="BF64" s="10">
        <v>44</v>
      </c>
      <c r="BG64" s="10">
        <v>34</v>
      </c>
    </row>
    <row r="65" spans="29:59">
      <c r="AC65" s="10">
        <v>59</v>
      </c>
      <c r="AD65" s="10">
        <v>80</v>
      </c>
      <c r="AH65" s="10">
        <v>59</v>
      </c>
      <c r="AI65" s="10">
        <v>45</v>
      </c>
      <c r="AJ65" s="10">
        <v>48</v>
      </c>
      <c r="AK65" s="10">
        <v>48</v>
      </c>
      <c r="AL65" s="10">
        <v>47</v>
      </c>
      <c r="AM65" s="10">
        <v>45</v>
      </c>
      <c r="AN65" s="10">
        <v>45</v>
      </c>
      <c r="AO65" s="10">
        <v>45</v>
      </c>
      <c r="AP65" s="10">
        <v>39</v>
      </c>
      <c r="AQ65" s="10">
        <v>43</v>
      </c>
      <c r="AR65" s="10">
        <v>41</v>
      </c>
      <c r="AS65" s="10">
        <v>43</v>
      </c>
      <c r="AT65" s="10">
        <v>43</v>
      </c>
      <c r="AU65" s="10">
        <v>45</v>
      </c>
      <c r="AV65" s="10">
        <v>50</v>
      </c>
      <c r="AW65" s="10">
        <v>44</v>
      </c>
      <c r="AX65" s="10">
        <v>37</v>
      </c>
      <c r="AY65" s="10">
        <v>47</v>
      </c>
      <c r="AZ65" s="10">
        <v>38</v>
      </c>
      <c r="BA65" s="10">
        <v>46</v>
      </c>
      <c r="BB65" s="10">
        <v>36</v>
      </c>
      <c r="BC65" s="10">
        <v>26</v>
      </c>
      <c r="BD65" s="10">
        <v>44</v>
      </c>
      <c r="BE65" s="10">
        <v>47</v>
      </c>
      <c r="BF65" s="10">
        <v>44</v>
      </c>
      <c r="BG65" s="10">
        <v>34</v>
      </c>
    </row>
    <row r="66" spans="29:59">
      <c r="AC66" s="10">
        <v>60</v>
      </c>
      <c r="AD66" s="10">
        <v>80</v>
      </c>
      <c r="AH66" s="10">
        <v>60</v>
      </c>
      <c r="AI66" s="10">
        <v>47</v>
      </c>
      <c r="AJ66" s="10">
        <v>49</v>
      </c>
      <c r="AK66" s="10">
        <v>49</v>
      </c>
      <c r="AL66" s="10">
        <v>50</v>
      </c>
      <c r="AM66" s="10">
        <v>48</v>
      </c>
      <c r="AN66" s="10">
        <v>47</v>
      </c>
      <c r="AO66" s="10">
        <v>48</v>
      </c>
      <c r="AP66" s="10">
        <v>43</v>
      </c>
      <c r="AQ66" s="10">
        <v>47</v>
      </c>
      <c r="AR66" s="10">
        <v>44</v>
      </c>
      <c r="AS66" s="10">
        <v>45</v>
      </c>
      <c r="AT66" s="10">
        <v>43</v>
      </c>
      <c r="AU66" s="10">
        <v>49</v>
      </c>
      <c r="AV66" s="10">
        <v>52</v>
      </c>
      <c r="AW66" s="10">
        <v>47</v>
      </c>
      <c r="AX66" s="10">
        <v>40</v>
      </c>
      <c r="AY66" s="10">
        <v>50</v>
      </c>
      <c r="AZ66" s="10">
        <v>43</v>
      </c>
      <c r="BA66" s="10">
        <v>48</v>
      </c>
      <c r="BB66" s="10">
        <v>48</v>
      </c>
      <c r="BC66" s="10">
        <v>36</v>
      </c>
      <c r="BD66" s="10">
        <v>48</v>
      </c>
      <c r="BE66" s="10">
        <v>50</v>
      </c>
      <c r="BF66" s="10">
        <v>46</v>
      </c>
      <c r="BG66" s="10">
        <v>45</v>
      </c>
    </row>
    <row r="67" spans="29:59">
      <c r="AC67" s="10">
        <v>61</v>
      </c>
      <c r="AD67" s="10">
        <v>81</v>
      </c>
      <c r="AH67" s="10">
        <v>61</v>
      </c>
      <c r="AI67" s="10">
        <v>50</v>
      </c>
      <c r="AJ67" s="10">
        <v>50</v>
      </c>
      <c r="AK67" s="10">
        <v>50</v>
      </c>
      <c r="AL67" s="10">
        <v>52</v>
      </c>
      <c r="AM67" s="10">
        <v>50</v>
      </c>
      <c r="AN67" s="10">
        <v>50</v>
      </c>
      <c r="AO67" s="10">
        <v>52</v>
      </c>
      <c r="AP67" s="10">
        <v>47</v>
      </c>
      <c r="AQ67" s="10">
        <v>54</v>
      </c>
      <c r="AR67" s="10">
        <v>46</v>
      </c>
      <c r="AS67" s="10">
        <v>47</v>
      </c>
      <c r="AT67" s="10">
        <v>43</v>
      </c>
      <c r="AU67" s="10">
        <v>53</v>
      </c>
      <c r="AV67" s="10">
        <v>54</v>
      </c>
      <c r="AW67" s="10">
        <v>51</v>
      </c>
      <c r="AX67" s="10">
        <v>44</v>
      </c>
      <c r="AY67" s="10">
        <v>53</v>
      </c>
      <c r="AZ67" s="10">
        <v>48</v>
      </c>
      <c r="BA67" s="10">
        <v>52</v>
      </c>
      <c r="BB67" s="10">
        <v>60</v>
      </c>
      <c r="BC67" s="10">
        <v>48</v>
      </c>
      <c r="BD67" s="10">
        <v>52</v>
      </c>
      <c r="BE67" s="10">
        <v>56</v>
      </c>
      <c r="BF67" s="10">
        <v>48</v>
      </c>
      <c r="BG67" s="10">
        <v>56</v>
      </c>
    </row>
    <row r="68" spans="29:59">
      <c r="AC68" s="10">
        <v>62</v>
      </c>
      <c r="AD68" s="10">
        <v>81</v>
      </c>
      <c r="AH68" s="10">
        <v>62</v>
      </c>
      <c r="AI68" s="10">
        <v>53</v>
      </c>
      <c r="AJ68" s="10">
        <v>51</v>
      </c>
      <c r="AK68" s="10">
        <v>50</v>
      </c>
      <c r="AL68" s="10">
        <v>53</v>
      </c>
      <c r="AM68" s="10">
        <v>53</v>
      </c>
      <c r="AN68" s="10">
        <v>52</v>
      </c>
      <c r="AO68" s="10">
        <v>55</v>
      </c>
      <c r="AP68" s="10">
        <v>51</v>
      </c>
      <c r="AQ68" s="10">
        <v>57</v>
      </c>
      <c r="AR68" s="10">
        <v>51</v>
      </c>
      <c r="AS68" s="10">
        <v>50</v>
      </c>
      <c r="AT68" s="10">
        <v>43</v>
      </c>
      <c r="AU68" s="10">
        <v>55</v>
      </c>
      <c r="AV68" s="10">
        <v>55</v>
      </c>
      <c r="AW68" s="10">
        <v>54</v>
      </c>
      <c r="AX68" s="10">
        <v>44</v>
      </c>
      <c r="AY68" s="10">
        <v>53</v>
      </c>
      <c r="AZ68" s="10">
        <v>49</v>
      </c>
      <c r="BA68" s="10">
        <v>54</v>
      </c>
      <c r="BB68" s="10">
        <v>61</v>
      </c>
      <c r="BC68" s="10">
        <v>56</v>
      </c>
      <c r="BD68" s="10">
        <v>56</v>
      </c>
      <c r="BE68" s="10">
        <v>59</v>
      </c>
      <c r="BF68" s="10">
        <v>48</v>
      </c>
      <c r="BG68" s="10">
        <v>63</v>
      </c>
    </row>
    <row r="69" spans="29:59">
      <c r="AC69" s="10">
        <v>63</v>
      </c>
      <c r="AD69" s="10">
        <v>82</v>
      </c>
      <c r="AH69" s="10">
        <v>63</v>
      </c>
      <c r="AI69" s="10">
        <v>55</v>
      </c>
      <c r="AJ69" s="10">
        <v>51</v>
      </c>
      <c r="AK69" s="10">
        <v>51</v>
      </c>
      <c r="AL69" s="10">
        <v>53</v>
      </c>
      <c r="AM69" s="10">
        <v>55</v>
      </c>
      <c r="AN69" s="10">
        <v>55</v>
      </c>
      <c r="AO69" s="10">
        <v>59</v>
      </c>
      <c r="AP69" s="10">
        <v>55</v>
      </c>
      <c r="AQ69" s="10">
        <v>61</v>
      </c>
      <c r="AR69" s="10">
        <v>55</v>
      </c>
      <c r="AS69" s="10">
        <v>53</v>
      </c>
      <c r="AT69" s="10">
        <v>45</v>
      </c>
      <c r="AU69" s="10">
        <v>58</v>
      </c>
      <c r="AV69" s="10">
        <v>57</v>
      </c>
      <c r="AW69" s="10">
        <v>58</v>
      </c>
      <c r="AX69" s="10">
        <v>44</v>
      </c>
      <c r="AY69" s="10">
        <v>53</v>
      </c>
      <c r="AZ69" s="10">
        <v>53</v>
      </c>
      <c r="BA69" s="10">
        <v>55</v>
      </c>
      <c r="BB69" s="10">
        <v>61</v>
      </c>
      <c r="BC69" s="10">
        <v>63</v>
      </c>
      <c r="BD69" s="10">
        <v>59</v>
      </c>
      <c r="BE69" s="10">
        <v>62</v>
      </c>
      <c r="BF69" s="10">
        <v>49</v>
      </c>
      <c r="BG69" s="10">
        <v>70</v>
      </c>
    </row>
    <row r="70" spans="29:59">
      <c r="AC70" s="10">
        <v>64</v>
      </c>
      <c r="AD70" s="10">
        <v>83</v>
      </c>
      <c r="AH70" s="10">
        <v>64</v>
      </c>
      <c r="AI70" s="10">
        <v>58</v>
      </c>
      <c r="AJ70" s="10">
        <v>52</v>
      </c>
      <c r="AK70" s="10">
        <v>52</v>
      </c>
      <c r="AL70" s="10">
        <v>56</v>
      </c>
      <c r="AM70" s="10">
        <v>55</v>
      </c>
      <c r="AN70" s="10">
        <v>57</v>
      </c>
      <c r="AO70" s="10">
        <v>59</v>
      </c>
      <c r="AP70" s="10">
        <v>58</v>
      </c>
      <c r="AQ70" s="10">
        <v>64</v>
      </c>
      <c r="AR70" s="10">
        <v>56</v>
      </c>
      <c r="AS70" s="10">
        <v>53</v>
      </c>
      <c r="AT70" s="10">
        <v>47</v>
      </c>
      <c r="AU70" s="10">
        <v>62</v>
      </c>
      <c r="AV70" s="10">
        <v>58</v>
      </c>
      <c r="AW70" s="10">
        <v>61</v>
      </c>
      <c r="AX70" s="10">
        <v>44</v>
      </c>
      <c r="AY70" s="10">
        <v>56</v>
      </c>
      <c r="AZ70" s="10">
        <v>56</v>
      </c>
      <c r="BA70" s="10">
        <v>57</v>
      </c>
      <c r="BB70" s="10">
        <v>61</v>
      </c>
      <c r="BC70" s="10">
        <v>64</v>
      </c>
      <c r="BD70" s="10">
        <v>61</v>
      </c>
      <c r="BE70" s="10">
        <v>68</v>
      </c>
      <c r="BF70" s="10">
        <v>51</v>
      </c>
      <c r="BG70" s="10">
        <v>74</v>
      </c>
    </row>
    <row r="71" spans="29:59">
      <c r="AC71" s="10">
        <v>65</v>
      </c>
      <c r="AD71" s="10">
        <v>84</v>
      </c>
      <c r="AH71" s="10">
        <v>65</v>
      </c>
      <c r="AI71" s="10">
        <v>61</v>
      </c>
      <c r="AJ71" s="10">
        <v>53</v>
      </c>
      <c r="AK71" s="10">
        <v>53</v>
      </c>
      <c r="AL71" s="10">
        <v>59</v>
      </c>
      <c r="AM71" s="10">
        <v>58</v>
      </c>
      <c r="AN71" s="10">
        <v>59</v>
      </c>
      <c r="AO71" s="10">
        <v>63</v>
      </c>
      <c r="AP71" s="10">
        <v>62</v>
      </c>
      <c r="AQ71" s="10">
        <v>67</v>
      </c>
      <c r="AR71" s="10">
        <v>58</v>
      </c>
      <c r="AS71" s="10">
        <v>55</v>
      </c>
      <c r="AT71" s="10">
        <v>50</v>
      </c>
      <c r="AU71" s="10">
        <v>65</v>
      </c>
      <c r="AV71" s="10">
        <v>60</v>
      </c>
      <c r="AW71" s="10">
        <v>64</v>
      </c>
      <c r="AX71" s="10">
        <v>44</v>
      </c>
      <c r="AY71" s="10">
        <v>59</v>
      </c>
      <c r="AZ71" s="10">
        <v>56</v>
      </c>
      <c r="BA71" s="10">
        <v>58</v>
      </c>
      <c r="BB71" s="10">
        <v>61</v>
      </c>
      <c r="BC71" s="10">
        <v>68</v>
      </c>
      <c r="BD71" s="10">
        <v>64</v>
      </c>
      <c r="BE71" s="10">
        <v>72</v>
      </c>
      <c r="BF71" s="10">
        <v>53</v>
      </c>
      <c r="BG71" s="10">
        <v>79</v>
      </c>
    </row>
    <row r="72" spans="29:59">
      <c r="AC72" s="10">
        <v>66</v>
      </c>
      <c r="AD72" s="10">
        <v>85</v>
      </c>
      <c r="AH72" s="10">
        <v>66</v>
      </c>
      <c r="AI72" s="10">
        <v>64</v>
      </c>
      <c r="AJ72" s="10">
        <v>54</v>
      </c>
      <c r="AK72" s="10">
        <v>53</v>
      </c>
      <c r="AL72" s="10">
        <v>60</v>
      </c>
      <c r="AM72" s="10">
        <v>60</v>
      </c>
      <c r="AN72" s="10">
        <v>61</v>
      </c>
      <c r="AO72" s="10">
        <v>66</v>
      </c>
      <c r="AP72" s="10">
        <v>65</v>
      </c>
      <c r="AQ72" s="10">
        <v>70</v>
      </c>
      <c r="AR72" s="10">
        <v>61</v>
      </c>
      <c r="AS72" s="10">
        <v>58</v>
      </c>
      <c r="AT72" s="10">
        <v>53</v>
      </c>
      <c r="AU72" s="10">
        <v>70</v>
      </c>
      <c r="AV72" s="10">
        <v>61</v>
      </c>
      <c r="AW72" s="10">
        <v>67</v>
      </c>
      <c r="AX72" s="10">
        <v>44</v>
      </c>
      <c r="AY72" s="10">
        <v>59</v>
      </c>
      <c r="AZ72" s="10">
        <v>59</v>
      </c>
      <c r="BA72" s="10">
        <v>59</v>
      </c>
      <c r="BB72" s="10">
        <v>62</v>
      </c>
      <c r="BC72" s="10">
        <v>72</v>
      </c>
      <c r="BD72" s="10">
        <v>66</v>
      </c>
      <c r="BE72" s="10">
        <v>77</v>
      </c>
      <c r="BF72" s="10">
        <v>53</v>
      </c>
      <c r="BG72" s="10">
        <v>81</v>
      </c>
    </row>
    <row r="73" spans="29:59">
      <c r="AC73" s="10">
        <v>67</v>
      </c>
      <c r="AD73" s="10">
        <v>86</v>
      </c>
      <c r="AH73" s="10">
        <v>67</v>
      </c>
      <c r="AI73" s="10">
        <v>67</v>
      </c>
      <c r="AJ73" s="10">
        <v>54</v>
      </c>
      <c r="AK73" s="10">
        <v>54</v>
      </c>
      <c r="AL73" s="10">
        <v>60</v>
      </c>
      <c r="AM73" s="10">
        <v>63</v>
      </c>
      <c r="AN73" s="10">
        <v>63</v>
      </c>
      <c r="AO73" s="10">
        <v>69</v>
      </c>
      <c r="AP73" s="10">
        <v>68</v>
      </c>
      <c r="AQ73" s="10">
        <v>72</v>
      </c>
      <c r="AR73" s="10">
        <v>65</v>
      </c>
      <c r="AS73" s="10">
        <v>60</v>
      </c>
      <c r="AT73" s="10">
        <v>53</v>
      </c>
      <c r="AU73" s="10">
        <v>73</v>
      </c>
      <c r="AV73" s="10">
        <v>63</v>
      </c>
      <c r="AW73" s="10">
        <v>69</v>
      </c>
      <c r="AX73" s="10">
        <v>44</v>
      </c>
      <c r="AY73" s="10">
        <v>59</v>
      </c>
      <c r="AZ73" s="10">
        <v>63</v>
      </c>
      <c r="BA73" s="10">
        <v>61</v>
      </c>
      <c r="BB73" s="10">
        <v>63</v>
      </c>
      <c r="BC73" s="10">
        <v>74</v>
      </c>
      <c r="BD73" s="10">
        <v>68</v>
      </c>
      <c r="BE73" s="10">
        <v>81</v>
      </c>
      <c r="BF73" s="10">
        <v>53</v>
      </c>
      <c r="BG73" s="10">
        <v>84</v>
      </c>
    </row>
    <row r="74" spans="29:59">
      <c r="AC74" s="10">
        <v>68</v>
      </c>
      <c r="AD74" s="10">
        <f>AD73</f>
        <v>86</v>
      </c>
      <c r="AH74" s="10">
        <v>68</v>
      </c>
      <c r="AI74" s="10">
        <v>68</v>
      </c>
      <c r="AJ74" s="10">
        <v>55</v>
      </c>
      <c r="AK74" s="10">
        <v>54</v>
      </c>
      <c r="AL74" s="10">
        <v>63</v>
      </c>
      <c r="AM74" s="10">
        <v>65</v>
      </c>
      <c r="AN74" s="10">
        <v>66</v>
      </c>
      <c r="AO74" s="10">
        <v>72</v>
      </c>
      <c r="AP74" s="10">
        <v>69</v>
      </c>
      <c r="AQ74" s="10">
        <v>75</v>
      </c>
      <c r="AR74" s="10">
        <v>70</v>
      </c>
      <c r="AS74" s="10">
        <v>62</v>
      </c>
      <c r="AT74" s="10">
        <v>55</v>
      </c>
      <c r="AU74" s="10">
        <v>76</v>
      </c>
      <c r="AV74" s="10">
        <v>65</v>
      </c>
      <c r="AW74" s="10">
        <v>70</v>
      </c>
      <c r="AX74" s="10">
        <v>44</v>
      </c>
      <c r="AY74" s="10">
        <v>62</v>
      </c>
      <c r="AZ74" s="10">
        <v>63</v>
      </c>
      <c r="BA74" s="10">
        <v>62</v>
      </c>
      <c r="BB74" s="10">
        <v>70</v>
      </c>
      <c r="BC74" s="10">
        <v>77</v>
      </c>
      <c r="BD74" s="10">
        <v>69</v>
      </c>
      <c r="BE74" s="10">
        <v>84</v>
      </c>
      <c r="BF74" s="10">
        <v>55</v>
      </c>
      <c r="BG74" s="10">
        <v>85</v>
      </c>
    </row>
    <row r="75" spans="29:59">
      <c r="AC75" s="10">
        <v>69</v>
      </c>
      <c r="AD75" s="10">
        <v>87</v>
      </c>
      <c r="AH75" s="10">
        <v>69</v>
      </c>
      <c r="AI75" s="10">
        <v>70</v>
      </c>
      <c r="AJ75" s="10">
        <v>56</v>
      </c>
      <c r="AK75" s="10">
        <v>55</v>
      </c>
      <c r="AL75" s="10">
        <v>65</v>
      </c>
      <c r="AM75" s="10">
        <v>69</v>
      </c>
      <c r="AN75" s="10">
        <v>70</v>
      </c>
      <c r="AO75" s="10">
        <v>74</v>
      </c>
      <c r="AP75" s="10">
        <v>72</v>
      </c>
      <c r="AQ75" s="10">
        <v>77</v>
      </c>
      <c r="AR75" s="10">
        <v>72</v>
      </c>
      <c r="AS75" s="10">
        <v>65</v>
      </c>
      <c r="AT75" s="10">
        <v>58</v>
      </c>
      <c r="AU75" s="10">
        <v>78</v>
      </c>
      <c r="AV75" s="10">
        <v>66</v>
      </c>
      <c r="AW75" s="10">
        <v>71</v>
      </c>
      <c r="AX75" s="10">
        <v>44</v>
      </c>
      <c r="AY75" s="10">
        <v>65</v>
      </c>
      <c r="AZ75" s="10">
        <v>66</v>
      </c>
      <c r="BA75" s="10">
        <v>64</v>
      </c>
      <c r="BB75" s="10">
        <v>76</v>
      </c>
      <c r="BC75" s="10">
        <v>78</v>
      </c>
      <c r="BD75" s="10">
        <v>70</v>
      </c>
      <c r="BE75" s="10">
        <v>87</v>
      </c>
      <c r="BF75" s="10">
        <v>56</v>
      </c>
      <c r="BG75" s="10">
        <v>87</v>
      </c>
    </row>
    <row r="76" spans="29:59">
      <c r="AC76" s="10">
        <v>70</v>
      </c>
      <c r="AD76" s="10">
        <f t="shared" ref="AD76:AD78" si="0">AD75</f>
        <v>87</v>
      </c>
      <c r="AH76" s="10">
        <v>70</v>
      </c>
      <c r="AI76" s="10">
        <v>73</v>
      </c>
      <c r="AJ76" s="10">
        <v>58</v>
      </c>
      <c r="AK76" s="10">
        <v>57</v>
      </c>
      <c r="AL76" s="10">
        <v>66</v>
      </c>
      <c r="AM76" s="10">
        <v>72</v>
      </c>
      <c r="AN76" s="10">
        <v>72</v>
      </c>
      <c r="AO76" s="10">
        <v>77</v>
      </c>
      <c r="AP76" s="10">
        <v>75</v>
      </c>
      <c r="AQ76" s="10">
        <v>79</v>
      </c>
      <c r="AR76" s="10">
        <v>74</v>
      </c>
      <c r="AS76" s="10">
        <v>67</v>
      </c>
      <c r="AT76" s="10">
        <v>60</v>
      </c>
      <c r="AU76" s="10">
        <v>80</v>
      </c>
      <c r="AV76" s="10">
        <v>68</v>
      </c>
      <c r="AW76" s="10">
        <v>73</v>
      </c>
      <c r="AX76" s="10">
        <v>44</v>
      </c>
      <c r="AY76" s="10">
        <v>66</v>
      </c>
      <c r="AZ76" s="10">
        <v>70</v>
      </c>
      <c r="BA76" s="10">
        <v>65</v>
      </c>
      <c r="BB76" s="10">
        <v>76</v>
      </c>
      <c r="BC76" s="10">
        <v>80</v>
      </c>
      <c r="BD76" s="10">
        <v>72</v>
      </c>
      <c r="BE76" s="10">
        <v>88</v>
      </c>
      <c r="BF76" s="10">
        <v>56</v>
      </c>
      <c r="BG76" s="10">
        <v>89</v>
      </c>
    </row>
    <row r="77" spans="29:59">
      <c r="AC77" s="10">
        <v>71</v>
      </c>
      <c r="AD77" s="10">
        <f t="shared" si="0"/>
        <v>87</v>
      </c>
      <c r="AH77" s="10">
        <v>71</v>
      </c>
      <c r="AI77" s="10">
        <v>76</v>
      </c>
      <c r="AJ77" s="10">
        <v>59</v>
      </c>
      <c r="AK77" s="10">
        <v>59</v>
      </c>
      <c r="AL77" s="10">
        <v>66</v>
      </c>
      <c r="AM77" s="10">
        <v>73</v>
      </c>
      <c r="AN77" s="10">
        <v>74</v>
      </c>
      <c r="AO77" s="10">
        <v>78</v>
      </c>
      <c r="AP77" s="10">
        <v>78</v>
      </c>
      <c r="AQ77" s="10">
        <v>81</v>
      </c>
      <c r="AR77" s="10">
        <v>74</v>
      </c>
      <c r="AS77" s="10">
        <v>67</v>
      </c>
      <c r="AT77" s="10">
        <v>62</v>
      </c>
      <c r="AU77" s="10">
        <v>83</v>
      </c>
      <c r="AV77" s="10">
        <v>70</v>
      </c>
      <c r="AW77" s="10">
        <v>75</v>
      </c>
      <c r="AX77" s="10">
        <v>44</v>
      </c>
      <c r="AY77" s="10">
        <v>66</v>
      </c>
      <c r="AZ77" s="10">
        <v>70</v>
      </c>
      <c r="BA77" s="10">
        <v>66</v>
      </c>
      <c r="BB77" s="10">
        <v>76</v>
      </c>
      <c r="BC77" s="10">
        <v>80</v>
      </c>
      <c r="BD77" s="10">
        <v>74</v>
      </c>
      <c r="BE77" s="10">
        <v>90</v>
      </c>
      <c r="BF77" s="10">
        <v>56</v>
      </c>
      <c r="BG77" s="10">
        <v>90</v>
      </c>
    </row>
    <row r="78" spans="29:59">
      <c r="AC78" s="10">
        <v>72</v>
      </c>
      <c r="AD78" s="10">
        <f t="shared" si="0"/>
        <v>87</v>
      </c>
      <c r="AH78" s="10">
        <v>72</v>
      </c>
      <c r="AI78" s="10">
        <v>78</v>
      </c>
      <c r="AJ78" s="10">
        <v>60</v>
      </c>
      <c r="AK78" s="10">
        <v>60</v>
      </c>
      <c r="AL78" s="10">
        <v>69</v>
      </c>
      <c r="AM78" s="10">
        <v>76</v>
      </c>
      <c r="AN78" s="10">
        <v>77</v>
      </c>
      <c r="AO78" s="10">
        <v>80</v>
      </c>
      <c r="AP78" s="10">
        <v>81</v>
      </c>
      <c r="AQ78" s="10">
        <v>83</v>
      </c>
      <c r="AR78" s="10">
        <v>79</v>
      </c>
      <c r="AS78" s="10">
        <v>69</v>
      </c>
      <c r="AT78" s="10">
        <v>65</v>
      </c>
      <c r="AU78" s="10">
        <v>85</v>
      </c>
      <c r="AV78" s="10">
        <v>72</v>
      </c>
      <c r="AW78" s="10">
        <v>77</v>
      </c>
      <c r="AX78" s="10">
        <v>44</v>
      </c>
      <c r="AY78" s="10">
        <v>69</v>
      </c>
      <c r="AZ78" s="10">
        <v>73</v>
      </c>
      <c r="BA78" s="10">
        <v>68</v>
      </c>
      <c r="BB78" s="10">
        <v>76</v>
      </c>
      <c r="BC78" s="10">
        <v>81</v>
      </c>
      <c r="BD78" s="10">
        <v>76</v>
      </c>
      <c r="BE78" s="10">
        <v>91</v>
      </c>
      <c r="BF78" s="10">
        <v>58</v>
      </c>
      <c r="BG78" s="10">
        <v>91</v>
      </c>
    </row>
    <row r="79" spans="29:59">
      <c r="AC79" s="10">
        <v>73</v>
      </c>
      <c r="AD79" s="10">
        <v>88</v>
      </c>
      <c r="AH79" s="10">
        <v>73</v>
      </c>
      <c r="AI79" s="10">
        <v>80</v>
      </c>
      <c r="AJ79" s="10">
        <v>61</v>
      </c>
      <c r="AK79" s="10">
        <v>63</v>
      </c>
      <c r="AL79" s="10">
        <v>71</v>
      </c>
      <c r="AM79" s="10">
        <v>79</v>
      </c>
      <c r="AN79" s="10">
        <v>79</v>
      </c>
      <c r="AO79" s="10">
        <v>82</v>
      </c>
      <c r="AP79" s="10">
        <v>84</v>
      </c>
      <c r="AQ79" s="10">
        <v>86</v>
      </c>
      <c r="AR79" s="10">
        <v>83</v>
      </c>
      <c r="AS79" s="10">
        <v>71</v>
      </c>
      <c r="AT79" s="10">
        <v>67</v>
      </c>
      <c r="AU79" s="10">
        <v>88</v>
      </c>
      <c r="AV79" s="10">
        <v>75</v>
      </c>
      <c r="AW79" s="10">
        <v>79</v>
      </c>
      <c r="AX79" s="10">
        <v>44</v>
      </c>
      <c r="AY79" s="10">
        <v>72</v>
      </c>
      <c r="AZ79" s="10">
        <v>76</v>
      </c>
      <c r="BA79" s="10">
        <v>70</v>
      </c>
      <c r="BB79" s="10">
        <v>77</v>
      </c>
      <c r="BC79" s="10">
        <v>82</v>
      </c>
      <c r="BD79" s="10">
        <v>78</v>
      </c>
      <c r="BE79" s="10">
        <v>92</v>
      </c>
      <c r="BF79" s="10">
        <v>60</v>
      </c>
      <c r="BG79" s="10">
        <v>92</v>
      </c>
    </row>
    <row r="80" spans="29:59">
      <c r="AC80" s="10">
        <v>74</v>
      </c>
      <c r="AD80" s="10">
        <f t="shared" ref="AD80:AD81" si="1">AD79</f>
        <v>88</v>
      </c>
      <c r="AH80" s="10">
        <v>74</v>
      </c>
      <c r="AI80" s="10">
        <v>82</v>
      </c>
      <c r="AJ80" s="10">
        <v>63</v>
      </c>
      <c r="AK80" s="10">
        <v>67</v>
      </c>
      <c r="AL80" s="10">
        <v>72</v>
      </c>
      <c r="AM80" s="10">
        <v>79</v>
      </c>
      <c r="AN80" s="10">
        <v>83</v>
      </c>
      <c r="AO80" s="10">
        <v>82</v>
      </c>
      <c r="AP80" s="10">
        <v>86</v>
      </c>
      <c r="AQ80" s="10">
        <v>89</v>
      </c>
      <c r="AR80" s="10">
        <v>84</v>
      </c>
      <c r="AS80" s="10">
        <v>72</v>
      </c>
      <c r="AT80" s="10">
        <v>67</v>
      </c>
      <c r="AU80" s="10">
        <v>90</v>
      </c>
      <c r="AV80" s="10">
        <v>79</v>
      </c>
      <c r="AW80" s="10">
        <v>81</v>
      </c>
      <c r="AX80" s="10">
        <v>44</v>
      </c>
      <c r="AY80" s="10">
        <v>73</v>
      </c>
      <c r="AZ80" s="10">
        <v>77</v>
      </c>
      <c r="BA80" s="10">
        <v>73</v>
      </c>
      <c r="BB80" s="10">
        <v>78</v>
      </c>
      <c r="BC80" s="10">
        <v>82</v>
      </c>
      <c r="BD80" s="10">
        <v>80</v>
      </c>
      <c r="BE80" s="10">
        <v>94</v>
      </c>
      <c r="BF80" s="10">
        <v>60</v>
      </c>
      <c r="BG80" s="10">
        <v>94</v>
      </c>
    </row>
    <row r="81" spans="29:59">
      <c r="AC81" s="10">
        <v>75</v>
      </c>
      <c r="AD81" s="10">
        <f t="shared" si="1"/>
        <v>88</v>
      </c>
      <c r="AH81" s="10">
        <v>75</v>
      </c>
      <c r="AI81" s="10">
        <v>84</v>
      </c>
      <c r="AJ81" s="10">
        <v>67</v>
      </c>
      <c r="AK81" s="10">
        <v>71</v>
      </c>
      <c r="AL81" s="10">
        <v>74</v>
      </c>
      <c r="AM81" s="10">
        <v>81</v>
      </c>
      <c r="AN81" s="10">
        <v>87</v>
      </c>
      <c r="AO81" s="10">
        <v>84</v>
      </c>
      <c r="AP81" s="10">
        <v>87</v>
      </c>
      <c r="AQ81" s="10">
        <v>91</v>
      </c>
      <c r="AR81" s="10">
        <v>85</v>
      </c>
      <c r="AS81" s="10">
        <v>74</v>
      </c>
      <c r="AT81" s="10">
        <v>69</v>
      </c>
      <c r="AU81" s="10">
        <v>91</v>
      </c>
      <c r="AV81" s="10">
        <v>82</v>
      </c>
      <c r="AW81" s="10">
        <v>83</v>
      </c>
      <c r="AX81" s="10">
        <v>48</v>
      </c>
      <c r="AY81" s="10">
        <v>76</v>
      </c>
      <c r="AZ81" s="10">
        <v>79</v>
      </c>
      <c r="BA81" s="10">
        <v>75</v>
      </c>
      <c r="BB81" s="10">
        <v>81</v>
      </c>
      <c r="BC81" s="10">
        <v>83</v>
      </c>
      <c r="BD81" s="10">
        <v>81</v>
      </c>
      <c r="BE81" s="10">
        <v>95</v>
      </c>
      <c r="BF81" s="10">
        <v>61</v>
      </c>
      <c r="BG81" s="10">
        <v>95</v>
      </c>
    </row>
    <row r="82" spans="29:59">
      <c r="AC82" s="10">
        <v>76</v>
      </c>
      <c r="AD82" s="10">
        <v>89</v>
      </c>
      <c r="AH82" s="10">
        <v>76</v>
      </c>
      <c r="AI82" s="10">
        <v>87</v>
      </c>
      <c r="AJ82" s="10">
        <v>71</v>
      </c>
      <c r="AK82" s="10">
        <v>76</v>
      </c>
      <c r="AL82" s="10">
        <v>77</v>
      </c>
      <c r="AM82" s="10">
        <v>83</v>
      </c>
      <c r="AN82" s="10">
        <v>88</v>
      </c>
      <c r="AO82" s="10">
        <v>86</v>
      </c>
      <c r="AP82" s="10">
        <v>89</v>
      </c>
      <c r="AQ82" s="10">
        <v>92</v>
      </c>
      <c r="AR82" s="10">
        <v>87</v>
      </c>
      <c r="AS82" s="10">
        <v>78</v>
      </c>
      <c r="AT82" s="10">
        <v>71</v>
      </c>
      <c r="AU82" s="10">
        <v>93</v>
      </c>
      <c r="AV82" s="10">
        <v>85</v>
      </c>
      <c r="AW82" s="10">
        <v>86</v>
      </c>
      <c r="AX82" s="10">
        <v>52</v>
      </c>
      <c r="AY82" s="10">
        <v>78</v>
      </c>
      <c r="AZ82" s="10">
        <v>81</v>
      </c>
      <c r="BA82" s="10">
        <v>77</v>
      </c>
      <c r="BB82" s="10">
        <v>84</v>
      </c>
      <c r="BC82" s="10">
        <v>84</v>
      </c>
      <c r="BD82" s="10">
        <v>82</v>
      </c>
      <c r="BE82" s="10">
        <v>96</v>
      </c>
      <c r="BF82" s="10">
        <v>63</v>
      </c>
      <c r="BG82" s="10">
        <v>96</v>
      </c>
    </row>
    <row r="83" spans="29:59">
      <c r="AC83" s="10">
        <v>77</v>
      </c>
      <c r="AD83" s="10">
        <f t="shared" ref="AD83:AD84" si="2">AD82</f>
        <v>89</v>
      </c>
      <c r="AH83" s="10">
        <v>77</v>
      </c>
      <c r="AI83" s="10">
        <v>89</v>
      </c>
      <c r="AJ83" s="10">
        <v>75</v>
      </c>
      <c r="AK83" s="10">
        <v>80</v>
      </c>
      <c r="AL83" s="10">
        <v>79</v>
      </c>
      <c r="AM83" s="10">
        <v>85</v>
      </c>
      <c r="AN83" s="10">
        <v>88</v>
      </c>
      <c r="AO83" s="10">
        <v>88</v>
      </c>
      <c r="AP83" s="10">
        <v>90</v>
      </c>
      <c r="AQ83" s="10">
        <v>93</v>
      </c>
      <c r="AR83" s="10">
        <v>87</v>
      </c>
      <c r="AS83" s="10">
        <v>82</v>
      </c>
      <c r="AT83" s="10">
        <v>72</v>
      </c>
      <c r="AU83" s="10">
        <v>95</v>
      </c>
      <c r="AV83" s="10">
        <v>88</v>
      </c>
      <c r="AW83" s="10">
        <v>87</v>
      </c>
      <c r="AX83" s="10">
        <v>55</v>
      </c>
      <c r="AY83" s="10">
        <v>79</v>
      </c>
      <c r="AZ83" s="10">
        <v>81</v>
      </c>
      <c r="BA83" s="10">
        <v>78</v>
      </c>
      <c r="BB83" s="10">
        <v>85</v>
      </c>
      <c r="BC83" s="10">
        <v>85</v>
      </c>
      <c r="BD83" s="10">
        <v>82</v>
      </c>
      <c r="BE83" s="10">
        <v>96</v>
      </c>
      <c r="BF83" s="10">
        <v>65</v>
      </c>
      <c r="BG83" s="10">
        <v>96</v>
      </c>
    </row>
    <row r="84" spans="29:59">
      <c r="AC84" s="10">
        <v>78</v>
      </c>
      <c r="AD84" s="10">
        <f t="shared" si="2"/>
        <v>89</v>
      </c>
      <c r="AH84" s="10">
        <v>78</v>
      </c>
      <c r="AI84" s="10">
        <v>91</v>
      </c>
      <c r="AJ84" s="10">
        <v>78</v>
      </c>
      <c r="AK84" s="10">
        <v>84</v>
      </c>
      <c r="AL84" s="10">
        <v>82</v>
      </c>
      <c r="AM84" s="10">
        <v>87</v>
      </c>
      <c r="AN84" s="10">
        <v>90</v>
      </c>
      <c r="AO84" s="10">
        <v>90</v>
      </c>
      <c r="AP84" s="10">
        <v>92</v>
      </c>
      <c r="AQ84" s="10">
        <v>95</v>
      </c>
      <c r="AR84" s="10">
        <v>87</v>
      </c>
      <c r="AS84" s="10">
        <v>85</v>
      </c>
      <c r="AT84" s="10">
        <v>74</v>
      </c>
      <c r="AU84" s="10">
        <v>96</v>
      </c>
      <c r="AV84" s="10">
        <v>90</v>
      </c>
      <c r="AW84" s="10">
        <v>89</v>
      </c>
      <c r="AX84" s="10">
        <v>57</v>
      </c>
      <c r="AY84" s="10">
        <v>83</v>
      </c>
      <c r="AZ84" s="10">
        <v>84</v>
      </c>
      <c r="BA84" s="10">
        <v>79</v>
      </c>
      <c r="BB84" s="10">
        <v>87</v>
      </c>
      <c r="BC84" s="10">
        <v>86</v>
      </c>
      <c r="BD84" s="10">
        <v>83</v>
      </c>
      <c r="BE84" s="10">
        <v>97</v>
      </c>
      <c r="BF84" s="10">
        <v>66</v>
      </c>
      <c r="BG84" s="10">
        <v>97</v>
      </c>
    </row>
    <row r="85" spans="29:59">
      <c r="AC85" s="10">
        <v>79</v>
      </c>
      <c r="AD85" s="10">
        <v>90</v>
      </c>
      <c r="AH85" s="10">
        <v>79</v>
      </c>
      <c r="AI85" s="10">
        <v>93</v>
      </c>
      <c r="AJ85" s="10">
        <v>81</v>
      </c>
      <c r="AK85" s="10">
        <v>86</v>
      </c>
      <c r="AL85" s="10">
        <v>85</v>
      </c>
      <c r="AM85" s="10">
        <v>88</v>
      </c>
      <c r="AN85" s="10">
        <v>91</v>
      </c>
      <c r="AO85" s="10">
        <v>91</v>
      </c>
      <c r="AP85" s="10">
        <v>93</v>
      </c>
      <c r="AQ85" s="10">
        <v>96</v>
      </c>
      <c r="AR85" s="10">
        <v>87</v>
      </c>
      <c r="AS85" s="10">
        <v>89</v>
      </c>
      <c r="AT85" s="10">
        <v>78</v>
      </c>
      <c r="AU85" s="10">
        <v>97</v>
      </c>
      <c r="AV85" s="10">
        <v>92</v>
      </c>
      <c r="AW85" s="10">
        <v>91</v>
      </c>
      <c r="AX85" s="10">
        <v>58</v>
      </c>
      <c r="AY85" s="10">
        <v>85</v>
      </c>
      <c r="AZ85" s="10">
        <v>85</v>
      </c>
      <c r="BA85" s="10">
        <v>79</v>
      </c>
      <c r="BB85" s="10">
        <v>89</v>
      </c>
      <c r="BC85" s="10">
        <v>86</v>
      </c>
      <c r="BD85" s="10">
        <v>84</v>
      </c>
      <c r="BE85" s="10">
        <v>97</v>
      </c>
      <c r="BF85" s="10">
        <v>68</v>
      </c>
      <c r="BG85" s="10">
        <v>98</v>
      </c>
    </row>
    <row r="86" spans="29:59">
      <c r="AC86" s="10">
        <v>80</v>
      </c>
      <c r="AD86" s="10">
        <f t="shared" ref="AD86:AD87" si="3">AD85</f>
        <v>90</v>
      </c>
      <c r="AH86" s="10">
        <v>80</v>
      </c>
      <c r="AI86" s="10">
        <v>94</v>
      </c>
      <c r="AJ86" s="10">
        <v>84</v>
      </c>
      <c r="AK86" s="10">
        <v>88</v>
      </c>
      <c r="AL86" s="10">
        <v>87</v>
      </c>
      <c r="AM86" s="10">
        <v>90</v>
      </c>
      <c r="AN86" s="10">
        <v>91</v>
      </c>
      <c r="AO86" s="10">
        <v>92</v>
      </c>
      <c r="AP86" s="10">
        <v>94</v>
      </c>
      <c r="AQ86" s="10">
        <v>97</v>
      </c>
      <c r="AR86" s="10">
        <v>91</v>
      </c>
      <c r="AS86" s="10">
        <v>90</v>
      </c>
      <c r="AT86" s="10">
        <v>82</v>
      </c>
      <c r="AU86" s="10">
        <v>98</v>
      </c>
      <c r="AV86" s="10">
        <v>93</v>
      </c>
      <c r="AW86" s="10">
        <v>93</v>
      </c>
      <c r="AX86" s="10">
        <v>60</v>
      </c>
      <c r="AY86" s="10">
        <v>86</v>
      </c>
      <c r="AZ86" s="10">
        <v>86</v>
      </c>
      <c r="BA86" s="10">
        <v>81</v>
      </c>
      <c r="BB86" s="10">
        <v>89</v>
      </c>
      <c r="BC86" s="10">
        <v>87</v>
      </c>
      <c r="BD86" s="10">
        <v>84</v>
      </c>
      <c r="BE86" s="10">
        <v>97</v>
      </c>
      <c r="BF86" s="10">
        <v>71</v>
      </c>
      <c r="BG86" s="10">
        <v>98</v>
      </c>
    </row>
    <row r="87" spans="29:59">
      <c r="AC87" s="10">
        <v>81</v>
      </c>
      <c r="AD87" s="10">
        <f t="shared" si="3"/>
        <v>90</v>
      </c>
      <c r="AH87" s="10">
        <v>81</v>
      </c>
      <c r="AI87" s="10">
        <v>85</v>
      </c>
      <c r="AJ87" s="10">
        <v>86</v>
      </c>
      <c r="AK87" s="10">
        <v>89</v>
      </c>
      <c r="AL87" s="10">
        <v>88</v>
      </c>
      <c r="AM87" s="10">
        <v>92</v>
      </c>
      <c r="AN87" s="10">
        <v>92</v>
      </c>
      <c r="AO87" s="10">
        <v>94</v>
      </c>
      <c r="AP87" s="10">
        <v>94</v>
      </c>
      <c r="AQ87" s="10">
        <v>97</v>
      </c>
      <c r="AR87" s="10">
        <v>94</v>
      </c>
      <c r="AS87" s="10">
        <v>94</v>
      </c>
      <c r="AT87" s="10">
        <v>85</v>
      </c>
      <c r="AU87" s="10">
        <v>98</v>
      </c>
      <c r="AV87" s="10">
        <v>94</v>
      </c>
      <c r="AW87" s="10">
        <v>95</v>
      </c>
      <c r="AX87" s="10">
        <v>64</v>
      </c>
      <c r="AY87" s="10">
        <v>87</v>
      </c>
      <c r="AZ87" s="10">
        <v>86</v>
      </c>
      <c r="BA87" s="10">
        <v>82</v>
      </c>
      <c r="BB87" s="10">
        <v>90</v>
      </c>
      <c r="BC87" s="10">
        <v>88</v>
      </c>
      <c r="BD87" s="10">
        <v>84</v>
      </c>
      <c r="BE87" s="10">
        <v>98</v>
      </c>
      <c r="BF87" s="10">
        <v>73</v>
      </c>
      <c r="BG87" s="10">
        <v>99</v>
      </c>
    </row>
    <row r="88" spans="29:59">
      <c r="AC88" s="10">
        <v>82</v>
      </c>
      <c r="AD88" s="10">
        <v>91</v>
      </c>
      <c r="AH88" s="10">
        <v>82</v>
      </c>
      <c r="AI88" s="10">
        <v>97</v>
      </c>
      <c r="AJ88" s="10">
        <v>88</v>
      </c>
      <c r="AK88" s="10">
        <v>90</v>
      </c>
      <c r="AL88" s="10">
        <v>90</v>
      </c>
      <c r="AM88" s="10">
        <v>92</v>
      </c>
      <c r="AN88" s="10">
        <v>93</v>
      </c>
      <c r="AO88" s="10">
        <v>94</v>
      </c>
      <c r="AP88" s="10">
        <v>95</v>
      </c>
      <c r="AQ88" s="10">
        <v>98</v>
      </c>
      <c r="AR88" s="10">
        <v>94</v>
      </c>
      <c r="AS88" s="10">
        <v>95</v>
      </c>
      <c r="AT88" s="10">
        <v>89</v>
      </c>
      <c r="AU88" s="10">
        <v>98</v>
      </c>
      <c r="AV88" s="10">
        <v>94</v>
      </c>
      <c r="AW88" s="10">
        <v>96</v>
      </c>
      <c r="AX88" s="10">
        <v>64</v>
      </c>
      <c r="AY88" s="10">
        <v>89</v>
      </c>
      <c r="AZ88" s="10">
        <v>88</v>
      </c>
      <c r="BA88" s="10">
        <v>83</v>
      </c>
      <c r="BB88" s="10">
        <v>91</v>
      </c>
      <c r="BC88" s="10">
        <v>88</v>
      </c>
      <c r="BD88" s="10">
        <v>84</v>
      </c>
      <c r="BE88" s="10">
        <v>98</v>
      </c>
      <c r="BF88" s="10">
        <v>75</v>
      </c>
      <c r="BG88" s="10">
        <v>99</v>
      </c>
    </row>
    <row r="89" spans="29:59">
      <c r="AC89" s="10">
        <v>83</v>
      </c>
      <c r="AD89" s="10">
        <f t="shared" ref="AD89:AD90" si="4">AD88</f>
        <v>91</v>
      </c>
      <c r="AH89" s="10">
        <v>83</v>
      </c>
      <c r="AI89" s="10">
        <v>98</v>
      </c>
      <c r="AJ89" s="10">
        <v>89</v>
      </c>
      <c r="AK89" s="10">
        <v>90</v>
      </c>
      <c r="AL89" s="10">
        <v>92</v>
      </c>
      <c r="AM89" s="10">
        <v>94</v>
      </c>
      <c r="AN89" s="10">
        <v>95</v>
      </c>
      <c r="AO89" s="10">
        <v>95</v>
      </c>
      <c r="AP89" s="10">
        <v>96</v>
      </c>
      <c r="AQ89" s="10">
        <v>98</v>
      </c>
      <c r="AR89" s="10">
        <v>95</v>
      </c>
      <c r="AS89" s="10">
        <v>97</v>
      </c>
      <c r="AT89" s="10">
        <v>90</v>
      </c>
      <c r="AU89" s="10">
        <v>98</v>
      </c>
      <c r="AV89" s="10">
        <v>95</v>
      </c>
      <c r="AW89" s="10">
        <v>97</v>
      </c>
      <c r="AX89" s="10">
        <v>67</v>
      </c>
      <c r="AY89" s="10">
        <v>92</v>
      </c>
      <c r="AZ89" s="10">
        <v>89</v>
      </c>
      <c r="BA89" s="10">
        <v>84</v>
      </c>
      <c r="BB89" s="10">
        <v>92</v>
      </c>
      <c r="BC89" s="10">
        <v>89</v>
      </c>
      <c r="BD89" s="10">
        <v>86</v>
      </c>
      <c r="BE89" s="10">
        <v>98</v>
      </c>
      <c r="BF89" s="10">
        <v>76</v>
      </c>
      <c r="BG89" s="10">
        <v>99</v>
      </c>
    </row>
    <row r="90" spans="29:59">
      <c r="AC90" s="10">
        <v>84</v>
      </c>
      <c r="AD90" s="10">
        <f t="shared" si="4"/>
        <v>91</v>
      </c>
      <c r="AH90" s="10">
        <v>84</v>
      </c>
      <c r="AI90" s="10">
        <v>98</v>
      </c>
      <c r="AJ90" s="10">
        <v>90</v>
      </c>
      <c r="AK90" s="10">
        <v>91</v>
      </c>
      <c r="AL90" s="10">
        <v>92</v>
      </c>
      <c r="AM90" s="10">
        <v>95</v>
      </c>
      <c r="AN90" s="10">
        <v>95</v>
      </c>
      <c r="AO90" s="10">
        <v>96</v>
      </c>
      <c r="AP90" s="10">
        <v>96</v>
      </c>
      <c r="AQ90" s="10">
        <v>99</v>
      </c>
      <c r="AR90" s="10">
        <v>95</v>
      </c>
      <c r="AS90" s="10">
        <v>97</v>
      </c>
      <c r="AT90" s="10">
        <v>94</v>
      </c>
      <c r="AU90" s="10">
        <v>98</v>
      </c>
      <c r="AV90" s="10">
        <v>95</v>
      </c>
      <c r="AW90" s="10">
        <v>98</v>
      </c>
      <c r="AX90" s="10">
        <v>70</v>
      </c>
      <c r="AY90" s="10">
        <v>93</v>
      </c>
      <c r="AZ90" s="10">
        <v>90</v>
      </c>
      <c r="BA90" s="10">
        <v>85</v>
      </c>
      <c r="BB90" s="10">
        <v>92</v>
      </c>
      <c r="BC90" s="10">
        <v>90</v>
      </c>
      <c r="BD90" s="10">
        <v>87</v>
      </c>
      <c r="BE90" s="10">
        <v>99</v>
      </c>
      <c r="BF90" s="10">
        <v>77</v>
      </c>
      <c r="BG90" s="10">
        <v>99</v>
      </c>
    </row>
    <row r="91" spans="29:59">
      <c r="AC91" s="10">
        <v>85</v>
      </c>
      <c r="AD91" s="10">
        <v>92</v>
      </c>
      <c r="AH91" s="10">
        <v>85</v>
      </c>
      <c r="AI91" s="10">
        <v>99</v>
      </c>
      <c r="AJ91" s="10">
        <v>91</v>
      </c>
      <c r="AK91" s="10">
        <v>91</v>
      </c>
      <c r="AL91" s="10">
        <v>93</v>
      </c>
      <c r="AM91" s="10">
        <v>96</v>
      </c>
      <c r="AN91" s="10">
        <v>96</v>
      </c>
      <c r="AO91" s="10">
        <v>96</v>
      </c>
      <c r="AP91" s="10">
        <v>97</v>
      </c>
      <c r="AQ91" s="10">
        <v>99</v>
      </c>
      <c r="AR91" s="10">
        <v>95</v>
      </c>
      <c r="AS91" s="10">
        <v>98</v>
      </c>
      <c r="AT91" s="10">
        <v>95</v>
      </c>
      <c r="AU91" s="10">
        <v>98</v>
      </c>
      <c r="AV91" s="10">
        <v>96</v>
      </c>
      <c r="AW91" s="10">
        <v>98</v>
      </c>
      <c r="AX91" s="10">
        <v>73</v>
      </c>
      <c r="AY91" s="10">
        <v>95</v>
      </c>
      <c r="AZ91" s="10">
        <v>91</v>
      </c>
      <c r="BA91" s="10">
        <v>87</v>
      </c>
      <c r="BB91" s="10">
        <v>93</v>
      </c>
      <c r="BC91" s="10">
        <v>90</v>
      </c>
      <c r="BD91" s="10">
        <v>87</v>
      </c>
      <c r="BE91" s="10">
        <v>99</v>
      </c>
      <c r="BF91" s="10">
        <v>78</v>
      </c>
      <c r="BG91" s="10">
        <v>99</v>
      </c>
    </row>
    <row r="92" spans="29:59">
      <c r="AC92" s="10">
        <v>86</v>
      </c>
      <c r="AD92" s="10">
        <f>AD91</f>
        <v>92</v>
      </c>
      <c r="AH92" s="10">
        <v>86</v>
      </c>
      <c r="AI92" s="10">
        <v>99</v>
      </c>
      <c r="AJ92" s="10">
        <v>91</v>
      </c>
      <c r="AK92" s="10">
        <v>92</v>
      </c>
      <c r="AL92" s="10">
        <v>94</v>
      </c>
      <c r="AM92" s="10">
        <v>97</v>
      </c>
      <c r="AN92" s="10">
        <v>97</v>
      </c>
      <c r="AO92" s="10">
        <v>97</v>
      </c>
      <c r="AP92" s="10">
        <v>97</v>
      </c>
      <c r="AQ92" s="10">
        <v>99</v>
      </c>
      <c r="AR92" s="10">
        <v>96</v>
      </c>
      <c r="AS92" s="10">
        <v>98</v>
      </c>
      <c r="AT92" s="10">
        <v>97</v>
      </c>
      <c r="AU92" s="10">
        <v>99</v>
      </c>
      <c r="AV92" s="10">
        <v>96</v>
      </c>
      <c r="AW92" s="10">
        <v>98</v>
      </c>
      <c r="AX92" s="10">
        <v>74</v>
      </c>
      <c r="AY92" s="10">
        <v>96</v>
      </c>
      <c r="AZ92" s="10">
        <v>92</v>
      </c>
      <c r="BA92" s="10">
        <v>88</v>
      </c>
      <c r="BB92" s="10">
        <v>93</v>
      </c>
      <c r="BC92" s="10">
        <v>91</v>
      </c>
      <c r="BD92" s="10">
        <v>89</v>
      </c>
      <c r="BE92" s="10">
        <v>99</v>
      </c>
      <c r="BF92" s="10">
        <v>79</v>
      </c>
      <c r="BG92" s="10">
        <v>99</v>
      </c>
    </row>
    <row r="93" spans="29:59">
      <c r="AC93" s="10">
        <v>87</v>
      </c>
      <c r="AD93" s="10">
        <v>93</v>
      </c>
      <c r="AH93" s="10">
        <v>87</v>
      </c>
      <c r="AI93" s="10">
        <v>99</v>
      </c>
      <c r="AJ93" s="10">
        <v>92</v>
      </c>
      <c r="AK93" s="10">
        <v>92</v>
      </c>
      <c r="AL93" s="10">
        <v>94</v>
      </c>
      <c r="AM93" s="10">
        <v>97</v>
      </c>
      <c r="AN93" s="10">
        <v>98</v>
      </c>
      <c r="AO93" s="10">
        <v>97</v>
      </c>
      <c r="AP93" s="10">
        <v>97</v>
      </c>
      <c r="AQ93" s="10">
        <v>99</v>
      </c>
      <c r="AR93" s="10">
        <v>96</v>
      </c>
      <c r="AS93" s="10">
        <v>98</v>
      </c>
      <c r="AT93" s="10">
        <v>97</v>
      </c>
      <c r="AU93" s="10">
        <v>99</v>
      </c>
      <c r="AV93" s="10">
        <v>97</v>
      </c>
      <c r="AW93" s="10">
        <v>98</v>
      </c>
      <c r="AX93" s="10">
        <v>75</v>
      </c>
      <c r="AY93" s="10">
        <v>96</v>
      </c>
      <c r="AZ93" s="10">
        <v>92</v>
      </c>
      <c r="BA93" s="10">
        <v>88</v>
      </c>
      <c r="BB93" s="10">
        <v>94</v>
      </c>
      <c r="BC93" s="10">
        <v>91</v>
      </c>
      <c r="BD93" s="10">
        <v>90</v>
      </c>
      <c r="BE93" s="10">
        <v>99</v>
      </c>
      <c r="BF93" s="10">
        <v>80</v>
      </c>
      <c r="BG93" s="10">
        <v>99</v>
      </c>
    </row>
    <row r="94" spans="29:59">
      <c r="AC94" s="10">
        <v>88</v>
      </c>
      <c r="AD94" s="10">
        <f>AD93</f>
        <v>93</v>
      </c>
      <c r="AH94" s="10">
        <v>88</v>
      </c>
      <c r="AI94" s="10">
        <v>99</v>
      </c>
      <c r="AJ94" s="10">
        <v>92</v>
      </c>
      <c r="AK94" s="10">
        <v>93</v>
      </c>
      <c r="AL94" s="10">
        <v>94</v>
      </c>
      <c r="AM94" s="10">
        <v>97</v>
      </c>
      <c r="AN94" s="10">
        <v>98</v>
      </c>
      <c r="AO94" s="10">
        <v>97</v>
      </c>
      <c r="AP94" s="10">
        <v>97</v>
      </c>
      <c r="AQ94" s="10">
        <v>99</v>
      </c>
      <c r="AR94" s="10">
        <v>96</v>
      </c>
      <c r="AS94" s="10">
        <v>98</v>
      </c>
      <c r="AT94" s="10">
        <v>98</v>
      </c>
      <c r="AU94" s="10">
        <v>99</v>
      </c>
      <c r="AV94" s="10">
        <v>97</v>
      </c>
      <c r="AW94" s="10">
        <v>98</v>
      </c>
      <c r="AX94" s="10">
        <v>77</v>
      </c>
      <c r="AY94" s="10">
        <v>96</v>
      </c>
      <c r="AZ94" s="10">
        <v>92</v>
      </c>
      <c r="BA94" s="10">
        <v>88</v>
      </c>
      <c r="BB94" s="10">
        <v>94</v>
      </c>
      <c r="BC94" s="10">
        <v>91</v>
      </c>
      <c r="BD94" s="10">
        <v>90</v>
      </c>
      <c r="BE94" s="10">
        <v>99</v>
      </c>
      <c r="BF94" s="10">
        <v>81</v>
      </c>
      <c r="BG94" s="10">
        <v>99</v>
      </c>
    </row>
    <row r="95" spans="29:59">
      <c r="AC95" s="10">
        <v>89</v>
      </c>
      <c r="AD95" s="10">
        <v>94</v>
      </c>
      <c r="AH95" s="10">
        <v>89</v>
      </c>
      <c r="AI95" s="10">
        <v>99</v>
      </c>
      <c r="AJ95" s="10">
        <v>93</v>
      </c>
      <c r="AK95" s="10">
        <v>93</v>
      </c>
      <c r="AL95" s="10">
        <v>94</v>
      </c>
      <c r="AM95" s="10">
        <v>97</v>
      </c>
      <c r="AN95" s="10">
        <v>98</v>
      </c>
      <c r="AO95" s="10">
        <v>98</v>
      </c>
      <c r="AP95" s="10">
        <v>98</v>
      </c>
      <c r="AQ95" s="10">
        <v>99</v>
      </c>
      <c r="AR95" s="10">
        <v>96</v>
      </c>
      <c r="AS95" s="10">
        <v>98</v>
      </c>
      <c r="AT95" s="10">
        <v>98</v>
      </c>
      <c r="AU95" s="10">
        <v>99</v>
      </c>
      <c r="AV95" s="10">
        <v>97</v>
      </c>
      <c r="AW95" s="10">
        <v>99</v>
      </c>
      <c r="AX95" s="10">
        <v>79</v>
      </c>
      <c r="AY95" s="10">
        <v>96</v>
      </c>
      <c r="AZ95" s="10">
        <v>93</v>
      </c>
      <c r="BA95" s="10">
        <v>88</v>
      </c>
      <c r="BB95" s="10">
        <v>95</v>
      </c>
      <c r="BC95" s="10">
        <v>91</v>
      </c>
      <c r="BD95" s="10">
        <v>90</v>
      </c>
      <c r="BE95" s="10">
        <v>99</v>
      </c>
      <c r="BF95" s="10">
        <v>82</v>
      </c>
      <c r="BG95" s="10">
        <v>99</v>
      </c>
    </row>
    <row r="96" spans="29:59">
      <c r="AC96" s="10">
        <v>90</v>
      </c>
      <c r="AD96" s="10">
        <f>AD95</f>
        <v>94</v>
      </c>
      <c r="AH96" s="10">
        <v>90</v>
      </c>
      <c r="AI96" s="10">
        <v>99</v>
      </c>
      <c r="AJ96" s="10">
        <v>93</v>
      </c>
      <c r="AK96" s="10">
        <v>93</v>
      </c>
      <c r="AL96" s="10">
        <v>95</v>
      </c>
      <c r="AM96" s="10">
        <v>98</v>
      </c>
      <c r="AN96" s="10">
        <v>98</v>
      </c>
      <c r="AO96" s="10">
        <v>98</v>
      </c>
      <c r="AP96" s="10">
        <v>98</v>
      </c>
      <c r="AQ96" s="10">
        <v>99</v>
      </c>
      <c r="AR96" s="10">
        <v>96</v>
      </c>
      <c r="AS96" s="10">
        <v>98</v>
      </c>
      <c r="AT96" s="10">
        <v>98</v>
      </c>
      <c r="AU96" s="10">
        <v>99</v>
      </c>
      <c r="AV96" s="10">
        <v>97</v>
      </c>
      <c r="AW96" s="10">
        <v>99</v>
      </c>
      <c r="AX96" s="10">
        <v>80</v>
      </c>
      <c r="AY96" s="10">
        <v>96</v>
      </c>
      <c r="AZ96" s="10">
        <v>94</v>
      </c>
      <c r="BA96" s="10">
        <v>89</v>
      </c>
      <c r="BB96" s="10">
        <v>95</v>
      </c>
      <c r="BC96" s="10">
        <v>92</v>
      </c>
      <c r="BD96" s="10">
        <v>90</v>
      </c>
      <c r="BE96" s="10">
        <v>99</v>
      </c>
      <c r="BF96" s="10">
        <v>82</v>
      </c>
      <c r="BG96" s="10">
        <v>99</v>
      </c>
    </row>
    <row r="97" spans="29:59">
      <c r="AC97" s="10">
        <v>91</v>
      </c>
      <c r="AD97" s="10">
        <v>95</v>
      </c>
      <c r="AH97" s="10">
        <v>91</v>
      </c>
      <c r="AI97" s="10">
        <v>99</v>
      </c>
      <c r="AJ97" s="10">
        <v>94</v>
      </c>
      <c r="AK97" s="10">
        <v>94</v>
      </c>
      <c r="AL97" s="10">
        <v>95</v>
      </c>
      <c r="AM97" s="10">
        <v>99</v>
      </c>
      <c r="AN97" s="10">
        <v>98</v>
      </c>
      <c r="AO97" s="10">
        <v>98</v>
      </c>
      <c r="AP97" s="10">
        <v>99</v>
      </c>
      <c r="AQ97" s="10">
        <v>99</v>
      </c>
      <c r="AR97" s="10">
        <v>96</v>
      </c>
      <c r="AS97" s="10">
        <v>98</v>
      </c>
      <c r="AT97" s="10">
        <v>98</v>
      </c>
      <c r="AU97" s="10">
        <v>99</v>
      </c>
      <c r="AV97" s="10">
        <v>97</v>
      </c>
      <c r="AW97" s="10">
        <v>99</v>
      </c>
      <c r="AX97" s="10">
        <v>81</v>
      </c>
      <c r="AY97" s="10">
        <v>96</v>
      </c>
      <c r="AZ97" s="10">
        <v>95</v>
      </c>
      <c r="BA97" s="10">
        <v>90</v>
      </c>
      <c r="BB97" s="10">
        <v>95</v>
      </c>
      <c r="BC97" s="10">
        <v>92</v>
      </c>
      <c r="BD97" s="10">
        <v>91</v>
      </c>
      <c r="BE97" s="10">
        <v>99</v>
      </c>
      <c r="BF97" s="10">
        <v>83</v>
      </c>
      <c r="BG97" s="10">
        <v>99</v>
      </c>
    </row>
    <row r="98" spans="29:59">
      <c r="AC98" s="10">
        <v>92</v>
      </c>
      <c r="AD98" s="10">
        <f>AD97</f>
        <v>95</v>
      </c>
      <c r="AH98" s="10">
        <v>92</v>
      </c>
      <c r="AI98" s="10">
        <v>99</v>
      </c>
      <c r="AJ98" s="10">
        <v>94</v>
      </c>
      <c r="AK98" s="10">
        <v>94</v>
      </c>
      <c r="AL98" s="10">
        <v>95</v>
      </c>
      <c r="AM98" s="10">
        <v>99</v>
      </c>
      <c r="AN98" s="10">
        <v>98</v>
      </c>
      <c r="AO98" s="10">
        <v>98</v>
      </c>
      <c r="AP98" s="10">
        <v>99</v>
      </c>
      <c r="AQ98" s="10">
        <v>99</v>
      </c>
      <c r="AR98" s="10">
        <v>96</v>
      </c>
      <c r="AS98" s="10">
        <v>99</v>
      </c>
      <c r="AT98" s="10">
        <v>98</v>
      </c>
      <c r="AU98" s="10">
        <v>99</v>
      </c>
      <c r="AV98" s="10">
        <v>98</v>
      </c>
      <c r="AW98" s="10">
        <v>99</v>
      </c>
      <c r="AX98" s="10">
        <v>83</v>
      </c>
      <c r="AY98" s="10">
        <v>96</v>
      </c>
      <c r="AZ98" s="10">
        <v>95</v>
      </c>
      <c r="BA98" s="10">
        <v>91</v>
      </c>
      <c r="BB98" s="10">
        <v>95</v>
      </c>
      <c r="BC98" s="10">
        <v>92</v>
      </c>
      <c r="BD98" s="10">
        <v>92</v>
      </c>
      <c r="BE98" s="10">
        <v>99</v>
      </c>
      <c r="BF98" s="10">
        <v>84</v>
      </c>
      <c r="BG98" s="10">
        <v>99</v>
      </c>
    </row>
    <row r="99" spans="29:59">
      <c r="AC99" s="10">
        <v>93</v>
      </c>
      <c r="AD99" s="10">
        <v>96</v>
      </c>
      <c r="AH99" s="10">
        <v>93</v>
      </c>
      <c r="AI99" s="10">
        <v>99</v>
      </c>
      <c r="AJ99" s="10">
        <v>94</v>
      </c>
      <c r="AK99" s="10">
        <v>94</v>
      </c>
      <c r="AL99" s="10">
        <v>96</v>
      </c>
      <c r="AM99" s="10">
        <v>99</v>
      </c>
      <c r="AN99" s="10">
        <v>98</v>
      </c>
      <c r="AO99" s="10">
        <v>98</v>
      </c>
      <c r="AP99" s="10">
        <v>99</v>
      </c>
      <c r="AQ99" s="10">
        <v>99</v>
      </c>
      <c r="AR99" s="10">
        <v>96</v>
      </c>
      <c r="AS99" s="10">
        <v>99</v>
      </c>
      <c r="AT99" s="10">
        <v>98</v>
      </c>
      <c r="AU99" s="10">
        <v>99</v>
      </c>
      <c r="AV99" s="10">
        <v>98</v>
      </c>
      <c r="AW99" s="10">
        <v>99</v>
      </c>
      <c r="AX99" s="10">
        <v>84</v>
      </c>
      <c r="AY99" s="10">
        <v>96</v>
      </c>
      <c r="AZ99" s="10">
        <v>95</v>
      </c>
      <c r="BA99" s="10">
        <v>91</v>
      </c>
      <c r="BB99" s="10">
        <v>95</v>
      </c>
      <c r="BC99" s="10">
        <v>92</v>
      </c>
      <c r="BD99" s="10">
        <v>92</v>
      </c>
      <c r="BE99" s="10">
        <v>99</v>
      </c>
      <c r="BF99" s="10">
        <v>85</v>
      </c>
      <c r="BG99" s="10">
        <v>99</v>
      </c>
    </row>
    <row r="100" spans="29:59">
      <c r="AC100" s="10">
        <v>94</v>
      </c>
      <c r="AD100" s="10">
        <f t="shared" ref="AD100:AD101" si="5">AD99</f>
        <v>96</v>
      </c>
      <c r="AH100" s="10">
        <v>94</v>
      </c>
      <c r="AI100" s="10">
        <v>99</v>
      </c>
      <c r="AJ100" s="10">
        <v>95</v>
      </c>
      <c r="AK100" s="10">
        <v>95</v>
      </c>
      <c r="AL100" s="10">
        <v>96</v>
      </c>
      <c r="AM100" s="10">
        <v>99</v>
      </c>
      <c r="AN100" s="10">
        <v>99</v>
      </c>
      <c r="AO100" s="10">
        <v>99</v>
      </c>
      <c r="AP100" s="10">
        <v>99</v>
      </c>
      <c r="AQ100" s="10">
        <v>99</v>
      </c>
      <c r="AR100" s="10">
        <v>96</v>
      </c>
      <c r="AS100" s="10">
        <v>99</v>
      </c>
      <c r="AT100" s="10">
        <v>98</v>
      </c>
      <c r="AU100" s="10">
        <v>99</v>
      </c>
      <c r="AV100" s="10">
        <v>99</v>
      </c>
      <c r="AW100" s="10">
        <v>99</v>
      </c>
      <c r="AX100" s="10">
        <v>86</v>
      </c>
      <c r="AY100" s="10">
        <v>96</v>
      </c>
      <c r="AZ100" s="10">
        <v>96</v>
      </c>
      <c r="BA100" s="10">
        <v>91</v>
      </c>
      <c r="BB100" s="10">
        <v>96</v>
      </c>
      <c r="BC100" s="10">
        <v>93</v>
      </c>
      <c r="BD100" s="10">
        <v>92</v>
      </c>
      <c r="BE100" s="10">
        <v>99</v>
      </c>
      <c r="BF100" s="10">
        <v>86</v>
      </c>
      <c r="BG100" s="10">
        <v>99</v>
      </c>
    </row>
    <row r="101" spans="29:59">
      <c r="AC101" s="10">
        <v>95</v>
      </c>
      <c r="AD101" s="10">
        <f t="shared" si="5"/>
        <v>96</v>
      </c>
      <c r="AH101" s="10">
        <v>95</v>
      </c>
      <c r="AI101" s="10">
        <v>99</v>
      </c>
      <c r="AJ101" s="10">
        <v>95</v>
      </c>
      <c r="AK101" s="10">
        <v>95</v>
      </c>
      <c r="AL101" s="10">
        <v>96</v>
      </c>
      <c r="AM101" s="10">
        <v>99</v>
      </c>
      <c r="AN101" s="10">
        <v>99</v>
      </c>
      <c r="AO101" s="10">
        <v>99</v>
      </c>
      <c r="AP101" s="10">
        <v>99</v>
      </c>
      <c r="AQ101" s="10">
        <v>99</v>
      </c>
      <c r="AR101" s="10">
        <v>96</v>
      </c>
      <c r="AS101" s="10">
        <v>99</v>
      </c>
      <c r="AT101" s="10">
        <v>99</v>
      </c>
      <c r="AU101" s="10">
        <v>99</v>
      </c>
      <c r="AV101" s="10">
        <v>99</v>
      </c>
      <c r="AW101" s="10">
        <v>99</v>
      </c>
      <c r="AX101" s="10">
        <v>87</v>
      </c>
      <c r="AY101" s="10">
        <v>96</v>
      </c>
      <c r="AZ101" s="10">
        <v>96</v>
      </c>
      <c r="BA101" s="10">
        <v>91</v>
      </c>
      <c r="BB101" s="10">
        <v>96</v>
      </c>
      <c r="BC101" s="10">
        <v>94</v>
      </c>
      <c r="BD101" s="10">
        <v>92</v>
      </c>
      <c r="BE101" s="10">
        <v>99</v>
      </c>
      <c r="BF101" s="10">
        <v>87</v>
      </c>
      <c r="BG101" s="10">
        <v>99</v>
      </c>
    </row>
    <row r="102" spans="29:59">
      <c r="AC102" s="10">
        <v>96</v>
      </c>
      <c r="AD102" s="10">
        <v>97</v>
      </c>
      <c r="AH102" s="10">
        <v>96</v>
      </c>
      <c r="AI102" s="10">
        <v>99</v>
      </c>
      <c r="AJ102" s="10">
        <v>95</v>
      </c>
      <c r="AK102" s="10">
        <v>95</v>
      </c>
      <c r="AL102" s="10">
        <v>97</v>
      </c>
      <c r="AM102" s="10">
        <v>99</v>
      </c>
      <c r="AN102" s="10">
        <v>99</v>
      </c>
      <c r="AO102" s="10">
        <v>99</v>
      </c>
      <c r="AP102" s="10">
        <v>99</v>
      </c>
      <c r="AQ102" s="10">
        <v>99</v>
      </c>
      <c r="AR102" s="10">
        <v>96</v>
      </c>
      <c r="AS102" s="10">
        <v>99</v>
      </c>
      <c r="AT102" s="10">
        <v>99</v>
      </c>
      <c r="AU102" s="10">
        <v>99</v>
      </c>
      <c r="AV102" s="10">
        <v>99</v>
      </c>
      <c r="AW102" s="10">
        <v>99</v>
      </c>
      <c r="AX102" s="10">
        <v>88</v>
      </c>
      <c r="AY102" s="10">
        <v>96</v>
      </c>
      <c r="AZ102" s="10">
        <v>97</v>
      </c>
      <c r="BA102" s="10">
        <v>92</v>
      </c>
      <c r="BB102" s="10">
        <v>96</v>
      </c>
      <c r="BC102" s="10">
        <v>94</v>
      </c>
      <c r="BD102" s="10">
        <v>93</v>
      </c>
      <c r="BE102" s="10">
        <v>99</v>
      </c>
      <c r="BF102" s="10">
        <v>88</v>
      </c>
      <c r="BG102" s="10">
        <v>99</v>
      </c>
    </row>
    <row r="103" spans="29:59">
      <c r="AC103" s="10">
        <v>97</v>
      </c>
      <c r="AD103" s="10">
        <f>AD102</f>
        <v>97</v>
      </c>
      <c r="AH103" s="10">
        <v>97</v>
      </c>
      <c r="AI103" s="10">
        <v>99</v>
      </c>
      <c r="AJ103" s="10">
        <v>96</v>
      </c>
      <c r="AK103" s="10">
        <v>96</v>
      </c>
      <c r="AL103" s="10">
        <v>97</v>
      </c>
      <c r="AM103" s="10">
        <v>99</v>
      </c>
      <c r="AN103" s="10">
        <v>99</v>
      </c>
      <c r="AO103" s="10">
        <v>99</v>
      </c>
      <c r="AP103" s="10">
        <v>99</v>
      </c>
      <c r="AQ103" s="10">
        <v>99</v>
      </c>
      <c r="AR103" s="10">
        <v>96</v>
      </c>
      <c r="AS103" s="10">
        <v>99</v>
      </c>
      <c r="AT103" s="10">
        <v>99</v>
      </c>
      <c r="AU103" s="10">
        <v>99</v>
      </c>
      <c r="AV103" s="10">
        <v>99</v>
      </c>
      <c r="AW103" s="10">
        <v>99</v>
      </c>
      <c r="AX103" s="10">
        <v>90</v>
      </c>
      <c r="AY103" s="10">
        <v>96</v>
      </c>
      <c r="AZ103" s="10">
        <v>97</v>
      </c>
      <c r="BA103" s="10">
        <v>93</v>
      </c>
      <c r="BB103" s="10">
        <v>97</v>
      </c>
      <c r="BC103" s="10">
        <v>94</v>
      </c>
      <c r="BD103" s="10">
        <v>94</v>
      </c>
      <c r="BE103" s="10">
        <v>99</v>
      </c>
      <c r="BF103" s="10">
        <v>89</v>
      </c>
      <c r="BG103" s="10">
        <v>99</v>
      </c>
    </row>
    <row r="104" spans="29:59">
      <c r="AC104" s="10">
        <v>98</v>
      </c>
      <c r="AD104" s="10">
        <v>98</v>
      </c>
      <c r="AH104" s="10">
        <v>98</v>
      </c>
      <c r="AI104" s="10">
        <v>99</v>
      </c>
      <c r="AJ104" s="10">
        <v>96</v>
      </c>
      <c r="AK104" s="10">
        <v>96</v>
      </c>
      <c r="AL104" s="10">
        <v>97</v>
      </c>
      <c r="AM104" s="10">
        <v>99</v>
      </c>
      <c r="AN104" s="10">
        <v>99</v>
      </c>
      <c r="AO104" s="10">
        <v>99</v>
      </c>
      <c r="AP104" s="10">
        <v>99</v>
      </c>
      <c r="AQ104" s="10">
        <v>99</v>
      </c>
      <c r="AR104" s="10">
        <v>96</v>
      </c>
      <c r="AS104" s="10">
        <v>99</v>
      </c>
      <c r="AT104" s="10">
        <v>99</v>
      </c>
      <c r="AU104" s="10">
        <v>99</v>
      </c>
      <c r="AV104" s="10">
        <v>99</v>
      </c>
      <c r="AW104" s="10">
        <v>99</v>
      </c>
      <c r="AX104" s="10">
        <v>91</v>
      </c>
      <c r="AY104" s="10">
        <v>96</v>
      </c>
      <c r="AZ104" s="10">
        <v>97</v>
      </c>
      <c r="BA104" s="10">
        <v>94</v>
      </c>
      <c r="BB104" s="10">
        <v>97</v>
      </c>
      <c r="BC104" s="10">
        <v>95</v>
      </c>
      <c r="BD104" s="10">
        <v>94</v>
      </c>
      <c r="BE104" s="10">
        <v>99</v>
      </c>
      <c r="BF104" s="10">
        <v>89</v>
      </c>
      <c r="BG104" s="10">
        <v>99</v>
      </c>
    </row>
    <row r="105" spans="29:59">
      <c r="AC105" s="10">
        <v>99</v>
      </c>
      <c r="AD105" s="10">
        <f>AD104</f>
        <v>98</v>
      </c>
      <c r="AH105" s="10">
        <v>99</v>
      </c>
      <c r="AI105" s="10">
        <v>99</v>
      </c>
      <c r="AJ105" s="10">
        <v>96</v>
      </c>
      <c r="AK105" s="10">
        <v>96</v>
      </c>
      <c r="AL105" s="10">
        <v>97</v>
      </c>
      <c r="AM105" s="10">
        <v>99</v>
      </c>
      <c r="AN105" s="10">
        <v>99</v>
      </c>
      <c r="AO105" s="10">
        <v>99</v>
      </c>
      <c r="AP105" s="10">
        <v>99</v>
      </c>
      <c r="AQ105" s="10">
        <v>99</v>
      </c>
      <c r="AR105" s="10">
        <v>96</v>
      </c>
      <c r="AS105" s="10">
        <v>99</v>
      </c>
      <c r="AT105" s="10">
        <v>99</v>
      </c>
      <c r="AU105" s="10">
        <v>99</v>
      </c>
      <c r="AV105" s="10">
        <v>99</v>
      </c>
      <c r="AW105" s="10">
        <v>99</v>
      </c>
      <c r="AX105" s="10">
        <v>91</v>
      </c>
      <c r="AY105" s="10">
        <v>97</v>
      </c>
      <c r="AZ105" s="10">
        <v>97</v>
      </c>
      <c r="BA105" s="10">
        <v>94</v>
      </c>
      <c r="BB105" s="10">
        <v>97</v>
      </c>
      <c r="BC105" s="10">
        <v>95</v>
      </c>
      <c r="BD105" s="10">
        <v>95</v>
      </c>
      <c r="BE105" s="10">
        <v>99</v>
      </c>
      <c r="BF105" s="10">
        <v>91</v>
      </c>
      <c r="BG105" s="10">
        <v>99</v>
      </c>
    </row>
    <row r="106" spans="29:59">
      <c r="AC106" s="10">
        <v>100</v>
      </c>
      <c r="AD106" s="10">
        <v>99</v>
      </c>
      <c r="AH106" s="10">
        <v>100</v>
      </c>
      <c r="AI106" s="10">
        <v>99</v>
      </c>
      <c r="AJ106" s="10">
        <v>96</v>
      </c>
      <c r="AK106" s="10">
        <v>97</v>
      </c>
      <c r="AL106" s="10">
        <v>98</v>
      </c>
      <c r="AM106" s="10">
        <v>99</v>
      </c>
      <c r="AN106" s="10">
        <v>99</v>
      </c>
      <c r="AO106" s="10">
        <v>99</v>
      </c>
      <c r="AP106" s="10">
        <v>99</v>
      </c>
      <c r="AQ106" s="10">
        <v>99</v>
      </c>
      <c r="AR106" s="10">
        <v>98</v>
      </c>
      <c r="AS106" s="10">
        <v>99</v>
      </c>
      <c r="AT106" s="10">
        <v>99</v>
      </c>
      <c r="AU106" s="10">
        <v>99</v>
      </c>
      <c r="AV106" s="10">
        <v>99</v>
      </c>
      <c r="AW106" s="10">
        <v>99</v>
      </c>
      <c r="AX106" s="10">
        <v>92</v>
      </c>
      <c r="AY106" s="10">
        <v>98</v>
      </c>
      <c r="AZ106" s="10">
        <v>98</v>
      </c>
      <c r="BA106" s="10">
        <v>94</v>
      </c>
      <c r="BB106" s="10">
        <v>97</v>
      </c>
      <c r="BC106" s="10">
        <v>95</v>
      </c>
      <c r="BD106" s="10">
        <v>95</v>
      </c>
      <c r="BE106" s="10">
        <v>99</v>
      </c>
      <c r="BF106" s="10">
        <v>92</v>
      </c>
      <c r="BG106" s="10">
        <v>99</v>
      </c>
    </row>
    <row r="107" spans="29:59">
      <c r="AC107" s="10">
        <v>101</v>
      </c>
      <c r="AD107" s="10">
        <f>AD106</f>
        <v>99</v>
      </c>
      <c r="AH107" s="10">
        <v>101</v>
      </c>
      <c r="AI107" s="10">
        <v>99</v>
      </c>
      <c r="AJ107" s="10">
        <v>97</v>
      </c>
      <c r="AK107" s="10">
        <v>97</v>
      </c>
      <c r="AL107" s="10">
        <v>98</v>
      </c>
      <c r="AO107" s="10">
        <v>99</v>
      </c>
      <c r="AP107" s="10">
        <v>99</v>
      </c>
      <c r="AQ107" s="10">
        <v>99</v>
      </c>
      <c r="AS107" s="10">
        <v>99</v>
      </c>
      <c r="AT107" s="10">
        <v>99</v>
      </c>
      <c r="AU107" s="10">
        <v>99</v>
      </c>
      <c r="AV107" s="10">
        <v>99</v>
      </c>
      <c r="AW107" s="10">
        <v>99</v>
      </c>
      <c r="AX107" s="10">
        <v>94</v>
      </c>
      <c r="AY107" s="10">
        <v>98</v>
      </c>
      <c r="AZ107" s="10">
        <v>98</v>
      </c>
      <c r="BA107" s="10">
        <v>94</v>
      </c>
      <c r="BB107" s="10">
        <v>98</v>
      </c>
      <c r="BC107" s="10">
        <v>95</v>
      </c>
      <c r="BD107" s="10">
        <v>96</v>
      </c>
      <c r="BE107" s="10">
        <v>99</v>
      </c>
      <c r="BF107" s="10">
        <v>92</v>
      </c>
      <c r="BG107" s="10">
        <v>99</v>
      </c>
    </row>
    <row r="108" spans="29:59">
      <c r="AC108" s="10">
        <v>102</v>
      </c>
      <c r="AD108" s="10">
        <v>100</v>
      </c>
      <c r="AH108" s="10">
        <v>102</v>
      </c>
      <c r="AI108" s="10">
        <v>99</v>
      </c>
      <c r="AJ108" s="10">
        <v>97</v>
      </c>
      <c r="AK108" s="10">
        <v>97</v>
      </c>
      <c r="AL108" s="10">
        <v>98</v>
      </c>
      <c r="AO108" s="10">
        <v>99</v>
      </c>
      <c r="AP108" s="10">
        <v>99</v>
      </c>
      <c r="AQ108" s="10">
        <v>99</v>
      </c>
      <c r="AS108" s="10">
        <v>99</v>
      </c>
      <c r="AT108" s="10">
        <v>99</v>
      </c>
      <c r="AU108" s="10">
        <v>99</v>
      </c>
      <c r="AV108" s="10">
        <v>99</v>
      </c>
      <c r="AW108" s="10">
        <v>99</v>
      </c>
      <c r="AX108" s="10">
        <v>94</v>
      </c>
      <c r="AY108" s="10">
        <v>98</v>
      </c>
      <c r="AZ108" s="10">
        <v>98</v>
      </c>
      <c r="BA108" s="10">
        <v>95</v>
      </c>
      <c r="BB108" s="10">
        <v>98</v>
      </c>
      <c r="BC108" s="10">
        <v>96</v>
      </c>
      <c r="BD108" s="10">
        <v>97</v>
      </c>
      <c r="BE108" s="10">
        <v>99</v>
      </c>
      <c r="BF108" s="10">
        <v>93</v>
      </c>
      <c r="BG108" s="10">
        <v>99</v>
      </c>
    </row>
    <row r="109" spans="29:59">
      <c r="AC109" s="10">
        <v>103</v>
      </c>
      <c r="AD109" s="10">
        <f t="shared" ref="AD109:AD121" si="6">AD108</f>
        <v>100</v>
      </c>
      <c r="AH109" s="10">
        <v>103</v>
      </c>
      <c r="AI109" s="10">
        <v>99</v>
      </c>
      <c r="AJ109" s="10">
        <v>97</v>
      </c>
      <c r="AK109" s="10">
        <v>98</v>
      </c>
      <c r="AL109" s="10">
        <v>98</v>
      </c>
      <c r="AO109" s="10">
        <v>99</v>
      </c>
      <c r="AP109" s="10">
        <v>99</v>
      </c>
      <c r="AQ109" s="10">
        <v>99</v>
      </c>
      <c r="AS109" s="10">
        <v>99</v>
      </c>
      <c r="AT109" s="10">
        <v>99</v>
      </c>
      <c r="AU109" s="10">
        <v>99</v>
      </c>
      <c r="AV109" s="10">
        <v>99</v>
      </c>
      <c r="AW109" s="10">
        <v>99</v>
      </c>
      <c r="AX109" s="10">
        <v>95</v>
      </c>
      <c r="AY109" s="10">
        <v>98</v>
      </c>
      <c r="AZ109" s="10">
        <v>98</v>
      </c>
      <c r="BA109" s="10">
        <v>96</v>
      </c>
      <c r="BB109" s="10">
        <v>98</v>
      </c>
      <c r="BC109" s="10">
        <v>97</v>
      </c>
      <c r="BD109" s="10">
        <v>97</v>
      </c>
      <c r="BE109" s="10">
        <v>99</v>
      </c>
      <c r="BF109" s="10">
        <v>94</v>
      </c>
      <c r="BG109" s="10">
        <v>99</v>
      </c>
    </row>
    <row r="110" spans="29:59">
      <c r="AC110" s="10">
        <v>104</v>
      </c>
      <c r="AD110" s="10">
        <f t="shared" si="6"/>
        <v>100</v>
      </c>
      <c r="AH110" s="10">
        <v>104</v>
      </c>
      <c r="AI110" s="10">
        <v>99</v>
      </c>
      <c r="AJ110" s="10">
        <v>98</v>
      </c>
      <c r="AK110" s="10">
        <v>98</v>
      </c>
      <c r="AL110" s="10">
        <v>99</v>
      </c>
      <c r="AO110" s="10">
        <v>99</v>
      </c>
      <c r="AP110" s="10">
        <v>99</v>
      </c>
      <c r="AQ110" s="10">
        <v>99</v>
      </c>
      <c r="AS110" s="10">
        <v>99</v>
      </c>
      <c r="AT110" s="10">
        <v>99</v>
      </c>
      <c r="AU110" s="10">
        <v>99</v>
      </c>
      <c r="AV110" s="10">
        <v>99</v>
      </c>
      <c r="AW110" s="10">
        <v>99</v>
      </c>
      <c r="AX110" s="10">
        <v>96</v>
      </c>
      <c r="AY110" s="10">
        <v>98</v>
      </c>
      <c r="AZ110" s="10">
        <v>98</v>
      </c>
      <c r="BA110" s="10">
        <v>96</v>
      </c>
      <c r="BB110" s="10">
        <v>98</v>
      </c>
      <c r="BC110" s="10">
        <v>97</v>
      </c>
      <c r="BD110" s="10">
        <v>97</v>
      </c>
      <c r="BE110" s="10">
        <v>99</v>
      </c>
      <c r="BF110" s="10">
        <v>94</v>
      </c>
      <c r="BG110" s="10">
        <v>99</v>
      </c>
    </row>
    <row r="111" spans="29:59">
      <c r="AC111" s="10">
        <v>105</v>
      </c>
      <c r="AD111" s="10">
        <f t="shared" si="6"/>
        <v>100</v>
      </c>
      <c r="AH111" s="10">
        <v>105</v>
      </c>
      <c r="AI111" s="10">
        <v>99</v>
      </c>
      <c r="AJ111" s="10">
        <v>98</v>
      </c>
      <c r="AK111" s="10">
        <v>98</v>
      </c>
      <c r="AL111" s="10">
        <v>99</v>
      </c>
      <c r="AO111" s="10">
        <v>99</v>
      </c>
      <c r="AP111" s="10">
        <v>99</v>
      </c>
      <c r="AQ111" s="10">
        <v>99</v>
      </c>
      <c r="AS111" s="10">
        <v>99</v>
      </c>
      <c r="AT111" s="10">
        <v>99</v>
      </c>
      <c r="AU111" s="10">
        <v>99</v>
      </c>
      <c r="AV111" s="10">
        <v>99</v>
      </c>
      <c r="AW111" s="10">
        <v>99</v>
      </c>
      <c r="AX111" s="10">
        <v>97</v>
      </c>
      <c r="AY111" s="10">
        <v>98</v>
      </c>
      <c r="AZ111" s="10">
        <v>99</v>
      </c>
      <c r="BA111" s="10">
        <v>96</v>
      </c>
      <c r="BB111" s="10">
        <v>99</v>
      </c>
      <c r="BC111" s="10">
        <v>97</v>
      </c>
      <c r="BD111" s="10">
        <v>98</v>
      </c>
      <c r="BE111" s="10">
        <v>99</v>
      </c>
      <c r="BF111" s="10">
        <v>95</v>
      </c>
      <c r="BG111" s="10">
        <v>99</v>
      </c>
    </row>
    <row r="112" spans="29:59">
      <c r="AC112" s="10">
        <v>106</v>
      </c>
      <c r="AD112" s="10">
        <f t="shared" si="6"/>
        <v>100</v>
      </c>
      <c r="AH112" s="10">
        <v>106</v>
      </c>
      <c r="AI112" s="10">
        <v>99</v>
      </c>
      <c r="AJ112" s="10">
        <v>98</v>
      </c>
      <c r="AK112" s="10">
        <v>99</v>
      </c>
      <c r="AL112" s="10">
        <v>99</v>
      </c>
      <c r="AO112" s="10">
        <v>99</v>
      </c>
      <c r="AP112" s="10">
        <v>99</v>
      </c>
      <c r="AQ112" s="10">
        <v>99</v>
      </c>
      <c r="AS112" s="10">
        <v>99</v>
      </c>
      <c r="AT112" s="10">
        <v>99</v>
      </c>
      <c r="AU112" s="10">
        <v>99</v>
      </c>
      <c r="AV112" s="10">
        <v>99</v>
      </c>
      <c r="AW112" s="10">
        <v>99</v>
      </c>
      <c r="AX112" s="10">
        <v>97</v>
      </c>
      <c r="AY112" s="10">
        <v>98</v>
      </c>
      <c r="AZ112" s="10">
        <v>99</v>
      </c>
      <c r="BA112" s="10">
        <v>96</v>
      </c>
      <c r="BB112" s="10">
        <v>99</v>
      </c>
      <c r="BC112" s="10">
        <v>98</v>
      </c>
      <c r="BD112" s="10">
        <v>98</v>
      </c>
      <c r="BE112" s="10">
        <v>99</v>
      </c>
      <c r="BF112" s="10">
        <v>96</v>
      </c>
      <c r="BG112" s="10">
        <v>99</v>
      </c>
    </row>
    <row r="113" spans="29:59">
      <c r="AC113" s="10">
        <v>107</v>
      </c>
      <c r="AD113" s="10">
        <f t="shared" si="6"/>
        <v>100</v>
      </c>
      <c r="AH113" s="10">
        <v>107</v>
      </c>
      <c r="AI113" s="10">
        <v>99</v>
      </c>
      <c r="AJ113" s="10">
        <v>99</v>
      </c>
      <c r="AK113" s="10">
        <v>99</v>
      </c>
      <c r="AL113" s="10">
        <v>99</v>
      </c>
      <c r="AO113" s="10">
        <v>99</v>
      </c>
      <c r="AP113" s="10">
        <v>99</v>
      </c>
      <c r="AQ113" s="10">
        <v>99</v>
      </c>
      <c r="AS113" s="10">
        <v>99</v>
      </c>
      <c r="AT113" s="10">
        <v>99</v>
      </c>
      <c r="AU113" s="10">
        <v>99</v>
      </c>
      <c r="AV113" s="10">
        <v>99</v>
      </c>
      <c r="AW113" s="10">
        <v>99</v>
      </c>
      <c r="AX113" s="10">
        <v>98</v>
      </c>
      <c r="AY113" s="10">
        <v>98</v>
      </c>
      <c r="AZ113" s="10">
        <v>99</v>
      </c>
      <c r="BA113" s="10">
        <v>97</v>
      </c>
      <c r="BB113" s="10">
        <v>99</v>
      </c>
      <c r="BC113" s="10">
        <v>98</v>
      </c>
      <c r="BD113" s="10">
        <v>99</v>
      </c>
      <c r="BE113" s="10">
        <v>99</v>
      </c>
      <c r="BF113" s="10">
        <v>97</v>
      </c>
      <c r="BG113" s="10">
        <v>99</v>
      </c>
    </row>
    <row r="114" spans="29:59">
      <c r="AC114" s="10">
        <v>108</v>
      </c>
      <c r="AD114" s="10">
        <f t="shared" si="6"/>
        <v>100</v>
      </c>
      <c r="AH114" s="10">
        <v>108</v>
      </c>
      <c r="AI114" s="10">
        <v>99</v>
      </c>
      <c r="AJ114" s="10">
        <v>99</v>
      </c>
      <c r="AK114" s="10">
        <v>99</v>
      </c>
      <c r="AL114" s="10">
        <v>99</v>
      </c>
      <c r="AO114" s="10">
        <v>99</v>
      </c>
      <c r="AP114" s="10">
        <v>99</v>
      </c>
      <c r="AQ114" s="10">
        <v>99</v>
      </c>
      <c r="AS114" s="10">
        <v>99</v>
      </c>
      <c r="AT114" s="10">
        <v>99</v>
      </c>
      <c r="AU114" s="10">
        <v>99</v>
      </c>
      <c r="AV114" s="10">
        <v>99</v>
      </c>
      <c r="AW114" s="10">
        <v>99</v>
      </c>
      <c r="AX114" s="10">
        <v>98</v>
      </c>
      <c r="AY114" s="10">
        <v>98</v>
      </c>
      <c r="AZ114" s="10">
        <v>99</v>
      </c>
      <c r="BA114" s="10">
        <v>97</v>
      </c>
      <c r="BB114" s="10">
        <v>99</v>
      </c>
      <c r="BC114" s="10">
        <v>98</v>
      </c>
      <c r="BD114" s="10">
        <v>99</v>
      </c>
      <c r="BE114" s="10">
        <v>99</v>
      </c>
      <c r="BF114" s="10">
        <v>98</v>
      </c>
      <c r="BG114" s="10">
        <v>99</v>
      </c>
    </row>
    <row r="115" spans="29:59">
      <c r="AC115" s="10">
        <v>109</v>
      </c>
      <c r="AD115" s="10">
        <f t="shared" si="6"/>
        <v>100</v>
      </c>
      <c r="AH115" s="10">
        <v>109</v>
      </c>
      <c r="AI115" s="10">
        <v>99</v>
      </c>
      <c r="AJ115" s="10">
        <v>99</v>
      </c>
      <c r="AK115" s="10">
        <v>99</v>
      </c>
      <c r="AL115" s="10">
        <v>99</v>
      </c>
      <c r="AO115" s="10">
        <v>99</v>
      </c>
      <c r="AP115" s="10">
        <v>99</v>
      </c>
      <c r="AQ115" s="10">
        <v>99</v>
      </c>
      <c r="AS115" s="10">
        <v>99</v>
      </c>
      <c r="AT115" s="10">
        <v>99</v>
      </c>
      <c r="AU115" s="10">
        <v>99</v>
      </c>
      <c r="AV115" s="10">
        <v>99</v>
      </c>
      <c r="AW115" s="10">
        <v>99</v>
      </c>
      <c r="AX115" s="10">
        <v>98</v>
      </c>
      <c r="AY115" s="10">
        <v>98</v>
      </c>
      <c r="AZ115" s="10">
        <v>99</v>
      </c>
      <c r="BA115" s="10">
        <v>98</v>
      </c>
      <c r="BB115" s="10">
        <v>99</v>
      </c>
      <c r="BC115" s="10">
        <v>99</v>
      </c>
      <c r="BD115" s="10">
        <v>99</v>
      </c>
      <c r="BE115" s="10">
        <v>99</v>
      </c>
      <c r="BF115" s="10">
        <v>98</v>
      </c>
      <c r="BG115" s="10">
        <v>99</v>
      </c>
    </row>
    <row r="116" spans="29:59">
      <c r="AC116" s="10">
        <v>110</v>
      </c>
      <c r="AD116" s="10">
        <f t="shared" si="6"/>
        <v>100</v>
      </c>
      <c r="AH116" s="10">
        <v>110</v>
      </c>
      <c r="AI116" s="10">
        <v>99</v>
      </c>
      <c r="AJ116" s="10">
        <v>99</v>
      </c>
      <c r="AK116" s="10">
        <v>99</v>
      </c>
      <c r="AL116" s="10">
        <v>99</v>
      </c>
      <c r="AO116" s="10">
        <v>99</v>
      </c>
      <c r="AP116" s="10">
        <v>99</v>
      </c>
      <c r="AQ116" s="10">
        <v>99</v>
      </c>
      <c r="AS116" s="10">
        <v>99</v>
      </c>
      <c r="AT116" s="10">
        <v>99</v>
      </c>
      <c r="AU116" s="10">
        <v>99</v>
      </c>
      <c r="AV116" s="10">
        <v>99</v>
      </c>
      <c r="AW116" s="10">
        <v>99</v>
      </c>
      <c r="AX116" s="10">
        <v>99</v>
      </c>
      <c r="AY116" s="10">
        <v>98</v>
      </c>
      <c r="AZ116" s="10">
        <v>99</v>
      </c>
      <c r="BA116" s="10">
        <v>98</v>
      </c>
      <c r="BB116" s="10">
        <v>99</v>
      </c>
      <c r="BC116" s="10">
        <v>99</v>
      </c>
      <c r="BD116" s="10">
        <v>99</v>
      </c>
      <c r="BE116" s="10">
        <v>99</v>
      </c>
      <c r="BF116" s="10">
        <v>99</v>
      </c>
      <c r="BG116" s="10">
        <v>99</v>
      </c>
    </row>
    <row r="117" spans="29:59">
      <c r="AC117" s="10">
        <v>111</v>
      </c>
      <c r="AD117" s="10">
        <f t="shared" si="6"/>
        <v>100</v>
      </c>
      <c r="AH117" s="10">
        <v>111</v>
      </c>
      <c r="AI117" s="10">
        <v>99</v>
      </c>
      <c r="AJ117" s="10">
        <v>99</v>
      </c>
      <c r="AK117" s="10">
        <v>99</v>
      </c>
      <c r="AL117" s="10">
        <v>99</v>
      </c>
      <c r="AO117" s="10">
        <v>99</v>
      </c>
      <c r="AP117" s="10">
        <v>99</v>
      </c>
      <c r="AQ117" s="10">
        <v>99</v>
      </c>
      <c r="AS117" s="10">
        <v>99</v>
      </c>
      <c r="AT117" s="10">
        <v>99</v>
      </c>
      <c r="AU117" s="10">
        <v>99</v>
      </c>
      <c r="AV117" s="10">
        <v>99</v>
      </c>
      <c r="AW117" s="10">
        <v>99</v>
      </c>
      <c r="AX117" s="10">
        <v>99</v>
      </c>
      <c r="AY117" s="10">
        <v>98</v>
      </c>
      <c r="AZ117" s="10">
        <v>99</v>
      </c>
      <c r="BA117" s="10">
        <v>98</v>
      </c>
      <c r="BB117" s="10">
        <v>99</v>
      </c>
      <c r="BC117" s="10">
        <v>99</v>
      </c>
      <c r="BD117" s="10">
        <v>99</v>
      </c>
      <c r="BE117" s="10">
        <v>99</v>
      </c>
      <c r="BF117" s="10">
        <v>99</v>
      </c>
      <c r="BG117" s="10">
        <v>99</v>
      </c>
    </row>
    <row r="118" spans="29:59">
      <c r="AC118" s="10">
        <v>112</v>
      </c>
      <c r="AD118" s="10">
        <f t="shared" si="6"/>
        <v>100</v>
      </c>
      <c r="AH118" s="10">
        <v>112</v>
      </c>
      <c r="AI118" s="10">
        <v>99</v>
      </c>
      <c r="AJ118" s="10">
        <v>99</v>
      </c>
      <c r="AK118" s="10">
        <v>99</v>
      </c>
      <c r="AL118" s="10">
        <v>99</v>
      </c>
      <c r="AO118" s="10">
        <v>99</v>
      </c>
      <c r="AP118" s="10">
        <v>99</v>
      </c>
      <c r="AQ118" s="10">
        <v>99</v>
      </c>
      <c r="AS118" s="10">
        <v>99</v>
      </c>
      <c r="AT118" s="10">
        <v>99</v>
      </c>
      <c r="AU118" s="10">
        <v>99</v>
      </c>
      <c r="AV118" s="10">
        <v>99</v>
      </c>
      <c r="AW118" s="10">
        <v>99</v>
      </c>
      <c r="AX118" s="10">
        <v>99</v>
      </c>
      <c r="AY118" s="10">
        <v>98</v>
      </c>
      <c r="AZ118" s="10">
        <v>99</v>
      </c>
      <c r="BA118" s="10">
        <v>98</v>
      </c>
      <c r="BB118" s="10">
        <v>99</v>
      </c>
      <c r="BC118" s="10">
        <v>99</v>
      </c>
      <c r="BD118" s="10">
        <v>99</v>
      </c>
      <c r="BE118" s="10">
        <v>99</v>
      </c>
      <c r="BF118" s="10">
        <v>99</v>
      </c>
      <c r="BG118" s="10">
        <v>99</v>
      </c>
    </row>
    <row r="119" spans="29:59">
      <c r="AC119" s="10">
        <v>113</v>
      </c>
      <c r="AD119" s="10">
        <f t="shared" si="6"/>
        <v>100</v>
      </c>
      <c r="AH119" s="10">
        <v>113</v>
      </c>
      <c r="AI119" s="10">
        <v>99</v>
      </c>
      <c r="AJ119" s="10">
        <v>99</v>
      </c>
      <c r="AK119" s="10">
        <v>99</v>
      </c>
      <c r="AL119" s="10">
        <v>99</v>
      </c>
      <c r="AO119" s="10">
        <v>99</v>
      </c>
      <c r="AP119" s="10">
        <v>99</v>
      </c>
      <c r="AQ119" s="10">
        <v>99</v>
      </c>
      <c r="AS119" s="10">
        <v>99</v>
      </c>
      <c r="AT119" s="10">
        <v>99</v>
      </c>
      <c r="AU119" s="10">
        <v>99</v>
      </c>
      <c r="AV119" s="10">
        <v>99</v>
      </c>
      <c r="AW119" s="10">
        <v>99</v>
      </c>
      <c r="AX119" s="10">
        <v>99</v>
      </c>
      <c r="AY119" s="10">
        <v>99</v>
      </c>
      <c r="AZ119" s="10">
        <v>99</v>
      </c>
      <c r="BA119" s="10">
        <v>99</v>
      </c>
      <c r="BB119" s="10">
        <v>99</v>
      </c>
      <c r="BC119" s="10">
        <v>99</v>
      </c>
      <c r="BD119" s="10">
        <v>99</v>
      </c>
      <c r="BE119" s="10">
        <v>99</v>
      </c>
      <c r="BF119" s="10">
        <v>99</v>
      </c>
      <c r="BG119" s="10">
        <v>99</v>
      </c>
    </row>
    <row r="120" spans="29:59">
      <c r="AC120" s="10">
        <v>114</v>
      </c>
      <c r="AD120" s="10">
        <f t="shared" si="6"/>
        <v>100</v>
      </c>
      <c r="AH120" s="10">
        <v>114</v>
      </c>
      <c r="AI120" s="10">
        <v>99</v>
      </c>
      <c r="AJ120" s="10">
        <v>99</v>
      </c>
      <c r="AK120" s="10">
        <v>99</v>
      </c>
      <c r="AL120" s="10">
        <v>99</v>
      </c>
      <c r="AO120" s="10">
        <v>99</v>
      </c>
      <c r="AP120" s="10">
        <v>99</v>
      </c>
      <c r="AQ120" s="10">
        <v>99</v>
      </c>
      <c r="AS120" s="10">
        <v>99</v>
      </c>
      <c r="AT120" s="10">
        <v>99</v>
      </c>
      <c r="AU120" s="10">
        <v>99</v>
      </c>
      <c r="AV120" s="10">
        <v>99</v>
      </c>
      <c r="AW120" s="10">
        <v>99</v>
      </c>
      <c r="AX120" s="10">
        <v>99</v>
      </c>
      <c r="AY120" s="10">
        <v>99</v>
      </c>
      <c r="AZ120" s="10">
        <v>99</v>
      </c>
      <c r="BA120" s="10">
        <v>99</v>
      </c>
      <c r="BB120" s="10">
        <v>99</v>
      </c>
      <c r="BC120" s="10">
        <v>99</v>
      </c>
      <c r="BD120" s="10">
        <v>99</v>
      </c>
      <c r="BE120" s="10">
        <v>99</v>
      </c>
      <c r="BF120" s="10">
        <v>99</v>
      </c>
      <c r="BG120" s="10">
        <v>99</v>
      </c>
    </row>
    <row r="121" spans="29:59">
      <c r="AC121" s="10">
        <v>115</v>
      </c>
      <c r="AD121" s="10">
        <f t="shared" si="6"/>
        <v>100</v>
      </c>
      <c r="AH121" s="10">
        <v>115</v>
      </c>
      <c r="AI121" s="10">
        <v>99</v>
      </c>
      <c r="AJ121" s="10">
        <v>99</v>
      </c>
      <c r="AK121" s="10">
        <v>99</v>
      </c>
      <c r="AL121" s="10">
        <v>99</v>
      </c>
      <c r="AO121" s="10">
        <v>99</v>
      </c>
      <c r="AP121" s="10">
        <v>99</v>
      </c>
      <c r="AQ121" s="10">
        <v>99</v>
      </c>
      <c r="AS121" s="10">
        <v>99</v>
      </c>
      <c r="AT121" s="10">
        <v>99</v>
      </c>
      <c r="AU121" s="10">
        <v>99</v>
      </c>
      <c r="AV121" s="10">
        <v>99</v>
      </c>
      <c r="AW121" s="10">
        <v>99</v>
      </c>
      <c r="AX121" s="10">
        <v>99</v>
      </c>
      <c r="AY121" s="10">
        <v>99</v>
      </c>
      <c r="AZ121" s="10">
        <v>99</v>
      </c>
      <c r="BA121" s="10">
        <v>99</v>
      </c>
      <c r="BB121" s="10">
        <v>99</v>
      </c>
      <c r="BC121" s="10">
        <v>99</v>
      </c>
      <c r="BD121" s="10">
        <v>99</v>
      </c>
      <c r="BE121" s="10">
        <v>99</v>
      </c>
      <c r="BF121" s="10">
        <v>99</v>
      </c>
      <c r="BG121" s="10">
        <v>99</v>
      </c>
    </row>
  </sheetData>
  <sheetProtection algorithmName="SHA-512" hashValue="CqtUgWCrbcW/pCErXDTyfZCJos8ND8WQrs+99dQLHn0fdWLFxI+FVV4erwQi50pA0ztI6pfWPV6FBhSg2aD/kQ==" saltValue="vlH67H0i2aBrAT6ZW2kNog==" spinCount="100000" sheet="1" objects="1" scenarios="1"/>
  <mergeCells count="45">
    <mergeCell ref="BX4:BY4"/>
    <mergeCell ref="B4:AA4"/>
    <mergeCell ref="AC4:AF4"/>
    <mergeCell ref="AH4:BG4"/>
    <mergeCell ref="BJ4:BK4"/>
    <mergeCell ref="BL4:BM4"/>
    <mergeCell ref="BN4:BO4"/>
    <mergeCell ref="BP4:BQ4"/>
    <mergeCell ref="BR4:BS4"/>
    <mergeCell ref="BT4:BU4"/>
    <mergeCell ref="BV4:BW4"/>
    <mergeCell ref="BI4:BI5"/>
    <mergeCell ref="CX4:CY4"/>
    <mergeCell ref="BZ4:CA4"/>
    <mergeCell ref="CB4:CC4"/>
    <mergeCell ref="CF4:CG4"/>
    <mergeCell ref="CH4:CI4"/>
    <mergeCell ref="CJ4:CK4"/>
    <mergeCell ref="CL4:CM4"/>
    <mergeCell ref="CN4:CO4"/>
    <mergeCell ref="CP4:CQ4"/>
    <mergeCell ref="CR4:CS4"/>
    <mergeCell ref="CT4:CU4"/>
    <mergeCell ref="CV4:CW4"/>
    <mergeCell ref="DD4:DE4"/>
    <mergeCell ref="DH4:DI4"/>
    <mergeCell ref="DJ4:DK4"/>
    <mergeCell ref="DL4:DM4"/>
    <mergeCell ref="DN4:DO4"/>
    <mergeCell ref="B2:EU2"/>
    <mergeCell ref="ER4:ES4"/>
    <mergeCell ref="ET4:EU4"/>
    <mergeCell ref="EF4:EG4"/>
    <mergeCell ref="EH4:EI4"/>
    <mergeCell ref="EJ4:EK4"/>
    <mergeCell ref="EL4:EM4"/>
    <mergeCell ref="EN4:EO4"/>
    <mergeCell ref="EP4:EQ4"/>
    <mergeCell ref="DP4:DQ4"/>
    <mergeCell ref="DR4:DS4"/>
    <mergeCell ref="DT4:DU4"/>
    <mergeCell ref="DX4:DY4"/>
    <mergeCell ref="DZ4:EA4"/>
    <mergeCell ref="EB4:EC4"/>
    <mergeCell ref="DB4:DC4"/>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A812675-AC05-4A3C-853A-2B75DDFE56E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294</vt:i4>
      </vt:variant>
    </vt:vector>
  </HeadingPairs>
  <TitlesOfParts>
    <vt:vector size="302" baseType="lpstr">
      <vt:lpstr>Claude Log</vt:lpstr>
      <vt:lpstr>Datos del Sujeto</vt:lpstr>
      <vt:lpstr>Portada</vt:lpstr>
      <vt:lpstr>Protocolo</vt:lpstr>
      <vt:lpstr>Perfil</vt:lpstr>
      <vt:lpstr>Ajustes</vt:lpstr>
      <vt:lpstr>Baremos Españoles</vt:lpstr>
      <vt:lpstr>Baremos EEUU</vt:lpstr>
      <vt:lpstr>AA_B</vt:lpstr>
      <vt:lpstr>AA_C</vt:lpstr>
      <vt:lpstr>AAA_B</vt:lpstr>
      <vt:lpstr>AAA_C</vt:lpstr>
      <vt:lpstr>AAAA_B</vt:lpstr>
      <vt:lpstr>AAAA_C</vt:lpstr>
      <vt:lpstr>AAAAA_B</vt:lpstr>
      <vt:lpstr>AAAAA_C</vt:lpstr>
      <vt:lpstr>AAAAAA_B</vt:lpstr>
      <vt:lpstr>AAAAAA_C</vt:lpstr>
      <vt:lpstr>AAAAAAAA_B</vt:lpstr>
      <vt:lpstr>AAAAAAAA_C</vt:lpstr>
      <vt:lpstr>AAEA_B</vt:lpstr>
      <vt:lpstr>AAEA_C</vt:lpstr>
      <vt:lpstr>BA_B</vt:lpstr>
      <vt:lpstr>BA_C</vt:lpstr>
      <vt:lpstr>BBA_B</vt:lpstr>
      <vt:lpstr>BBA_C</vt:lpstr>
      <vt:lpstr>BBBA_B</vt:lpstr>
      <vt:lpstr>BBBA_C</vt:lpstr>
      <vt:lpstr>BBBBA_B</vt:lpstr>
      <vt:lpstr>BBBBA_c</vt:lpstr>
      <vt:lpstr>BBBBBA_B</vt:lpstr>
      <vt:lpstr>BBBBBA_C</vt:lpstr>
      <vt:lpstr>BBBBBBA_B</vt:lpstr>
      <vt:lpstr>BBBBBBA_C</vt:lpstr>
      <vt:lpstr>BBCA_B</vt:lpstr>
      <vt:lpstr>BBCA_C</vt:lpstr>
      <vt:lpstr>CA_B</vt:lpstr>
      <vt:lpstr>CA_C</vt:lpstr>
      <vt:lpstr>CCA_B</vt:lpstr>
      <vt:lpstr>CCA_C</vt:lpstr>
      <vt:lpstr>CCCA_B</vt:lpstr>
      <vt:lpstr>CCCA_C</vt:lpstr>
      <vt:lpstr>CCCCA_B</vt:lpstr>
      <vt:lpstr>CCCCA_c</vt:lpstr>
      <vt:lpstr>CCCCCA_B</vt:lpstr>
      <vt:lpstr>CCCCCA_c</vt:lpstr>
      <vt:lpstr>CCCCCCA_B</vt:lpstr>
      <vt:lpstr>CCCCCCA_C</vt:lpstr>
      <vt:lpstr>CCDA_B</vt:lpstr>
      <vt:lpstr>CCDA_C</vt:lpstr>
      <vt:lpstr>DA_B</vt:lpstr>
      <vt:lpstr>DA_C</vt:lpstr>
      <vt:lpstr>DDA_B</vt:lpstr>
      <vt:lpstr>DDA_C</vt:lpstr>
      <vt:lpstr>DDDA_B</vt:lpstr>
      <vt:lpstr>DDDA_C</vt:lpstr>
      <vt:lpstr>DDDDA_B</vt:lpstr>
      <vt:lpstr>DDDDA_c</vt:lpstr>
      <vt:lpstr>DDDDDA_B</vt:lpstr>
      <vt:lpstr>DDDDDA_c</vt:lpstr>
      <vt:lpstr>DDDDDDA_B</vt:lpstr>
      <vt:lpstr>DDDDDDA_C</vt:lpstr>
      <vt:lpstr>DDEA_B</vt:lpstr>
      <vt:lpstr>DDEA_C</vt:lpstr>
      <vt:lpstr>EA_B</vt:lpstr>
      <vt:lpstr>EA_C</vt:lpstr>
      <vt:lpstr>EEA_B</vt:lpstr>
      <vt:lpstr>EEA_C</vt:lpstr>
      <vt:lpstr>EEEA_B</vt:lpstr>
      <vt:lpstr>EEEA_C</vt:lpstr>
      <vt:lpstr>EEEEA_B</vt:lpstr>
      <vt:lpstr>EEEEA_c</vt:lpstr>
      <vt:lpstr>EEEEEEA_B</vt:lpstr>
      <vt:lpstr>EEEEEEA_C</vt:lpstr>
      <vt:lpstr>FA_B</vt:lpstr>
      <vt:lpstr>FA_C</vt:lpstr>
      <vt:lpstr>FFA_B</vt:lpstr>
      <vt:lpstr>FFA_C</vt:lpstr>
      <vt:lpstr>FFFA_B</vt:lpstr>
      <vt:lpstr>FFFA_C</vt:lpstr>
      <vt:lpstr>FFFFA_B</vt:lpstr>
      <vt:lpstr>FFFFA_c</vt:lpstr>
      <vt:lpstr>FFFFFA_B</vt:lpstr>
      <vt:lpstr>FFFFFA_c</vt:lpstr>
      <vt:lpstr>FFFFFFA_B</vt:lpstr>
      <vt:lpstr>FFFFFFA_c</vt:lpstr>
      <vt:lpstr>GA_B</vt:lpstr>
      <vt:lpstr>GA_C</vt:lpstr>
      <vt:lpstr>GGA_B</vt:lpstr>
      <vt:lpstr>GGA_C</vt:lpstr>
      <vt:lpstr>GGGA_B</vt:lpstr>
      <vt:lpstr>GGGA_C</vt:lpstr>
      <vt:lpstr>GGGGA_B</vt:lpstr>
      <vt:lpstr>GGGGA_C</vt:lpstr>
      <vt:lpstr>GGGGGA_B</vt:lpstr>
      <vt:lpstr>GGGGGA_c</vt:lpstr>
      <vt:lpstr>GGGGGGA_B</vt:lpstr>
      <vt:lpstr>GGGGGGA_c</vt:lpstr>
      <vt:lpstr>GGGGGGGA_B</vt:lpstr>
      <vt:lpstr>GGGGGGGA_C</vt:lpstr>
      <vt:lpstr>HA_B</vt:lpstr>
      <vt:lpstr>HA_C</vt:lpstr>
      <vt:lpstr>HHA_B</vt:lpstr>
      <vt:lpstr>HHA_c</vt:lpstr>
      <vt:lpstr>HHHA_B</vt:lpstr>
      <vt:lpstr>HHHA_C</vt:lpstr>
      <vt:lpstr>HHHHA_B</vt:lpstr>
      <vt:lpstr>HHHHA_C</vt:lpstr>
      <vt:lpstr>HHHHHA_B</vt:lpstr>
      <vt:lpstr>HHHHHA_c</vt:lpstr>
      <vt:lpstr>HHHHHHA_B</vt:lpstr>
      <vt:lpstr>HHHHHHA_c</vt:lpstr>
      <vt:lpstr>IA_B</vt:lpstr>
      <vt:lpstr>IA_C</vt:lpstr>
      <vt:lpstr>IIA_B</vt:lpstr>
      <vt:lpstr>IIA_C</vt:lpstr>
      <vt:lpstr>IIIA_B</vt:lpstr>
      <vt:lpstr>IIIA_C</vt:lpstr>
      <vt:lpstr>IIIIA_B</vt:lpstr>
      <vt:lpstr>IIIIA_c</vt:lpstr>
      <vt:lpstr>IIIIIA_B</vt:lpstr>
      <vt:lpstr>IIIIIA_C</vt:lpstr>
      <vt:lpstr>JA_B</vt:lpstr>
      <vt:lpstr>JA_C</vt:lpstr>
      <vt:lpstr>JJA_B</vt:lpstr>
      <vt:lpstr>JJA_C</vt:lpstr>
      <vt:lpstr>JJJA_B</vt:lpstr>
      <vt:lpstr>JJJA_c</vt:lpstr>
      <vt:lpstr>JJJJA_B</vt:lpstr>
      <vt:lpstr>JJJJA_C</vt:lpstr>
      <vt:lpstr>JJJJJA_B</vt:lpstr>
      <vt:lpstr>JJJJJA_C</vt:lpstr>
      <vt:lpstr>JJJJJJA_B</vt:lpstr>
      <vt:lpstr>JJJJJJA_c</vt:lpstr>
      <vt:lpstr>KA_B</vt:lpstr>
      <vt:lpstr>KA_C</vt:lpstr>
      <vt:lpstr>KKA_B</vt:lpstr>
      <vt:lpstr>KKA_c</vt:lpstr>
      <vt:lpstr>KKKA_B</vt:lpstr>
      <vt:lpstr>KKKA_c</vt:lpstr>
      <vt:lpstr>KKKKA_B</vt:lpstr>
      <vt:lpstr>KKKKA_c</vt:lpstr>
      <vt:lpstr>KKKKKA_B</vt:lpstr>
      <vt:lpstr>KKKKKA_c</vt:lpstr>
      <vt:lpstr>KKKKKKA_B</vt:lpstr>
      <vt:lpstr>KKKKKKA_C</vt:lpstr>
      <vt:lpstr>LA_B</vt:lpstr>
      <vt:lpstr>LA_C</vt:lpstr>
      <vt:lpstr>LLA_B</vt:lpstr>
      <vt:lpstr>LLA_C</vt:lpstr>
      <vt:lpstr>LLLA_B</vt:lpstr>
      <vt:lpstr>LLLA_C</vt:lpstr>
      <vt:lpstr>LLLLA_B</vt:lpstr>
      <vt:lpstr>LLLLA_c</vt:lpstr>
      <vt:lpstr>LLLLLA_B</vt:lpstr>
      <vt:lpstr>LLLLLA_C</vt:lpstr>
      <vt:lpstr>LLLLLLA_B</vt:lpstr>
      <vt:lpstr>LLLLLLA_C</vt:lpstr>
      <vt:lpstr>MA_B</vt:lpstr>
      <vt:lpstr>MA_C</vt:lpstr>
      <vt:lpstr>MMA_B</vt:lpstr>
      <vt:lpstr>MMA_c</vt:lpstr>
      <vt:lpstr>MMMA_B</vt:lpstr>
      <vt:lpstr>MMMA_C</vt:lpstr>
      <vt:lpstr>MMMMA_B</vt:lpstr>
      <vt:lpstr>MMMMA_C</vt:lpstr>
      <vt:lpstr>MMMMMMA_B</vt:lpstr>
      <vt:lpstr>MMMMMMA_c</vt:lpstr>
      <vt:lpstr>NA_B</vt:lpstr>
      <vt:lpstr>NA_C</vt:lpstr>
      <vt:lpstr>NNA_B</vt:lpstr>
      <vt:lpstr>NNA_C</vt:lpstr>
      <vt:lpstr>NNNA_B</vt:lpstr>
      <vt:lpstr>NNNA_C</vt:lpstr>
      <vt:lpstr>NNNNA_B</vt:lpstr>
      <vt:lpstr>NNNNA_C</vt:lpstr>
      <vt:lpstr>NNNNNNA_B</vt:lpstr>
      <vt:lpstr>NNNNNNA_c</vt:lpstr>
      <vt:lpstr>OOA_B</vt:lpstr>
      <vt:lpstr>OOA_C</vt:lpstr>
      <vt:lpstr>OOOA_B</vt:lpstr>
      <vt:lpstr>OOOA_C</vt:lpstr>
      <vt:lpstr>OOOOA_B</vt:lpstr>
      <vt:lpstr>OOOOA_C</vt:lpstr>
      <vt:lpstr>OOOOOA_B</vt:lpstr>
      <vt:lpstr>OOOOOA_C</vt:lpstr>
      <vt:lpstr>PA_B</vt:lpstr>
      <vt:lpstr>PA_C</vt:lpstr>
      <vt:lpstr>PPA_B</vt:lpstr>
      <vt:lpstr>PPA_C</vt:lpstr>
      <vt:lpstr>PPPA_B</vt:lpstr>
      <vt:lpstr>PPPA_C</vt:lpstr>
      <vt:lpstr>PPPPA_B</vt:lpstr>
      <vt:lpstr>PPPPA_c</vt:lpstr>
      <vt:lpstr>PPPPPA_B</vt:lpstr>
      <vt:lpstr>PPPPPA_c</vt:lpstr>
      <vt:lpstr>QA_B</vt:lpstr>
      <vt:lpstr>QA_C</vt:lpstr>
      <vt:lpstr>QQA_B</vt:lpstr>
      <vt:lpstr>QQA_c</vt:lpstr>
      <vt:lpstr>QQQA_B</vt:lpstr>
      <vt:lpstr>QQQA_C</vt:lpstr>
      <vt:lpstr>QQQQA_B</vt:lpstr>
      <vt:lpstr>QQQQA_c</vt:lpstr>
      <vt:lpstr>QQQQQA_B</vt:lpstr>
      <vt:lpstr>QQQQQA_c</vt:lpstr>
      <vt:lpstr>QQQQQQA_B</vt:lpstr>
      <vt:lpstr>QQQQQQA_C</vt:lpstr>
      <vt:lpstr>RA_B</vt:lpstr>
      <vt:lpstr>RA_C</vt:lpstr>
      <vt:lpstr>RRA_B</vt:lpstr>
      <vt:lpstr>RRA_c</vt:lpstr>
      <vt:lpstr>RRRA_B</vt:lpstr>
      <vt:lpstr>RRRA_C</vt:lpstr>
      <vt:lpstr>RRRRA_B</vt:lpstr>
      <vt:lpstr>RRRRA_c</vt:lpstr>
      <vt:lpstr>RRRRRA_B</vt:lpstr>
      <vt:lpstr>RRRRRA_c</vt:lpstr>
      <vt:lpstr>SA_B</vt:lpstr>
      <vt:lpstr>SA_C</vt:lpstr>
      <vt:lpstr>SSA_B</vt:lpstr>
      <vt:lpstr>SSA_C</vt:lpstr>
      <vt:lpstr>SSSA_B</vt:lpstr>
      <vt:lpstr>SSSA_C</vt:lpstr>
      <vt:lpstr>SSSSA_B</vt:lpstr>
      <vt:lpstr>SSSSA_c</vt:lpstr>
      <vt:lpstr>SSSSSSA_B</vt:lpstr>
      <vt:lpstr>SSSSSSA_c</vt:lpstr>
      <vt:lpstr>TA_B</vt:lpstr>
      <vt:lpstr>TA_C</vt:lpstr>
      <vt:lpstr>TTA_B</vt:lpstr>
      <vt:lpstr>TTA_C</vt:lpstr>
      <vt:lpstr>TTTA_B</vt:lpstr>
      <vt:lpstr>TTTA_C</vt:lpstr>
      <vt:lpstr>TTTTA_B</vt:lpstr>
      <vt:lpstr>TTTTA_c</vt:lpstr>
      <vt:lpstr>TTTTTA_B</vt:lpstr>
      <vt:lpstr>TTTTTA_c</vt:lpstr>
      <vt:lpstr>TTTTTTA_B</vt:lpstr>
      <vt:lpstr>TTTTTTA_C</vt:lpstr>
      <vt:lpstr>UA_B</vt:lpstr>
      <vt:lpstr>UA_C</vt:lpstr>
      <vt:lpstr>UUA_B</vt:lpstr>
      <vt:lpstr>UUA_c</vt:lpstr>
      <vt:lpstr>UUUUA_B</vt:lpstr>
      <vt:lpstr>UUUUA_c</vt:lpstr>
      <vt:lpstr>UUUUUA_B</vt:lpstr>
      <vt:lpstr>UUUUUA_c</vt:lpstr>
      <vt:lpstr>VA_B</vt:lpstr>
      <vt:lpstr>VA_C</vt:lpstr>
      <vt:lpstr>VVA_B</vt:lpstr>
      <vt:lpstr>VVA_c</vt:lpstr>
      <vt:lpstr>VVVA_B</vt:lpstr>
      <vt:lpstr>VVVA_c</vt:lpstr>
      <vt:lpstr>VVVVA_B</vt:lpstr>
      <vt:lpstr>VVVVA_C</vt:lpstr>
      <vt:lpstr>WA_B</vt:lpstr>
      <vt:lpstr>WA_C</vt:lpstr>
      <vt:lpstr>WWA_b</vt:lpstr>
      <vt:lpstr>WWA_c</vt:lpstr>
      <vt:lpstr>WWWA_B</vt:lpstr>
      <vt:lpstr>WWWA_C</vt:lpstr>
      <vt:lpstr>WWWWA_B</vt:lpstr>
      <vt:lpstr>WWWWA_C</vt:lpstr>
      <vt:lpstr>WWWWWA_b</vt:lpstr>
      <vt:lpstr>WWWWWA_c</vt:lpstr>
      <vt:lpstr>WWWWWWA_B</vt:lpstr>
      <vt:lpstr>WWWWWWA_c</vt:lpstr>
      <vt:lpstr>XA_b</vt:lpstr>
      <vt:lpstr>XA_C</vt:lpstr>
      <vt:lpstr>XXA_B</vt:lpstr>
      <vt:lpstr>XXA_c</vt:lpstr>
      <vt:lpstr>XXXA_B</vt:lpstr>
      <vt:lpstr>XXXA_C</vt:lpstr>
      <vt:lpstr>XXXXA_B</vt:lpstr>
      <vt:lpstr>XXXXA_c</vt:lpstr>
      <vt:lpstr>XXXXXA_B</vt:lpstr>
      <vt:lpstr>XXXXXA_c</vt:lpstr>
      <vt:lpstr>XXXXXXA_B</vt:lpstr>
      <vt:lpstr>XXXXXXA_c</vt:lpstr>
      <vt:lpstr>YA_B</vt:lpstr>
      <vt:lpstr>YA_C</vt:lpstr>
      <vt:lpstr>YYA_B</vt:lpstr>
      <vt:lpstr>YYA_c</vt:lpstr>
      <vt:lpstr>YYYA_B</vt:lpstr>
      <vt:lpstr>YYYA_c</vt:lpstr>
      <vt:lpstr>YYYYA_B</vt:lpstr>
      <vt:lpstr>YYYYA_C</vt:lpstr>
      <vt:lpstr>YYYYYYA_B</vt:lpstr>
      <vt:lpstr>YYYYYYA_C</vt:lpstr>
      <vt:lpstr>ZA_B</vt:lpstr>
      <vt:lpstr>ZA_C</vt:lpstr>
      <vt:lpstr>ZZA_B</vt:lpstr>
      <vt:lpstr>ZZA_c</vt:lpstr>
      <vt:lpstr>ZZZA_B</vt:lpstr>
      <vt:lpstr>ZZZA_C</vt:lpstr>
      <vt:lpstr>ZZZZA_B</vt:lpstr>
      <vt:lpstr>ZZZZA_C</vt:lpstr>
      <vt:lpstr>ZZZZZA_b</vt:lpstr>
      <vt:lpstr>ZZZZZA_c</vt:lpstr>
      <vt:lpstr>ZZZZZZA_B</vt:lpstr>
      <vt:lpstr>ZZZZZZA_C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Edgar Espinoza</dc:creator>
  <cp:lastModifiedBy>Edgar Espinoza</cp:lastModifiedBy>
  <dcterms:created xsi:type="dcterms:W3CDTF">2025-05-16T23:56:37Z</dcterms:created>
  <dcterms:modified xsi:type="dcterms:W3CDTF">2026-05-20T10:04:23Z</dcterms:modified>
</cp:coreProperties>
</file>