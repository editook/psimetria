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https://d.docs.live.net/a1db4ffa447fa215/Desktop/Test actualizados/"/>
    </mc:Choice>
  </mc:AlternateContent>
  <xr:revisionPtr revIDLastSave="2005" documentId="8_{4464B315-4239-45C7-AB18-4DAD990D2910}" xr6:coauthVersionLast="47" xr6:coauthVersionMax="47" xr10:uidLastSave="{5A318963-53CB-4CE4-9F96-26A94E617A47}"/>
  <bookViews>
    <workbookView xWindow="-108" yWindow="-108" windowWidth="23256" windowHeight="13896" activeTab="2" xr2:uid="{7F54B0BA-E436-4246-A93D-D9F1074C109C}"/>
  </bookViews>
  <sheets>
    <sheet name="Inicio" sheetId="5" r:id="rId1"/>
    <sheet name="Ingreso_Datos" sheetId="1" r:id="rId2"/>
    <sheet name="Perfil" sheetId="6" r:id="rId3"/>
    <sheet name="B_D" sheetId="7" r:id="rId4"/>
    <sheet name="B_P" sheetId="8" r:id="rId5"/>
  </sheets>
  <definedNames>
    <definedName name="_xlnm.Print_Area" localSheetId="2">Perfil!$A$1:$X$88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80" i="1" l="1"/>
  <c r="G68" i="1"/>
  <c r="G63" i="1"/>
  <c r="G45" i="1"/>
  <c r="G40" i="1"/>
  <c r="G32" i="1"/>
  <c r="G27" i="1"/>
  <c r="G15" i="1"/>
  <c r="G83" i="1"/>
  <c r="G76" i="1"/>
  <c r="G71" i="1"/>
  <c r="G66" i="1"/>
  <c r="G64" i="1"/>
  <c r="G54" i="1"/>
  <c r="G49" i="1"/>
  <c r="G29" i="1"/>
  <c r="G12" i="1"/>
  <c r="G51" i="1"/>
  <c r="G28" i="1"/>
  <c r="G30" i="1"/>
  <c r="G31" i="1"/>
  <c r="G33" i="1"/>
  <c r="G34" i="1"/>
  <c r="G35" i="1"/>
  <c r="G36" i="1"/>
  <c r="G37" i="1"/>
  <c r="G38" i="1"/>
  <c r="G39" i="1"/>
  <c r="G41" i="1"/>
  <c r="G42" i="1"/>
  <c r="G43" i="1"/>
  <c r="G44" i="1"/>
  <c r="G46" i="1"/>
  <c r="G47" i="1"/>
  <c r="G48" i="1"/>
  <c r="G50" i="1"/>
  <c r="G52" i="1"/>
  <c r="G53" i="1"/>
  <c r="G55" i="1"/>
  <c r="G56" i="1"/>
  <c r="G57" i="1"/>
  <c r="G58" i="1"/>
  <c r="G59" i="1"/>
  <c r="G60" i="1"/>
  <c r="G61" i="1"/>
  <c r="G62" i="1"/>
  <c r="G65" i="1"/>
  <c r="G67" i="1"/>
  <c r="G69" i="1"/>
  <c r="G70" i="1"/>
  <c r="G72" i="1"/>
  <c r="G73" i="1"/>
  <c r="G74" i="1"/>
  <c r="G75" i="1"/>
  <c r="G77" i="1"/>
  <c r="G78" i="1"/>
  <c r="G79" i="1"/>
  <c r="G81" i="1"/>
  <c r="G82" i="1"/>
  <c r="G24" i="1"/>
  <c r="G10" i="1"/>
  <c r="G17" i="1" l="1"/>
  <c r="CO75" i="1" l="1"/>
  <c r="CO76" i="1"/>
  <c r="CO77" i="1"/>
  <c r="CO78" i="1"/>
  <c r="CO79" i="1"/>
  <c r="CO80" i="1"/>
  <c r="CO81" i="1"/>
  <c r="CO82" i="1"/>
  <c r="CO83" i="1"/>
  <c r="CO84" i="1"/>
  <c r="CO85" i="1"/>
  <c r="CO86" i="1"/>
  <c r="CO87" i="1"/>
  <c r="CO88" i="1"/>
  <c r="CO74" i="1"/>
  <c r="CO59" i="1"/>
  <c r="CO60" i="1"/>
  <c r="CO61" i="1"/>
  <c r="CO62" i="1"/>
  <c r="CO63" i="1"/>
  <c r="CO64" i="1"/>
  <c r="CO65" i="1"/>
  <c r="CO66" i="1"/>
  <c r="CO67" i="1"/>
  <c r="CO68" i="1"/>
  <c r="CO69" i="1"/>
  <c r="CO70" i="1"/>
  <c r="CO71" i="1"/>
  <c r="CO72" i="1"/>
  <c r="CO58" i="1"/>
  <c r="CO43" i="1"/>
  <c r="CO44" i="1"/>
  <c r="CO45" i="1"/>
  <c r="CO46" i="1"/>
  <c r="CO47" i="1"/>
  <c r="CO48" i="1"/>
  <c r="CO49" i="1"/>
  <c r="CO50" i="1"/>
  <c r="CO51" i="1"/>
  <c r="CO52" i="1"/>
  <c r="CO53" i="1"/>
  <c r="CO54" i="1"/>
  <c r="CO55" i="1"/>
  <c r="CO56" i="1"/>
  <c r="CO42" i="1"/>
  <c r="CO27" i="1"/>
  <c r="CO28" i="1"/>
  <c r="CO29" i="1"/>
  <c r="CO30" i="1"/>
  <c r="CO31" i="1"/>
  <c r="CO32" i="1"/>
  <c r="CO33" i="1"/>
  <c r="CO34" i="1"/>
  <c r="CO35" i="1"/>
  <c r="CO36" i="1"/>
  <c r="CO37" i="1"/>
  <c r="CO38" i="1"/>
  <c r="CO39" i="1"/>
  <c r="CO40" i="1"/>
  <c r="CO26" i="1"/>
  <c r="CO11" i="1"/>
  <c r="CO12" i="1"/>
  <c r="CO13" i="1"/>
  <c r="CO14" i="1"/>
  <c r="CO15" i="1"/>
  <c r="CO16" i="1"/>
  <c r="CO17" i="1"/>
  <c r="CO18" i="1"/>
  <c r="CO19" i="1"/>
  <c r="CO20" i="1"/>
  <c r="CO21" i="1"/>
  <c r="CO22" i="1"/>
  <c r="CO23" i="1"/>
  <c r="CO24" i="1"/>
  <c r="CO10" i="1"/>
  <c r="BN18" i="1" l="1"/>
  <c r="U18" i="1"/>
  <c r="H62" i="1" l="1"/>
  <c r="CP20" i="1" s="1"/>
  <c r="H17" i="1"/>
  <c r="CP40" i="1" s="1"/>
  <c r="L18" i="1" l="1"/>
  <c r="J18" i="1"/>
  <c r="CH18" i="1"/>
  <c r="CG18" i="1"/>
  <c r="CE18" i="1"/>
  <c r="CC18" i="1"/>
  <c r="CB18" i="1"/>
  <c r="CA18" i="1"/>
  <c r="BZ18" i="1"/>
  <c r="BY18" i="1"/>
  <c r="BX18" i="1"/>
  <c r="BV18" i="1"/>
  <c r="BU18" i="1"/>
  <c r="BS18" i="1"/>
  <c r="BQ18" i="1"/>
  <c r="BL18" i="1"/>
  <c r="BJ18" i="1"/>
  <c r="BI18" i="1"/>
  <c r="BH18" i="1"/>
  <c r="BG18" i="1"/>
  <c r="BE18" i="1"/>
  <c r="BD18" i="1"/>
  <c r="BC18" i="1"/>
  <c r="BB18" i="1"/>
  <c r="BA18" i="1"/>
  <c r="AZ18" i="1"/>
  <c r="AY18" i="1"/>
  <c r="AX18" i="1"/>
  <c r="AW18" i="1"/>
  <c r="AV18" i="1"/>
  <c r="AU18" i="1"/>
  <c r="AT18" i="1"/>
  <c r="AS18" i="1"/>
  <c r="AQ18" i="1"/>
  <c r="AP18" i="1"/>
  <c r="AO18" i="1"/>
  <c r="AN18" i="1"/>
  <c r="AM18" i="1"/>
  <c r="AL18" i="1"/>
  <c r="AK18" i="1"/>
  <c r="AJ18" i="1"/>
  <c r="AH18" i="1"/>
  <c r="AG18" i="1"/>
  <c r="AF18" i="1"/>
  <c r="AE18" i="1"/>
  <c r="G26" i="1"/>
  <c r="G25" i="1"/>
  <c r="AB18" i="1"/>
  <c r="G23" i="1"/>
  <c r="AA18" i="1" s="1"/>
  <c r="G22" i="1"/>
  <c r="G21" i="1"/>
  <c r="Y18" i="1" s="1"/>
  <c r="G20" i="1"/>
  <c r="X18" i="1" s="1"/>
  <c r="G19" i="1"/>
  <c r="W18" i="1" s="1"/>
  <c r="G18" i="1"/>
  <c r="G16" i="1"/>
  <c r="T18" i="1" s="1"/>
  <c r="G14" i="1"/>
  <c r="R18" i="1" s="1"/>
  <c r="G13" i="1"/>
  <c r="Q18" i="1" s="1"/>
  <c r="P18" i="1"/>
  <c r="G11" i="1"/>
  <c r="N18" i="1"/>
  <c r="G9" i="1"/>
  <c r="K11" i="1" l="1"/>
  <c r="K13" i="1"/>
  <c r="K10" i="1"/>
  <c r="K14" i="1"/>
  <c r="Z18" i="1"/>
  <c r="AC18" i="1"/>
  <c r="O18" i="1"/>
  <c r="K12" i="1"/>
  <c r="AR18" i="1"/>
  <c r="AD18" i="1"/>
  <c r="M18" i="1"/>
  <c r="BT18" i="1"/>
  <c r="H71" i="1"/>
  <c r="CP79" i="1" s="1"/>
  <c r="CQ79" i="1" s="1"/>
  <c r="B188" i="6" s="1"/>
  <c r="BW18" i="1"/>
  <c r="H54" i="1"/>
  <c r="CP82" i="1" s="1"/>
  <c r="CQ82" i="1" s="1"/>
  <c r="B191" i="6" s="1"/>
  <c r="BF18" i="1"/>
  <c r="H61" i="1"/>
  <c r="BM18" i="1"/>
  <c r="H78" i="1"/>
  <c r="CD18" i="1"/>
  <c r="H63" i="1"/>
  <c r="CP44" i="1" s="1"/>
  <c r="CQ44" i="1" s="1"/>
  <c r="B140" i="6" s="1"/>
  <c r="BO18" i="1"/>
  <c r="H64" i="1"/>
  <c r="CP81" i="1" s="1"/>
  <c r="CQ81" i="1" s="1"/>
  <c r="B190" i="6" s="1"/>
  <c r="BP18" i="1"/>
  <c r="H80" i="1"/>
  <c r="CP42" i="1" s="1"/>
  <c r="CQ42" i="1" s="1"/>
  <c r="B137" i="6" s="1"/>
  <c r="CF18" i="1"/>
  <c r="H66" i="1"/>
  <c r="CP80" i="1" s="1"/>
  <c r="CQ80" i="1" s="1"/>
  <c r="B189" i="6" s="1"/>
  <c r="BR18" i="1"/>
  <c r="H18" i="1"/>
  <c r="CP60" i="1" s="1"/>
  <c r="CQ60" i="1" s="1"/>
  <c r="B162" i="6" s="1"/>
  <c r="V18" i="1"/>
  <c r="H83" i="1"/>
  <c r="CP74" i="1" s="1"/>
  <c r="CQ74" i="1" s="1"/>
  <c r="B183" i="6" s="1"/>
  <c r="CI18" i="1"/>
  <c r="H59" i="1"/>
  <c r="CP68" i="1" s="1"/>
  <c r="CQ68" i="1" s="1"/>
  <c r="B174" i="6" s="1"/>
  <c r="BK18" i="1"/>
  <c r="H31" i="1"/>
  <c r="CP51" i="1" s="1"/>
  <c r="CQ51" i="1" s="1"/>
  <c r="B148" i="6" s="1"/>
  <c r="AI18" i="1"/>
  <c r="H15" i="1"/>
  <c r="CP87" i="1" s="1"/>
  <c r="CQ87" i="1" s="1"/>
  <c r="B196" i="6" s="1"/>
  <c r="S18" i="1"/>
  <c r="H16" i="1"/>
  <c r="CP59" i="1" s="1"/>
  <c r="CQ59" i="1" s="1"/>
  <c r="B160" i="6" s="1"/>
  <c r="H51" i="1"/>
  <c r="H19" i="1"/>
  <c r="H20" i="1"/>
  <c r="H21" i="1"/>
  <c r="H22" i="1"/>
  <c r="H39" i="1"/>
  <c r="H55" i="1"/>
  <c r="H33" i="1"/>
  <c r="H35" i="1"/>
  <c r="H37" i="1"/>
  <c r="H72" i="1"/>
  <c r="H81" i="1"/>
  <c r="H69" i="1"/>
  <c r="H23" i="1"/>
  <c r="H24" i="1"/>
  <c r="H40" i="1"/>
  <c r="H56" i="1"/>
  <c r="H9" i="1"/>
  <c r="H25" i="1"/>
  <c r="H41" i="1"/>
  <c r="H57" i="1"/>
  <c r="H73" i="1"/>
  <c r="H65" i="1"/>
  <c r="H52" i="1"/>
  <c r="H74" i="1"/>
  <c r="H36" i="1"/>
  <c r="H42" i="1"/>
  <c r="H11" i="1"/>
  <c r="H43" i="1"/>
  <c r="H75" i="1"/>
  <c r="H49" i="1"/>
  <c r="H50" i="1"/>
  <c r="H68" i="1"/>
  <c r="H38" i="1"/>
  <c r="H10" i="1"/>
  <c r="H58" i="1"/>
  <c r="H27" i="1"/>
  <c r="H12" i="1"/>
  <c r="H28" i="1"/>
  <c r="H44" i="1"/>
  <c r="H60" i="1"/>
  <c r="H76" i="1"/>
  <c r="H67" i="1"/>
  <c r="H77" i="1"/>
  <c r="CQ40" i="1"/>
  <c r="B134" i="6" s="1"/>
  <c r="H34" i="1"/>
  <c r="H53" i="1"/>
  <c r="H70" i="1"/>
  <c r="H26" i="1"/>
  <c r="H13" i="1"/>
  <c r="H29" i="1"/>
  <c r="H45" i="1"/>
  <c r="H14" i="1"/>
  <c r="H30" i="1"/>
  <c r="H46" i="1"/>
  <c r="CQ20" i="1"/>
  <c r="H47" i="1"/>
  <c r="H79" i="1"/>
  <c r="H82" i="1"/>
  <c r="H32" i="1"/>
  <c r="H48" i="1"/>
  <c r="CP12" i="1" l="1"/>
  <c r="CQ12" i="1" s="1"/>
  <c r="B98" i="6" s="1"/>
  <c r="CP78" i="1"/>
  <c r="CQ78" i="1" s="1"/>
  <c r="B187" i="6" s="1"/>
  <c r="CP54" i="1"/>
  <c r="CQ54" i="1" s="1"/>
  <c r="B151" i="6" s="1"/>
  <c r="CP64" i="1"/>
  <c r="CQ64" i="1" s="1"/>
  <c r="B168" i="6" s="1"/>
  <c r="CP83" i="1"/>
  <c r="CQ83" i="1" s="1"/>
  <c r="B192" i="6" s="1"/>
  <c r="CP24" i="1"/>
  <c r="CQ24" i="1" s="1"/>
  <c r="B113" i="6" s="1"/>
  <c r="CP86" i="1"/>
  <c r="CQ86" i="1" s="1"/>
  <c r="B195" i="6" s="1"/>
  <c r="CP21" i="1"/>
  <c r="CQ21" i="1" s="1"/>
  <c r="B109" i="6" s="1"/>
  <c r="CP38" i="1"/>
  <c r="CQ38" i="1" s="1"/>
  <c r="B132" i="6" s="1"/>
  <c r="CP45" i="1"/>
  <c r="CQ45" i="1" s="1"/>
  <c r="B141" i="6" s="1"/>
  <c r="CP75" i="1"/>
  <c r="CQ75" i="1" s="1"/>
  <c r="B184" i="6" s="1"/>
  <c r="CP22" i="1"/>
  <c r="CQ22" i="1" s="1"/>
  <c r="B110" i="6" s="1"/>
  <c r="CP62" i="1"/>
  <c r="CQ62" i="1" s="1"/>
  <c r="B165" i="6" s="1"/>
  <c r="CP23" i="1"/>
  <c r="CQ23" i="1" s="1"/>
  <c r="B111" i="6" s="1"/>
  <c r="CP15" i="1"/>
  <c r="CQ15" i="1" s="1"/>
  <c r="B101" i="6" s="1"/>
  <c r="CP72" i="1"/>
  <c r="CQ72" i="1" s="1"/>
  <c r="B180" i="6" s="1"/>
  <c r="CP16" i="1"/>
  <c r="CQ16" i="1" s="1"/>
  <c r="B103" i="6" s="1"/>
  <c r="CP58" i="1"/>
  <c r="CQ58" i="1" s="1"/>
  <c r="B158" i="6" s="1"/>
  <c r="CP77" i="1"/>
  <c r="CQ77" i="1" s="1"/>
  <c r="B186" i="6" s="1"/>
  <c r="CP13" i="1"/>
  <c r="CQ13" i="1" s="1"/>
  <c r="B99" i="6" s="1"/>
  <c r="CP37" i="1"/>
  <c r="CQ37" i="1" s="1"/>
  <c r="B130" i="6" s="1"/>
  <c r="CP18" i="1"/>
  <c r="CQ18" i="1" s="1"/>
  <c r="B106" i="6" s="1"/>
  <c r="CP35" i="1"/>
  <c r="CQ35" i="1" s="1"/>
  <c r="B127" i="6" s="1"/>
  <c r="CP76" i="1"/>
  <c r="CQ76" i="1" s="1"/>
  <c r="B185" i="6" s="1"/>
  <c r="CP48" i="1"/>
  <c r="CQ48" i="1" s="1"/>
  <c r="B145" i="6" s="1"/>
  <c r="CP52" i="1"/>
  <c r="CQ52" i="1" s="1"/>
  <c r="B149" i="6" s="1"/>
  <c r="CP69" i="1"/>
  <c r="CQ69" i="1" s="1"/>
  <c r="B176" i="6" s="1"/>
  <c r="CP36" i="1"/>
  <c r="CQ36" i="1" s="1"/>
  <c r="B128" i="6" s="1"/>
  <c r="CP88" i="1"/>
  <c r="CQ88" i="1" s="1"/>
  <c r="B197" i="6" s="1"/>
  <c r="CP28" i="1"/>
  <c r="CQ28" i="1" s="1"/>
  <c r="B119" i="6" s="1"/>
  <c r="CP14" i="1"/>
  <c r="CQ14" i="1" s="1"/>
  <c r="B100" i="6" s="1"/>
  <c r="CP19" i="1"/>
  <c r="CQ19" i="1" s="1"/>
  <c r="B107" i="6" s="1"/>
  <c r="CP11" i="1"/>
  <c r="CQ11" i="1" s="1"/>
  <c r="B97" i="6" s="1"/>
  <c r="CP56" i="1"/>
  <c r="CQ56" i="1" s="1"/>
  <c r="B154" i="6" s="1"/>
  <c r="CP29" i="1"/>
  <c r="CQ29" i="1" s="1"/>
  <c r="B120" i="6" s="1"/>
  <c r="CP46" i="1"/>
  <c r="CQ46" i="1" s="1"/>
  <c r="B142" i="6" s="1"/>
  <c r="CP67" i="1"/>
  <c r="CQ67" i="1" s="1"/>
  <c r="B173" i="6" s="1"/>
  <c r="CP49" i="1"/>
  <c r="CQ49" i="1" s="1"/>
  <c r="B146" i="6" s="1"/>
  <c r="CP17" i="1"/>
  <c r="CQ17" i="1" s="1"/>
  <c r="B105" i="6" s="1"/>
  <c r="CP47" i="1"/>
  <c r="CQ47" i="1" s="1"/>
  <c r="B143" i="6" s="1"/>
  <c r="CP27" i="1"/>
  <c r="CQ27" i="1" s="1"/>
  <c r="B118" i="6" s="1"/>
  <c r="CP32" i="1"/>
  <c r="CQ32" i="1" s="1"/>
  <c r="B124" i="6" s="1"/>
  <c r="CP55" i="1"/>
  <c r="CQ55" i="1" s="1"/>
  <c r="B153" i="6" s="1"/>
  <c r="CP84" i="1"/>
  <c r="CQ84" i="1" s="1"/>
  <c r="B193" i="6" s="1"/>
  <c r="CP65" i="1"/>
  <c r="CQ65" i="1" s="1"/>
  <c r="B170" i="6" s="1"/>
  <c r="CP71" i="1"/>
  <c r="CQ71" i="1" s="1"/>
  <c r="B178" i="6" s="1"/>
  <c r="CP26" i="1"/>
  <c r="CQ26" i="1" s="1"/>
  <c r="B117" i="6" s="1"/>
  <c r="CP33" i="1"/>
  <c r="CQ33" i="1" s="1"/>
  <c r="B125" i="6" s="1"/>
  <c r="CP31" i="1"/>
  <c r="CQ31" i="1" s="1"/>
  <c r="B123" i="6" s="1"/>
  <c r="CP70" i="1"/>
  <c r="CQ70" i="1" s="1"/>
  <c r="B177" i="6" s="1"/>
  <c r="CP43" i="1"/>
  <c r="CQ43" i="1" s="1"/>
  <c r="B139" i="6" s="1"/>
  <c r="CP53" i="1"/>
  <c r="CQ53" i="1" s="1"/>
  <c r="B150" i="6" s="1"/>
  <c r="CP85" i="1"/>
  <c r="CQ85" i="1" s="1"/>
  <c r="B194" i="6" s="1"/>
  <c r="CP39" i="1"/>
  <c r="CQ39" i="1" s="1"/>
  <c r="B133" i="6" s="1"/>
  <c r="CP34" i="1"/>
  <c r="CQ34" i="1" s="1"/>
  <c r="B126" i="6" s="1"/>
  <c r="CP63" i="1"/>
  <c r="CQ63" i="1" s="1"/>
  <c r="B167" i="6" s="1"/>
  <c r="CP50" i="1"/>
  <c r="CQ50" i="1" s="1"/>
  <c r="B147" i="6" s="1"/>
  <c r="CP30" i="1"/>
  <c r="CQ30" i="1" s="1"/>
  <c r="B121" i="6" s="1"/>
  <c r="CP66" i="1"/>
  <c r="CQ66" i="1" s="1"/>
  <c r="B172" i="6" s="1"/>
  <c r="CP10" i="1"/>
  <c r="CQ10" i="1" s="1"/>
  <c r="B95" i="6" s="1"/>
  <c r="CP61" i="1"/>
  <c r="CQ61" i="1" s="1"/>
  <c r="B163" i="6" s="1"/>
  <c r="B108" i="6"/>
  <c r="K15" i="1"/>
  <c r="T12" i="5"/>
  <c r="N5" i="6" s="1"/>
  <c r="H5" i="6"/>
  <c r="H3" i="6"/>
  <c r="B182" i="6" l="1" a="1"/>
  <c r="B116" i="6" a="1"/>
  <c r="B136" i="6" a="1"/>
  <c r="B157" i="6" a="1"/>
  <c r="B94" i="6" a="1"/>
  <c r="V3" i="6"/>
  <c r="T9" i="5"/>
  <c r="T8" i="5"/>
  <c r="V14" i="6"/>
  <c r="T10" i="5" l="1"/>
  <c r="T3" i="6"/>
  <c r="K5" i="6" l="1"/>
  <c r="U3" i="6" s="1"/>
  <c r="K18" i="1"/>
  <c r="F27" i="6"/>
  <c r="U27" i="6" s="1"/>
  <c r="F21" i="6"/>
  <c r="F24" i="6"/>
  <c r="R19" i="6" l="1"/>
  <c r="U21" i="6"/>
  <c r="R17" i="6"/>
  <c r="W21" i="6"/>
  <c r="F18" i="6"/>
  <c r="X3" i="6" s="1"/>
  <c r="W24" i="6"/>
  <c r="R18" i="6"/>
  <c r="F16" i="6"/>
  <c r="W27" i="6"/>
  <c r="Z3" i="6"/>
  <c r="U24" i="6"/>
  <c r="Y3" i="6"/>
  <c r="AA3" i="6"/>
  <c r="F14" i="6"/>
  <c r="R14" i="6" s="1"/>
  <c r="W3" i="6" l="1"/>
  <c r="U16" i="6"/>
  <c r="R16" i="6"/>
  <c r="W18" i="6"/>
  <c r="U18" i="6"/>
  <c r="W16" i="6"/>
  <c r="R15" i="6"/>
  <c r="W14" i="6"/>
  <c r="U14" i="6"/>
  <c r="AB3" i="6"/>
  <c r="T21" i="6" l="1"/>
  <c r="B32" i="6"/>
  <c r="T16" i="6"/>
  <c r="T27" i="6"/>
  <c r="T18" i="6"/>
  <c r="T24" i="6"/>
  <c r="U31" i="6" l="1"/>
  <c r="W31" i="6" s="1"/>
  <c r="U32" i="6"/>
  <c r="W32" i="6" s="1"/>
  <c r="V32" i="6"/>
  <c r="U29" i="6"/>
  <c r="U33" i="6"/>
  <c r="W33" i="6" s="1"/>
  <c r="V30" i="6"/>
  <c r="V29" i="6"/>
  <c r="V31" i="6"/>
  <c r="V33" i="6"/>
  <c r="U30" i="6"/>
  <c r="W30" i="6" s="1"/>
  <c r="W29" i="6" l="1"/>
  <c r="B47" i="6" s="1"/>
  <c r="X29" i="6"/>
  <c r="B57" i="6"/>
  <c r="B73" i="6"/>
  <c r="B81" i="6"/>
  <c r="B65"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<sst xmlns="http://schemas.openxmlformats.org/spreadsheetml/2006/main" count="343" uniqueCount="143">
  <si>
    <t>El oro y la plata son similares porque ambos son metales</t>
  </si>
  <si>
    <t>BARCELONA es la Capital de España</t>
  </si>
  <si>
    <t>Si su sombra apunta hasta el sureste, el sol está situado en el noreste del cielo</t>
  </si>
  <si>
    <t>La capital de ITALIA es HUNGRÍA</t>
  </si>
  <si>
    <t>Una semana tiene seis días</t>
  </si>
  <si>
    <t>Nombre y apellido</t>
  </si>
  <si>
    <t>Sexo</t>
  </si>
  <si>
    <t>Centro</t>
  </si>
  <si>
    <t>Edad</t>
  </si>
  <si>
    <t>Fecha de evaluación</t>
  </si>
  <si>
    <t>Ejemplo</t>
  </si>
  <si>
    <t>He experimentado cambios bruscos en mi memoria</t>
  </si>
  <si>
    <t>Fernando Perez  Zambrana</t>
  </si>
  <si>
    <t>20 años</t>
  </si>
  <si>
    <t>F</t>
  </si>
  <si>
    <t>V</t>
  </si>
  <si>
    <t>Nombre:</t>
  </si>
  <si>
    <t>Edad:</t>
  </si>
  <si>
    <t>Baremo:</t>
  </si>
  <si>
    <t>Responsable de la aplicación:</t>
  </si>
  <si>
    <t>Sexo:</t>
  </si>
  <si>
    <t>Fecha de aplicación:</t>
  </si>
  <si>
    <t>Psicosis</t>
  </si>
  <si>
    <t>Deterioro neurolólogico</t>
  </si>
  <si>
    <t>Trastonos amnésicos</t>
  </si>
  <si>
    <t>Trastornos afectivos</t>
  </si>
  <si>
    <t>Ps</t>
  </si>
  <si>
    <t>Dn</t>
  </si>
  <si>
    <t>Am</t>
  </si>
  <si>
    <t>Af</t>
  </si>
  <si>
    <t>Total</t>
  </si>
  <si>
    <t>Baja inteligencia</t>
  </si>
  <si>
    <t>Bi</t>
  </si>
  <si>
    <t>Adaptacíon española</t>
  </si>
  <si>
    <t>psicoticos</t>
  </si>
  <si>
    <t>de baja inteligencia</t>
  </si>
  <si>
    <t>de trastornos afectivos</t>
  </si>
  <si>
    <t>de trastornos amnésicos</t>
  </si>
  <si>
    <t>Nombre</t>
  </si>
  <si>
    <t>Mujer</t>
  </si>
  <si>
    <t>Varón</t>
  </si>
  <si>
    <t>BASE DE DATOS RESPUESTAS INDIVIDUALES</t>
  </si>
  <si>
    <t>BASE DE DATOS DE PERFIL</t>
  </si>
  <si>
    <t>Edgar Espinoza Jimenez</t>
  </si>
  <si>
    <t>RESPUESTAS LLAMATIVAS/OMITIDAS</t>
  </si>
  <si>
    <r>
      <t xml:space="preserve">Por favor, </t>
    </r>
    <r>
      <rPr>
        <b/>
        <sz val="12"/>
        <color rgb="FF215A47"/>
        <rFont val="Daytona"/>
        <family val="2"/>
      </rPr>
      <t>asegúrese de responder a todas las preguntas, sin dejar ninguna en blanco.</t>
    </r>
    <r>
      <rPr>
        <sz val="12"/>
        <color rgb="FF000000"/>
        <rFont val="Daytona"/>
        <family val="2"/>
      </rPr>
      <t xml:space="preserve"> Trate de responder lo mejor que pueda a todas las frases, incluso si alguna le resulta difícil de responder o no se aplica a usted en absoluto.</t>
    </r>
  </si>
  <si>
    <r>
      <t xml:space="preserve">Por ejemplo, si usted no tiene problemas con su memoria, o si los cambios en su memoria han sido graduales, podría responder a la siguiente afirmación marcando la </t>
    </r>
    <r>
      <rPr>
        <b/>
        <sz val="12"/>
        <color rgb="FF215A47"/>
        <rFont val="Daytona"/>
        <family val="2"/>
      </rPr>
      <t>F</t>
    </r>
    <r>
      <rPr>
        <sz val="12"/>
        <color rgb="FF000000"/>
        <rFont val="Daytona"/>
        <family val="2"/>
      </rPr>
      <t xml:space="preserve"> de "</t>
    </r>
    <r>
      <rPr>
        <b/>
        <sz val="12"/>
        <color rgb="FF215A47"/>
        <rFont val="Daytona"/>
        <family val="2"/>
      </rPr>
      <t>FALSO</t>
    </r>
    <r>
      <rPr>
        <sz val="12"/>
        <color rgb="FF000000"/>
        <rFont val="Daytona"/>
        <family val="2"/>
      </rPr>
      <t>":</t>
    </r>
  </si>
  <si>
    <t>X</t>
  </si>
  <si>
    <t>Karen Navia</t>
  </si>
  <si>
    <t>A veces pierdo la sensibilidad en mi mano de tal forma que siento como si llevara un guante puesto en ella</t>
  </si>
  <si>
    <t>PB</t>
  </si>
  <si>
    <t>P/ Corte</t>
  </si>
  <si>
    <t>Cuando mi depresión se agrava, salgo a dar largos paseos y realizo algo de ejercicio para reducir la tensión</t>
  </si>
  <si>
    <t>PSICOSIS(Ps)</t>
  </si>
  <si>
    <t>Creo que el número de teléfono de una persona no se asigna aleatoriamente, sino que es la forma que tiene Dios de decidir que persona se salvara</t>
  </si>
  <si>
    <t>DETERIORO Neurologico (Dn)</t>
  </si>
  <si>
    <t>Amnesia (Am</t>
  </si>
  <si>
    <t>La comida no me sabe igual que antes</t>
  </si>
  <si>
    <t>Bajo CI (Ci)</t>
  </si>
  <si>
    <t>Rara vez me rio</t>
  </si>
  <si>
    <t>Trastornos Afectivos (Af)</t>
  </si>
  <si>
    <t>Total SIMS</t>
  </si>
  <si>
    <t>Me he dado cuenta de que mi sombra baila como loca incluso cuando me quedo quieto</t>
  </si>
  <si>
    <t>Puedo recordar que es lo que hice hace una hora</t>
  </si>
  <si>
    <t>Me he dado cuenta de que mi cuerpo cambia de forma incluso si mi peso no varía</t>
  </si>
  <si>
    <t>Tengo dificultades para recordar la dirección en la que vivo</t>
  </si>
  <si>
    <t>No hay nada que pueda hacer, aparte de tomar medicación, que tenga algún efecto sobre las voces que oigo</t>
  </si>
  <si>
    <t>El mayor problema que tengo es mi memoria</t>
  </si>
  <si>
    <t>Incluso estando deprimido la mayor parte del tiempo, me siento mejor por la mañana tras una buena noche de sueño</t>
  </si>
  <si>
    <t>Mi estado de ánimo es peor por la noche</t>
  </si>
  <si>
    <t>Más de tres veces al día me levanto para agarrar algo, pero olvido que es lo que era</t>
  </si>
  <si>
    <t>A veces estoy tan deprimido que me voy a dormir hasta que se me pase esa sensación</t>
  </si>
  <si>
    <t>Mi mayor problema es que mi cerebro está enfermo</t>
  </si>
  <si>
    <t>Últimamente, me he dado cuenta de que mi memoria ha empeorado tanto que ha habido días enteros que no consigo recordar.</t>
  </si>
  <si>
    <t>Lloro en muy raras ocasiones</t>
  </si>
  <si>
    <t>Cuanto más deprimido me siento, más ganas de comer me entran</t>
  </si>
  <si>
    <t>En ocasiones he sido incapaz de recordar los nombres o las caras de familiares cercanos, de forma que me resultan unos completos extraños.</t>
  </si>
  <si>
    <t>Caminar me resulta uy difícil debido a mis problemas de equilibrio</t>
  </si>
  <si>
    <t>Tengo dificultades para recordar el día de la semana</t>
  </si>
  <si>
    <t>Creo que el gobierno ha instalado cámaras de video en las señales de tráfico para espiarme</t>
  </si>
  <si>
    <t>A veces cuando escribo un número de teléfono, me doy cuenta de que los números salen al revés aunque yo no lo intente</t>
  </si>
  <si>
    <t>Tengo dificultades para recordar que fecha es hoy</t>
  </si>
  <si>
    <t>La gente introduce pensamientos en mi cabeza en contra de mi voluntad</t>
  </si>
  <si>
    <t>Tengo dificultades para dormir</t>
  </si>
  <si>
    <t>Mi vida pasada y acontecimientos importantes se vuelven borrosos durante la noche</t>
  </si>
  <si>
    <t>Creo que si uno se concentra muco puede llegar a ver los pensamientos de los otros</t>
  </si>
  <si>
    <t>En ocasiones mis músculos se mueven con dificultad, sin razón aparente, hasta el punto de que siento mis brazos y piernas como si pesaran una tonelada</t>
  </si>
  <si>
    <t>Tengo dificultades para recordar mi número de teléfono</t>
  </si>
  <si>
    <t>Mi estado de ánimo empeora a medida que pasa el día</t>
  </si>
  <si>
    <t>La voz o voces que oigo, y que otros no oyen, nunca han cesado desde que empezaron</t>
  </si>
  <si>
    <t>Siento tanto dolor en mi cuerpo que parece como si tuviera bichos andando bajo mi piel</t>
  </si>
  <si>
    <t>No puedo recordar si estoy casado o no</t>
  </si>
  <si>
    <t>No puedo contar hacia atrás de 20 de a 1 sin cometer errores</t>
  </si>
  <si>
    <t>Las flores tienen poderes mágicos, como hablarles a las personas</t>
  </si>
  <si>
    <t>No tengo problemas para conciliar el sueño, pero me despierto a menudo durante la noche</t>
  </si>
  <si>
    <t>Siento un zumbido constante en mis oídos</t>
  </si>
  <si>
    <t>Me hicieron un comentario sobre una reunión en la que me mostré enfadado con alguien, pero no lo recuerdo en absoluto</t>
  </si>
  <si>
    <t>Las velas que se encienden están hechas de cera</t>
  </si>
  <si>
    <t>Me siento deprimido todo el tiempo</t>
  </si>
  <si>
    <t>La voz o voces que oigo, y que otros no oyen, provienen de fuera de mi cabeza</t>
  </si>
  <si>
    <t>A veces olvido como llegar a casa mientras conduzco</t>
  </si>
  <si>
    <t>Tengo dificultades para reconocer palabras escritas o habladas</t>
  </si>
  <si>
    <t>Tengo tanto miedo a que alguien me haga daño que sé exactamente como y cuando lo hará</t>
  </si>
  <si>
    <t>Me parece que no tengo tanta energía como solía tener</t>
  </si>
  <si>
    <t>Cuando no puedo recordar algo, las instrucciones o consejos no me sirven de ayuda</t>
  </si>
  <si>
    <t>No he experimentado cambios en mi sentido del olfato</t>
  </si>
  <si>
    <t>Cuando estoy deprimido, me animo con mis amigos, intereses y aficiones</t>
  </si>
  <si>
    <t>Un juez y un abogado son similares, puesto que ambos son parte del sistema legal</t>
  </si>
  <si>
    <t>Un día de repente empecé a oír una o más voces que nadie más oía</t>
  </si>
  <si>
    <t>Una puerta y una reja son similares porque ambas se abren</t>
  </si>
  <si>
    <t>Siento partes de mis extremidades entumecidas, aunque puedo moverlas sin dificultad</t>
  </si>
  <si>
    <t>Parece que no puedo expresar mis sentimientos</t>
  </si>
  <si>
    <t>Tengo dificultades para recordar el día de mi cumpleaños</t>
  </si>
  <si>
    <t>En mis visiones suelo ver partes de mi cuerpo cubiertas de sangre</t>
  </si>
  <si>
    <t>Cristóbal Colon descubrió América</t>
  </si>
  <si>
    <t>A veces mis pantorrillas están entumecidas que soy incapaz de moverlas</t>
  </si>
  <si>
    <t>Cuando oigo voces que parecen provenir de ningún sitio en especial, quiero echar a correr, pero me doy cuenta de que no puedo hacerlo sin gran dificultad</t>
  </si>
  <si>
    <t>Trabajo muy lentamente y mi rendimiento es muy reducido porque mi capacidad esta muy limitada</t>
  </si>
  <si>
    <t>Si Ud. tiene 1,50 pesos y gasta cincuenta centavos le quedan setenta y cinco centavos</t>
  </si>
  <si>
    <t>En la serie 1 - 12 - 123, la siguiente respuesta es 456</t>
  </si>
  <si>
    <t>Cuando oigo voces siento como si salieran de mi cuerpo a través de mis dientes</t>
  </si>
  <si>
    <t>El mayor problema que tengo es que las cosas son difíciles de entender para mí</t>
  </si>
  <si>
    <t>Una vez a la semana, súbitamente, siento frío aunque la temperatura ambiental sea cálida</t>
  </si>
  <si>
    <t>Aunque las cosas estén realmente mal, trato de mantenerme esperanzado hasta que mejoren</t>
  </si>
  <si>
    <t>Un hombre tiene 56 manzanas y un vecino le regala 37 más. Ahora tiene 83 manzanas</t>
  </si>
  <si>
    <t>Tengo dolores de cabeza y mareos justo cuando olvido algo</t>
  </si>
  <si>
    <t>En la serie 11  - 22 - 33 - la siguiente respuesta sería 44</t>
  </si>
  <si>
    <r>
      <t xml:space="preserve">A continuación encontrará una serie de frases o afirmaciones. Si usted está de acuerdo o piensa que es verdad o generalmente cierto en su caso, rodee con un círculo la casilla </t>
    </r>
    <r>
      <rPr>
        <sz val="12"/>
        <color rgb="FF215A47"/>
        <rFont val="Daytona"/>
        <family val="2"/>
      </rPr>
      <t>"</t>
    </r>
    <r>
      <rPr>
        <b/>
        <sz val="12"/>
        <color rgb="FF215A47"/>
        <rFont val="Daytona"/>
        <family val="2"/>
      </rPr>
      <t>V</t>
    </r>
    <r>
      <rPr>
        <sz val="12"/>
        <color rgb="FF215A47"/>
        <rFont val="Daytona"/>
        <family val="2"/>
      </rPr>
      <t xml:space="preserve">" </t>
    </r>
    <r>
      <rPr>
        <sz val="12"/>
        <color rgb="FF000000"/>
        <rFont val="Daytona"/>
        <family val="2"/>
      </rPr>
      <t xml:space="preserve">de </t>
    </r>
    <r>
      <rPr>
        <b/>
        <sz val="12"/>
        <color rgb="FF215A47"/>
        <rFont val="Daytona"/>
        <family val="2"/>
      </rPr>
      <t>VERDADERO</t>
    </r>
    <r>
      <rPr>
        <sz val="12"/>
        <color rgb="FF000000"/>
        <rFont val="Daytona"/>
        <family val="2"/>
      </rPr>
      <t>. Si usted no está de acuerdo con la frase o piensa que es falsa o generalmente falsa en su caso, rodee la "</t>
    </r>
    <r>
      <rPr>
        <b/>
        <sz val="12"/>
        <color rgb="FF215A47"/>
        <rFont val="Daytona"/>
        <family val="2"/>
      </rPr>
      <t>F</t>
    </r>
    <r>
      <rPr>
        <sz val="12"/>
        <color rgb="FF000000"/>
        <rFont val="Daytona"/>
        <family val="2"/>
      </rPr>
      <t xml:space="preserve">" de </t>
    </r>
    <r>
      <rPr>
        <b/>
        <sz val="12"/>
        <color rgb="FF215A47"/>
        <rFont val="Daytona"/>
        <family val="2"/>
      </rPr>
      <t>FALSO</t>
    </r>
    <r>
      <rPr>
        <sz val="12"/>
        <color rgb="FF000000"/>
        <rFont val="Daytona"/>
        <family val="2"/>
      </rPr>
      <t>.</t>
    </r>
  </si>
  <si>
    <t>Items</t>
  </si>
  <si>
    <t>Síntomas atípicos</t>
  </si>
  <si>
    <t>DETERIORO NEUROLOGICO</t>
  </si>
  <si>
    <t>AMNESIA</t>
  </si>
  <si>
    <t>TRASTORNOS AFECTIVOS</t>
  </si>
  <si>
    <t>PSICOSIS</t>
  </si>
  <si>
    <t>BAJA INTELIGENCIA</t>
  </si>
  <si>
    <t>Respuestas</t>
  </si>
  <si>
    <t>(Verdadero)</t>
  </si>
  <si>
    <t>(Falso)</t>
  </si>
  <si>
    <t>Respuestas llamativas/omitidas</t>
  </si>
  <si>
    <t>de deterioro neurológico</t>
  </si>
  <si>
    <t>Jhoselin Condori Ortiz</t>
  </si>
  <si>
    <t>IDIF</t>
  </si>
  <si>
    <t>Teodora Colque Zuñiga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</si>
</sst>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quot;años&quot;"/>
    <numFmt numFmtId="165" formatCode="[$-400A]d&quot; de &quot;mmmm&quot; de &quot;yyyy;@"/>
  </numFmts>
  <fonts count="36" x14ac:knownFonts="1">
    <font>
      <sz val="11"/>
      <color rgb="FF000000"/>
      <name val="Calibri"/>
      <family val="2"/>
      <charset val="1"/>
    </font>
    <font>
      <sz val="11"/>
      <name val="Verdana Pro"/>
      <family val="2"/>
    </font>
    <font>
      <sz val="14"/>
      <name val="Aptos Narrow"/>
      <family val="2"/>
    </font>
    <font>
      <b/>
      <sz val="12"/>
      <name val="Arial Nova"/>
      <family val="2"/>
    </font>
    <font>
      <sz val="12"/>
      <name val="Arial Nova"/>
      <family val="2"/>
    </font>
    <font>
      <b/>
      <sz val="14"/>
      <name val="Aptos Narrow"/>
      <family val="2"/>
    </font>
    <font>
      <sz val="11"/>
      <color rgb="FF000000"/>
      <name val="Calibri"/>
      <family val="2"/>
    </font>
    <font>
      <b/>
      <sz val="18"/>
      <color theme="1"/>
      <name val="Calibri"/>
      <family val="2"/>
    </font>
    <font>
      <b/>
      <sz val="20"/>
      <color theme="1"/>
      <name val="Calibri"/>
      <family val="2"/>
    </font>
    <font>
      <sz val="11"/>
      <color rgb="FF000000"/>
      <name val="Daytona"/>
      <family val="2"/>
    </font>
    <font>
      <sz val="11"/>
      <name val="Daytona"/>
      <family val="2"/>
    </font>
    <font>
      <b/>
      <sz val="12"/>
      <name val="Daytona"/>
      <family val="2"/>
    </font>
    <font>
      <sz val="11"/>
      <color theme="0"/>
      <name val="Daytona"/>
      <family val="2"/>
    </font>
    <font>
      <b/>
      <sz val="11"/>
      <color rgb="FFFF0000"/>
      <name val="Daytona"/>
      <family val="2"/>
    </font>
    <font>
      <b/>
      <sz val="11"/>
      <color rgb="FF1F81C2"/>
      <name val="Daytona"/>
      <family val="2"/>
    </font>
    <font>
      <sz val="12"/>
      <name val="Daytona"/>
      <family val="2"/>
    </font>
    <font>
      <b/>
      <sz val="14"/>
      <color rgb="FF000000"/>
      <name val="Daytona"/>
      <family val="2"/>
    </font>
    <font>
      <b/>
      <sz val="18"/>
      <name val="Daytona"/>
      <family val="2"/>
    </font>
    <font>
      <b/>
      <sz val="12"/>
      <color theme="0"/>
      <name val="Daytona"/>
      <family val="2"/>
    </font>
    <font>
      <b/>
      <sz val="18"/>
      <color rgb="FF215A47"/>
      <name val="Daytona"/>
      <family val="2"/>
    </font>
    <font>
      <b/>
      <sz val="12"/>
      <color rgb="FF000000"/>
      <name val="Daytona"/>
      <family val="2"/>
    </font>
    <font>
      <b/>
      <sz val="16"/>
      <color rgb="FF000000"/>
      <name val="Daytona"/>
      <family val="2"/>
    </font>
    <font>
      <sz val="10"/>
      <name val="Daytona"/>
      <family val="2"/>
    </font>
    <font>
      <sz val="12"/>
      <color rgb="FF000000"/>
      <name val="Daytona"/>
      <family val="2"/>
    </font>
    <font>
      <sz val="12"/>
      <color rgb="FF215A47"/>
      <name val="Daytona"/>
      <family val="2"/>
    </font>
    <font>
      <b/>
      <sz val="12"/>
      <color rgb="FF215A47"/>
      <name val="Daytona"/>
      <family val="2"/>
    </font>
    <font>
      <sz val="12"/>
      <color rgb="FF000000"/>
      <name val="Wandohope"/>
      <family val="1"/>
      <charset val="128"/>
    </font>
    <font>
      <b/>
      <sz val="10"/>
      <name val="Daytona"/>
      <family val="2"/>
    </font>
    <font>
      <sz val="11"/>
      <color theme="1"/>
      <name val="Calibri"/>
      <family val="2"/>
      <charset val="1"/>
    </font>
    <font>
      <b/>
      <sz val="11"/>
      <color theme="0"/>
      <name val="Arial Nova"/>
      <family val="2"/>
    </font>
    <font>
      <sz val="11"/>
      <name val="Arial Nova"/>
      <family val="2"/>
    </font>
    <font>
      <sz val="12"/>
      <color theme="1"/>
      <name val="Arial Nova"/>
      <family val="2"/>
    </font>
    <font>
      <sz val="11"/>
      <color rgb="FF000000"/>
      <name val="Verdana Pro"/>
      <family val="2"/>
    </font>
    <font>
      <sz val="11"/>
      <color rgb="FF242424"/>
      <name val="Segoe UI"/>
      <family val="2"/>
    </font>
    <font>
      <b/>
      <sz val="11"/>
      <color rgb="FFD44848"/>
      <name val="Daytona"/>
      <family val="2"/>
    </font>
    <font>
      <sz val="14"/>
      <color rgb="FFFF0000"/>
      <name val="Aptos Narrow"/>
      <family val="2"/>
    </font>
  </fonts>
  <fills count="15">
    <fill>
      <patternFill patternType="none"/>
    </fill>
    <fill>
      <patternFill patternType="gray125"/>
    </fill>
    <fill>
      <patternFill patternType="solid">
        <fgColor theme="0"/>
        <bgColor indexed="64"/>
      </patternFill>
    </fill>
    <fill>
      <patternFill patternType="solid">
        <fgColor theme="0"/>
        <bgColor rgb="FFD9D9D9"/>
      </patternFill>
    </fill>
    <fill>
      <patternFill patternType="solid">
        <fgColor rgb="FFD25460"/>
        <bgColor indexed="64"/>
      </patternFill>
    </fill>
    <fill>
      <patternFill patternType="solid">
        <fgColor theme="0" tint="-0.14999847407452621"/>
        <bgColor indexed="64"/>
      </patternFill>
    </fill>
    <fill>
      <patternFill patternType="solid">
        <fgColor rgb="FF215A47"/>
        <bgColor indexed="64"/>
      </patternFill>
    </fill>
    <fill>
      <patternFill patternType="solid">
        <fgColor rgb="FFB7D5C9"/>
        <bgColor indexed="64"/>
      </patternFill>
    </fill>
    <fill>
      <patternFill patternType="solid">
        <fgColor rgb="FFD5E7E0"/>
        <bgColor indexed="64"/>
      </patternFill>
    </fill>
    <fill>
      <patternFill patternType="solid">
        <fgColor rgb="FFD6EBF6"/>
        <bgColor indexed="64"/>
      </patternFill>
    </fill>
    <fill>
      <patternFill patternType="solid">
        <fgColor rgb="FFFFFF00"/>
        <bgColor indexed="64"/>
      </patternFill>
    </fill>
    <fill>
      <patternFill patternType="solid">
        <fgColor rgb="FFFFFFFF"/>
        <bgColor indexed="64"/>
      </patternFill>
    </fill>
    <fill>
      <patternFill patternType="solid">
        <fgColor rgb="FFD44848"/>
        <bgColor indexed="64"/>
      </patternFill>
    </fill>
    <fill>
      <patternFill patternType="solid">
        <fgColor theme="3"/>
        <bgColor indexed="64"/>
      </patternFill>
    </fill>
    <fill>
      <patternFill patternType="solid">
        <fgColor rgb="FF7030A0"/>
        <bgColor indexed="64"/>
      </patternFill>
    </fill>
  </fills>
  <borders count="3">
    <border>
      <left/>
      <right/>
      <top/>
      <bottom/>
      <diagonal/>
    </border>
    <border>
      <left/>
      <right style="medium">
        <color theme="0"/>
      </right>
      <top/>
      <bottom/>
      <diagonal/>
    </border>
    <border>
      <left style="thin">
        <color rgb="FF215A47"/>
      </left>
      <right style="thin">
        <color rgb="FF215A47"/>
      </right>
      <top style="thin">
        <color rgb="FF215A47"/>
      </top>
      <bottom style="thin">
        <color rgb="FF215A47"/>
      </bottom>
      <diagonal/>
    </border>
  </borders>
  <cellStyleXfs count="1">
    <xf numFmtId="0" fontId="0" fillId="0" borderId="0"/>
  </cellStyleXfs>
  <cellXfs count="112">
    <xf numFmtId="0" fontId="0" fillId="0" borderId="0" xfId="0"/>
    <xf numFmtId="0" fontId="1" fillId="2" borderId="0" xfId="0" applyFont="1" applyFill="1" applyProtection="1">
      <protection locked="0"/>
    </xf>
    <xf numFmtId="0" fontId="1" fillId="2" borderId="0" xfId="0" applyFont="1" applyFill="1" applyAlignment="1" applyProtection="1">
      <alignment horizontal="center" vertical="center"/>
      <protection locked="0"/>
    </xf>
    <xf numFmtId="0" fontId="2" fillId="2" borderId="0" xfId="0" applyFont="1" applyFill="1" applyProtection="1">
      <protection locked="0"/>
    </xf>
    <xf numFmtId="0" fontId="3" fillId="4" borderId="0" xfId="0" applyFont="1" applyFill="1" applyAlignment="1">
      <alignment horizontal="center"/>
    </xf>
    <xf numFmtId="0" fontId="3" fillId="2" borderId="0" xfId="0" applyFont="1" applyFill="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4" fillId="2" borderId="0" xfId="0" applyFont="1" applyFill="1" applyAlignment="1">
      <alignment horizontal="center"/>
    </xf>
    <xf numFmtId="0" fontId="3" fillId="4" borderId="0" xfId="0" applyFont="1" applyFill="1" applyAlignment="1" applyProtection="1">
      <alignment horizontal="center"/>
      <protection locked="0"/>
    </xf>
    <xf numFmtId="0" fontId="5"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hidden="1"/>
    </xf>
    <xf numFmtId="0" fontId="4" fillId="2" borderId="0" xfId="0" applyFont="1" applyFill="1" applyAlignment="1" applyProtection="1">
      <alignment horizontal="center"/>
      <protection locked="0"/>
    </xf>
    <xf numFmtId="0" fontId="9" fillId="0" borderId="0" xfId="0" applyFont="1" applyProtection="1">
      <protection locked="0"/>
    </xf>
    <xf numFmtId="0" fontId="9" fillId="0" borderId="1" xfId="0" applyFont="1" applyBorder="1" applyProtection="1">
      <protection hidden="1"/>
    </xf>
    <xf numFmtId="0" fontId="9" fillId="0" borderId="0" xfId="0" applyFont="1" applyProtection="1">
      <protection hidden="1"/>
    </xf>
    <xf numFmtId="0" fontId="10" fillId="0" borderId="0" xfId="0" applyFont="1" applyProtection="1">
      <protection locked="0"/>
    </xf>
    <xf numFmtId="0" fontId="9" fillId="5" borderId="1" xfId="0" applyFont="1" applyFill="1" applyBorder="1" applyProtection="1">
      <protection hidden="1"/>
    </xf>
    <xf numFmtId="0" fontId="9" fillId="5" borderId="0" xfId="0" applyFont="1" applyFill="1" applyProtection="1">
      <protection hidden="1"/>
    </xf>
    <xf numFmtId="0" fontId="11" fillId="4" borderId="0" xfId="0" applyFont="1" applyFill="1" applyAlignment="1" applyProtection="1">
      <alignment horizontal="center"/>
      <protection locked="0"/>
    </xf>
    <xf numFmtId="0" fontId="12" fillId="0" borderId="0" xfId="0" applyFont="1" applyProtection="1">
      <protection locked="0"/>
    </xf>
    <xf numFmtId="0" fontId="10" fillId="2" borderId="0" xfId="0" applyFont="1" applyFill="1" applyAlignment="1" applyProtection="1">
      <alignment horizontal="left" vertical="center"/>
      <protection locked="0"/>
    </xf>
    <xf numFmtId="164" fontId="9" fillId="0" borderId="0" xfId="0" applyNumberFormat="1" applyFont="1" applyProtection="1">
      <protection locked="0"/>
    </xf>
    <xf numFmtId="0" fontId="13" fillId="5" borderId="0" xfId="0" applyFont="1" applyFill="1" applyAlignment="1" applyProtection="1">
      <alignment horizontal="left" vertical="center"/>
      <protection hidden="1"/>
    </xf>
    <xf numFmtId="0" fontId="13" fillId="5" borderId="0" xfId="0" applyFont="1" applyFill="1" applyProtection="1">
      <protection hidden="1"/>
    </xf>
    <xf numFmtId="0" fontId="9" fillId="5" borderId="0" xfId="0" applyFont="1" applyFill="1" applyAlignment="1" applyProtection="1">
      <alignment horizontal="left" vertical="center"/>
      <protection hidden="1"/>
    </xf>
    <xf numFmtId="0" fontId="9" fillId="0" borderId="1" xfId="0" applyFont="1" applyBorder="1" applyProtection="1">
      <protection locked="0"/>
    </xf>
    <xf numFmtId="0" fontId="14" fillId="0" borderId="0" xfId="0" applyFont="1" applyAlignment="1" applyProtection="1">
      <alignment horizontal="center" vertical="center"/>
      <protection hidden="1"/>
    </xf>
    <xf numFmtId="0" fontId="9" fillId="0" borderId="0" xfId="0" applyFont="1" applyAlignment="1" applyProtection="1">
      <alignment horizontal="center" vertical="center"/>
      <protection locked="0"/>
    </xf>
    <xf numFmtId="0" fontId="9" fillId="0" borderId="0" xfId="0" applyFont="1" applyAlignment="1" applyProtection="1">
      <alignment horizontal="center" vertical="center"/>
      <protection hidden="1"/>
    </xf>
    <xf numFmtId="0" fontId="9" fillId="0" borderId="0" xfId="0" applyFont="1" applyAlignment="1" applyProtection="1">
      <alignment vertical="center"/>
      <protection hidden="1"/>
    </xf>
    <xf numFmtId="0" fontId="9" fillId="0" borderId="0" xfId="0" applyFont="1" applyAlignment="1" applyProtection="1">
      <alignment wrapText="1"/>
      <protection hidden="1"/>
    </xf>
    <xf numFmtId="0" fontId="9" fillId="9" borderId="0" xfId="0" applyFont="1" applyFill="1" applyAlignment="1" applyProtection="1">
      <alignment horizontal="center" vertical="center"/>
      <protection hidden="1"/>
    </xf>
    <xf numFmtId="0" fontId="9" fillId="0" borderId="0" xfId="0" applyFont="1" applyAlignment="1" applyProtection="1">
      <alignment vertical="center" wrapText="1"/>
      <protection hidden="1"/>
    </xf>
    <xf numFmtId="0" fontId="9" fillId="2" borderId="0" xfId="0" applyFont="1" applyFill="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10" fillId="2" borderId="0" xfId="0" applyFont="1" applyFill="1" applyAlignment="1" applyProtection="1">
      <alignment horizontal="center" vertical="center"/>
      <protection hidden="1"/>
    </xf>
    <xf numFmtId="0" fontId="10" fillId="2" borderId="0" xfId="0" applyFont="1" applyFill="1" applyAlignment="1" applyProtection="1">
      <alignment horizontal="center" vertical="center"/>
      <protection locked="0"/>
    </xf>
    <xf numFmtId="0" fontId="19" fillId="2" borderId="0" xfId="0" applyFont="1" applyFill="1" applyAlignment="1" applyProtection="1">
      <alignment horizontal="center" vertical="center"/>
      <protection hidden="1"/>
    </xf>
    <xf numFmtId="0" fontId="10" fillId="2" borderId="0" xfId="0" applyFont="1" applyFill="1" applyAlignment="1" applyProtection="1">
      <alignment horizontal="left" vertical="center" wrapText="1"/>
      <protection hidden="1"/>
    </xf>
    <xf numFmtId="0" fontId="17" fillId="2" borderId="0" xfId="0" applyFont="1" applyFill="1" applyAlignment="1" applyProtection="1">
      <alignment horizontal="left" vertical="center" wrapText="1"/>
      <protection hidden="1"/>
    </xf>
    <xf numFmtId="0" fontId="10" fillId="2" borderId="0" xfId="0" applyFont="1" applyFill="1" applyAlignment="1" applyProtection="1">
      <alignment horizontal="left" vertical="center" wrapText="1"/>
      <protection locked="0"/>
    </xf>
    <xf numFmtId="0" fontId="10" fillId="2" borderId="0" xfId="0" applyFont="1" applyFill="1" applyAlignment="1" applyProtection="1">
      <alignment horizontal="center"/>
      <protection locked="0"/>
    </xf>
    <xf numFmtId="0" fontId="9" fillId="0" borderId="0" xfId="0" applyFont="1" applyAlignment="1" applyProtection="1">
      <alignment horizontal="left" vertical="top"/>
      <protection locked="0"/>
    </xf>
    <xf numFmtId="0" fontId="23" fillId="0" borderId="0" xfId="0" applyFont="1" applyProtection="1">
      <protection locked="0"/>
    </xf>
    <xf numFmtId="0" fontId="22" fillId="0" borderId="0" xfId="0" applyFont="1" applyAlignment="1" applyProtection="1">
      <alignment vertical="center"/>
      <protection hidden="1"/>
    </xf>
    <xf numFmtId="0" fontId="21" fillId="0" borderId="0" xfId="0" applyFont="1" applyProtection="1">
      <protection hidden="1"/>
    </xf>
    <xf numFmtId="0" fontId="16" fillId="0" borderId="0" xfId="0" applyFont="1" applyAlignment="1" applyProtection="1">
      <alignment horizontal="left" vertical="top"/>
      <protection hidden="1"/>
    </xf>
    <xf numFmtId="0" fontId="9" fillId="0" borderId="0" xfId="0" applyFont="1" applyAlignment="1" applyProtection="1">
      <alignment horizontal="left" vertical="top" wrapText="1"/>
      <protection hidden="1"/>
    </xf>
    <xf numFmtId="0" fontId="9" fillId="0" borderId="0" xfId="0" applyFont="1" applyAlignment="1" applyProtection="1">
      <alignment horizontal="left" vertical="top"/>
      <protection hidden="1"/>
    </xf>
    <xf numFmtId="0" fontId="16" fillId="0" borderId="0" xfId="0" applyFont="1" applyProtection="1">
      <protection hidden="1"/>
    </xf>
    <xf numFmtId="0" fontId="23" fillId="0" borderId="0" xfId="0" applyFont="1" applyProtection="1">
      <protection hidden="1"/>
    </xf>
    <xf numFmtId="0" fontId="23" fillId="2" borderId="0" xfId="0" applyFont="1" applyFill="1" applyProtection="1">
      <protection locked="0"/>
    </xf>
    <xf numFmtId="0" fontId="20" fillId="0" borderId="0" xfId="0" applyFont="1" applyAlignment="1" applyProtection="1">
      <alignment horizontal="left" vertical="center"/>
      <protection hidden="1"/>
    </xf>
    <xf numFmtId="0" fontId="23" fillId="7" borderId="0" xfId="0" applyFont="1" applyFill="1" applyProtection="1">
      <protection locked="0"/>
    </xf>
    <xf numFmtId="0" fontId="20" fillId="0" borderId="0" xfId="0" applyFont="1" applyAlignment="1" applyProtection="1">
      <alignment horizontal="right" vertical="center"/>
      <protection hidden="1"/>
    </xf>
    <xf numFmtId="0" fontId="23" fillId="0" borderId="0" xfId="0" applyFont="1" applyAlignment="1" applyProtection="1">
      <alignment horizontal="center" vertical="center"/>
      <protection locked="0"/>
    </xf>
    <xf numFmtId="0" fontId="23" fillId="0" borderId="0" xfId="0" applyFont="1" applyAlignment="1" applyProtection="1">
      <alignment vertical="top" wrapText="1" readingOrder="1"/>
      <protection hidden="1"/>
    </xf>
    <xf numFmtId="0" fontId="18" fillId="2" borderId="0" xfId="0" applyFont="1" applyFill="1" applyAlignment="1" applyProtection="1">
      <alignment horizontal="left" vertical="center"/>
      <protection locked="0"/>
    </xf>
    <xf numFmtId="164" fontId="26" fillId="7" borderId="0" xfId="0" applyNumberFormat="1" applyFont="1" applyFill="1" applyAlignment="1" applyProtection="1">
      <alignment horizontal="left" vertical="center"/>
      <protection locked="0"/>
    </xf>
    <xf numFmtId="0" fontId="26" fillId="7" borderId="0" xfId="0" applyFont="1" applyFill="1" applyAlignment="1" applyProtection="1">
      <alignment horizontal="center" vertical="center"/>
      <protection locked="0"/>
    </xf>
    <xf numFmtId="0" fontId="27" fillId="7" borderId="0" xfId="0" applyFont="1" applyFill="1" applyAlignment="1" applyProtection="1">
      <alignment horizontal="left" vertical="center"/>
      <protection hidden="1"/>
    </xf>
    <xf numFmtId="0" fontId="29" fillId="6" borderId="0" xfId="0" applyFont="1" applyFill="1" applyAlignment="1" applyProtection="1">
      <alignment horizontal="center" vertical="center"/>
      <protection hidden="1"/>
    </xf>
    <xf numFmtId="0" fontId="30" fillId="2" borderId="0" xfId="0" applyFont="1" applyFill="1" applyAlignment="1" applyProtection="1">
      <alignment horizontal="center" vertical="center"/>
      <protection hidden="1"/>
    </xf>
    <xf numFmtId="0" fontId="30" fillId="2" borderId="0" xfId="0" applyFont="1" applyFill="1" applyAlignment="1" applyProtection="1">
      <alignment horizontal="left" vertical="center"/>
      <protection hidden="1"/>
    </xf>
    <xf numFmtId="0" fontId="9" fillId="0" borderId="0" xfId="0" applyFont="1" applyAlignment="1" applyProtection="1">
      <alignment vertical="top" wrapText="1"/>
      <protection hidden="1"/>
    </xf>
    <xf numFmtId="0" fontId="9" fillId="0" borderId="0" xfId="0" applyFont="1" applyAlignment="1" applyProtection="1">
      <alignment vertical="top"/>
      <protection hidden="1"/>
    </xf>
    <xf numFmtId="0" fontId="2" fillId="10" borderId="0" xfId="0" applyFont="1" applyFill="1" applyAlignment="1" applyProtection="1">
      <alignment horizontal="center" vertical="center"/>
      <protection locked="0"/>
    </xf>
    <xf numFmtId="0" fontId="23" fillId="0" borderId="0" xfId="0" applyFont="1" applyAlignment="1" applyProtection="1">
      <alignment vertical="top"/>
      <protection hidden="1"/>
    </xf>
    <xf numFmtId="0" fontId="31" fillId="2" borderId="0" xfId="0" applyFont="1" applyFill="1" applyAlignment="1" applyProtection="1">
      <alignment horizontal="center"/>
      <protection locked="0"/>
    </xf>
    <xf numFmtId="0" fontId="28" fillId="2" borderId="0" xfId="0" applyFont="1" applyFill="1"/>
    <xf numFmtId="0" fontId="32" fillId="11" borderId="0" xfId="0" applyFont="1" applyFill="1" applyProtection="1">
      <protection locked="0"/>
    </xf>
    <xf numFmtId="0" fontId="9" fillId="11" borderId="0" xfId="0" applyFont="1" applyFill="1" applyAlignment="1" applyProtection="1">
      <alignment horizontal="center" vertical="center"/>
      <protection hidden="1"/>
    </xf>
    <xf numFmtId="0" fontId="9" fillId="11" borderId="0" xfId="0" applyFont="1" applyFill="1" applyAlignment="1" applyProtection="1">
      <alignment horizontal="left" vertical="center" wrapText="1"/>
      <protection hidden="1"/>
    </xf>
    <xf numFmtId="0" fontId="32" fillId="11" borderId="0" xfId="0" applyFont="1" applyFill="1" applyAlignment="1" applyProtection="1">
      <alignment horizontal="center" vertical="center"/>
      <protection hidden="1"/>
    </xf>
    <xf numFmtId="0" fontId="32" fillId="11" borderId="0" xfId="0" applyFont="1" applyFill="1" applyAlignment="1" applyProtection="1">
      <alignment horizontal="center" vertical="center"/>
      <protection locked="0"/>
    </xf>
    <xf numFmtId="0" fontId="9" fillId="11" borderId="0" xfId="0" applyFont="1" applyFill="1" applyAlignment="1" applyProtection="1">
      <alignment horizontal="center" vertical="center"/>
      <protection locked="0"/>
    </xf>
    <xf numFmtId="0" fontId="9" fillId="11" borderId="0" xfId="0" applyFont="1" applyFill="1" applyAlignment="1" applyProtection="1">
      <alignment horizontal="center"/>
      <protection locked="0"/>
    </xf>
    <xf numFmtId="0" fontId="9" fillId="11" borderId="0" xfId="0" applyFont="1" applyFill="1" applyAlignment="1" applyProtection="1">
      <alignment horizontal="left" vertical="center"/>
      <protection locked="0"/>
    </xf>
    <xf numFmtId="0" fontId="33" fillId="0" borderId="0" xfId="0" applyFont="1" applyAlignment="1">
      <alignment horizontal="left" vertical="center" wrapText="1"/>
    </xf>
    <xf numFmtId="0" fontId="18" fillId="6" borderId="0" xfId="0" applyFont="1" applyFill="1" applyAlignment="1" applyProtection="1">
      <alignment horizontal="center" vertical="center"/>
      <protection hidden="1"/>
    </xf>
    <xf numFmtId="0" fontId="15" fillId="8" borderId="0" xfId="0" applyFont="1" applyFill="1" applyAlignment="1" applyProtection="1">
      <alignment horizontal="left" vertical="center" wrapText="1"/>
      <protection hidden="1"/>
    </xf>
    <xf numFmtId="0" fontId="15" fillId="2" borderId="0" xfId="0" applyFont="1" applyFill="1" applyAlignment="1" applyProtection="1">
      <alignment horizontal="left" vertical="center" wrapText="1"/>
      <protection hidden="1"/>
    </xf>
    <xf numFmtId="0" fontId="2" fillId="2" borderId="0" xfId="0" applyFont="1" applyFill="1" applyAlignment="1" applyProtection="1">
      <alignment horizontal="left" vertical="center" wrapText="1"/>
      <protection locked="0"/>
    </xf>
    <xf numFmtId="0" fontId="34" fillId="5" borderId="0" xfId="0" applyFont="1" applyFill="1" applyAlignment="1" applyProtection="1">
      <alignment horizontal="right" vertical="center"/>
      <protection hidden="1"/>
    </xf>
    <xf numFmtId="0" fontId="11" fillId="2" borderId="2" xfId="0" applyFont="1" applyFill="1" applyBorder="1" applyAlignment="1" applyProtection="1">
      <alignment horizontal="center" vertical="center"/>
      <protection locked="0"/>
    </xf>
    <xf numFmtId="0" fontId="32" fillId="2" borderId="0" xfId="0" applyFont="1" applyFill="1" applyAlignment="1" applyProtection="1">
      <alignment horizontal="center" vertical="center"/>
      <protection locked="0"/>
    </xf>
    <xf numFmtId="0" fontId="2" fillId="12" borderId="0" xfId="0" applyFont="1" applyFill="1" applyAlignment="1" applyProtection="1">
      <alignment horizontal="center" vertical="center"/>
      <protection locked="0"/>
    </xf>
    <xf numFmtId="0" fontId="2" fillId="13" borderId="0" xfId="0" applyFont="1" applyFill="1" applyAlignment="1" applyProtection="1">
      <alignment horizontal="center" vertical="center"/>
      <protection locked="0"/>
    </xf>
    <xf numFmtId="0" fontId="2" fillId="6" borderId="0" xfId="0" applyFont="1" applyFill="1" applyAlignment="1" applyProtection="1">
      <alignment horizontal="center" vertical="center"/>
      <protection locked="0"/>
    </xf>
    <xf numFmtId="0" fontId="2" fillId="14" borderId="0" xfId="0" applyFont="1" applyFill="1" applyAlignment="1" applyProtection="1">
      <alignment horizontal="center" vertical="center"/>
      <protection locked="0"/>
    </xf>
    <xf numFmtId="0" fontId="35" fillId="2" borderId="0" xfId="0" applyFont="1" applyFill="1" applyAlignment="1" applyProtection="1">
      <alignment horizontal="center" vertical="center"/>
      <protection locked="0"/>
    </xf>
    <xf numFmtId="0" fontId="9" fillId="0" borderId="0" xfId="0" applyFont="1" applyAlignment="1" applyProtection="1">
      <alignment horizontal="left" vertical="top" wrapText="1"/>
      <protection hidden="1"/>
    </xf>
    <xf numFmtId="0" fontId="9" fillId="0" borderId="0" xfId="0" applyFont="1" applyAlignment="1" applyProtection="1">
      <alignment horizontal="center" vertical="center" wrapText="1"/>
      <protection hidden="1"/>
    </xf>
    <xf numFmtId="0" fontId="15" fillId="0" borderId="0" xfId="0" applyFont="1" applyAlignment="1" applyProtection="1">
      <alignment horizontal="justify" vertical="top" wrapText="1" readingOrder="1"/>
      <protection hidden="1"/>
    </xf>
    <xf numFmtId="0" fontId="22" fillId="2" borderId="0" xfId="0" applyFont="1" applyFill="1" applyAlignment="1" applyProtection="1">
      <alignment horizontal="left" vertical="center"/>
      <protection hidden="1"/>
    </xf>
    <xf numFmtId="164" fontId="22" fillId="2" borderId="0" xfId="0" applyNumberFormat="1" applyFont="1" applyFill="1" applyAlignment="1" applyProtection="1">
      <alignment horizontal="left" vertical="center"/>
      <protection hidden="1"/>
    </xf>
    <xf numFmtId="165" fontId="22" fillId="0" borderId="0" xfId="0" applyNumberFormat="1" applyFont="1" applyAlignment="1" applyProtection="1">
      <alignment horizontal="left" vertical="center"/>
      <protection hidden="1"/>
    </xf>
    <xf numFmtId="0" fontId="9" fillId="0" borderId="0" xfId="0" applyFont="1" applyAlignment="1" applyProtection="1">
      <alignment horizontal="center" vertical="center"/>
      <protection hidden="1"/>
    </xf>
    <xf numFmtId="0" fontId="34" fillId="5" borderId="0" xfId="0" applyFont="1" applyFill="1" applyAlignment="1" applyProtection="1">
      <alignment horizontal="right" vertical="center"/>
      <protection hidden="1"/>
    </xf>
    <xf numFmtId="0" fontId="22" fillId="0" borderId="0" xfId="0" applyFont="1" applyAlignment="1" applyProtection="1">
      <alignment horizontal="left" vertical="center"/>
      <protection locked="0"/>
    </xf>
    <xf numFmtId="0" fontId="34" fillId="5" borderId="0" xfId="0" applyFont="1" applyFill="1" applyAlignment="1" applyProtection="1">
      <alignment horizontal="center" vertical="center"/>
      <protection hidden="1"/>
    </xf>
    <xf numFmtId="0" fontId="34" fillId="5" borderId="0" xfId="0" applyFont="1" applyFill="1" applyAlignment="1" applyProtection="1">
      <alignment horizontal="left" vertical="center"/>
      <protection hidden="1"/>
    </xf>
    <xf numFmtId="0" fontId="9" fillId="5" borderId="0" xfId="0" applyFont="1" applyFill="1" applyProtection="1">
      <protection hidden="1"/>
    </xf>
    <xf numFmtId="0" fontId="23" fillId="0" borderId="0" xfId="0" applyFont="1" applyAlignment="1" applyProtection="1">
      <alignment horizontal="left" vertical="top" wrapText="1"/>
      <protection hidden="1"/>
    </xf>
    <xf numFmtId="0" fontId="20" fillId="0" borderId="0" xfId="0" applyFont="1" applyAlignment="1" applyProtection="1">
      <alignment horizontal="left" vertical="center"/>
      <protection hidden="1"/>
    </xf>
    <xf numFmtId="0" fontId="20" fillId="0" borderId="0" xfId="0" applyFont="1" applyAlignment="1" applyProtection="1">
      <alignment horizontal="right" vertical="center"/>
      <protection hidden="1"/>
    </xf>
    <xf numFmtId="0" fontId="26" fillId="7" borderId="0" xfId="0" applyFont="1" applyFill="1" applyAlignment="1" applyProtection="1">
      <alignment horizontal="left" vertical="center"/>
      <protection locked="0"/>
    </xf>
    <xf numFmtId="0" fontId="23" fillId="2" borderId="0" xfId="0" applyFont="1" applyFill="1" applyAlignment="1" applyProtection="1">
      <alignment horizontal="left" vertical="center"/>
      <protection locked="0"/>
    </xf>
    <xf numFmtId="0" fontId="23" fillId="0" borderId="0" xfId="0" applyFont="1" applyAlignment="1" applyProtection="1">
      <alignment horizontal="justify" vertical="top" wrapText="1" readingOrder="1"/>
      <protection hidden="1"/>
    </xf>
    <xf numFmtId="0" fontId="26" fillId="7" borderId="0" xfId="0" applyFont="1" applyFill="1" applyAlignment="1" applyProtection="1">
      <alignment horizontal="left" vertical="center"/>
      <protection hidden="1"/>
    </xf>
    <xf numFmtId="0" fontId="8" fillId="0" borderId="0" xfId="0" applyFont="1" applyAlignment="1">
      <alignment horizontal="center" vertical="center"/>
    </xf>
    <xf numFmtId="0" fontId="7" fillId="0" borderId="0" xfId="0" applyFont="1" applyAlignment="1">
      <alignment horizontal="center" vertical="center"/>
    </xf>
  </cellXfs>
  <cellStyles count="1">
    <cellStyle name="Normal" xfId="0" builtinId="0"/>
  </cellStyles>
  <dxfs count="1">
    <dxf>
      <font>
        <b/>
        <i val="0"/>
      </font>
      <fill>
        <patternFill>
          <bgColor rgb="FFB7D5C9"/>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800000"/>
      <rgbColor rgb="00009900"/>
      <rgbColor rgb="00000080"/>
      <rgbColor rgb="00808000"/>
      <rgbColor rgb="00800080"/>
      <rgbColor rgb="00008080"/>
      <rgbColor rgb="00C0C0C0"/>
      <rgbColor rgb="00808080"/>
      <rgbColor rgb="009999FF"/>
      <rgbColor rgb="007030A0"/>
      <rgbColor rgb="00FFFFCC"/>
      <rgbColor rgb="00CCFFFF"/>
      <rgbColor rgb="00660066"/>
      <rgbColor rgb="00FF8080"/>
      <rgbColor rgb="000070C0"/>
      <rgbColor rgb="00D9D9D9"/>
      <rgbColor rgb="00000080"/>
      <rgbColor rgb="00FF00FF"/>
      <rgbColor rgb="00FFFF00"/>
      <rgbColor rgb="0000FFFF"/>
      <rgbColor rgb="00800080"/>
      <rgbColor rgb="00800000"/>
      <rgbColor rgb="00008080"/>
      <rgbColor rgb="000000FF"/>
      <rgbColor rgb="0000CCFF"/>
      <rgbColor rgb="00CCFFFF"/>
      <rgbColor rgb="00DDDDDD"/>
      <rgbColor rgb="00FFFF99"/>
      <rgbColor rgb="0099CCFF"/>
      <rgbColor rgb="00FF99CC"/>
      <rgbColor rgb="00CC99FF"/>
      <rgbColor rgb="00FFCC99"/>
      <rgbColor rgb="003366FF"/>
      <rgbColor rgb="0033CCCC"/>
      <rgbColor rgb="0099CC00"/>
      <rgbColor rgb="00FFCC00"/>
      <rgbColor rgb="00FF9900"/>
      <rgbColor rgb="00FF6600"/>
      <rgbColor rgb="00595959"/>
      <rgbColor rgb="00969696"/>
      <rgbColor rgb="00003366"/>
      <rgbColor rgb="0000B050"/>
      <rgbColor rgb="00003300"/>
      <rgbColor rgb="00333300"/>
      <rgbColor rgb="00993300"/>
      <rgbColor rgb="00C0504D"/>
      <rgbColor rgb="003333FF"/>
      <rgbColor rgb="00333333"/>
      <rgbColor rgb="00003366"/>
      <rgbColor rgb="00339966"/>
      <rgbColor rgb="00003300"/>
      <rgbColor rgb="00333300"/>
      <rgbColor rgb="00993300"/>
      <rgbColor rgb="00993366"/>
      <rgbColor rgb="00333399"/>
      <rgbColor rgb="00333333"/>
    </indexedColors>
    <mruColors>
      <color rgb="FF215A47"/>
      <color rgb="FFD44848"/>
      <color rgb="FF44B592"/>
      <color rgb="FFFEE1BB"/>
      <color rgb="FFD6EBF6"/>
      <color rgb="FFA5D2EB"/>
      <color rgb="FFBE0E0E"/>
      <color rgb="FFD10F0F"/>
      <color rgb="FF1F81C2"/>
      <color rgb="FFD5E7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82550" cap="rnd">
              <a:solidFill>
                <a:schemeClr val="tx1"/>
              </a:solidFill>
              <a:round/>
            </a:ln>
            <a:effectLst/>
          </c:spPr>
          <c:marker>
            <c:symbol val="circle"/>
            <c:size val="5"/>
            <c:spPr>
              <a:solidFill>
                <a:schemeClr val="tx1"/>
              </a:solidFill>
              <a:ln w="98425">
                <a:solidFill>
                  <a:schemeClr val="tx1"/>
                </a:solidFill>
              </a:ln>
              <a:effectLst/>
            </c:spPr>
          </c:marker>
          <c:dPt>
            <c:idx val="0"/>
            <c:marker>
              <c:symbol val="circle"/>
              <c:size val="5"/>
              <c:spPr>
                <a:solidFill>
                  <a:schemeClr val="tx1"/>
                </a:solidFill>
                <a:ln w="41275">
                  <a:solidFill>
                    <a:schemeClr val="tx1"/>
                  </a:solidFill>
                </a:ln>
                <a:effectLst/>
              </c:spPr>
            </c:marker>
            <c:bubble3D val="0"/>
            <c:extLst>
              <c:ext xmlns:c16="http://schemas.microsoft.com/office/drawing/2014/chart" uri="{C3380CC4-5D6E-409C-BE32-E72D297353CC}">
                <c16:uniqueId val="{00000000-EFD6-45FD-8FA6-E9D555109F98}"/>
              </c:ext>
            </c:extLst>
          </c:dPt>
          <c:xVal>
            <c:numRef>
              <c:f>Perfil!$R$14</c:f>
              <c:numCache>
                <c:formatCode>General</c:formatCode>
                <c:ptCount val="1"/>
                <c:pt idx="0">
                  <c:v>52</c:v>
                </c:pt>
              </c:numCache>
            </c:numRef>
          </c:xVal>
          <c:yVal>
            <c:numRef>
              <c:f>Perfil!$S$14</c:f>
              <c:numCache>
                <c:formatCode>General</c:formatCode>
                <c:ptCount val="1"/>
                <c:pt idx="0">
                  <c:v>1</c:v>
                </c:pt>
              </c:numCache>
            </c:numRef>
          </c:yVal>
          <c:smooth val="0"/>
          <c:extLst>
            <c:ext xmlns:c16="http://schemas.microsoft.com/office/drawing/2014/chart" uri="{C3380CC4-5D6E-409C-BE32-E72D297353CC}">
              <c16:uniqueId val="{00000001-FDF8-4EEF-9692-3835E5325D87}"/>
            </c:ext>
          </c:extLst>
        </c:ser>
        <c:dLbls>
          <c:showLegendKey val="0"/>
          <c:showVal val="0"/>
          <c:showCatName val="0"/>
          <c:showSerName val="0"/>
          <c:showPercent val="0"/>
          <c:showBubbleSize val="0"/>
        </c:dLbls>
        <c:axId val="703649519"/>
        <c:axId val="703649999"/>
      </c:scatterChart>
      <c:valAx>
        <c:axId val="703649519"/>
        <c:scaling>
          <c:orientation val="minMax"/>
          <c:max val="75"/>
        </c:scaling>
        <c:delete val="1"/>
        <c:axPos val="t"/>
        <c:numFmt formatCode="General" sourceLinked="1"/>
        <c:majorTickMark val="none"/>
        <c:minorTickMark val="none"/>
        <c:tickLblPos val="nextTo"/>
        <c:crossAx val="703649999"/>
        <c:crosses val="autoZero"/>
        <c:crossBetween val="midCat"/>
        <c:majorUnit val="5"/>
      </c:valAx>
      <c:valAx>
        <c:axId val="703649999"/>
        <c:scaling>
          <c:orientation val="maxMin"/>
          <c:max val="1"/>
        </c:scaling>
        <c:delete val="1"/>
        <c:axPos val="l"/>
        <c:numFmt formatCode="General" sourceLinked="1"/>
        <c:majorTickMark val="none"/>
        <c:minorTickMark val="none"/>
        <c:tickLblPos val="nextTo"/>
        <c:crossAx val="703649519"/>
        <c:crosses val="autoZero"/>
        <c:crossBetween val="midCat"/>
        <c:maj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633744855967079E-2"/>
          <c:y val="4.8120257695060842E-2"/>
          <c:w val="0.95473251028806583"/>
          <c:h val="0.89914807921737061"/>
        </c:manualLayout>
      </c:layout>
      <c:scatterChart>
        <c:scatterStyle val="lineMarker"/>
        <c:varyColors val="0"/>
        <c:ser>
          <c:idx val="0"/>
          <c:order val="0"/>
          <c:spPr>
            <a:ln w="12700" cap="rnd">
              <a:solidFill>
                <a:schemeClr val="tx1"/>
              </a:solidFill>
              <a:round/>
            </a:ln>
            <a:effectLst/>
          </c:spPr>
          <c:marker>
            <c:symbol val="circle"/>
            <c:size val="5"/>
            <c:spPr>
              <a:solidFill>
                <a:schemeClr val="tx1"/>
              </a:solidFill>
              <a:ln w="25400">
                <a:solidFill>
                  <a:schemeClr val="tx1"/>
                </a:solidFill>
              </a:ln>
              <a:effectLst/>
            </c:spPr>
          </c:marker>
          <c:xVal>
            <c:numRef>
              <c:f>Perfil!$R$15:$R$19</c:f>
              <c:numCache>
                <c:formatCode>General</c:formatCode>
                <c:ptCount val="5"/>
                <c:pt idx="0">
                  <c:v>12</c:v>
                </c:pt>
                <c:pt idx="1">
                  <c:v>11</c:v>
                </c:pt>
                <c:pt idx="2">
                  <c:v>11</c:v>
                </c:pt>
                <c:pt idx="3">
                  <c:v>7</c:v>
                </c:pt>
                <c:pt idx="4">
                  <c:v>11</c:v>
                </c:pt>
              </c:numCache>
            </c:numRef>
          </c:xVal>
          <c:yVal>
            <c:numRef>
              <c:f>Perfil!$S$15:$S$19</c:f>
              <c:numCache>
                <c:formatCode>General</c:formatCode>
                <c:ptCount val="5"/>
                <c:pt idx="0">
                  <c:v>1</c:v>
                </c:pt>
                <c:pt idx="1">
                  <c:v>2</c:v>
                </c:pt>
                <c:pt idx="2">
                  <c:v>3</c:v>
                </c:pt>
                <c:pt idx="3">
                  <c:v>4</c:v>
                </c:pt>
                <c:pt idx="4">
                  <c:v>5</c:v>
                </c:pt>
              </c:numCache>
            </c:numRef>
          </c:yVal>
          <c:smooth val="0"/>
          <c:extLst>
            <c:ext xmlns:c16="http://schemas.microsoft.com/office/drawing/2014/chart" uri="{C3380CC4-5D6E-409C-BE32-E72D297353CC}">
              <c16:uniqueId val="{00000000-9150-4D49-A418-AD6AFA27ECE8}"/>
            </c:ext>
          </c:extLst>
        </c:ser>
        <c:dLbls>
          <c:showLegendKey val="0"/>
          <c:showVal val="0"/>
          <c:showCatName val="0"/>
          <c:showSerName val="0"/>
          <c:showPercent val="0"/>
          <c:showBubbleSize val="0"/>
        </c:dLbls>
        <c:axId val="467483951"/>
        <c:axId val="467470511"/>
      </c:scatterChart>
      <c:valAx>
        <c:axId val="467483951"/>
        <c:scaling>
          <c:orientation val="minMax"/>
          <c:max val="15"/>
          <c:min val="0"/>
        </c:scaling>
        <c:delete val="1"/>
        <c:axPos val="t"/>
        <c:numFmt formatCode="General" sourceLinked="1"/>
        <c:majorTickMark val="out"/>
        <c:minorTickMark val="none"/>
        <c:tickLblPos val="nextTo"/>
        <c:crossAx val="467470511"/>
        <c:crosses val="autoZero"/>
        <c:crossBetween val="midCat"/>
        <c:majorUnit val="1"/>
      </c:valAx>
      <c:valAx>
        <c:axId val="467470511"/>
        <c:scaling>
          <c:orientation val="maxMin"/>
          <c:max val="5"/>
          <c:min val="1"/>
        </c:scaling>
        <c:delete val="1"/>
        <c:axPos val="l"/>
        <c:numFmt formatCode="General" sourceLinked="1"/>
        <c:majorTickMark val="out"/>
        <c:minorTickMark val="none"/>
        <c:tickLblPos val="nextTo"/>
        <c:crossAx val="467483951"/>
        <c:crosses val="autoZero"/>
        <c:crossBetween val="midCat"/>
        <c:maj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S$8" lockText="1"/>
</file>

<file path=xl/ctrlProps/ctrlProp2.xml><?xml version="1.0" encoding="utf-8"?>
<formControlPr xmlns="http://schemas.microsoft.com/office/spreadsheetml/2009/9/main" objectType="CheckBox" checked="Checked" fmlaLink="$S$9"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Ingreso_Datos!A1"/><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6.svg"/><Relationship Id="rId7" Type="http://schemas.openxmlformats.org/officeDocument/2006/relationships/image" Target="../media/image9.png"/><Relationship Id="rId2" Type="http://schemas.openxmlformats.org/officeDocument/2006/relationships/image" Target="../media/image5.png"/><Relationship Id="rId1" Type="http://schemas.openxmlformats.org/officeDocument/2006/relationships/hyperlink" Target="#'Items Criticos'!A1"/><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hyperlink" Target="#Perfil!A1"/></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133350</xdr:colOff>
      <xdr:row>8</xdr:row>
      <xdr:rowOff>149469</xdr:rowOff>
    </xdr:from>
    <xdr:to>
      <xdr:col>4</xdr:col>
      <xdr:colOff>1387</xdr:colOff>
      <xdr:row>10</xdr:row>
      <xdr:rowOff>62337</xdr:rowOff>
    </xdr:to>
    <xdr:grpSp>
      <xdr:nvGrpSpPr>
        <xdr:cNvPr id="29" name="Grupo 28">
          <a:extLst>
            <a:ext uri="{FF2B5EF4-FFF2-40B4-BE49-F238E27FC236}">
              <a16:creationId xmlns:a16="http://schemas.microsoft.com/office/drawing/2014/main" id="{95535E10-FFD0-86F6-BE64-E292A9D71666}"/>
            </a:ext>
          </a:extLst>
        </xdr:cNvPr>
        <xdr:cNvGrpSpPr/>
      </xdr:nvGrpSpPr>
      <xdr:grpSpPr>
        <a:xfrm>
          <a:off x="1954530" y="1917309"/>
          <a:ext cx="599557" cy="293868"/>
          <a:chOff x="1906466" y="1722294"/>
          <a:chExt cx="458586" cy="264560"/>
        </a:xfrm>
      </xdr:grpSpPr>
      <mc:AlternateContent xmlns:mc="http://schemas.openxmlformats.org/markup-compatibility/2006">
        <mc:Choice xmlns:a14="http://schemas.microsoft.com/office/drawing/2010/main" Requires="a14">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1906466" y="1726224"/>
                <a:ext cx="200025" cy="2073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2" name="CuadroTexto 1">
            <a:extLst>
              <a:ext uri="{FF2B5EF4-FFF2-40B4-BE49-F238E27FC236}">
                <a16:creationId xmlns:a16="http://schemas.microsoft.com/office/drawing/2014/main" id="{2CD81CD1-D533-418B-CFD5-1FF7492B5496}"/>
              </a:ext>
            </a:extLst>
          </xdr:cNvPr>
          <xdr:cNvSpPr txBox="1"/>
        </xdr:nvSpPr>
        <xdr:spPr>
          <a:xfrm>
            <a:off x="2096965" y="1722294"/>
            <a:ext cx="2680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BO" sz="1100" b="1">
                <a:solidFill>
                  <a:srgbClr val="215A47"/>
                </a:solidFill>
                <a:latin typeface="Aptos Narrow" panose="020B0004020202020204" pitchFamily="34" charset="0"/>
              </a:rPr>
              <a:t>V</a:t>
            </a:r>
          </a:p>
        </xdr:txBody>
      </xdr:sp>
    </xdr:grpSp>
    <xdr:clientData/>
  </xdr:twoCellAnchor>
  <xdr:twoCellAnchor>
    <xdr:from>
      <xdr:col>4</xdr:col>
      <xdr:colOff>76200</xdr:colOff>
      <xdr:row>8</xdr:row>
      <xdr:rowOff>147271</xdr:rowOff>
    </xdr:from>
    <xdr:to>
      <xdr:col>4</xdr:col>
      <xdr:colOff>497834</xdr:colOff>
      <xdr:row>10</xdr:row>
      <xdr:rowOff>60139</xdr:rowOff>
    </xdr:to>
    <xdr:grpSp>
      <xdr:nvGrpSpPr>
        <xdr:cNvPr id="30" name="Grupo 29">
          <a:extLst>
            <a:ext uri="{FF2B5EF4-FFF2-40B4-BE49-F238E27FC236}">
              <a16:creationId xmlns:a16="http://schemas.microsoft.com/office/drawing/2014/main" id="{DBFBC3E6-9AAC-57B8-86B5-33BF20C03EEF}"/>
            </a:ext>
          </a:extLst>
        </xdr:cNvPr>
        <xdr:cNvGrpSpPr/>
      </xdr:nvGrpSpPr>
      <xdr:grpSpPr>
        <a:xfrm>
          <a:off x="2628900" y="1915111"/>
          <a:ext cx="421634" cy="293868"/>
          <a:chOff x="2442796" y="1712795"/>
          <a:chExt cx="421634" cy="264560"/>
        </a:xfrm>
      </xdr:grpSpPr>
      <xdr:sp macro="" textlink="">
        <xdr:nvSpPr>
          <xdr:cNvPr id="3" name="CuadroTexto 2">
            <a:extLst>
              <a:ext uri="{FF2B5EF4-FFF2-40B4-BE49-F238E27FC236}">
                <a16:creationId xmlns:a16="http://schemas.microsoft.com/office/drawing/2014/main" id="{30CCA27E-FAF5-2004-2EC6-BDB892E77947}"/>
              </a:ext>
            </a:extLst>
          </xdr:cNvPr>
          <xdr:cNvSpPr txBox="1"/>
        </xdr:nvSpPr>
        <xdr:spPr>
          <a:xfrm>
            <a:off x="2576146" y="1712795"/>
            <a:ext cx="28828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BO" sz="1100" b="1">
                <a:solidFill>
                  <a:srgbClr val="215A47"/>
                </a:solidFill>
                <a:latin typeface="Aptos Narrow" panose="020B0004020202020204" pitchFamily="34" charset="0"/>
              </a:rPr>
              <a:t>M</a:t>
            </a:r>
          </a:p>
        </xdr:txBody>
      </xdr:sp>
      <mc:AlternateContent xmlns:mc="http://schemas.openxmlformats.org/markup-compatibility/2006">
        <mc:Choice xmlns:a14="http://schemas.microsoft.com/office/drawing/2010/main" Requires="a14">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2442796" y="1716698"/>
                <a:ext cx="200025" cy="2073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10</xdr:col>
      <xdr:colOff>15478</xdr:colOff>
      <xdr:row>9</xdr:row>
      <xdr:rowOff>17859</xdr:rowOff>
    </xdr:from>
    <xdr:to>
      <xdr:col>10</xdr:col>
      <xdr:colOff>154781</xdr:colOff>
      <xdr:row>9</xdr:row>
      <xdr:rowOff>191690</xdr:rowOff>
    </xdr:to>
    <xdr:cxnSp macro="">
      <xdr:nvCxnSpPr>
        <xdr:cNvPr id="5" name="Conector recto 4">
          <a:extLst>
            <a:ext uri="{FF2B5EF4-FFF2-40B4-BE49-F238E27FC236}">
              <a16:creationId xmlns:a16="http://schemas.microsoft.com/office/drawing/2014/main" id="{A7D0FFA6-237F-4B15-DCB2-C65C1DF8E34F}"/>
            </a:ext>
          </a:extLst>
        </xdr:cNvPr>
        <xdr:cNvCxnSpPr/>
      </xdr:nvCxnSpPr>
      <xdr:spPr>
        <a:xfrm flipH="1">
          <a:off x="6432947" y="1357312"/>
          <a:ext cx="139303" cy="17383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15478</xdr:colOff>
      <xdr:row>9</xdr:row>
      <xdr:rowOff>17859</xdr:rowOff>
    </xdr:from>
    <xdr:to>
      <xdr:col>12</xdr:col>
      <xdr:colOff>154781</xdr:colOff>
      <xdr:row>9</xdr:row>
      <xdr:rowOff>191690</xdr:rowOff>
    </xdr:to>
    <xdr:cxnSp macro="">
      <xdr:nvCxnSpPr>
        <xdr:cNvPr id="7" name="Conector recto 6">
          <a:extLst>
            <a:ext uri="{FF2B5EF4-FFF2-40B4-BE49-F238E27FC236}">
              <a16:creationId xmlns:a16="http://schemas.microsoft.com/office/drawing/2014/main" id="{B18BE7A4-F980-6A07-E188-92E3289E6D47}"/>
            </a:ext>
          </a:extLst>
        </xdr:cNvPr>
        <xdr:cNvCxnSpPr/>
      </xdr:nvCxnSpPr>
      <xdr:spPr>
        <a:xfrm flipH="1">
          <a:off x="7010400" y="1357312"/>
          <a:ext cx="139303" cy="17383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742950</xdr:colOff>
      <xdr:row>6</xdr:row>
      <xdr:rowOff>57150</xdr:rowOff>
    </xdr:from>
    <xdr:to>
      <xdr:col>15</xdr:col>
      <xdr:colOff>228600</xdr:colOff>
      <xdr:row>13</xdr:row>
      <xdr:rowOff>0</xdr:rowOff>
    </xdr:to>
    <xdr:sp macro="" textlink="">
      <xdr:nvSpPr>
        <xdr:cNvPr id="8" name="Rectángulo: esquinas redondeadas 7">
          <a:extLst>
            <a:ext uri="{FF2B5EF4-FFF2-40B4-BE49-F238E27FC236}">
              <a16:creationId xmlns:a16="http://schemas.microsoft.com/office/drawing/2014/main" id="{AFA540A6-0441-B6E9-90D4-ED5DC213962F}"/>
            </a:ext>
          </a:extLst>
        </xdr:cNvPr>
        <xdr:cNvSpPr/>
      </xdr:nvSpPr>
      <xdr:spPr>
        <a:xfrm>
          <a:off x="742950" y="857250"/>
          <a:ext cx="7181850" cy="1190625"/>
        </a:xfrm>
        <a:prstGeom prst="roundRect">
          <a:avLst>
            <a:gd name="adj" fmla="val 11067"/>
          </a:avLst>
        </a:prstGeom>
        <a:noFill/>
        <a:ln w="28575">
          <a:solidFill>
            <a:srgbClr val="215A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0</xdr:colOff>
      <xdr:row>13</xdr:row>
      <xdr:rowOff>95250</xdr:rowOff>
    </xdr:from>
    <xdr:to>
      <xdr:col>16</xdr:col>
      <xdr:colOff>0</xdr:colOff>
      <xdr:row>32</xdr:row>
      <xdr:rowOff>28575</xdr:rowOff>
    </xdr:to>
    <xdr:grpSp>
      <xdr:nvGrpSpPr>
        <xdr:cNvPr id="16" name="Grupo 15">
          <a:extLst>
            <a:ext uri="{FF2B5EF4-FFF2-40B4-BE49-F238E27FC236}">
              <a16:creationId xmlns:a16="http://schemas.microsoft.com/office/drawing/2014/main" id="{B01C97CF-FDAF-F175-EA42-7DB23CF70563}"/>
            </a:ext>
          </a:extLst>
        </xdr:cNvPr>
        <xdr:cNvGrpSpPr/>
      </xdr:nvGrpSpPr>
      <xdr:grpSpPr>
        <a:xfrm>
          <a:off x="784860" y="2792730"/>
          <a:ext cx="7589520" cy="4147185"/>
          <a:chOff x="762000" y="2224152"/>
          <a:chExt cx="7181850" cy="4350575"/>
        </a:xfrm>
      </xdr:grpSpPr>
      <xdr:sp macro="" textlink="">
        <xdr:nvSpPr>
          <xdr:cNvPr id="13" name="Rectángulo: esquinas redondeadas 12">
            <a:extLst>
              <a:ext uri="{FF2B5EF4-FFF2-40B4-BE49-F238E27FC236}">
                <a16:creationId xmlns:a16="http://schemas.microsoft.com/office/drawing/2014/main" id="{07A6AEAC-E7D8-40A3-D5A6-E0935D898C32}"/>
              </a:ext>
            </a:extLst>
          </xdr:cNvPr>
          <xdr:cNvSpPr/>
        </xdr:nvSpPr>
        <xdr:spPr>
          <a:xfrm>
            <a:off x="762000" y="2355152"/>
            <a:ext cx="7181850" cy="4219575"/>
          </a:xfrm>
          <a:prstGeom prst="roundRect">
            <a:avLst>
              <a:gd name="adj" fmla="val 5221"/>
            </a:avLst>
          </a:prstGeom>
          <a:noFill/>
          <a:ln w="28575">
            <a:solidFill>
              <a:srgbClr val="215A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4" name="Rectángulo: esquinas redondeadas 13">
            <a:extLst>
              <a:ext uri="{FF2B5EF4-FFF2-40B4-BE49-F238E27FC236}">
                <a16:creationId xmlns:a16="http://schemas.microsoft.com/office/drawing/2014/main" id="{8863A189-E350-E379-0078-592805CDF084}"/>
              </a:ext>
            </a:extLst>
          </xdr:cNvPr>
          <xdr:cNvSpPr/>
        </xdr:nvSpPr>
        <xdr:spPr>
          <a:xfrm>
            <a:off x="3248026" y="2224152"/>
            <a:ext cx="1962150" cy="276225"/>
          </a:xfrm>
          <a:prstGeom prst="roundRect">
            <a:avLst/>
          </a:prstGeom>
          <a:solidFill>
            <a:srgbClr val="215A47"/>
          </a:solidFill>
          <a:ln>
            <a:solidFill>
              <a:srgbClr val="215A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200" b="1">
                <a:latin typeface="Daytona" panose="020B0604030500040204" pitchFamily="34" charset="0"/>
              </a:rPr>
              <a:t>INSTRUCCIONES</a:t>
            </a:r>
          </a:p>
        </xdr:txBody>
      </xdr:sp>
    </xdr:grpSp>
    <xdr:clientData/>
  </xdr:twoCellAnchor>
  <xdr:twoCellAnchor>
    <xdr:from>
      <xdr:col>11</xdr:col>
      <xdr:colOff>85726</xdr:colOff>
      <xdr:row>27</xdr:row>
      <xdr:rowOff>228599</xdr:rowOff>
    </xdr:from>
    <xdr:to>
      <xdr:col>11</xdr:col>
      <xdr:colOff>371476</xdr:colOff>
      <xdr:row>29</xdr:row>
      <xdr:rowOff>95250</xdr:rowOff>
    </xdr:to>
    <xdr:sp macro="" textlink="">
      <xdr:nvSpPr>
        <xdr:cNvPr id="18" name="CuadroTexto 17">
          <a:extLst>
            <a:ext uri="{FF2B5EF4-FFF2-40B4-BE49-F238E27FC236}">
              <a16:creationId xmlns:a16="http://schemas.microsoft.com/office/drawing/2014/main" id="{2FC97CA1-C2F1-A92D-8BAE-BCF9F184C3F0}"/>
            </a:ext>
          </a:extLst>
        </xdr:cNvPr>
        <xdr:cNvSpPr txBox="1"/>
      </xdr:nvSpPr>
      <xdr:spPr>
        <a:xfrm>
          <a:off x="6619876" y="6553199"/>
          <a:ext cx="28575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solidFill>
                <a:sysClr val="windowText" lastClr="000000"/>
              </a:solidFill>
              <a:latin typeface="Aptos Narrow" panose="020B0004020202020204" pitchFamily="34" charset="0"/>
            </a:rPr>
            <a:t>V</a:t>
          </a:r>
        </a:p>
      </xdr:txBody>
    </xdr:sp>
    <xdr:clientData/>
  </xdr:twoCellAnchor>
  <xdr:twoCellAnchor>
    <xdr:from>
      <xdr:col>13</xdr:col>
      <xdr:colOff>57151</xdr:colOff>
      <xdr:row>27</xdr:row>
      <xdr:rowOff>238124</xdr:rowOff>
    </xdr:from>
    <xdr:to>
      <xdr:col>13</xdr:col>
      <xdr:colOff>342901</xdr:colOff>
      <xdr:row>29</xdr:row>
      <xdr:rowOff>104775</xdr:rowOff>
    </xdr:to>
    <xdr:sp macro="" textlink="">
      <xdr:nvSpPr>
        <xdr:cNvPr id="19" name="CuadroTexto 18">
          <a:extLst>
            <a:ext uri="{FF2B5EF4-FFF2-40B4-BE49-F238E27FC236}">
              <a16:creationId xmlns:a16="http://schemas.microsoft.com/office/drawing/2014/main" id="{D6DAB839-30D4-6D8D-07D0-DD9F7AADF5FB}"/>
            </a:ext>
          </a:extLst>
        </xdr:cNvPr>
        <xdr:cNvSpPr txBox="1"/>
      </xdr:nvSpPr>
      <xdr:spPr>
        <a:xfrm>
          <a:off x="7124701" y="6562724"/>
          <a:ext cx="285750"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solidFill>
                <a:sysClr val="windowText" lastClr="000000"/>
              </a:solidFill>
              <a:latin typeface="Aptos Narrow" panose="020B0004020202020204" pitchFamily="34" charset="0"/>
            </a:rPr>
            <a:t>F</a:t>
          </a:r>
        </a:p>
      </xdr:txBody>
    </xdr:sp>
    <xdr:clientData/>
  </xdr:twoCellAnchor>
  <xdr:twoCellAnchor>
    <xdr:from>
      <xdr:col>13</xdr:col>
      <xdr:colOff>66675</xdr:colOff>
      <xdr:row>28</xdr:row>
      <xdr:rowOff>9525</xdr:rowOff>
    </xdr:from>
    <xdr:to>
      <xdr:col>13</xdr:col>
      <xdr:colOff>276225</xdr:colOff>
      <xdr:row>29</xdr:row>
      <xdr:rowOff>9525</xdr:rowOff>
    </xdr:to>
    <xdr:sp macro="" textlink="">
      <xdr:nvSpPr>
        <xdr:cNvPr id="20" name="Diagrama de flujo: conector 19">
          <a:extLst>
            <a:ext uri="{FF2B5EF4-FFF2-40B4-BE49-F238E27FC236}">
              <a16:creationId xmlns:a16="http://schemas.microsoft.com/office/drawing/2014/main" id="{C2DEB8BE-4C4D-FA33-9E91-F5EFF5035060}"/>
            </a:ext>
          </a:extLst>
        </xdr:cNvPr>
        <xdr:cNvSpPr/>
      </xdr:nvSpPr>
      <xdr:spPr>
        <a:xfrm>
          <a:off x="7134225" y="6572250"/>
          <a:ext cx="209550" cy="238125"/>
        </a:xfrm>
        <a:prstGeom prst="flowChartConnector">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3</xdr:col>
      <xdr:colOff>104774</xdr:colOff>
      <xdr:row>31</xdr:row>
      <xdr:rowOff>95250</xdr:rowOff>
    </xdr:from>
    <xdr:to>
      <xdr:col>11</xdr:col>
      <xdr:colOff>200025</xdr:colOff>
      <xdr:row>32</xdr:row>
      <xdr:rowOff>153154</xdr:rowOff>
    </xdr:to>
    <xdr:sp macro="" textlink="">
      <xdr:nvSpPr>
        <xdr:cNvPr id="24" name="Rectángulo: esquinas redondeadas 23">
          <a:extLst>
            <a:ext uri="{FF2B5EF4-FFF2-40B4-BE49-F238E27FC236}">
              <a16:creationId xmlns:a16="http://schemas.microsoft.com/office/drawing/2014/main" id="{6DA38BA3-F4A8-46C1-B961-B68AF358BA34}"/>
            </a:ext>
          </a:extLst>
        </xdr:cNvPr>
        <xdr:cNvSpPr/>
      </xdr:nvSpPr>
      <xdr:spPr>
        <a:xfrm>
          <a:off x="1876424" y="5943600"/>
          <a:ext cx="4857751" cy="257929"/>
        </a:xfrm>
        <a:prstGeom prst="roundRect">
          <a:avLst/>
        </a:prstGeom>
        <a:solidFill>
          <a:srgbClr val="215A47"/>
        </a:solidFill>
        <a:ln>
          <a:solidFill>
            <a:srgbClr val="215A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i="0" u="none" strike="noStrike">
              <a:solidFill>
                <a:schemeClr val="lt1"/>
              </a:solidFill>
              <a:effectLst/>
              <a:latin typeface="Arial Nova" panose="020B0504020202020204" pitchFamily="34" charset="0"/>
              <a:ea typeface="+mn-ea"/>
              <a:cs typeface="+mn-cs"/>
            </a:rPr>
            <a:t>PUEDE COMENZAR A RESPONDER LAS FRASES O AFIRMACIONES</a:t>
          </a:r>
          <a:r>
            <a:rPr lang="es-BO" sz="1200" b="1" baseline="0">
              <a:latin typeface="Arial Nova" panose="020B0504020202020204" pitchFamily="34" charset="0"/>
            </a:rPr>
            <a:t> </a:t>
          </a:r>
          <a:endParaRPr lang="es-BO" sz="1200" b="1">
            <a:latin typeface="Arial Nova" panose="020B0504020202020204" pitchFamily="34" charset="0"/>
          </a:endParaRPr>
        </a:p>
      </xdr:txBody>
    </xdr:sp>
    <xdr:clientData/>
  </xdr:twoCellAnchor>
  <xdr:twoCellAnchor editAs="oneCell">
    <xdr:from>
      <xdr:col>5</xdr:col>
      <xdr:colOff>38100</xdr:colOff>
      <xdr:row>36</xdr:row>
      <xdr:rowOff>84224</xdr:rowOff>
    </xdr:from>
    <xdr:to>
      <xdr:col>7</xdr:col>
      <xdr:colOff>419099</xdr:colOff>
      <xdr:row>40</xdr:row>
      <xdr:rowOff>196834</xdr:rowOff>
    </xdr:to>
    <xdr:pic>
      <xdr:nvPicPr>
        <xdr:cNvPr id="25" name="Imagen 24">
          <a:extLst>
            <a:ext uri="{FF2B5EF4-FFF2-40B4-BE49-F238E27FC236}">
              <a16:creationId xmlns:a16="http://schemas.microsoft.com/office/drawing/2014/main" id="{6E63E025-4605-B81F-F583-7BAE887E0704}"/>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7208" t="18739" r="5163" b="37858"/>
        <a:stretch/>
      </xdr:blipFill>
      <xdr:spPr bwMode="auto">
        <a:xfrm>
          <a:off x="3114675" y="8142374"/>
          <a:ext cx="1904999" cy="10651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291352</xdr:colOff>
      <xdr:row>35</xdr:row>
      <xdr:rowOff>200587</xdr:rowOff>
    </xdr:from>
    <xdr:to>
      <xdr:col>16</xdr:col>
      <xdr:colOff>11767</xdr:colOff>
      <xdr:row>41</xdr:row>
      <xdr:rowOff>78441</xdr:rowOff>
    </xdr:to>
    <xdr:grpSp>
      <xdr:nvGrpSpPr>
        <xdr:cNvPr id="10" name="Grupo 9">
          <a:hlinkClick xmlns:r="http://schemas.openxmlformats.org/officeDocument/2006/relationships" r:id="rId2"/>
          <a:extLst>
            <a:ext uri="{FF2B5EF4-FFF2-40B4-BE49-F238E27FC236}">
              <a16:creationId xmlns:a16="http://schemas.microsoft.com/office/drawing/2014/main" id="{0D845B54-4FDA-7929-D1AD-A38B1A06FC00}"/>
            </a:ext>
          </a:extLst>
        </xdr:cNvPr>
        <xdr:cNvGrpSpPr/>
      </xdr:nvGrpSpPr>
      <xdr:grpSpPr>
        <a:xfrm>
          <a:off x="7217932" y="7797727"/>
          <a:ext cx="1168215" cy="1249454"/>
          <a:chOff x="6801970" y="6533031"/>
          <a:chExt cx="1121151" cy="1088090"/>
        </a:xfrm>
      </xdr:grpSpPr>
      <xdr:pic>
        <xdr:nvPicPr>
          <xdr:cNvPr id="6" name="Gráfico 5" descr="Portapapeles parcialmente tachado con relleno sólido">
            <a:extLst>
              <a:ext uri="{FF2B5EF4-FFF2-40B4-BE49-F238E27FC236}">
                <a16:creationId xmlns:a16="http://schemas.microsoft.com/office/drawing/2014/main" id="{CEFCA9EC-48B6-F033-BCFE-6D4DFDCF12E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801970" y="6533031"/>
            <a:ext cx="914400" cy="918881"/>
          </a:xfrm>
          <a:prstGeom prst="rect">
            <a:avLst/>
          </a:prstGeom>
        </xdr:spPr>
      </xdr:pic>
      <xdr:sp macro="" textlink="">
        <xdr:nvSpPr>
          <xdr:cNvPr id="9" name="CuadroTexto 8">
            <a:extLst>
              <a:ext uri="{FF2B5EF4-FFF2-40B4-BE49-F238E27FC236}">
                <a16:creationId xmlns:a16="http://schemas.microsoft.com/office/drawing/2014/main" id="{E261B24A-49C0-437A-9038-8A25AD2D8CCB}"/>
              </a:ext>
            </a:extLst>
          </xdr:cNvPr>
          <xdr:cNvSpPr txBox="1"/>
        </xdr:nvSpPr>
        <xdr:spPr>
          <a:xfrm>
            <a:off x="6846796" y="7373471"/>
            <a:ext cx="10763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rial Nova" panose="020B0504020202020204" pitchFamily="34" charset="0"/>
              </a:rPr>
              <a:t>Inventario</a:t>
            </a:r>
          </a:p>
        </xdr:txBody>
      </xdr:sp>
    </xdr:grpSp>
    <xdr:clientData/>
  </xdr:twoCellAnchor>
  <xdr:twoCellAnchor editAs="oneCell">
    <xdr:from>
      <xdr:col>2</xdr:col>
      <xdr:colOff>190501</xdr:colOff>
      <xdr:row>1</xdr:row>
      <xdr:rowOff>114300</xdr:rowOff>
    </xdr:from>
    <xdr:to>
      <xdr:col>8</xdr:col>
      <xdr:colOff>600076</xdr:colOff>
      <xdr:row>4</xdr:row>
      <xdr:rowOff>95430</xdr:rowOff>
    </xdr:to>
    <xdr:pic>
      <xdr:nvPicPr>
        <xdr:cNvPr id="4" name="Imagen 3">
          <a:extLst>
            <a:ext uri="{FF2B5EF4-FFF2-40B4-BE49-F238E27FC236}">
              <a16:creationId xmlns:a16="http://schemas.microsoft.com/office/drawing/2014/main" id="{046224FE-E093-EEC3-1810-AD31DCF9D0C4}"/>
            </a:ext>
          </a:extLst>
        </xdr:cNvPr>
        <xdr:cNvPicPr>
          <a:picLocks noChangeAspect="1"/>
        </xdr:cNvPicPr>
      </xdr:nvPicPr>
      <xdr:blipFill>
        <a:blip xmlns:r="http://schemas.openxmlformats.org/officeDocument/2006/relationships" r:embed="rId5"/>
        <a:stretch>
          <a:fillRect/>
        </a:stretch>
      </xdr:blipFill>
      <xdr:spPr>
        <a:xfrm>
          <a:off x="1200151" y="352425"/>
          <a:ext cx="4762500" cy="695505"/>
        </a:xfrm>
        <a:prstGeom prst="rect">
          <a:avLst/>
        </a:prstGeom>
      </xdr:spPr>
    </xdr:pic>
    <xdr:clientData/>
  </xdr:twoCellAnchor>
  <xdr:twoCellAnchor>
    <xdr:from>
      <xdr:col>0</xdr:col>
      <xdr:colOff>742949</xdr:colOff>
      <xdr:row>5</xdr:row>
      <xdr:rowOff>9525</xdr:rowOff>
    </xdr:from>
    <xdr:to>
      <xdr:col>15</xdr:col>
      <xdr:colOff>161924</xdr:colOff>
      <xdr:row>6</xdr:row>
      <xdr:rowOff>47625</xdr:rowOff>
    </xdr:to>
    <xdr:sp macro="" textlink="">
      <xdr:nvSpPr>
        <xdr:cNvPr id="11" name="CuadroTexto 10">
          <a:extLst>
            <a:ext uri="{FF2B5EF4-FFF2-40B4-BE49-F238E27FC236}">
              <a16:creationId xmlns:a16="http://schemas.microsoft.com/office/drawing/2014/main" id="{67C00F96-ACC7-8029-0E71-C6A5096017B2}"/>
            </a:ext>
          </a:extLst>
        </xdr:cNvPr>
        <xdr:cNvSpPr txBox="1"/>
      </xdr:nvSpPr>
      <xdr:spPr>
        <a:xfrm>
          <a:off x="742949" y="1200150"/>
          <a:ext cx="72390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solidFill>
                <a:srgbClr val="215A47"/>
              </a:solidFill>
              <a:latin typeface="Daytona" panose="020B0604030500040204" pitchFamily="34" charset="0"/>
            </a:rPr>
            <a:t>Por</a:t>
          </a:r>
          <a:r>
            <a:rPr lang="es-BO" sz="1100" b="1" baseline="0">
              <a:solidFill>
                <a:srgbClr val="215A47"/>
              </a:solidFill>
              <a:latin typeface="Daytona" panose="020B0604030500040204" pitchFamily="34" charset="0"/>
            </a:rPr>
            <a:t> favor, antes de comenzar a leer las intrucciones complete los siguientes datos de identificación.</a:t>
          </a:r>
          <a:endParaRPr lang="es-BO" sz="1100" b="1">
            <a:solidFill>
              <a:srgbClr val="215A47"/>
            </a:solidFill>
            <a:latin typeface="Daytona" panose="020B0604030500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2313214</xdr:colOff>
      <xdr:row>2</xdr:row>
      <xdr:rowOff>27214</xdr:rowOff>
    </xdr:from>
    <xdr:to>
      <xdr:col>2</xdr:col>
      <xdr:colOff>2816678</xdr:colOff>
      <xdr:row>6</xdr:row>
      <xdr:rowOff>149678</xdr:rowOff>
    </xdr:to>
    <xdr:sp macro="" textlink="">
      <xdr:nvSpPr>
        <xdr:cNvPr id="4" name="Diagrama de flujo: conector 3">
          <a:extLst>
            <a:ext uri="{FF2B5EF4-FFF2-40B4-BE49-F238E27FC236}">
              <a16:creationId xmlns:a16="http://schemas.microsoft.com/office/drawing/2014/main" id="{3E17B81F-246A-6CC6-7A42-CBDDA446521A}"/>
            </a:ext>
          </a:extLst>
        </xdr:cNvPr>
        <xdr:cNvSpPr/>
      </xdr:nvSpPr>
      <xdr:spPr>
        <a:xfrm>
          <a:off x="3061607" y="802821"/>
          <a:ext cx="503464" cy="476250"/>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2</xdr:col>
      <xdr:colOff>3184072</xdr:colOff>
      <xdr:row>2</xdr:row>
      <xdr:rowOff>95251</xdr:rowOff>
    </xdr:from>
    <xdr:to>
      <xdr:col>2</xdr:col>
      <xdr:colOff>3592286</xdr:colOff>
      <xdr:row>6</xdr:row>
      <xdr:rowOff>122465</xdr:rowOff>
    </xdr:to>
    <xdr:sp macro="" textlink="">
      <xdr:nvSpPr>
        <xdr:cNvPr id="6" name="Diagrama de flujo: conector 5">
          <a:extLst>
            <a:ext uri="{FF2B5EF4-FFF2-40B4-BE49-F238E27FC236}">
              <a16:creationId xmlns:a16="http://schemas.microsoft.com/office/drawing/2014/main" id="{F4580783-DB73-712D-188B-D785EC7F4B87}"/>
            </a:ext>
          </a:extLst>
        </xdr:cNvPr>
        <xdr:cNvSpPr/>
      </xdr:nvSpPr>
      <xdr:spPr>
        <a:xfrm>
          <a:off x="3932465" y="870858"/>
          <a:ext cx="408214" cy="381000"/>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2</xdr:col>
      <xdr:colOff>3986893</xdr:colOff>
      <xdr:row>2</xdr:row>
      <xdr:rowOff>163286</xdr:rowOff>
    </xdr:from>
    <xdr:to>
      <xdr:col>2</xdr:col>
      <xdr:colOff>4272643</xdr:colOff>
      <xdr:row>6</xdr:row>
      <xdr:rowOff>81642</xdr:rowOff>
    </xdr:to>
    <xdr:sp macro="" textlink="">
      <xdr:nvSpPr>
        <xdr:cNvPr id="7" name="Diagrama de flujo: conector 6">
          <a:extLst>
            <a:ext uri="{FF2B5EF4-FFF2-40B4-BE49-F238E27FC236}">
              <a16:creationId xmlns:a16="http://schemas.microsoft.com/office/drawing/2014/main" id="{6837D68C-0587-5F47-E9D6-F23DA0F8867A}"/>
            </a:ext>
          </a:extLst>
        </xdr:cNvPr>
        <xdr:cNvSpPr/>
      </xdr:nvSpPr>
      <xdr:spPr>
        <a:xfrm>
          <a:off x="4735286" y="938893"/>
          <a:ext cx="285750" cy="272142"/>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2</xdr:col>
      <xdr:colOff>4776108</xdr:colOff>
      <xdr:row>5</xdr:row>
      <xdr:rowOff>40822</xdr:rowOff>
    </xdr:from>
    <xdr:to>
      <xdr:col>2</xdr:col>
      <xdr:colOff>4966607</xdr:colOff>
      <xdr:row>6</xdr:row>
      <xdr:rowOff>54429</xdr:rowOff>
    </xdr:to>
    <xdr:sp macro="" textlink="">
      <xdr:nvSpPr>
        <xdr:cNvPr id="8" name="Diagrama de flujo: conector 7">
          <a:extLst>
            <a:ext uri="{FF2B5EF4-FFF2-40B4-BE49-F238E27FC236}">
              <a16:creationId xmlns:a16="http://schemas.microsoft.com/office/drawing/2014/main" id="{141692C7-F9EC-0195-0AAF-930D76433D40}"/>
            </a:ext>
          </a:extLst>
        </xdr:cNvPr>
        <xdr:cNvSpPr/>
      </xdr:nvSpPr>
      <xdr:spPr>
        <a:xfrm>
          <a:off x="5524501" y="993322"/>
          <a:ext cx="190499" cy="190500"/>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mc:AlternateContent xmlns:mc="http://schemas.openxmlformats.org/markup-compatibility/2006">
    <mc:Choice xmlns:a14="http://schemas.microsoft.com/office/drawing/2010/main" Requires="a14">
      <xdr:twoCellAnchor>
        <xdr:from>
          <xdr:col>2</xdr:col>
          <xdr:colOff>6088380</xdr:colOff>
          <xdr:row>85</xdr:row>
          <xdr:rowOff>121920</xdr:rowOff>
        </xdr:from>
        <xdr:to>
          <xdr:col>3</xdr:col>
          <xdr:colOff>106680</xdr:colOff>
          <xdr:row>88</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BO" sz="1100" b="0" i="0" u="none" strike="noStrike" baseline="0">
                  <a:solidFill>
                    <a:srgbClr val="000000"/>
                  </a:solidFill>
                  <a:latin typeface="Daytona"/>
                </a:rPr>
                <a:t>Guardar Respuestas</a:t>
              </a:r>
            </a:p>
          </xdr:txBody>
        </xdr:sp>
        <xdr:clientData fPrintsWithSheet="0"/>
      </xdr:twoCellAnchor>
    </mc:Choice>
    <mc:Fallback/>
  </mc:AlternateContent>
  <xdr:twoCellAnchor>
    <xdr:from>
      <xdr:col>2</xdr:col>
      <xdr:colOff>9420226</xdr:colOff>
      <xdr:row>83</xdr:row>
      <xdr:rowOff>114300</xdr:rowOff>
    </xdr:from>
    <xdr:to>
      <xdr:col>2</xdr:col>
      <xdr:colOff>10648950</xdr:colOff>
      <xdr:row>88</xdr:row>
      <xdr:rowOff>152400</xdr:rowOff>
    </xdr:to>
    <xdr:grpSp>
      <xdr:nvGrpSpPr>
        <xdr:cNvPr id="14" name="Grupo 13">
          <a:hlinkClick xmlns:r="http://schemas.openxmlformats.org/officeDocument/2006/relationships" r:id="rId1"/>
          <a:extLst>
            <a:ext uri="{FF2B5EF4-FFF2-40B4-BE49-F238E27FC236}">
              <a16:creationId xmlns:a16="http://schemas.microsoft.com/office/drawing/2014/main" id="{258521D0-A7BF-E53D-F525-E2E262ADECCC}"/>
            </a:ext>
          </a:extLst>
        </xdr:cNvPr>
        <xdr:cNvGrpSpPr/>
      </xdr:nvGrpSpPr>
      <xdr:grpSpPr>
        <a:xfrm>
          <a:off x="8208646" y="25633680"/>
          <a:ext cx="0" cy="1181100"/>
          <a:chOff x="10296524" y="19154775"/>
          <a:chExt cx="1076325" cy="790575"/>
        </a:xfrm>
      </xdr:grpSpPr>
      <xdr:pic>
        <xdr:nvPicPr>
          <xdr:cNvPr id="12" name="Gráfico 11" descr="Investigación contorno">
            <a:extLst>
              <a:ext uri="{FF2B5EF4-FFF2-40B4-BE49-F238E27FC236}">
                <a16:creationId xmlns:a16="http://schemas.microsoft.com/office/drawing/2014/main" id="{3C84D932-F89A-C504-C04E-9FCD6FACF62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334625" y="19154775"/>
            <a:ext cx="914400" cy="647700"/>
          </a:xfrm>
          <a:prstGeom prst="rect">
            <a:avLst/>
          </a:prstGeom>
        </xdr:spPr>
      </xdr:pic>
      <xdr:sp macro="" textlink="">
        <xdr:nvSpPr>
          <xdr:cNvPr id="13" name="CuadroTexto 12">
            <a:extLst>
              <a:ext uri="{FF2B5EF4-FFF2-40B4-BE49-F238E27FC236}">
                <a16:creationId xmlns:a16="http://schemas.microsoft.com/office/drawing/2014/main" id="{EEA1E52F-3D97-35FF-705E-B3ADC03CBD94}"/>
              </a:ext>
            </a:extLst>
          </xdr:cNvPr>
          <xdr:cNvSpPr txBox="1"/>
        </xdr:nvSpPr>
        <xdr:spPr>
          <a:xfrm>
            <a:off x="10296524" y="19697700"/>
            <a:ext cx="10763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Arial Nova" panose="020B0504020202020204" pitchFamily="34" charset="0"/>
              </a:rPr>
              <a:t>Ítems</a:t>
            </a:r>
            <a:r>
              <a:rPr lang="es-BO" sz="1100" b="1" baseline="0">
                <a:latin typeface="Arial Nova" panose="020B0504020202020204" pitchFamily="34" charset="0"/>
              </a:rPr>
              <a:t> criticos</a:t>
            </a:r>
            <a:endParaRPr lang="es-BO" sz="1100" b="1">
              <a:latin typeface="Arial Nova" panose="020B0504020202020204" pitchFamily="34" charset="0"/>
            </a:endParaRPr>
          </a:p>
        </xdr:txBody>
      </xdr:sp>
    </xdr:grpSp>
    <xdr:clientData/>
  </xdr:twoCellAnchor>
  <xdr:twoCellAnchor>
    <xdr:from>
      <xdr:col>3</xdr:col>
      <xdr:colOff>352421</xdr:colOff>
      <xdr:row>84</xdr:row>
      <xdr:rowOff>133346</xdr:rowOff>
    </xdr:from>
    <xdr:to>
      <xdr:col>5</xdr:col>
      <xdr:colOff>209552</xdr:colOff>
      <xdr:row>88</xdr:row>
      <xdr:rowOff>152396</xdr:rowOff>
    </xdr:to>
    <xdr:grpSp>
      <xdr:nvGrpSpPr>
        <xdr:cNvPr id="18" name="Grupo 17">
          <a:hlinkClick xmlns:r="http://schemas.openxmlformats.org/officeDocument/2006/relationships" r:id="rId4"/>
          <a:extLst>
            <a:ext uri="{FF2B5EF4-FFF2-40B4-BE49-F238E27FC236}">
              <a16:creationId xmlns:a16="http://schemas.microsoft.com/office/drawing/2014/main" id="{FD3B061B-582D-517D-D04B-0C1B7CCE8DA6}"/>
            </a:ext>
          </a:extLst>
        </xdr:cNvPr>
        <xdr:cNvGrpSpPr/>
      </xdr:nvGrpSpPr>
      <xdr:grpSpPr>
        <a:xfrm>
          <a:off x="8559161" y="25881326"/>
          <a:ext cx="817251" cy="933450"/>
          <a:chOff x="11868150" y="19107150"/>
          <a:chExt cx="824745" cy="904215"/>
        </a:xfrm>
      </xdr:grpSpPr>
      <xdr:pic>
        <xdr:nvPicPr>
          <xdr:cNvPr id="16" name="Gráfico 15" descr="Documento con relleno sólido">
            <a:extLst>
              <a:ext uri="{FF2B5EF4-FFF2-40B4-BE49-F238E27FC236}">
                <a16:creationId xmlns:a16="http://schemas.microsoft.com/office/drawing/2014/main" id="{96BA449A-909A-CE34-DBFD-C4C49540406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68150" y="19107150"/>
            <a:ext cx="733425" cy="733425"/>
          </a:xfrm>
          <a:prstGeom prst="rect">
            <a:avLst/>
          </a:prstGeom>
        </xdr:spPr>
      </xdr:pic>
      <xdr:sp macro="" textlink="">
        <xdr:nvSpPr>
          <xdr:cNvPr id="17" name="CuadroTexto 16">
            <a:extLst>
              <a:ext uri="{FF2B5EF4-FFF2-40B4-BE49-F238E27FC236}">
                <a16:creationId xmlns:a16="http://schemas.microsoft.com/office/drawing/2014/main" id="{CC2EDA63-5D56-4B7C-ADAD-3147CDB51B3C}"/>
              </a:ext>
            </a:extLst>
          </xdr:cNvPr>
          <xdr:cNvSpPr txBox="1"/>
        </xdr:nvSpPr>
        <xdr:spPr>
          <a:xfrm>
            <a:off x="11959470" y="19763715"/>
            <a:ext cx="7334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Arial Nova" panose="020B0504020202020204" pitchFamily="34" charset="0"/>
              </a:rPr>
              <a:t>Perfil</a:t>
            </a:r>
          </a:p>
        </xdr:txBody>
      </xdr:sp>
    </xdr:grpSp>
    <xdr:clientData/>
  </xdr:twoCellAnchor>
  <mc:AlternateContent xmlns:mc="http://schemas.openxmlformats.org/markup-compatibility/2006">
    <mc:Choice xmlns:a14="http://schemas.microsoft.com/office/drawing/2010/main" Requires="a14">
      <xdr:twoCellAnchor>
        <xdr:from>
          <xdr:col>3</xdr:col>
          <xdr:colOff>76200</xdr:colOff>
          <xdr:row>2</xdr:row>
          <xdr:rowOff>175260</xdr:rowOff>
        </xdr:from>
        <xdr:to>
          <xdr:col>5</xdr:col>
          <xdr:colOff>365760</xdr:colOff>
          <xdr:row>4</xdr:row>
          <xdr:rowOff>83820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BO" sz="1100" b="0" i="0" u="none" strike="noStrike" baseline="0">
                  <a:solidFill>
                    <a:srgbClr val="000000"/>
                  </a:solidFill>
                  <a:latin typeface="Calibri"/>
                  <a:ea typeface="Calibri"/>
                  <a:cs typeface="Calibri"/>
                </a:rPr>
                <a:t>Borrar</a:t>
              </a:r>
            </a:p>
          </xdr:txBody>
        </xdr:sp>
        <xdr:clientData fPrintsWithSheet="0"/>
      </xdr:twoCellAnchor>
    </mc:Choice>
    <mc:Fallback/>
  </mc:AlternateContent>
  <xdr:twoCellAnchor editAs="oneCell">
    <xdr:from>
      <xdr:col>1</xdr:col>
      <xdr:colOff>269430</xdr:colOff>
      <xdr:row>1</xdr:row>
      <xdr:rowOff>152956</xdr:rowOff>
    </xdr:from>
    <xdr:to>
      <xdr:col>2</xdr:col>
      <xdr:colOff>6751753</xdr:colOff>
      <xdr:row>5</xdr:row>
      <xdr:rowOff>9524</xdr:rowOff>
    </xdr:to>
    <xdr:pic>
      <xdr:nvPicPr>
        <xdr:cNvPr id="2" name="Imagen 1">
          <a:extLst>
            <a:ext uri="{FF2B5EF4-FFF2-40B4-BE49-F238E27FC236}">
              <a16:creationId xmlns:a16="http://schemas.microsoft.com/office/drawing/2014/main" id="{DA0AAB5C-8C64-F1BE-F323-C22B1C8F4429}"/>
            </a:ext>
          </a:extLst>
        </xdr:cNvPr>
        <xdr:cNvPicPr>
          <a:picLocks noChangeAspect="1"/>
        </xdr:cNvPicPr>
      </xdr:nvPicPr>
      <xdr:blipFill>
        <a:blip xmlns:r="http://schemas.openxmlformats.org/officeDocument/2006/relationships" r:embed="rId7"/>
        <a:stretch>
          <a:fillRect/>
        </a:stretch>
      </xdr:blipFill>
      <xdr:spPr>
        <a:xfrm>
          <a:off x="1079055" y="419656"/>
          <a:ext cx="6891898" cy="799543"/>
        </a:xfrm>
        <a:prstGeom prst="rect">
          <a:avLst/>
        </a:prstGeom>
      </xdr:spPr>
    </xdr:pic>
    <xdr:clientData/>
  </xdr:twoCellAnchor>
  <xdr:twoCellAnchor editAs="oneCell">
    <xdr:from>
      <xdr:col>2</xdr:col>
      <xdr:colOff>2218763</xdr:colOff>
      <xdr:row>83</xdr:row>
      <xdr:rowOff>56029</xdr:rowOff>
    </xdr:from>
    <xdr:to>
      <xdr:col>6</xdr:col>
      <xdr:colOff>0</xdr:colOff>
      <xdr:row>84</xdr:row>
      <xdr:rowOff>130590</xdr:rowOff>
    </xdr:to>
    <xdr:pic>
      <xdr:nvPicPr>
        <xdr:cNvPr id="15" name="Imagen 14">
          <a:extLst>
            <a:ext uri="{FF2B5EF4-FFF2-40B4-BE49-F238E27FC236}">
              <a16:creationId xmlns:a16="http://schemas.microsoft.com/office/drawing/2014/main" id="{99FC1786-0745-4198-6FAB-EDC11322A851}"/>
            </a:ext>
          </a:extLst>
        </xdr:cNvPr>
        <xdr:cNvPicPr>
          <a:picLocks noChangeAspect="1"/>
        </xdr:cNvPicPr>
      </xdr:nvPicPr>
      <xdr:blipFill>
        <a:blip xmlns:r="http://schemas.openxmlformats.org/officeDocument/2006/relationships" r:embed="rId8"/>
        <a:stretch>
          <a:fillRect/>
        </a:stretch>
      </xdr:blipFill>
      <xdr:spPr>
        <a:xfrm>
          <a:off x="3440204" y="21548911"/>
          <a:ext cx="5915202" cy="3098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28575</xdr:colOff>
      <xdr:row>12</xdr:row>
      <xdr:rowOff>47624</xdr:rowOff>
    </xdr:from>
    <xdr:to>
      <xdr:col>15</xdr:col>
      <xdr:colOff>281609</xdr:colOff>
      <xdr:row>14</xdr:row>
      <xdr:rowOff>47624</xdr:rowOff>
    </xdr:to>
    <xdr:grpSp>
      <xdr:nvGrpSpPr>
        <xdr:cNvPr id="13" name="Grupo 12">
          <a:extLst>
            <a:ext uri="{FF2B5EF4-FFF2-40B4-BE49-F238E27FC236}">
              <a16:creationId xmlns:a16="http://schemas.microsoft.com/office/drawing/2014/main" id="{EAC5A9AF-9A03-AFD1-0A6E-FA58A8048A9D}"/>
            </a:ext>
          </a:extLst>
        </xdr:cNvPr>
        <xdr:cNvGrpSpPr/>
      </xdr:nvGrpSpPr>
      <xdr:grpSpPr>
        <a:xfrm>
          <a:off x="2612749" y="1856546"/>
          <a:ext cx="5319671" cy="231913"/>
          <a:chOff x="3933825" y="2105025"/>
          <a:chExt cx="6124292" cy="419100"/>
        </a:xfrm>
      </xdr:grpSpPr>
      <xdr:sp macro="" textlink="">
        <xdr:nvSpPr>
          <xdr:cNvPr id="12" name="Rectángulo: esquinas redondeadas 11">
            <a:extLst>
              <a:ext uri="{FF2B5EF4-FFF2-40B4-BE49-F238E27FC236}">
                <a16:creationId xmlns:a16="http://schemas.microsoft.com/office/drawing/2014/main" id="{FE0D434B-3E9B-9DA3-040A-A7CD092E6833}"/>
              </a:ext>
            </a:extLst>
          </xdr:cNvPr>
          <xdr:cNvSpPr/>
        </xdr:nvSpPr>
        <xdr:spPr>
          <a:xfrm>
            <a:off x="5333999" y="2105025"/>
            <a:ext cx="4724118" cy="419100"/>
          </a:xfrm>
          <a:prstGeom prst="roundRect">
            <a:avLst>
              <a:gd name="adj" fmla="val 0"/>
            </a:avLst>
          </a:prstGeom>
          <a:solidFill>
            <a:srgbClr val="FEE1BB"/>
          </a:solidFill>
          <a:ln>
            <a:solidFill>
              <a:srgbClr val="FEE1B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1" name="Rectángulo: esquinas redondeadas 10">
            <a:extLst>
              <a:ext uri="{FF2B5EF4-FFF2-40B4-BE49-F238E27FC236}">
                <a16:creationId xmlns:a16="http://schemas.microsoft.com/office/drawing/2014/main" id="{4DF88B30-728B-BA94-93C1-03BE50C71373}"/>
              </a:ext>
            </a:extLst>
          </xdr:cNvPr>
          <xdr:cNvSpPr/>
        </xdr:nvSpPr>
        <xdr:spPr>
          <a:xfrm>
            <a:off x="3933825" y="2105025"/>
            <a:ext cx="1400176" cy="419100"/>
          </a:xfrm>
          <a:prstGeom prst="roundRect">
            <a:avLst>
              <a:gd name="adj" fmla="val 0"/>
            </a:avLst>
          </a:prstGeom>
          <a:solidFill>
            <a:srgbClr val="44B592"/>
          </a:solidFill>
          <a:ln>
            <a:solidFill>
              <a:srgbClr val="44B5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4</xdr:col>
      <xdr:colOff>21979</xdr:colOff>
      <xdr:row>11</xdr:row>
      <xdr:rowOff>87923</xdr:rowOff>
    </xdr:from>
    <xdr:to>
      <xdr:col>6</xdr:col>
      <xdr:colOff>139211</xdr:colOff>
      <xdr:row>12</xdr:row>
      <xdr:rowOff>9524</xdr:rowOff>
    </xdr:to>
    <xdr:sp macro="" textlink="">
      <xdr:nvSpPr>
        <xdr:cNvPr id="3" name="Diagrama de flujo: terminador 1">
          <a:extLst>
            <a:ext uri="{FF2B5EF4-FFF2-40B4-BE49-F238E27FC236}">
              <a16:creationId xmlns:a16="http://schemas.microsoft.com/office/drawing/2014/main" id="{3B1C8141-F2A4-8AF5-CD7B-442C054F9FE7}"/>
            </a:ext>
          </a:extLst>
        </xdr:cNvPr>
        <xdr:cNvSpPr/>
      </xdr:nvSpPr>
      <xdr:spPr>
        <a:xfrm>
          <a:off x="1868364" y="1765788"/>
          <a:ext cx="527539" cy="178044"/>
        </a:xfrm>
        <a:prstGeom prst="flowChartTerminator">
          <a:avLst/>
        </a:prstGeom>
        <a:gradFill flip="none" rotWithShape="1">
          <a:gsLst>
            <a:gs pos="0">
              <a:srgbClr val="C00000">
                <a:shade val="30000"/>
                <a:satMod val="115000"/>
              </a:srgbClr>
            </a:gs>
            <a:gs pos="50000">
              <a:srgbClr val="C00000">
                <a:shade val="67500"/>
                <a:satMod val="115000"/>
              </a:srgbClr>
            </a:gs>
            <a:gs pos="100000">
              <a:srgbClr val="C00000">
                <a:shade val="100000"/>
                <a:satMod val="115000"/>
              </a:srgbClr>
            </a:gs>
          </a:gsLst>
          <a:lin ang="16200000" scaled="1"/>
          <a:tileRect/>
        </a:gradFill>
        <a:ln w="952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ptos Narrow" panose="020B0004020202020204" pitchFamily="34" charset="0"/>
            </a:rPr>
            <a:t>PD</a:t>
          </a:r>
        </a:p>
      </xdr:txBody>
    </xdr:sp>
    <xdr:clientData/>
  </xdr:twoCellAnchor>
  <xdr:twoCellAnchor>
    <xdr:from>
      <xdr:col>7</xdr:col>
      <xdr:colOff>19049</xdr:colOff>
      <xdr:row>12</xdr:row>
      <xdr:rowOff>49696</xdr:rowOff>
    </xdr:from>
    <xdr:to>
      <xdr:col>16</xdr:col>
      <xdr:colOff>0</xdr:colOff>
      <xdr:row>14</xdr:row>
      <xdr:rowOff>58615</xdr:rowOff>
    </xdr:to>
    <xdr:graphicFrame macro="">
      <xdr:nvGraphicFramePr>
        <xdr:cNvPr id="9" name="Gráfico 8">
          <a:extLst>
            <a:ext uri="{FF2B5EF4-FFF2-40B4-BE49-F238E27FC236}">
              <a16:creationId xmlns:a16="http://schemas.microsoft.com/office/drawing/2014/main" id="{33804167-2D96-7516-D14D-B9E7E3929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29307</xdr:colOff>
      <xdr:row>15</xdr:row>
      <xdr:rowOff>3140</xdr:rowOff>
    </xdr:from>
    <xdr:to>
      <xdr:col>15</xdr:col>
      <xdr:colOff>276225</xdr:colOff>
      <xdr:row>26</xdr:row>
      <xdr:rowOff>180975</xdr:rowOff>
    </xdr:to>
    <xdr:grpSp>
      <xdr:nvGrpSpPr>
        <xdr:cNvPr id="26" name="Grupo 25">
          <a:extLst>
            <a:ext uri="{FF2B5EF4-FFF2-40B4-BE49-F238E27FC236}">
              <a16:creationId xmlns:a16="http://schemas.microsoft.com/office/drawing/2014/main" id="{F97C64A6-4D65-71E1-536F-482F8DE9C112}"/>
            </a:ext>
          </a:extLst>
        </xdr:cNvPr>
        <xdr:cNvGrpSpPr/>
      </xdr:nvGrpSpPr>
      <xdr:grpSpPr>
        <a:xfrm>
          <a:off x="2613481" y="2249383"/>
          <a:ext cx="5321175" cy="1853242"/>
          <a:chOff x="3343122" y="2638425"/>
          <a:chExt cx="4972204" cy="2614613"/>
        </a:xfrm>
      </xdr:grpSpPr>
      <xdr:grpSp>
        <xdr:nvGrpSpPr>
          <xdr:cNvPr id="25" name="Grupo 24">
            <a:extLst>
              <a:ext uri="{FF2B5EF4-FFF2-40B4-BE49-F238E27FC236}">
                <a16:creationId xmlns:a16="http://schemas.microsoft.com/office/drawing/2014/main" id="{FCE0B5D6-C432-9C41-0669-22413E03ED6E}"/>
              </a:ext>
            </a:extLst>
          </xdr:cNvPr>
          <xdr:cNvGrpSpPr/>
        </xdr:nvGrpSpPr>
        <xdr:grpSpPr>
          <a:xfrm>
            <a:off x="3343122" y="2956323"/>
            <a:ext cx="4972204" cy="2296715"/>
            <a:chOff x="3343122" y="2956323"/>
            <a:chExt cx="4972204" cy="2296715"/>
          </a:xfrm>
        </xdr:grpSpPr>
        <xdr:grpSp>
          <xdr:nvGrpSpPr>
            <xdr:cNvPr id="21" name="Grupo 20">
              <a:extLst>
                <a:ext uri="{FF2B5EF4-FFF2-40B4-BE49-F238E27FC236}">
                  <a16:creationId xmlns:a16="http://schemas.microsoft.com/office/drawing/2014/main" id="{81361845-830B-427A-8068-AC3889DB9FAA}"/>
                </a:ext>
              </a:extLst>
            </xdr:cNvPr>
            <xdr:cNvGrpSpPr/>
          </xdr:nvGrpSpPr>
          <xdr:grpSpPr>
            <a:xfrm>
              <a:off x="3343122" y="4819650"/>
              <a:ext cx="4972204" cy="433388"/>
              <a:chOff x="3945404" y="2105025"/>
              <a:chExt cx="6143815" cy="419100"/>
            </a:xfrm>
          </xdr:grpSpPr>
          <xdr:sp macro="" textlink="">
            <xdr:nvSpPr>
              <xdr:cNvPr id="22" name="Rectángulo: esquinas redondeadas 21">
                <a:extLst>
                  <a:ext uri="{FF2B5EF4-FFF2-40B4-BE49-F238E27FC236}">
                    <a16:creationId xmlns:a16="http://schemas.microsoft.com/office/drawing/2014/main" id="{8D051CBA-879A-CD28-D809-C8DCF16497B5}"/>
                  </a:ext>
                </a:extLst>
              </xdr:cNvPr>
              <xdr:cNvSpPr/>
            </xdr:nvSpPr>
            <xdr:spPr>
              <a:xfrm>
                <a:off x="6781799" y="2105025"/>
                <a:ext cx="3307420" cy="419100"/>
              </a:xfrm>
              <a:prstGeom prst="roundRect">
                <a:avLst>
                  <a:gd name="adj" fmla="val 0"/>
                </a:avLst>
              </a:prstGeom>
              <a:solidFill>
                <a:srgbClr val="FEE1BB"/>
              </a:solidFill>
              <a:ln>
                <a:solidFill>
                  <a:srgbClr val="FEE1B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3" name="Rectángulo: esquinas redondeadas 22">
                <a:extLst>
                  <a:ext uri="{FF2B5EF4-FFF2-40B4-BE49-F238E27FC236}">
                    <a16:creationId xmlns:a16="http://schemas.microsoft.com/office/drawing/2014/main" id="{7DB2CF1A-8801-8390-514F-84A6AEB7A2EA}"/>
                  </a:ext>
                </a:extLst>
              </xdr:cNvPr>
              <xdr:cNvSpPr/>
            </xdr:nvSpPr>
            <xdr:spPr>
              <a:xfrm>
                <a:off x="3945404" y="2105025"/>
                <a:ext cx="2817344" cy="419100"/>
              </a:xfrm>
              <a:prstGeom prst="roundRect">
                <a:avLst>
                  <a:gd name="adj" fmla="val 0"/>
                </a:avLst>
              </a:prstGeom>
              <a:solidFill>
                <a:srgbClr val="44B592"/>
              </a:solidFill>
              <a:ln>
                <a:solidFill>
                  <a:srgbClr val="44B5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grpSp>
          <xdr:nvGrpSpPr>
            <xdr:cNvPr id="18" name="Grupo 17">
              <a:extLst>
                <a:ext uri="{FF2B5EF4-FFF2-40B4-BE49-F238E27FC236}">
                  <a16:creationId xmlns:a16="http://schemas.microsoft.com/office/drawing/2014/main" id="{5453A4A6-23DD-48F1-AA49-FE813036670D}"/>
                </a:ext>
              </a:extLst>
            </xdr:cNvPr>
            <xdr:cNvGrpSpPr/>
          </xdr:nvGrpSpPr>
          <xdr:grpSpPr>
            <a:xfrm>
              <a:off x="3343275" y="2956323"/>
              <a:ext cx="4972051" cy="1846580"/>
              <a:chOff x="3933824" y="2105025"/>
              <a:chExt cx="6143626" cy="424003"/>
            </a:xfrm>
          </xdr:grpSpPr>
          <xdr:sp macro="" textlink="">
            <xdr:nvSpPr>
              <xdr:cNvPr id="20" name="Rectángulo: esquinas redondeadas 19">
                <a:extLst>
                  <a:ext uri="{FF2B5EF4-FFF2-40B4-BE49-F238E27FC236}">
                    <a16:creationId xmlns:a16="http://schemas.microsoft.com/office/drawing/2014/main" id="{FC8440B0-9089-F621-2A6A-117CE22EC387}"/>
                  </a:ext>
                </a:extLst>
              </xdr:cNvPr>
              <xdr:cNvSpPr/>
            </xdr:nvSpPr>
            <xdr:spPr>
              <a:xfrm>
                <a:off x="5257799" y="2105025"/>
                <a:ext cx="4819651" cy="424003"/>
              </a:xfrm>
              <a:prstGeom prst="roundRect">
                <a:avLst>
                  <a:gd name="adj" fmla="val 0"/>
                </a:avLst>
              </a:prstGeom>
              <a:solidFill>
                <a:srgbClr val="FEE1BB"/>
              </a:solidFill>
              <a:ln>
                <a:solidFill>
                  <a:srgbClr val="FEE1B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9" name="Rectángulo: esquinas redondeadas 18">
                <a:extLst>
                  <a:ext uri="{FF2B5EF4-FFF2-40B4-BE49-F238E27FC236}">
                    <a16:creationId xmlns:a16="http://schemas.microsoft.com/office/drawing/2014/main" id="{7E5236BF-2F4B-22EB-1B5A-C11AF68F9344}"/>
                  </a:ext>
                </a:extLst>
              </xdr:cNvPr>
              <xdr:cNvSpPr/>
            </xdr:nvSpPr>
            <xdr:spPr>
              <a:xfrm>
                <a:off x="3933824" y="2105025"/>
                <a:ext cx="1304925" cy="423474"/>
              </a:xfrm>
              <a:prstGeom prst="roundRect">
                <a:avLst>
                  <a:gd name="adj" fmla="val 734"/>
                </a:avLst>
              </a:prstGeom>
              <a:solidFill>
                <a:srgbClr val="44B592"/>
              </a:solidFill>
              <a:ln>
                <a:solidFill>
                  <a:srgbClr val="44B5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grpSp>
      <xdr:grpSp>
        <xdr:nvGrpSpPr>
          <xdr:cNvPr id="14" name="Grupo 13">
            <a:extLst>
              <a:ext uri="{FF2B5EF4-FFF2-40B4-BE49-F238E27FC236}">
                <a16:creationId xmlns:a16="http://schemas.microsoft.com/office/drawing/2014/main" id="{8C43735C-CA45-DCB9-70F0-A3B3DAAFED00}"/>
              </a:ext>
            </a:extLst>
          </xdr:cNvPr>
          <xdr:cNvGrpSpPr/>
        </xdr:nvGrpSpPr>
        <xdr:grpSpPr>
          <a:xfrm>
            <a:off x="3343275" y="2638425"/>
            <a:ext cx="4972051" cy="323850"/>
            <a:chOff x="3933825" y="2105025"/>
            <a:chExt cx="6143626" cy="419100"/>
          </a:xfrm>
        </xdr:grpSpPr>
        <xdr:sp macro="" textlink="">
          <xdr:nvSpPr>
            <xdr:cNvPr id="16" name="Rectángulo: esquinas redondeadas 15">
              <a:extLst>
                <a:ext uri="{FF2B5EF4-FFF2-40B4-BE49-F238E27FC236}">
                  <a16:creationId xmlns:a16="http://schemas.microsoft.com/office/drawing/2014/main" id="{6F704994-0A0C-BE08-58A0-2B284EAB8BC6}"/>
                </a:ext>
              </a:extLst>
            </xdr:cNvPr>
            <xdr:cNvSpPr/>
          </xdr:nvSpPr>
          <xdr:spPr>
            <a:xfrm>
              <a:off x="4838702" y="2105025"/>
              <a:ext cx="5238749" cy="419100"/>
            </a:xfrm>
            <a:prstGeom prst="roundRect">
              <a:avLst>
                <a:gd name="adj" fmla="val 0"/>
              </a:avLst>
            </a:prstGeom>
            <a:solidFill>
              <a:srgbClr val="FEE1BB"/>
            </a:solidFill>
            <a:ln>
              <a:solidFill>
                <a:srgbClr val="FEE1B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5" name="Rectángulo: esquinas redondeadas 14">
              <a:extLst>
                <a:ext uri="{FF2B5EF4-FFF2-40B4-BE49-F238E27FC236}">
                  <a16:creationId xmlns:a16="http://schemas.microsoft.com/office/drawing/2014/main" id="{7B588E00-891C-E76B-7C1A-F3081B335996}"/>
                </a:ext>
              </a:extLst>
            </xdr:cNvPr>
            <xdr:cNvSpPr/>
          </xdr:nvSpPr>
          <xdr:spPr>
            <a:xfrm>
              <a:off x="3933825" y="2105025"/>
              <a:ext cx="904875" cy="419100"/>
            </a:xfrm>
            <a:prstGeom prst="roundRect">
              <a:avLst>
                <a:gd name="adj" fmla="val 0"/>
              </a:avLst>
            </a:prstGeom>
            <a:solidFill>
              <a:srgbClr val="44B592"/>
            </a:solidFill>
            <a:ln>
              <a:solidFill>
                <a:srgbClr val="44B5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grpSp>
    <xdr:clientData/>
  </xdr:twoCellAnchor>
  <xdr:twoCellAnchor>
    <xdr:from>
      <xdr:col>7</xdr:col>
      <xdr:colOff>19050</xdr:colOff>
      <xdr:row>15</xdr:row>
      <xdr:rowOff>0</xdr:rowOff>
    </xdr:from>
    <xdr:to>
      <xdr:col>16</xdr:col>
      <xdr:colOff>0</xdr:colOff>
      <xdr:row>27</xdr:row>
      <xdr:rowOff>29308</xdr:rowOff>
    </xdr:to>
    <xdr:graphicFrame macro="">
      <xdr:nvGraphicFramePr>
        <xdr:cNvPr id="17" name="Gráfico 16">
          <a:extLst>
            <a:ext uri="{FF2B5EF4-FFF2-40B4-BE49-F238E27FC236}">
              <a16:creationId xmlns:a16="http://schemas.microsoft.com/office/drawing/2014/main" id="{C0151931-BB1F-6A56-079F-B3347C3BAE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193430</xdr:colOff>
      <xdr:row>11</xdr:row>
      <xdr:rowOff>88655</xdr:rowOff>
    </xdr:from>
    <xdr:to>
      <xdr:col>10</xdr:col>
      <xdr:colOff>660154</xdr:colOff>
      <xdr:row>13</xdr:row>
      <xdr:rowOff>31505</xdr:rowOff>
    </xdr:to>
    <xdr:sp macro="" textlink="">
      <xdr:nvSpPr>
        <xdr:cNvPr id="4" name="CuadroTexto 23">
          <a:extLst>
            <a:ext uri="{FF2B5EF4-FFF2-40B4-BE49-F238E27FC236}">
              <a16:creationId xmlns:a16="http://schemas.microsoft.com/office/drawing/2014/main" id="{0FFBD94A-A3D5-2030-ADC3-1390BAE1E1B2}"/>
            </a:ext>
          </a:extLst>
        </xdr:cNvPr>
        <xdr:cNvSpPr txBox="1"/>
      </xdr:nvSpPr>
      <xdr:spPr>
        <a:xfrm>
          <a:off x="2450122" y="1766520"/>
          <a:ext cx="2254494" cy="265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0">
              <a:solidFill>
                <a:sysClr val="windowText" lastClr="000000"/>
              </a:solidFill>
              <a:latin typeface="Daytona" panose="020B0604030500040204" pitchFamily="34" charset="0"/>
            </a:rPr>
            <a:t>Sin sospecha de simulación</a:t>
          </a:r>
        </a:p>
      </xdr:txBody>
    </xdr:sp>
    <xdr:clientData/>
  </xdr:twoCellAnchor>
  <xdr:twoCellAnchor>
    <xdr:from>
      <xdr:col>11</xdr:col>
      <xdr:colOff>409574</xdr:colOff>
      <xdr:row>11</xdr:row>
      <xdr:rowOff>66675</xdr:rowOff>
    </xdr:from>
    <xdr:to>
      <xdr:col>14</xdr:col>
      <xdr:colOff>38099</xdr:colOff>
      <xdr:row>13</xdr:row>
      <xdr:rowOff>9525</xdr:rowOff>
    </xdr:to>
    <xdr:sp macro="" textlink="">
      <xdr:nvSpPr>
        <xdr:cNvPr id="28" name="CuadroTexto 27">
          <a:extLst>
            <a:ext uri="{FF2B5EF4-FFF2-40B4-BE49-F238E27FC236}">
              <a16:creationId xmlns:a16="http://schemas.microsoft.com/office/drawing/2014/main" id="{E7747009-B84B-1BE2-47AE-A72786E41715}"/>
            </a:ext>
          </a:extLst>
        </xdr:cNvPr>
        <xdr:cNvSpPr txBox="1"/>
      </xdr:nvSpPr>
      <xdr:spPr>
        <a:xfrm>
          <a:off x="5314949" y="2162175"/>
          <a:ext cx="19145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0">
              <a:solidFill>
                <a:sysClr val="windowText" lastClr="000000"/>
              </a:solidFill>
              <a:latin typeface="Daytona" panose="020B0604030500040204" pitchFamily="34" charset="0"/>
            </a:rPr>
            <a:t>Sospecha de simulación</a:t>
          </a:r>
        </a:p>
      </xdr:txBody>
    </xdr:sp>
    <xdr:clientData/>
  </xdr:twoCellAnchor>
  <xdr:twoCellAnchor editAs="oneCell">
    <xdr:from>
      <xdr:col>2</xdr:col>
      <xdr:colOff>49696</xdr:colOff>
      <xdr:row>0</xdr:row>
      <xdr:rowOff>212480</xdr:rowOff>
    </xdr:from>
    <xdr:to>
      <xdr:col>3</xdr:col>
      <xdr:colOff>347870</xdr:colOff>
      <xdr:row>10</xdr:row>
      <xdr:rowOff>16564</xdr:rowOff>
    </xdr:to>
    <xdr:pic>
      <xdr:nvPicPr>
        <xdr:cNvPr id="29" name="Imagen 28">
          <a:extLst>
            <a:ext uri="{FF2B5EF4-FFF2-40B4-BE49-F238E27FC236}">
              <a16:creationId xmlns:a16="http://schemas.microsoft.com/office/drawing/2014/main" id="{24340983-78BE-E3D2-1AD2-2FA2DEC8566C}"/>
            </a:ext>
          </a:extLst>
        </xdr:cNvPr>
        <xdr:cNvPicPr>
          <a:picLocks noChangeAspect="1"/>
        </xdr:cNvPicPr>
      </xdr:nvPicPr>
      <xdr:blipFill>
        <a:blip xmlns:r="http://schemas.openxmlformats.org/officeDocument/2006/relationships" r:embed="rId3"/>
        <a:stretch>
          <a:fillRect/>
        </a:stretch>
      </xdr:blipFill>
      <xdr:spPr>
        <a:xfrm>
          <a:off x="853109" y="212480"/>
          <a:ext cx="927652" cy="1344649"/>
        </a:xfrm>
        <a:prstGeom prst="rect">
          <a:avLst/>
        </a:prstGeom>
      </xdr:spPr>
    </xdr:pic>
    <xdr:clientData/>
  </xdr:twoCellAnchor>
  <xdr:twoCellAnchor>
    <xdr:from>
      <xdr:col>1</xdr:col>
      <xdr:colOff>38100</xdr:colOff>
      <xdr:row>1</xdr:row>
      <xdr:rowOff>9525</xdr:rowOff>
    </xdr:from>
    <xdr:to>
      <xdr:col>1</xdr:col>
      <xdr:colOff>342900</xdr:colOff>
      <xdr:row>9</xdr:row>
      <xdr:rowOff>114300</xdr:rowOff>
    </xdr:to>
    <xdr:sp macro="" textlink="">
      <xdr:nvSpPr>
        <xdr:cNvPr id="30" name="CuadroTexto 29">
          <a:extLst>
            <a:ext uri="{FF2B5EF4-FFF2-40B4-BE49-F238E27FC236}">
              <a16:creationId xmlns:a16="http://schemas.microsoft.com/office/drawing/2014/main" id="{1FE4F947-881E-1E02-0429-78BB8614B959}"/>
            </a:ext>
          </a:extLst>
        </xdr:cNvPr>
        <xdr:cNvSpPr txBox="1"/>
      </xdr:nvSpPr>
      <xdr:spPr>
        <a:xfrm>
          <a:off x="438150" y="190500"/>
          <a:ext cx="304800" cy="1409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scene3d>
            <a:camera prst="orthographicFront"/>
            <a:lightRig rig="threePt" dir="t"/>
          </a:scene3d>
          <a:sp3d contourW="12700">
            <a:contourClr>
              <a:schemeClr val="bg1"/>
            </a:contourClr>
          </a:sp3d>
        </a:bodyPr>
        <a:lstStyle/>
        <a:p>
          <a:pPr algn="ctr"/>
          <a:r>
            <a:rPr lang="es-BO" sz="3200" b="1">
              <a:solidFill>
                <a:srgbClr val="C00000"/>
              </a:solidFill>
              <a:effectLst>
                <a:outerShdw blurRad="50800" dist="50800" dir="5400000" algn="ctr" rotWithShape="0">
                  <a:schemeClr val="bg1"/>
                </a:outerShdw>
                <a:reflection stA="66000" endPos="65000" dist="50800" dir="5400000" sy="-100000" algn="bl" rotWithShape="0"/>
              </a:effectLst>
              <a:latin typeface="Aptos Narrow" panose="020B0004020202020204" pitchFamily="34" charset="0"/>
            </a:rPr>
            <a:t>PERFIL</a:t>
          </a:r>
        </a:p>
      </xdr:txBody>
    </xdr:sp>
    <xdr:clientData/>
  </xdr:twoCellAnchor>
  <mc:AlternateContent xmlns:mc="http://schemas.openxmlformats.org/markup-compatibility/2006">
    <mc:Choice xmlns:a14="http://schemas.microsoft.com/office/drawing/2010/main" Requires="a14">
      <xdr:twoCellAnchor>
        <xdr:from>
          <xdr:col>13</xdr:col>
          <xdr:colOff>274320</xdr:colOff>
          <xdr:row>27</xdr:row>
          <xdr:rowOff>175260</xdr:rowOff>
        </xdr:from>
        <xdr:to>
          <xdr:col>15</xdr:col>
          <xdr:colOff>213360</xdr:colOff>
          <xdr:row>29</xdr:row>
          <xdr:rowOff>121920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BO" sz="1100" b="0" i="0" u="none" strike="noStrike" baseline="0">
                  <a:solidFill>
                    <a:srgbClr val="000000"/>
                  </a:solidFill>
                  <a:latin typeface="Daytona"/>
                </a:rPr>
                <a:t>Guardar Perfil</a:t>
              </a:r>
            </a:p>
          </xdr:txBody>
        </xdr:sp>
        <xdr:clientData fPrintsWithSheet="0"/>
      </xdr:twoCellAnchor>
    </mc:Choice>
    <mc:Fallback/>
  </mc:AlternateContent>
  <xdr:twoCellAnchor>
    <xdr:from>
      <xdr:col>4</xdr:col>
      <xdr:colOff>27110</xdr:colOff>
      <xdr:row>12</xdr:row>
      <xdr:rowOff>58615</xdr:rowOff>
    </xdr:from>
    <xdr:to>
      <xdr:col>6</xdr:col>
      <xdr:colOff>124558</xdr:colOff>
      <xdr:row>14</xdr:row>
      <xdr:rowOff>1466</xdr:rowOff>
    </xdr:to>
    <xdr:sp macro="" textlink="">
      <xdr:nvSpPr>
        <xdr:cNvPr id="10" name="Rectángulo: esquinas redondeadas 9">
          <a:extLst>
            <a:ext uri="{FF2B5EF4-FFF2-40B4-BE49-F238E27FC236}">
              <a16:creationId xmlns:a16="http://schemas.microsoft.com/office/drawing/2014/main" id="{F2820AB1-906F-F19E-A343-2E931900C4C0}"/>
            </a:ext>
          </a:extLst>
        </xdr:cNvPr>
        <xdr:cNvSpPr/>
      </xdr:nvSpPr>
      <xdr:spPr>
        <a:xfrm>
          <a:off x="1873495" y="1992923"/>
          <a:ext cx="507755" cy="199293"/>
        </a:xfrm>
        <a:prstGeom prst="roundRect">
          <a:avLst>
            <a:gd name="adj" fmla="val 50000"/>
          </a:avLst>
        </a:prstGeom>
        <a:noFill/>
        <a:ln w="3175">
          <a:solidFill>
            <a:srgbClr val="1F81C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0</xdr:col>
      <xdr:colOff>381001</xdr:colOff>
      <xdr:row>30</xdr:row>
      <xdr:rowOff>82826</xdr:rowOff>
    </xdr:from>
    <xdr:to>
      <xdr:col>16</xdr:col>
      <xdr:colOff>41413</xdr:colOff>
      <xdr:row>197</xdr:row>
      <xdr:rowOff>209549</xdr:rowOff>
    </xdr:to>
    <xdr:sp macro="" textlink="">
      <xdr:nvSpPr>
        <xdr:cNvPr id="5" name="Rectángulo: esquinas redondeadas 4">
          <a:extLst>
            <a:ext uri="{FF2B5EF4-FFF2-40B4-BE49-F238E27FC236}">
              <a16:creationId xmlns:a16="http://schemas.microsoft.com/office/drawing/2014/main" id="{A8209E15-1395-35E5-E8F5-58AB7AAD35FD}"/>
            </a:ext>
          </a:extLst>
        </xdr:cNvPr>
        <xdr:cNvSpPr/>
      </xdr:nvSpPr>
      <xdr:spPr>
        <a:xfrm>
          <a:off x="381001" y="4837043"/>
          <a:ext cx="7454347" cy="36172636"/>
        </a:xfrm>
        <a:prstGeom prst="roundRect">
          <a:avLst>
            <a:gd name="adj" fmla="val 1944"/>
          </a:avLst>
        </a:prstGeom>
        <a:no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0</xdr:col>
      <xdr:colOff>337038</xdr:colOff>
      <xdr:row>16</xdr:row>
      <xdr:rowOff>51288</xdr:rowOff>
    </xdr:from>
    <xdr:to>
      <xdr:col>3</xdr:col>
      <xdr:colOff>73268</xdr:colOff>
      <xdr:row>18</xdr:row>
      <xdr:rowOff>175846</xdr:rowOff>
    </xdr:to>
    <xdr:sp macro="" textlink="">
      <xdr:nvSpPr>
        <xdr:cNvPr id="6" name="CuadroTexto 5">
          <a:extLst>
            <a:ext uri="{FF2B5EF4-FFF2-40B4-BE49-F238E27FC236}">
              <a16:creationId xmlns:a16="http://schemas.microsoft.com/office/drawing/2014/main" id="{7F715404-0052-F348-749F-831B0D0C37EA}"/>
            </a:ext>
          </a:extLst>
        </xdr:cNvPr>
        <xdr:cNvSpPr txBox="1"/>
      </xdr:nvSpPr>
      <xdr:spPr>
        <a:xfrm>
          <a:off x="337038" y="2630365"/>
          <a:ext cx="1179634" cy="505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BO" sz="1100">
              <a:latin typeface="Daytona" panose="020B0604030500040204" pitchFamily="34" charset="0"/>
            </a:rPr>
            <a:t>Deterioro neurológico</a:t>
          </a:r>
        </a:p>
      </xdr:txBody>
    </xdr:sp>
    <xdr:clientData/>
  </xdr:twoCellAnchor>
  <xdr:twoCellAnchor>
    <xdr:from>
      <xdr:col>0</xdr:col>
      <xdr:colOff>351693</xdr:colOff>
      <xdr:row>21</xdr:row>
      <xdr:rowOff>124558</xdr:rowOff>
    </xdr:from>
    <xdr:to>
      <xdr:col>3</xdr:col>
      <xdr:colOff>87923</xdr:colOff>
      <xdr:row>24</xdr:row>
      <xdr:rowOff>168520</xdr:rowOff>
    </xdr:to>
    <xdr:sp macro="" textlink="">
      <xdr:nvSpPr>
        <xdr:cNvPr id="7" name="CuadroTexto 6">
          <a:extLst>
            <a:ext uri="{FF2B5EF4-FFF2-40B4-BE49-F238E27FC236}">
              <a16:creationId xmlns:a16="http://schemas.microsoft.com/office/drawing/2014/main" id="{155976DD-161B-481F-BC98-BB92B3179601}"/>
            </a:ext>
          </a:extLst>
        </xdr:cNvPr>
        <xdr:cNvSpPr txBox="1"/>
      </xdr:nvSpPr>
      <xdr:spPr>
        <a:xfrm>
          <a:off x="351693" y="3546231"/>
          <a:ext cx="1179634" cy="505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BO" sz="1100">
              <a:latin typeface="Daytona" panose="020B0604030500040204" pitchFamily="34" charset="0"/>
            </a:rPr>
            <a:t>Baja inteligencia</a:t>
          </a:r>
        </a:p>
      </xdr:txBody>
    </xdr:sp>
    <xdr:clientData/>
  </xdr:twoCellAnchor>
  <xdr:twoCellAnchor>
    <xdr:from>
      <xdr:col>0</xdr:col>
      <xdr:colOff>381000</xdr:colOff>
      <xdr:row>24</xdr:row>
      <xdr:rowOff>124559</xdr:rowOff>
    </xdr:from>
    <xdr:to>
      <xdr:col>3</xdr:col>
      <xdr:colOff>117230</xdr:colOff>
      <xdr:row>27</xdr:row>
      <xdr:rowOff>168521</xdr:rowOff>
    </xdr:to>
    <xdr:sp macro="" textlink="">
      <xdr:nvSpPr>
        <xdr:cNvPr id="8" name="CuadroTexto 7">
          <a:extLst>
            <a:ext uri="{FF2B5EF4-FFF2-40B4-BE49-F238E27FC236}">
              <a16:creationId xmlns:a16="http://schemas.microsoft.com/office/drawing/2014/main" id="{D051482B-F2A9-4952-8C11-68C6AA22C91B}"/>
            </a:ext>
          </a:extLst>
        </xdr:cNvPr>
        <xdr:cNvSpPr txBox="1"/>
      </xdr:nvSpPr>
      <xdr:spPr>
        <a:xfrm>
          <a:off x="381000" y="4007828"/>
          <a:ext cx="1179634" cy="505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BO" sz="1100">
              <a:latin typeface="Daytona" panose="020B0604030500040204" pitchFamily="34" charset="0"/>
            </a:rPr>
            <a:t>Trastornos afectivos</a:t>
          </a:r>
        </a:p>
      </xdr:txBody>
    </xdr:sp>
    <xdr:clientData/>
  </xdr:twoCellAnchor>
  <xdr:twoCellAnchor>
    <xdr:from>
      <xdr:col>0</xdr:col>
      <xdr:colOff>337038</xdr:colOff>
      <xdr:row>18</xdr:row>
      <xdr:rowOff>139211</xdr:rowOff>
    </xdr:from>
    <xdr:to>
      <xdr:col>3</xdr:col>
      <xdr:colOff>95250</xdr:colOff>
      <xdr:row>22</xdr:row>
      <xdr:rowOff>0</xdr:rowOff>
    </xdr:to>
    <xdr:sp macro="" textlink="">
      <xdr:nvSpPr>
        <xdr:cNvPr id="31" name="CuadroTexto 30">
          <a:extLst>
            <a:ext uri="{FF2B5EF4-FFF2-40B4-BE49-F238E27FC236}">
              <a16:creationId xmlns:a16="http://schemas.microsoft.com/office/drawing/2014/main" id="{E87343B5-22B4-4062-8A95-D8E0B041EFAF}"/>
            </a:ext>
          </a:extLst>
        </xdr:cNvPr>
        <xdr:cNvSpPr txBox="1"/>
      </xdr:nvSpPr>
      <xdr:spPr>
        <a:xfrm>
          <a:off x="337038" y="3099288"/>
          <a:ext cx="1201616" cy="505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BO" sz="1100">
              <a:latin typeface="Daytona" panose="020B0604030500040204" pitchFamily="34" charset="0"/>
            </a:rPr>
            <a:t>Trastornos amnésicos</a:t>
          </a:r>
        </a:p>
      </xdr:txBody>
    </xdr:sp>
    <xdr:clientData/>
  </xdr:twoCellAnchor>
  <xdr:twoCellAnchor>
    <xdr:from>
      <xdr:col>4</xdr:col>
      <xdr:colOff>10990</xdr:colOff>
      <xdr:row>14</xdr:row>
      <xdr:rowOff>203689</xdr:rowOff>
    </xdr:from>
    <xdr:to>
      <xdr:col>6</xdr:col>
      <xdr:colOff>108438</xdr:colOff>
      <xdr:row>16</xdr:row>
      <xdr:rowOff>1</xdr:rowOff>
    </xdr:to>
    <xdr:sp macro="" textlink="">
      <xdr:nvSpPr>
        <xdr:cNvPr id="33" name="Rectángulo: esquinas redondeadas 32">
          <a:extLst>
            <a:ext uri="{FF2B5EF4-FFF2-40B4-BE49-F238E27FC236}">
              <a16:creationId xmlns:a16="http://schemas.microsoft.com/office/drawing/2014/main" id="{F28E7624-F2E9-4416-9E21-75F8E1891234}"/>
            </a:ext>
          </a:extLst>
        </xdr:cNvPr>
        <xdr:cNvSpPr/>
      </xdr:nvSpPr>
      <xdr:spPr>
        <a:xfrm>
          <a:off x="1857375" y="2387112"/>
          <a:ext cx="507755" cy="191966"/>
        </a:xfrm>
        <a:prstGeom prst="roundRect">
          <a:avLst>
            <a:gd name="adj" fmla="val 50000"/>
          </a:avLst>
        </a:prstGeom>
        <a:noFill/>
        <a:ln w="3175">
          <a:solidFill>
            <a:srgbClr val="1F81C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4</xdr:col>
      <xdr:colOff>9525</xdr:colOff>
      <xdr:row>16</xdr:row>
      <xdr:rowOff>187570</xdr:rowOff>
    </xdr:from>
    <xdr:to>
      <xdr:col>6</xdr:col>
      <xdr:colOff>106973</xdr:colOff>
      <xdr:row>17</xdr:row>
      <xdr:rowOff>181709</xdr:rowOff>
    </xdr:to>
    <xdr:sp macro="" textlink="">
      <xdr:nvSpPr>
        <xdr:cNvPr id="38" name="Rectángulo: esquinas redondeadas 37">
          <a:extLst>
            <a:ext uri="{FF2B5EF4-FFF2-40B4-BE49-F238E27FC236}">
              <a16:creationId xmlns:a16="http://schemas.microsoft.com/office/drawing/2014/main" id="{40E36E38-8135-421B-AF41-1FFFDAFBB6FE}"/>
            </a:ext>
          </a:extLst>
        </xdr:cNvPr>
        <xdr:cNvSpPr/>
      </xdr:nvSpPr>
      <xdr:spPr>
        <a:xfrm>
          <a:off x="1855910" y="2766647"/>
          <a:ext cx="507755" cy="191966"/>
        </a:xfrm>
        <a:prstGeom prst="roundRect">
          <a:avLst>
            <a:gd name="adj" fmla="val 50000"/>
          </a:avLst>
        </a:prstGeom>
        <a:noFill/>
        <a:ln w="3175">
          <a:solidFill>
            <a:srgbClr val="1F81C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4</xdr:col>
      <xdr:colOff>15387</xdr:colOff>
      <xdr:row>19</xdr:row>
      <xdr:rowOff>83528</xdr:rowOff>
    </xdr:from>
    <xdr:to>
      <xdr:col>6</xdr:col>
      <xdr:colOff>112835</xdr:colOff>
      <xdr:row>20</xdr:row>
      <xdr:rowOff>180244</xdr:rowOff>
    </xdr:to>
    <xdr:sp macro="" textlink="">
      <xdr:nvSpPr>
        <xdr:cNvPr id="39" name="Rectángulo: esquinas redondeadas 38">
          <a:extLst>
            <a:ext uri="{FF2B5EF4-FFF2-40B4-BE49-F238E27FC236}">
              <a16:creationId xmlns:a16="http://schemas.microsoft.com/office/drawing/2014/main" id="{F6984AE1-3EF3-4BF5-9842-84DA88184ACB}"/>
            </a:ext>
          </a:extLst>
        </xdr:cNvPr>
        <xdr:cNvSpPr/>
      </xdr:nvSpPr>
      <xdr:spPr>
        <a:xfrm>
          <a:off x="1861772" y="3226778"/>
          <a:ext cx="507755" cy="191966"/>
        </a:xfrm>
        <a:prstGeom prst="roundRect">
          <a:avLst>
            <a:gd name="adj" fmla="val 50000"/>
          </a:avLst>
        </a:prstGeom>
        <a:noFill/>
        <a:ln w="3175">
          <a:solidFill>
            <a:srgbClr val="1F81C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4</xdr:col>
      <xdr:colOff>21249</xdr:colOff>
      <xdr:row>22</xdr:row>
      <xdr:rowOff>89389</xdr:rowOff>
    </xdr:from>
    <xdr:to>
      <xdr:col>6</xdr:col>
      <xdr:colOff>118697</xdr:colOff>
      <xdr:row>24</xdr:row>
      <xdr:rowOff>2932</xdr:rowOff>
    </xdr:to>
    <xdr:sp macro="" textlink="">
      <xdr:nvSpPr>
        <xdr:cNvPr id="40" name="Rectángulo: esquinas redondeadas 39">
          <a:extLst>
            <a:ext uri="{FF2B5EF4-FFF2-40B4-BE49-F238E27FC236}">
              <a16:creationId xmlns:a16="http://schemas.microsoft.com/office/drawing/2014/main" id="{9649CEB3-E581-48F8-B2CD-C7E2486E685A}"/>
            </a:ext>
          </a:extLst>
        </xdr:cNvPr>
        <xdr:cNvSpPr/>
      </xdr:nvSpPr>
      <xdr:spPr>
        <a:xfrm>
          <a:off x="1867634" y="3694235"/>
          <a:ext cx="507755" cy="191966"/>
        </a:xfrm>
        <a:prstGeom prst="roundRect">
          <a:avLst>
            <a:gd name="adj" fmla="val 50000"/>
          </a:avLst>
        </a:prstGeom>
        <a:noFill/>
        <a:ln w="3175">
          <a:solidFill>
            <a:srgbClr val="1F81C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4</xdr:col>
      <xdr:colOff>21980</xdr:colOff>
      <xdr:row>25</xdr:row>
      <xdr:rowOff>87923</xdr:rowOff>
    </xdr:from>
    <xdr:to>
      <xdr:col>6</xdr:col>
      <xdr:colOff>119428</xdr:colOff>
      <xdr:row>27</xdr:row>
      <xdr:rowOff>1466</xdr:rowOff>
    </xdr:to>
    <xdr:sp macro="" textlink="">
      <xdr:nvSpPr>
        <xdr:cNvPr id="41" name="Rectángulo: esquinas redondeadas 40">
          <a:extLst>
            <a:ext uri="{FF2B5EF4-FFF2-40B4-BE49-F238E27FC236}">
              <a16:creationId xmlns:a16="http://schemas.microsoft.com/office/drawing/2014/main" id="{FA33442C-F361-49A8-A9F4-7710C6336239}"/>
            </a:ext>
          </a:extLst>
        </xdr:cNvPr>
        <xdr:cNvSpPr/>
      </xdr:nvSpPr>
      <xdr:spPr>
        <a:xfrm>
          <a:off x="1868365" y="4154365"/>
          <a:ext cx="507755" cy="191966"/>
        </a:xfrm>
        <a:prstGeom prst="roundRect">
          <a:avLst>
            <a:gd name="adj" fmla="val 50000"/>
          </a:avLst>
        </a:prstGeom>
        <a:noFill/>
        <a:ln w="3175">
          <a:solidFill>
            <a:srgbClr val="1F81C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0</xdr:col>
      <xdr:colOff>403860</xdr:colOff>
      <xdr:row>0</xdr:row>
      <xdr:rowOff>201930</xdr:rowOff>
    </xdr:from>
    <xdr:to>
      <xdr:col>16</xdr:col>
      <xdr:colOff>0</xdr:colOff>
      <xdr:row>10</xdr:row>
      <xdr:rowOff>7327</xdr:rowOff>
    </xdr:to>
    <xdr:sp macro="" textlink="">
      <xdr:nvSpPr>
        <xdr:cNvPr id="2" name="Rectángulo: esquinas redondeadas 1">
          <a:extLst>
            <a:ext uri="{FF2B5EF4-FFF2-40B4-BE49-F238E27FC236}">
              <a16:creationId xmlns:a16="http://schemas.microsoft.com/office/drawing/2014/main" id="{EF902714-D565-A8BE-31BE-F9FBBE655BA3}"/>
            </a:ext>
          </a:extLst>
        </xdr:cNvPr>
        <xdr:cNvSpPr/>
      </xdr:nvSpPr>
      <xdr:spPr>
        <a:xfrm>
          <a:off x="403860" y="201930"/>
          <a:ext cx="7536180" cy="1260817"/>
        </a:xfrm>
        <a:prstGeom prst="roundRect">
          <a:avLst>
            <a:gd name="adj" fmla="val 5783"/>
          </a:avLst>
        </a:prstGeom>
        <a:noFill/>
        <a:ln w="38100">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45"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1D15690-68FC-471D-8557-D0C60088D8BF}">
  <we:reference id="wa200009404" version="1.0.0.8" store="es-ES" storeType="OMEX"/>
  <we:alternateReferences>
    <we:reference id="WA200009404" version="1.0.0.8" store="" storeType="OMEX"/>
  </we:alternateReferences>
  <we:properties>
    <we:property name="claude.fileId" value="&quot;cd20f1be-848c-444f-a1e4-8f499501266e&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F083B-0064-46A2-B232-C4B6760B11ED}">
  <sheetPr codeName="Hoja1">
    <tabColor rgb="FFFFFFFF"/>
  </sheetPr>
  <dimension ref="A1:V49"/>
  <sheetViews>
    <sheetView showGridLines="0" topLeftCell="A7" workbookViewId="0">
      <selection activeCell="C17" sqref="C17:O20"/>
    </sheetView>
  </sheetViews>
  <sheetFormatPr baseColWidth="10" defaultColWidth="0" defaultRowHeight="18" zeroHeight="1" x14ac:dyDescent="0.45"/>
  <cols>
    <col min="1" max="1" width="11.44140625" style="43" customWidth="1"/>
    <col min="2" max="2" width="3.6640625" style="43" customWidth="1"/>
    <col min="3" max="3" width="11.44140625" style="43" customWidth="1"/>
    <col min="4" max="4" width="10.6640625" style="43" customWidth="1"/>
    <col min="5" max="5" width="8.88671875" style="43" customWidth="1"/>
    <col min="6" max="8" width="11.44140625" style="43" customWidth="1"/>
    <col min="9" max="9" width="12.5546875" style="43" customWidth="1"/>
    <col min="10" max="10" width="6.33203125" style="43" customWidth="1"/>
    <col min="11" max="11" width="1.6640625" style="43" customWidth="1"/>
    <col min="12" max="12" width="6.33203125" style="43" customWidth="1"/>
    <col min="13" max="13" width="1.6640625" style="43" customWidth="1"/>
    <col min="14" max="14" width="6.33203125" style="43" customWidth="1"/>
    <col min="15" max="15" width="3.109375" style="43" customWidth="1"/>
    <col min="16" max="16" width="3.6640625" style="43" customWidth="1"/>
    <col min="17" max="17" width="11.44140625" style="43" customWidth="1"/>
    <col min="18" max="18" width="11.44140625" style="43" hidden="1" customWidth="1"/>
    <col min="19" max="19" width="20.88671875" style="43" hidden="1" customWidth="1"/>
    <col min="20" max="16384" width="11.44140625" style="43" hidden="1"/>
  </cols>
  <sheetData>
    <row r="1" spans="1:22" x14ac:dyDescent="0.45">
      <c r="B1" s="50"/>
      <c r="C1" s="50"/>
      <c r="D1" s="50"/>
      <c r="E1" s="50"/>
      <c r="F1" s="50"/>
      <c r="G1" s="50"/>
      <c r="H1" s="50"/>
      <c r="I1" s="50"/>
      <c r="J1" s="50"/>
      <c r="K1" s="50"/>
      <c r="L1" s="50"/>
      <c r="M1" s="50"/>
      <c r="N1" s="50"/>
      <c r="O1" s="50"/>
      <c r="P1" s="50"/>
    </row>
    <row r="2" spans="1:22" x14ac:dyDescent="0.45">
      <c r="B2" s="50"/>
      <c r="C2" s="50"/>
      <c r="D2" s="50"/>
      <c r="E2" s="50"/>
      <c r="F2" s="50"/>
      <c r="G2" s="50"/>
      <c r="H2" s="50"/>
      <c r="I2" s="50"/>
      <c r="J2" s="50"/>
      <c r="K2" s="50"/>
      <c r="L2" s="50"/>
      <c r="M2" s="50"/>
      <c r="N2" s="50"/>
      <c r="O2" s="50"/>
      <c r="P2" s="50"/>
    </row>
    <row r="3" spans="1:22" x14ac:dyDescent="0.45">
      <c r="B3" s="50"/>
      <c r="C3" s="50"/>
      <c r="D3" s="50"/>
      <c r="E3" s="50"/>
      <c r="F3" s="50"/>
      <c r="G3" s="50"/>
      <c r="H3" s="50"/>
      <c r="I3" s="50"/>
      <c r="J3" s="50"/>
      <c r="K3" s="50"/>
      <c r="L3" s="50"/>
      <c r="M3" s="50"/>
      <c r="N3" s="50"/>
      <c r="O3" s="50"/>
      <c r="P3" s="50"/>
    </row>
    <row r="4" spans="1:22" x14ac:dyDescent="0.45">
      <c r="B4" s="50"/>
      <c r="C4" s="50"/>
      <c r="D4" s="50"/>
      <c r="E4" s="50"/>
      <c r="F4" s="50"/>
      <c r="G4" s="50"/>
      <c r="H4" s="50"/>
      <c r="I4" s="50"/>
      <c r="J4" s="50"/>
      <c r="K4" s="50"/>
      <c r="L4" s="50"/>
      <c r="M4" s="50"/>
      <c r="N4" s="50"/>
      <c r="O4" s="50"/>
      <c r="P4" s="50"/>
    </row>
    <row r="5" spans="1:22" x14ac:dyDescent="0.45">
      <c r="B5" s="50"/>
      <c r="C5" s="50"/>
      <c r="D5" s="50"/>
      <c r="E5" s="50"/>
      <c r="F5" s="50"/>
      <c r="G5" s="50"/>
      <c r="H5" s="50"/>
      <c r="I5" s="50"/>
      <c r="J5" s="50"/>
      <c r="K5" s="50"/>
      <c r="L5" s="50"/>
      <c r="M5" s="50"/>
      <c r="N5" s="50"/>
      <c r="O5" s="50"/>
      <c r="P5" s="50"/>
      <c r="V5" s="12"/>
    </row>
    <row r="6" spans="1:22" x14ac:dyDescent="0.45">
      <c r="B6" s="50"/>
      <c r="C6" s="50"/>
      <c r="D6" s="50"/>
      <c r="E6" s="50"/>
      <c r="F6" s="50"/>
      <c r="G6" s="50"/>
      <c r="H6" s="50"/>
      <c r="I6" s="50"/>
      <c r="J6" s="50"/>
      <c r="K6" s="50"/>
      <c r="L6" s="50"/>
      <c r="M6" s="50"/>
      <c r="N6" s="50"/>
      <c r="O6" s="50"/>
      <c r="P6" s="50"/>
    </row>
    <row r="7" spans="1:22" ht="13.5" customHeight="1" x14ac:dyDescent="0.45">
      <c r="B7" s="51"/>
      <c r="C7" s="51"/>
      <c r="D7" s="51"/>
      <c r="E7" s="51"/>
      <c r="F7" s="51"/>
      <c r="G7" s="51"/>
      <c r="H7" s="51"/>
      <c r="I7" s="51"/>
      <c r="J7" s="51"/>
      <c r="K7" s="51"/>
      <c r="L7" s="51"/>
      <c r="M7" s="51"/>
      <c r="N7" s="51"/>
      <c r="O7" s="51"/>
      <c r="P7" s="51"/>
    </row>
    <row r="8" spans="1:22" x14ac:dyDescent="0.45">
      <c r="B8" s="51"/>
      <c r="C8" s="104" t="s">
        <v>5</v>
      </c>
      <c r="D8" s="104"/>
      <c r="E8" s="106" t="s">
        <v>142</v>
      </c>
      <c r="F8" s="106"/>
      <c r="G8" s="106"/>
      <c r="H8" s="106"/>
      <c r="I8" s="106"/>
      <c r="J8" s="106"/>
      <c r="K8" s="106"/>
      <c r="L8" s="106"/>
      <c r="M8" s="106"/>
      <c r="N8" s="106"/>
      <c r="O8" s="106"/>
      <c r="P8" s="51"/>
      <c r="S8" s="43" t="b">
        <v>0</v>
      </c>
      <c r="T8" s="43" t="str">
        <f>IF(S8=TRUE,"Varón","")</f>
        <v/>
      </c>
    </row>
    <row r="9" spans="1:22" ht="12" customHeight="1" x14ac:dyDescent="0.45">
      <c r="B9" s="51"/>
      <c r="C9" s="51"/>
      <c r="D9" s="51"/>
      <c r="E9" s="51"/>
      <c r="F9" s="51"/>
      <c r="G9" s="51"/>
      <c r="H9" s="51"/>
      <c r="I9" s="51"/>
      <c r="J9" s="51"/>
      <c r="K9" s="51"/>
      <c r="L9" s="51"/>
      <c r="M9" s="51"/>
      <c r="N9" s="51"/>
      <c r="O9" s="51"/>
      <c r="P9" s="51"/>
      <c r="S9" s="43" t="b">
        <v>1</v>
      </c>
      <c r="T9" s="43" t="str">
        <f>IF(S9=TRUE,"Mujer","")</f>
        <v>Mujer</v>
      </c>
    </row>
    <row r="10" spans="1:22" x14ac:dyDescent="0.45">
      <c r="B10" s="51"/>
      <c r="C10" s="52" t="s">
        <v>6</v>
      </c>
      <c r="D10" s="53"/>
      <c r="E10" s="53"/>
      <c r="F10" s="54" t="s">
        <v>8</v>
      </c>
      <c r="G10" s="58">
        <v>28</v>
      </c>
      <c r="H10" s="105" t="s">
        <v>9</v>
      </c>
      <c r="I10" s="105"/>
      <c r="J10" s="59">
        <v>22</v>
      </c>
      <c r="K10" s="55"/>
      <c r="L10" s="59">
        <v>9</v>
      </c>
      <c r="M10" s="55"/>
      <c r="N10" s="59">
        <v>26</v>
      </c>
      <c r="P10" s="51"/>
      <c r="T10" s="43" t="str">
        <f>+IF(T8="Varón","Varón",IF(T9="Mujer","Mujer","No ingreso sexo"))</f>
        <v>Mujer</v>
      </c>
    </row>
    <row r="11" spans="1:22" ht="12" customHeight="1" x14ac:dyDescent="0.45">
      <c r="B11" s="51"/>
      <c r="C11" s="51"/>
      <c r="D11" s="51"/>
      <c r="E11" s="51"/>
      <c r="F11" s="51"/>
      <c r="G11" s="51"/>
      <c r="H11" s="51"/>
      <c r="I11" s="51"/>
      <c r="J11" s="51"/>
      <c r="K11" s="51"/>
      <c r="L11" s="51"/>
      <c r="M11" s="51"/>
      <c r="N11" s="51"/>
      <c r="O11" s="51"/>
      <c r="P11" s="51"/>
    </row>
    <row r="12" spans="1:22" x14ac:dyDescent="0.45">
      <c r="B12" s="51"/>
      <c r="C12" s="52" t="s">
        <v>7</v>
      </c>
      <c r="D12" s="106" t="s">
        <v>141</v>
      </c>
      <c r="E12" s="106"/>
      <c r="F12" s="106"/>
      <c r="G12" s="106"/>
      <c r="H12" s="106"/>
      <c r="I12" s="106"/>
      <c r="J12" s="106"/>
      <c r="K12" s="106"/>
      <c r="L12" s="106"/>
      <c r="M12" s="106"/>
      <c r="N12" s="106"/>
      <c r="O12" s="106"/>
      <c r="P12" s="51"/>
      <c r="T12" s="43" t="str">
        <f>+IF(AND(J10="",L10="",N10),"[Ingresar fecha]",CONCATENATE(J10," / ",L10," / ",N10))</f>
        <v>22 / 9 / 26</v>
      </c>
    </row>
    <row r="13" spans="1:22" ht="13.5" customHeight="1" x14ac:dyDescent="0.45">
      <c r="B13" s="51"/>
      <c r="C13" s="51"/>
      <c r="D13" s="51"/>
      <c r="E13" s="51"/>
      <c r="F13" s="51"/>
      <c r="G13" s="51"/>
      <c r="H13" s="51"/>
      <c r="I13" s="51"/>
      <c r="J13" s="51"/>
      <c r="K13" s="51"/>
      <c r="L13" s="51"/>
      <c r="M13" s="51"/>
      <c r="N13" s="51"/>
      <c r="O13" s="51"/>
      <c r="P13" s="51"/>
    </row>
    <row r="14" spans="1:22" x14ac:dyDescent="0.45">
      <c r="A14" s="50"/>
      <c r="B14" s="50"/>
      <c r="C14" s="50"/>
      <c r="D14" s="50"/>
      <c r="E14" s="50"/>
      <c r="F14" s="50"/>
      <c r="G14" s="50"/>
      <c r="H14" s="50"/>
      <c r="I14" s="50"/>
      <c r="J14" s="50"/>
      <c r="K14" s="50"/>
      <c r="L14" s="50"/>
      <c r="M14" s="50"/>
      <c r="N14" s="50"/>
      <c r="O14" s="50"/>
      <c r="P14" s="50"/>
      <c r="Q14" s="50"/>
    </row>
    <row r="15" spans="1:22" x14ac:dyDescent="0.45">
      <c r="A15" s="50"/>
      <c r="B15" s="50"/>
      <c r="C15" s="50"/>
      <c r="D15" s="50"/>
      <c r="E15" s="50"/>
      <c r="F15" s="50"/>
      <c r="G15" s="50"/>
      <c r="H15" s="50"/>
      <c r="I15" s="50"/>
      <c r="J15" s="50"/>
      <c r="K15" s="50"/>
      <c r="L15" s="50"/>
      <c r="M15" s="50"/>
      <c r="N15" s="50"/>
      <c r="O15" s="50"/>
      <c r="P15" s="50"/>
      <c r="Q15" s="50"/>
    </row>
    <row r="16" spans="1:22" ht="10.5" customHeight="1" x14ac:dyDescent="0.45">
      <c r="A16" s="50"/>
      <c r="B16" s="50"/>
      <c r="C16" s="50"/>
      <c r="D16" s="50"/>
      <c r="E16" s="50"/>
      <c r="F16" s="50"/>
      <c r="G16" s="50"/>
      <c r="H16" s="50"/>
      <c r="I16" s="50"/>
      <c r="J16" s="50"/>
      <c r="K16" s="50"/>
      <c r="L16" s="50"/>
      <c r="M16" s="50"/>
      <c r="N16" s="50"/>
      <c r="O16" s="50"/>
      <c r="P16" s="50"/>
      <c r="Q16" s="50"/>
    </row>
    <row r="17" spans="1:18" ht="18.75" customHeight="1" x14ac:dyDescent="0.45">
      <c r="A17" s="50"/>
      <c r="B17" s="50"/>
      <c r="C17" s="108" t="s">
        <v>127</v>
      </c>
      <c r="D17" s="108"/>
      <c r="E17" s="108"/>
      <c r="F17" s="108"/>
      <c r="G17" s="108"/>
      <c r="H17" s="108"/>
      <c r="I17" s="108"/>
      <c r="J17" s="108"/>
      <c r="K17" s="108"/>
      <c r="L17" s="108"/>
      <c r="M17" s="108"/>
      <c r="N17" s="108"/>
      <c r="O17" s="108"/>
      <c r="P17" s="50"/>
      <c r="Q17" s="50"/>
    </row>
    <row r="18" spans="1:18" ht="18.75" customHeight="1" x14ac:dyDescent="0.45">
      <c r="A18" s="50"/>
      <c r="B18" s="50"/>
      <c r="C18" s="108"/>
      <c r="D18" s="108"/>
      <c r="E18" s="108"/>
      <c r="F18" s="108"/>
      <c r="G18" s="108"/>
      <c r="H18" s="108"/>
      <c r="I18" s="108"/>
      <c r="J18" s="108"/>
      <c r="K18" s="108"/>
      <c r="L18" s="108"/>
      <c r="M18" s="108"/>
      <c r="N18" s="108"/>
      <c r="O18" s="108"/>
      <c r="P18" s="50"/>
      <c r="Q18" s="50"/>
    </row>
    <row r="19" spans="1:18" ht="18.75" customHeight="1" x14ac:dyDescent="0.45">
      <c r="A19" s="50"/>
      <c r="B19" s="50"/>
      <c r="C19" s="108"/>
      <c r="D19" s="108"/>
      <c r="E19" s="108"/>
      <c r="F19" s="108"/>
      <c r="G19" s="108"/>
      <c r="H19" s="108"/>
      <c r="I19" s="108"/>
      <c r="J19" s="108"/>
      <c r="K19" s="108"/>
      <c r="L19" s="108"/>
      <c r="M19" s="108"/>
      <c r="N19" s="108"/>
      <c r="O19" s="108"/>
      <c r="P19" s="50"/>
      <c r="Q19" s="50"/>
      <c r="R19" s="12"/>
    </row>
    <row r="20" spans="1:18" ht="18.75" customHeight="1" x14ac:dyDescent="0.45">
      <c r="A20" s="50"/>
      <c r="B20" s="50"/>
      <c r="C20" s="108"/>
      <c r="D20" s="108"/>
      <c r="E20" s="108"/>
      <c r="F20" s="108"/>
      <c r="G20" s="108"/>
      <c r="H20" s="108"/>
      <c r="I20" s="108"/>
      <c r="J20" s="108"/>
      <c r="K20" s="108"/>
      <c r="L20" s="108"/>
      <c r="M20" s="108"/>
      <c r="N20" s="108"/>
      <c r="O20" s="108"/>
      <c r="P20" s="50"/>
      <c r="Q20" s="50"/>
    </row>
    <row r="21" spans="1:18" ht="13.5" customHeight="1" x14ac:dyDescent="0.45">
      <c r="A21" s="50"/>
      <c r="B21" s="50"/>
      <c r="C21" s="56"/>
      <c r="D21" s="56"/>
      <c r="E21" s="56"/>
      <c r="F21" s="56"/>
      <c r="G21" s="56"/>
      <c r="H21" s="56"/>
      <c r="I21" s="56"/>
      <c r="J21" s="56"/>
      <c r="K21" s="56"/>
      <c r="L21" s="56"/>
      <c r="M21" s="56"/>
      <c r="N21" s="56"/>
      <c r="O21" s="56"/>
      <c r="P21" s="50"/>
      <c r="Q21" s="50"/>
    </row>
    <row r="22" spans="1:18" x14ac:dyDescent="0.45">
      <c r="A22" s="50"/>
      <c r="B22" s="50"/>
      <c r="C22" s="108" t="s">
        <v>45</v>
      </c>
      <c r="D22" s="108"/>
      <c r="E22" s="108"/>
      <c r="F22" s="108"/>
      <c r="G22" s="108"/>
      <c r="H22" s="108"/>
      <c r="I22" s="108"/>
      <c r="J22" s="108"/>
      <c r="K22" s="108"/>
      <c r="L22" s="108"/>
      <c r="M22" s="108"/>
      <c r="N22" s="108"/>
      <c r="O22" s="108"/>
      <c r="P22" s="50"/>
      <c r="Q22" s="50"/>
    </row>
    <row r="23" spans="1:18" x14ac:dyDescent="0.45">
      <c r="A23" s="50"/>
      <c r="B23" s="50"/>
      <c r="C23" s="108"/>
      <c r="D23" s="108"/>
      <c r="E23" s="108"/>
      <c r="F23" s="108"/>
      <c r="G23" s="108"/>
      <c r="H23" s="108"/>
      <c r="I23" s="108"/>
      <c r="J23" s="108"/>
      <c r="K23" s="108"/>
      <c r="L23" s="108"/>
      <c r="M23" s="108"/>
      <c r="N23" s="108"/>
      <c r="O23" s="108"/>
      <c r="P23" s="50"/>
      <c r="Q23" s="50"/>
    </row>
    <row r="24" spans="1:18" x14ac:dyDescent="0.45">
      <c r="A24" s="50"/>
      <c r="B24" s="50"/>
      <c r="C24" s="108"/>
      <c r="D24" s="108"/>
      <c r="E24" s="108"/>
      <c r="F24" s="108"/>
      <c r="G24" s="108"/>
      <c r="H24" s="108"/>
      <c r="I24" s="108"/>
      <c r="J24" s="108"/>
      <c r="K24" s="108"/>
      <c r="L24" s="108"/>
      <c r="M24" s="108"/>
      <c r="N24" s="108"/>
      <c r="O24" s="108"/>
      <c r="P24" s="50"/>
      <c r="Q24" s="50"/>
    </row>
    <row r="25" spans="1:18" x14ac:dyDescent="0.45">
      <c r="A25" s="50"/>
      <c r="B25" s="50"/>
      <c r="C25" s="50"/>
      <c r="D25" s="50"/>
      <c r="E25" s="50"/>
      <c r="F25" s="50"/>
      <c r="G25" s="50"/>
      <c r="H25" s="50"/>
      <c r="I25" s="50"/>
      <c r="J25" s="50"/>
      <c r="K25" s="50"/>
      <c r="L25" s="50"/>
      <c r="M25" s="50"/>
      <c r="N25" s="50"/>
      <c r="O25" s="50"/>
      <c r="P25" s="50"/>
      <c r="Q25" s="50"/>
    </row>
    <row r="26" spans="1:18" x14ac:dyDescent="0.45">
      <c r="A26" s="50"/>
      <c r="B26" s="50"/>
      <c r="C26" s="108" t="s">
        <v>46</v>
      </c>
      <c r="D26" s="108"/>
      <c r="E26" s="108"/>
      <c r="F26" s="108"/>
      <c r="G26" s="108"/>
      <c r="H26" s="108"/>
      <c r="I26" s="108"/>
      <c r="J26" s="108"/>
      <c r="K26" s="108"/>
      <c r="L26" s="108"/>
      <c r="M26" s="108"/>
      <c r="N26" s="108"/>
      <c r="O26" s="108"/>
      <c r="P26" s="50"/>
      <c r="Q26" s="50"/>
    </row>
    <row r="27" spans="1:18" x14ac:dyDescent="0.45">
      <c r="A27" s="50"/>
      <c r="B27" s="50"/>
      <c r="C27" s="108"/>
      <c r="D27" s="108"/>
      <c r="E27" s="108"/>
      <c r="F27" s="108"/>
      <c r="G27" s="108"/>
      <c r="H27" s="108"/>
      <c r="I27" s="108"/>
      <c r="J27" s="108"/>
      <c r="K27" s="108"/>
      <c r="L27" s="108"/>
      <c r="M27" s="108"/>
      <c r="N27" s="108"/>
      <c r="O27" s="108"/>
      <c r="P27" s="50"/>
      <c r="Q27" s="50"/>
    </row>
    <row r="28" spans="1:18" x14ac:dyDescent="0.45">
      <c r="A28" s="50"/>
      <c r="B28" s="50"/>
      <c r="C28" s="50"/>
      <c r="D28" s="50"/>
      <c r="E28" s="50"/>
      <c r="F28" s="50"/>
      <c r="G28" s="50"/>
      <c r="H28" s="50"/>
      <c r="I28" s="50"/>
      <c r="J28" s="50"/>
      <c r="K28" s="50"/>
      <c r="L28" s="50"/>
      <c r="M28" s="50"/>
      <c r="N28" s="50"/>
      <c r="O28" s="50"/>
      <c r="P28" s="50"/>
      <c r="Q28" s="50"/>
    </row>
    <row r="29" spans="1:18" x14ac:dyDescent="0.45">
      <c r="A29" s="50"/>
      <c r="B29" s="50"/>
      <c r="C29" s="50"/>
      <c r="D29" s="60" t="s">
        <v>10</v>
      </c>
      <c r="E29" s="109" t="s">
        <v>11</v>
      </c>
      <c r="F29" s="109"/>
      <c r="G29" s="109"/>
      <c r="H29" s="109"/>
      <c r="I29" s="109"/>
      <c r="J29" s="109"/>
      <c r="K29" s="109"/>
      <c r="L29" s="109"/>
      <c r="M29" s="109"/>
      <c r="N29" s="109"/>
      <c r="O29" s="50"/>
      <c r="P29" s="50"/>
      <c r="Q29" s="50"/>
    </row>
    <row r="30" spans="1:18" x14ac:dyDescent="0.45">
      <c r="A30" s="50"/>
      <c r="B30" s="50"/>
      <c r="C30" s="50"/>
      <c r="D30" s="50"/>
      <c r="E30" s="50"/>
      <c r="F30" s="50"/>
      <c r="G30" s="50"/>
      <c r="H30" s="50"/>
      <c r="I30" s="50"/>
      <c r="J30" s="50"/>
      <c r="K30" s="50"/>
      <c r="L30" s="50"/>
      <c r="M30" s="50"/>
      <c r="N30" s="50"/>
      <c r="O30" s="50"/>
      <c r="P30" s="50"/>
      <c r="Q30" s="50"/>
    </row>
    <row r="31" spans="1:18" x14ac:dyDescent="0.45">
      <c r="A31" s="50"/>
      <c r="B31" s="50"/>
      <c r="C31" s="56"/>
      <c r="D31" s="56"/>
      <c r="E31" s="56"/>
      <c r="F31" s="56"/>
      <c r="G31" s="56"/>
      <c r="H31" s="56"/>
      <c r="I31" s="56"/>
      <c r="J31" s="56"/>
      <c r="K31" s="56"/>
      <c r="L31" s="56"/>
      <c r="M31" s="56"/>
      <c r="N31" s="56"/>
      <c r="O31" s="56"/>
      <c r="P31" s="50"/>
      <c r="Q31" s="50"/>
    </row>
    <row r="32" spans="1:18" x14ac:dyDescent="0.45">
      <c r="A32" s="50"/>
      <c r="B32" s="50"/>
      <c r="C32" s="56"/>
      <c r="D32" s="56"/>
      <c r="E32" s="56"/>
      <c r="F32" s="56"/>
      <c r="G32" s="56"/>
      <c r="H32" s="56"/>
      <c r="I32" s="56"/>
      <c r="J32" s="56"/>
      <c r="K32" s="56"/>
      <c r="L32" s="56"/>
      <c r="M32" s="56"/>
      <c r="N32" s="56"/>
      <c r="O32" s="56"/>
      <c r="P32" s="50"/>
      <c r="Q32" s="50"/>
    </row>
    <row r="33" spans="1:17" x14ac:dyDescent="0.45">
      <c r="A33" s="50"/>
      <c r="B33" s="50"/>
      <c r="C33" s="56"/>
      <c r="D33" s="56"/>
      <c r="E33" s="56"/>
      <c r="F33" s="56"/>
      <c r="G33" s="56"/>
      <c r="H33" s="56"/>
      <c r="I33" s="56"/>
      <c r="J33" s="56"/>
      <c r="K33" s="56"/>
      <c r="L33" s="56"/>
      <c r="M33" s="56"/>
      <c r="N33" s="56"/>
      <c r="O33" s="56"/>
      <c r="P33" s="50"/>
      <c r="Q33" s="50"/>
    </row>
    <row r="34" spans="1:17" x14ac:dyDescent="0.45"/>
    <row r="35" spans="1:17" x14ac:dyDescent="0.45">
      <c r="D35" s="57"/>
      <c r="E35" s="107"/>
      <c r="F35" s="107"/>
      <c r="G35" s="107"/>
      <c r="H35" s="107"/>
      <c r="I35" s="107"/>
      <c r="J35" s="107"/>
      <c r="K35" s="107"/>
      <c r="L35" s="107"/>
      <c r="M35" s="107"/>
      <c r="N35" s="107"/>
    </row>
    <row r="36" spans="1:17" x14ac:dyDescent="0.45"/>
    <row r="37" spans="1:17" x14ac:dyDescent="0.45"/>
    <row r="38" spans="1:17" x14ac:dyDescent="0.45"/>
    <row r="39" spans="1:17" x14ac:dyDescent="0.45"/>
    <row r="40" spans="1:17" x14ac:dyDescent="0.45"/>
    <row r="41" spans="1:17" x14ac:dyDescent="0.45"/>
    <row r="42" spans="1:17" x14ac:dyDescent="0.45"/>
    <row r="49" x14ac:dyDescent="0.45"/>
  </sheetData>
  <sheetProtection algorithmName="SHA-512" hashValue="vF9uKmxmy01KU6qezqU6iIFMPeIFTEzZiWRIwOubD2sQx5afwpT9tgUzTvuC/u65iYT4iq9onPjqApUzJdDlSA==" saltValue="FxYzkBUc7ioyYW5IjUBamw==" spinCount="100000" sheet="1" objects="1" scenarios="1"/>
  <mergeCells count="9">
    <mergeCell ref="C8:D8"/>
    <mergeCell ref="H10:I10"/>
    <mergeCell ref="E8:O8"/>
    <mergeCell ref="D12:O12"/>
    <mergeCell ref="E35:N35"/>
    <mergeCell ref="C17:O20"/>
    <mergeCell ref="C22:O24"/>
    <mergeCell ref="C26:O27"/>
    <mergeCell ref="E29:N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anchor moveWithCells="1">
                  <from>
                    <xdr:col>3</xdr:col>
                    <xdr:colOff>137160</xdr:colOff>
                    <xdr:row>9</xdr:row>
                    <xdr:rowOff>0</xdr:rowOff>
                  </from>
                  <to>
                    <xdr:col>3</xdr:col>
                    <xdr:colOff>396240</xdr:colOff>
                    <xdr:row>10</xdr:row>
                    <xdr:rowOff>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76200</xdr:colOff>
                    <xdr:row>8</xdr:row>
                    <xdr:rowOff>152400</xdr:rowOff>
                  </from>
                  <to>
                    <xdr:col>4</xdr:col>
                    <xdr:colOff>274320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FFFFFF"/>
  </sheetPr>
  <dimension ref="A1:CQ89"/>
  <sheetViews>
    <sheetView topLeftCell="A66" zoomScaleNormal="100" workbookViewId="0">
      <selection activeCell="D83" sqref="D83"/>
    </sheetView>
  </sheetViews>
  <sheetFormatPr baseColWidth="10" defaultColWidth="0" defaultRowHeight="16.2" zeroHeight="1" x14ac:dyDescent="0.4"/>
  <cols>
    <col min="1" max="1" width="12.109375" style="1" customWidth="1"/>
    <col min="2" max="2" width="6.109375" style="36" customWidth="1"/>
    <col min="3" max="3" width="101.44140625" style="40" customWidth="1"/>
    <col min="4" max="5" width="7" style="2" customWidth="1"/>
    <col min="6" max="6" width="6.109375" style="2" customWidth="1"/>
    <col min="7" max="7" width="10.109375" style="2" hidden="1" customWidth="1"/>
    <col min="8" max="8" width="15.44140625" style="2" hidden="1" customWidth="1"/>
    <col min="9" max="9" width="9.5546875" style="1" customWidth="1"/>
    <col min="10" max="10" width="28.33203125" style="1" hidden="1" customWidth="1"/>
    <col min="11" max="12" width="10.5546875" style="1" hidden="1" customWidth="1"/>
    <col min="13" max="87" width="5.33203125" style="1" hidden="1" customWidth="1"/>
    <col min="88" max="88" width="10.5546875" style="1" hidden="1" customWidth="1"/>
    <col min="89" max="89" width="10.44140625" style="36" hidden="1" customWidth="1"/>
    <col min="90" max="90" width="7" style="41" hidden="1" customWidth="1"/>
    <col min="91" max="91" width="9.33203125" style="20" hidden="1" customWidth="1"/>
    <col min="92" max="92" width="19.33203125" style="20" hidden="1" customWidth="1"/>
    <col min="93" max="93" width="35.5546875" style="1" hidden="1" customWidth="1"/>
    <col min="94" max="94" width="14.33203125" style="2" hidden="1" customWidth="1"/>
    <col min="95" max="95" width="33.44140625" style="2" hidden="1" customWidth="1"/>
    <col min="96" max="16384" width="10.5546875" style="1" hidden="1"/>
  </cols>
  <sheetData>
    <row r="1" spans="2:95" ht="21" customHeight="1" x14ac:dyDescent="0.4">
      <c r="B1" s="35"/>
      <c r="C1" s="38"/>
      <c r="D1" s="10"/>
      <c r="E1" s="10"/>
      <c r="F1" s="10"/>
    </row>
    <row r="2" spans="2:95" ht="22.5" customHeight="1" x14ac:dyDescent="0.4">
      <c r="B2" s="35"/>
      <c r="C2" s="38"/>
      <c r="D2" s="10"/>
      <c r="E2" s="10"/>
      <c r="F2" s="10"/>
    </row>
    <row r="3" spans="2:95" x14ac:dyDescent="0.4">
      <c r="B3" s="35"/>
      <c r="C3" s="38"/>
      <c r="D3" s="10"/>
      <c r="E3" s="10"/>
      <c r="F3" s="10"/>
    </row>
    <row r="4" spans="2:95" s="70" customFormat="1" x14ac:dyDescent="0.4">
      <c r="B4" s="71"/>
      <c r="C4" s="72"/>
      <c r="D4" s="73"/>
      <c r="E4" s="73"/>
      <c r="F4" s="73"/>
      <c r="G4" s="85"/>
      <c r="H4" s="74"/>
      <c r="CK4" s="75"/>
      <c r="CL4" s="76"/>
      <c r="CM4" s="77"/>
      <c r="CN4" s="77"/>
      <c r="CP4" s="74"/>
      <c r="CQ4" s="74"/>
    </row>
    <row r="5" spans="2:95" s="70" customFormat="1" x14ac:dyDescent="0.4">
      <c r="B5" s="71"/>
      <c r="C5" s="72"/>
      <c r="D5" s="73"/>
      <c r="E5" s="73"/>
      <c r="F5" s="73"/>
      <c r="G5" s="85"/>
      <c r="H5" s="74"/>
      <c r="CK5" s="75"/>
      <c r="CL5" s="76"/>
      <c r="CM5" s="77"/>
      <c r="CN5" s="77"/>
      <c r="CP5" s="74"/>
      <c r="CQ5" s="74"/>
    </row>
    <row r="6" spans="2:95" x14ac:dyDescent="0.4">
      <c r="B6" s="35"/>
      <c r="C6" s="38"/>
      <c r="D6" s="10"/>
      <c r="E6" s="10"/>
      <c r="F6" s="10"/>
    </row>
    <row r="7" spans="2:95" x14ac:dyDescent="0.4">
      <c r="B7" s="35"/>
      <c r="C7" s="38"/>
      <c r="D7" s="10"/>
      <c r="E7" s="10"/>
      <c r="F7" s="10"/>
    </row>
    <row r="8" spans="2:95" ht="24.75" customHeight="1" x14ac:dyDescent="0.4">
      <c r="B8" s="34"/>
      <c r="C8" s="39"/>
      <c r="D8" s="37" t="s">
        <v>15</v>
      </c>
      <c r="E8" s="37" t="s">
        <v>14</v>
      </c>
      <c r="F8" s="10"/>
      <c r="G8" s="5"/>
    </row>
    <row r="9" spans="2:95" s="3" customFormat="1" ht="36" x14ac:dyDescent="0.35">
      <c r="B9" s="79">
        <v>1</v>
      </c>
      <c r="C9" s="80" t="s">
        <v>49</v>
      </c>
      <c r="D9" s="84" t="s">
        <v>47</v>
      </c>
      <c r="E9" s="84"/>
      <c r="F9" s="79">
        <v>1</v>
      </c>
      <c r="G9" s="88">
        <f>IF(D9="X",1,IF(E9="X",0,""))</f>
        <v>1</v>
      </c>
      <c r="H9" s="6" t="str">
        <f t="shared" ref="H9:H14" si="0">+IF(G9=1,"(Verdadero)",IF(G9=0,"(Falso)",""))</f>
        <v>(Verdadero)</v>
      </c>
      <c r="K9" s="9" t="s">
        <v>50</v>
      </c>
      <c r="L9" s="9" t="s">
        <v>51</v>
      </c>
      <c r="CM9" s="61" t="s">
        <v>128</v>
      </c>
      <c r="CN9" s="61" t="s">
        <v>129</v>
      </c>
      <c r="CO9" s="61" t="s">
        <v>130</v>
      </c>
      <c r="CP9" s="61" t="s">
        <v>135</v>
      </c>
      <c r="CQ9" s="61" t="s">
        <v>138</v>
      </c>
    </row>
    <row r="10" spans="2:95" s="3" customFormat="1" ht="36" x14ac:dyDescent="0.35">
      <c r="B10" s="79">
        <v>2</v>
      </c>
      <c r="C10" s="81" t="s">
        <v>52</v>
      </c>
      <c r="D10" s="84" t="s">
        <v>47</v>
      </c>
      <c r="E10" s="84"/>
      <c r="F10" s="79">
        <v>2</v>
      </c>
      <c r="G10" s="86">
        <f>IF(D10="X",1,IF(E10="X",0,""))</f>
        <v>1</v>
      </c>
      <c r="H10" s="6" t="str">
        <f t="shared" si="0"/>
        <v>(Verdadero)</v>
      </c>
      <c r="J10" s="82" t="s">
        <v>53</v>
      </c>
      <c r="K10" s="89">
        <f>SUM(G11,G16,G18,G21,G36,G39,G42,G46,G50,G56,G59,G65,G70,G73,G77)</f>
        <v>12</v>
      </c>
      <c r="L10" s="6">
        <v>2</v>
      </c>
      <c r="CM10" s="62">
        <v>1</v>
      </c>
      <c r="CN10" s="62" t="s">
        <v>136</v>
      </c>
      <c r="CO10" s="63" t="str">
        <f>VLOOKUP(CM10,$B$9:$C$83,2,0)</f>
        <v>A veces pierdo la sensibilidad en mi mano de tal forma que siento como si llevara un guante puesto en ella</v>
      </c>
      <c r="CP10" s="6" t="str">
        <f>+VLOOKUP(CM10,$F$9:$H$83,3,0)</f>
        <v>(Verdadero)</v>
      </c>
      <c r="CQ10" s="6" t="str">
        <f>IF(CP10="","(Omitido)",IF(CN10=CP10,CP10,""))</f>
        <v>(Verdadero)</v>
      </c>
    </row>
    <row r="11" spans="2:95" s="3" customFormat="1" ht="36" x14ac:dyDescent="0.35">
      <c r="B11" s="79">
        <v>3</v>
      </c>
      <c r="C11" s="80" t="s">
        <v>54</v>
      </c>
      <c r="D11" s="84" t="s">
        <v>47</v>
      </c>
      <c r="E11" s="84"/>
      <c r="F11" s="79">
        <v>3</v>
      </c>
      <c r="G11" s="89">
        <f t="shared" ref="G11:G73" si="1">IF(D11="X",1,IF(E11="X",0,""))</f>
        <v>1</v>
      </c>
      <c r="H11" s="6" t="str">
        <f t="shared" si="0"/>
        <v>(Verdadero)</v>
      </c>
      <c r="J11" s="82" t="s">
        <v>55</v>
      </c>
      <c r="K11" s="88">
        <f>SUM(G9,G13,G82,G28,G34,G37,G43,G47,G52,G58,G62,G67,G72,G74,G79)</f>
        <v>11</v>
      </c>
      <c r="L11" s="6">
        <v>3</v>
      </c>
      <c r="CM11" s="62">
        <v>5</v>
      </c>
      <c r="CN11" s="62" t="s">
        <v>136</v>
      </c>
      <c r="CO11" s="63" t="str">
        <f t="shared" ref="CO11:CO75" si="2">VLOOKUP(CM11,$B$9:$C$83,2,0)</f>
        <v>La comida no me sabe igual que antes</v>
      </c>
      <c r="CP11" s="6" t="str">
        <f t="shared" ref="CP11:CP74" si="3">+VLOOKUP(CM11,$F$9:$H$83,3,0)</f>
        <v>(Verdadero)</v>
      </c>
      <c r="CQ11" s="6" t="str">
        <f t="shared" ref="CQ11:CQ74" si="4">IF(CP11="","(Omitido)",IF(CN11=CP11,CP11,""))</f>
        <v>(Verdadero)</v>
      </c>
    </row>
    <row r="12" spans="2:95" s="3" customFormat="1" ht="22.5" customHeight="1" x14ac:dyDescent="0.35">
      <c r="B12" s="79">
        <v>4</v>
      </c>
      <c r="C12" s="81" t="s">
        <v>2</v>
      </c>
      <c r="D12" s="84"/>
      <c r="E12" s="84" t="s">
        <v>47</v>
      </c>
      <c r="F12" s="79">
        <v>4</v>
      </c>
      <c r="G12" s="66">
        <f>IF(D12="X",1,IF(E12="X",0,""))</f>
        <v>0</v>
      </c>
      <c r="H12" s="6" t="str">
        <f t="shared" si="0"/>
        <v>(Falso)</v>
      </c>
      <c r="J12" s="82" t="s">
        <v>56</v>
      </c>
      <c r="K12" s="87">
        <f>SUM(G26,G69,G61,G57,G53,G48,G44,G41,G38,G35,G33,G30,G23,G20,G17)</f>
        <v>11</v>
      </c>
      <c r="L12" s="6">
        <v>3</v>
      </c>
      <c r="CM12" s="62">
        <v>74</v>
      </c>
      <c r="CN12" s="62" t="s">
        <v>136</v>
      </c>
      <c r="CO12" s="63" t="str">
        <f t="shared" si="2"/>
        <v>Tengo dolores de cabeza y mareos justo cuando olvido algo</v>
      </c>
      <c r="CP12" s="6" t="str">
        <f t="shared" si="3"/>
        <v>(Verdadero)</v>
      </c>
      <c r="CQ12" s="6" t="str">
        <f t="shared" si="4"/>
        <v>(Verdadero)</v>
      </c>
    </row>
    <row r="13" spans="2:95" s="3" customFormat="1" ht="22.5" customHeight="1" x14ac:dyDescent="0.35">
      <c r="B13" s="79">
        <v>5</v>
      </c>
      <c r="C13" s="80" t="s">
        <v>57</v>
      </c>
      <c r="D13" s="84" t="s">
        <v>47</v>
      </c>
      <c r="E13" s="84"/>
      <c r="F13" s="79">
        <v>5</v>
      </c>
      <c r="G13" s="88">
        <f t="shared" si="1"/>
        <v>1</v>
      </c>
      <c r="H13" s="6" t="str">
        <f t="shared" si="0"/>
        <v>(Verdadero)</v>
      </c>
      <c r="J13" s="82" t="s">
        <v>58</v>
      </c>
      <c r="K13" s="66">
        <f>SUM(G83,G81,G78,G76,G75,G71,G66,G64,G54,G49,G29,G22,G19,G15,G12)</f>
        <v>7</v>
      </c>
      <c r="L13" s="6">
        <v>3</v>
      </c>
      <c r="CM13" s="62">
        <v>20</v>
      </c>
      <c r="CN13" s="62" t="s">
        <v>136</v>
      </c>
      <c r="CO13" s="63" t="str">
        <f t="shared" si="2"/>
        <v>Mi mayor problema es que mi cerebro está enfermo</v>
      </c>
      <c r="CP13" s="6" t="str">
        <f t="shared" si="3"/>
        <v>(Falso)</v>
      </c>
      <c r="CQ13" s="6" t="str">
        <f t="shared" si="4"/>
        <v/>
      </c>
    </row>
    <row r="14" spans="2:95" s="3" customFormat="1" ht="22.5" customHeight="1" x14ac:dyDescent="0.35">
      <c r="B14" s="79">
        <v>6</v>
      </c>
      <c r="C14" s="81" t="s">
        <v>59</v>
      </c>
      <c r="D14" s="84" t="s">
        <v>47</v>
      </c>
      <c r="E14" s="84"/>
      <c r="F14" s="79">
        <v>6</v>
      </c>
      <c r="G14" s="86">
        <f t="shared" si="1"/>
        <v>1</v>
      </c>
      <c r="H14" s="6" t="str">
        <f t="shared" si="0"/>
        <v>(Verdadero)</v>
      </c>
      <c r="J14" s="82" t="s">
        <v>60</v>
      </c>
      <c r="K14" s="86">
        <f>SUM(G80,G68,G63,G60,G55,G51,G45,G40,G32,G31,G27,G25,G24,G14,G10)</f>
        <v>11</v>
      </c>
      <c r="L14" s="6">
        <v>7</v>
      </c>
      <c r="CM14" s="62">
        <v>26</v>
      </c>
      <c r="CN14" s="62" t="s">
        <v>136</v>
      </c>
      <c r="CO14" s="63" t="str">
        <f t="shared" si="2"/>
        <v>Caminar me resulta uy difícil debido a mis problemas de equilibrio</v>
      </c>
      <c r="CP14" s="6" t="str">
        <f t="shared" si="3"/>
        <v>(Verdadero)</v>
      </c>
      <c r="CQ14" s="6" t="str">
        <f t="shared" si="4"/>
        <v>(Verdadero)</v>
      </c>
    </row>
    <row r="15" spans="2:95" s="3" customFormat="1" ht="22.5" customHeight="1" x14ac:dyDescent="0.35">
      <c r="B15" s="79">
        <v>7</v>
      </c>
      <c r="C15" s="80" t="s">
        <v>0</v>
      </c>
      <c r="D15" s="84" t="s">
        <v>47</v>
      </c>
      <c r="E15" s="84"/>
      <c r="F15" s="79">
        <v>7</v>
      </c>
      <c r="G15" s="66">
        <f>IF(D15="X",0,IF(E15="X",1,""))</f>
        <v>0</v>
      </c>
      <c r="H15" s="6" t="str">
        <f>+IF(G15=1,"(Falso)",IF(G15=0,"(Verdadero)",""))</f>
        <v>(Verdadero)</v>
      </c>
      <c r="J15" s="82" t="s">
        <v>61</v>
      </c>
      <c r="K15" s="6">
        <f>SUM(K10:K14)</f>
        <v>52</v>
      </c>
      <c r="L15" s="6">
        <v>16</v>
      </c>
      <c r="CM15" s="62">
        <v>29</v>
      </c>
      <c r="CN15" s="62" t="s">
        <v>136</v>
      </c>
      <c r="CO15" s="63" t="str">
        <f t="shared" si="2"/>
        <v>A veces cuando escribo un número de teléfono, me doy cuenta de que los números salen al revés aunque yo no lo intente</v>
      </c>
      <c r="CP15" s="6" t="str">
        <f t="shared" si="3"/>
        <v>(Falso)</v>
      </c>
      <c r="CQ15" s="6" t="str">
        <f t="shared" si="4"/>
        <v/>
      </c>
    </row>
    <row r="16" spans="2:95" s="3" customFormat="1" ht="22.5" customHeight="1" x14ac:dyDescent="0.35">
      <c r="B16" s="79">
        <v>8</v>
      </c>
      <c r="C16" s="81" t="s">
        <v>62</v>
      </c>
      <c r="D16" s="84"/>
      <c r="E16" s="84" t="s">
        <v>47</v>
      </c>
      <c r="F16" s="79">
        <v>8</v>
      </c>
      <c r="G16" s="89">
        <f t="shared" si="1"/>
        <v>0</v>
      </c>
      <c r="H16" s="6" t="str">
        <f>+IF(G16=1,"(Verdadero)",IF(G16=0,"(Falso)",""))</f>
        <v>(Falso)</v>
      </c>
      <c r="CM16" s="62">
        <v>35</v>
      </c>
      <c r="CN16" s="62" t="s">
        <v>136</v>
      </c>
      <c r="CO16" s="63" t="str">
        <f t="shared" si="2"/>
        <v>En ocasiones mis músculos se mueven con dificultad, sin razón aparente, hasta el punto de que siento mis brazos y piernas como si pesaran una tonelada</v>
      </c>
      <c r="CP16" s="6" t="str">
        <f t="shared" si="3"/>
        <v>(Verdadero)</v>
      </c>
      <c r="CQ16" s="6" t="str">
        <f t="shared" si="4"/>
        <v>(Verdadero)</v>
      </c>
    </row>
    <row r="17" spans="2:95" s="3" customFormat="1" ht="22.5" customHeight="1" x14ac:dyDescent="0.35">
      <c r="B17" s="79">
        <v>9</v>
      </c>
      <c r="C17" s="80" t="s">
        <v>63</v>
      </c>
      <c r="D17" s="84" t="s">
        <v>47</v>
      </c>
      <c r="E17" s="84"/>
      <c r="F17" s="79">
        <v>9</v>
      </c>
      <c r="G17" s="87">
        <f>IF(D17="X",0,IF(E17="X",1,""))</f>
        <v>0</v>
      </c>
      <c r="H17" s="6" t="str">
        <f>+IF(G17=1,"(Falso)",IF(G17=0,"(Verdadero)",""))</f>
        <v>(Verdadero)</v>
      </c>
      <c r="J17" s="8" t="s">
        <v>38</v>
      </c>
      <c r="K17" s="8" t="s">
        <v>6</v>
      </c>
      <c r="L17" s="8" t="s">
        <v>8</v>
      </c>
      <c r="M17" s="8">
        <v>1</v>
      </c>
      <c r="N17" s="8">
        <v>2</v>
      </c>
      <c r="O17" s="8">
        <v>3</v>
      </c>
      <c r="P17" s="8">
        <v>4</v>
      </c>
      <c r="Q17" s="8">
        <v>5</v>
      </c>
      <c r="R17" s="8">
        <v>6</v>
      </c>
      <c r="S17" s="8">
        <v>7</v>
      </c>
      <c r="T17" s="8">
        <v>8</v>
      </c>
      <c r="U17" s="8">
        <v>9</v>
      </c>
      <c r="V17" s="8">
        <v>10</v>
      </c>
      <c r="W17" s="8">
        <v>11</v>
      </c>
      <c r="X17" s="8">
        <v>12</v>
      </c>
      <c r="Y17" s="8">
        <v>13</v>
      </c>
      <c r="Z17" s="8">
        <v>14</v>
      </c>
      <c r="AA17" s="8">
        <v>15</v>
      </c>
      <c r="AB17" s="8">
        <v>16</v>
      </c>
      <c r="AC17" s="8">
        <v>17</v>
      </c>
      <c r="AD17" s="8">
        <v>18</v>
      </c>
      <c r="AE17" s="8">
        <v>19</v>
      </c>
      <c r="AF17" s="8">
        <v>20</v>
      </c>
      <c r="AG17" s="8">
        <v>21</v>
      </c>
      <c r="AH17" s="8">
        <v>22</v>
      </c>
      <c r="AI17" s="8">
        <v>23</v>
      </c>
      <c r="AJ17" s="8">
        <v>24</v>
      </c>
      <c r="AK17" s="8">
        <v>25</v>
      </c>
      <c r="AL17" s="8">
        <v>26</v>
      </c>
      <c r="AM17" s="8">
        <v>27</v>
      </c>
      <c r="AN17" s="8">
        <v>28</v>
      </c>
      <c r="AO17" s="8">
        <v>29</v>
      </c>
      <c r="AP17" s="8">
        <v>30</v>
      </c>
      <c r="AQ17" s="8">
        <v>31</v>
      </c>
      <c r="AR17" s="8">
        <v>32</v>
      </c>
      <c r="AS17" s="8">
        <v>33</v>
      </c>
      <c r="AT17" s="8">
        <v>34</v>
      </c>
      <c r="AU17" s="8">
        <v>35</v>
      </c>
      <c r="AV17" s="8">
        <v>36</v>
      </c>
      <c r="AW17" s="8">
        <v>37</v>
      </c>
      <c r="AX17" s="8">
        <v>38</v>
      </c>
      <c r="AY17" s="8">
        <v>39</v>
      </c>
      <c r="AZ17" s="8">
        <v>40</v>
      </c>
      <c r="BA17" s="8">
        <v>41</v>
      </c>
      <c r="BB17" s="8">
        <v>42</v>
      </c>
      <c r="BC17" s="8">
        <v>43</v>
      </c>
      <c r="BD17" s="8">
        <v>44</v>
      </c>
      <c r="BE17" s="8">
        <v>45</v>
      </c>
      <c r="BF17" s="8">
        <v>46</v>
      </c>
      <c r="BG17" s="8">
        <v>47</v>
      </c>
      <c r="BH17" s="8">
        <v>48</v>
      </c>
      <c r="BI17" s="8">
        <v>49</v>
      </c>
      <c r="BJ17" s="8">
        <v>50</v>
      </c>
      <c r="BK17" s="8">
        <v>51</v>
      </c>
      <c r="BL17" s="8">
        <v>52</v>
      </c>
      <c r="BM17" s="8">
        <v>53</v>
      </c>
      <c r="BN17" s="8">
        <v>54</v>
      </c>
      <c r="BO17" s="8">
        <v>55</v>
      </c>
      <c r="BP17" s="8">
        <v>56</v>
      </c>
      <c r="BQ17" s="8">
        <v>57</v>
      </c>
      <c r="BR17" s="8">
        <v>58</v>
      </c>
      <c r="BS17" s="8">
        <v>59</v>
      </c>
      <c r="BT17" s="8">
        <v>60</v>
      </c>
      <c r="BU17" s="8">
        <v>61</v>
      </c>
      <c r="BV17" s="8">
        <v>62</v>
      </c>
      <c r="BW17" s="8">
        <v>63</v>
      </c>
      <c r="BX17" s="8">
        <v>64</v>
      </c>
      <c r="BY17" s="8">
        <v>65</v>
      </c>
      <c r="BZ17" s="8">
        <v>66</v>
      </c>
      <c r="CA17" s="8">
        <v>67</v>
      </c>
      <c r="CB17" s="8">
        <v>68</v>
      </c>
      <c r="CC17" s="8">
        <v>69</v>
      </c>
      <c r="CD17" s="8">
        <v>70</v>
      </c>
      <c r="CE17" s="8">
        <v>71</v>
      </c>
      <c r="CF17" s="8">
        <v>72</v>
      </c>
      <c r="CG17" s="8">
        <v>73</v>
      </c>
      <c r="CH17" s="8">
        <v>74</v>
      </c>
      <c r="CI17" s="8">
        <v>75</v>
      </c>
      <c r="CM17" s="62">
        <v>39</v>
      </c>
      <c r="CN17" s="62" t="s">
        <v>136</v>
      </c>
      <c r="CO17" s="63" t="str">
        <f t="shared" si="2"/>
        <v>Siento tanto dolor en mi cuerpo que parece como si tuviera bichos andando bajo mi piel</v>
      </c>
      <c r="CP17" s="6" t="str">
        <f t="shared" si="3"/>
        <v>(Verdadero)</v>
      </c>
      <c r="CQ17" s="6" t="str">
        <f t="shared" si="4"/>
        <v>(Verdadero)</v>
      </c>
    </row>
    <row r="18" spans="2:95" s="3" customFormat="1" ht="22.5" customHeight="1" x14ac:dyDescent="0.35">
      <c r="B18" s="79">
        <v>10</v>
      </c>
      <c r="C18" s="81" t="s">
        <v>64</v>
      </c>
      <c r="D18" s="84" t="s">
        <v>47</v>
      </c>
      <c r="E18" s="84"/>
      <c r="F18" s="79">
        <v>10</v>
      </c>
      <c r="G18" s="89">
        <f t="shared" si="1"/>
        <v>1</v>
      </c>
      <c r="H18" s="6" t="str">
        <f t="shared" ref="H18:H30" si="5">+IF(G18=1,"(Verdadero)",IF(G18=0,"(Falso)",""))</f>
        <v>(Verdadero)</v>
      </c>
      <c r="J18" s="3" t="str">
        <f>+Inicio!E8</f>
        <v>Teodora Colque Zuñiga</v>
      </c>
      <c r="K18" s="3" t="str">
        <f>+Inicio!T10</f>
        <v>Mujer</v>
      </c>
      <c r="L18" s="3">
        <f>+Inicio!G10</f>
        <v>28</v>
      </c>
      <c r="M18" s="3">
        <f>VLOOKUP(M17,$F$9:$G$83,2,0)</f>
        <v>1</v>
      </c>
      <c r="N18" s="3">
        <f t="shared" ref="N18:BY18" si="6">VLOOKUP(N17,$F$9:$G$83,2,0)</f>
        <v>1</v>
      </c>
      <c r="O18" s="3">
        <f t="shared" si="6"/>
        <v>1</v>
      </c>
      <c r="P18" s="3">
        <f t="shared" si="6"/>
        <v>0</v>
      </c>
      <c r="Q18" s="3">
        <f t="shared" si="6"/>
        <v>1</v>
      </c>
      <c r="R18" s="3">
        <f t="shared" si="6"/>
        <v>1</v>
      </c>
      <c r="S18" s="3">
        <f t="shared" si="6"/>
        <v>0</v>
      </c>
      <c r="T18" s="3">
        <f t="shared" si="6"/>
        <v>0</v>
      </c>
      <c r="U18" s="3">
        <f t="shared" si="6"/>
        <v>0</v>
      </c>
      <c r="V18" s="3">
        <f t="shared" si="6"/>
        <v>1</v>
      </c>
      <c r="W18" s="3">
        <f t="shared" si="6"/>
        <v>0</v>
      </c>
      <c r="X18" s="3">
        <f t="shared" si="6"/>
        <v>1</v>
      </c>
      <c r="Y18" s="3">
        <f t="shared" si="6"/>
        <v>1</v>
      </c>
      <c r="Z18" s="3">
        <f t="shared" si="6"/>
        <v>1</v>
      </c>
      <c r="AA18" s="3">
        <f t="shared" si="6"/>
        <v>0</v>
      </c>
      <c r="AB18" s="3">
        <f t="shared" si="6"/>
        <v>1</v>
      </c>
      <c r="AC18" s="3">
        <f t="shared" si="6"/>
        <v>1</v>
      </c>
      <c r="AD18" s="3">
        <f t="shared" si="6"/>
        <v>1</v>
      </c>
      <c r="AE18" s="3">
        <f t="shared" si="6"/>
        <v>0</v>
      </c>
      <c r="AF18" s="3">
        <f t="shared" si="6"/>
        <v>0</v>
      </c>
      <c r="AG18" s="3">
        <f t="shared" si="6"/>
        <v>1</v>
      </c>
      <c r="AH18" s="3">
        <f t="shared" si="6"/>
        <v>1</v>
      </c>
      <c r="AI18" s="3">
        <f t="shared" si="6"/>
        <v>0</v>
      </c>
      <c r="AJ18" s="3">
        <f t="shared" si="6"/>
        <v>1</v>
      </c>
      <c r="AK18" s="3">
        <f t="shared" si="6"/>
        <v>1</v>
      </c>
      <c r="AL18" s="3">
        <f t="shared" si="6"/>
        <v>1</v>
      </c>
      <c r="AM18" s="3">
        <f t="shared" si="6"/>
        <v>1</v>
      </c>
      <c r="AN18" s="3">
        <f t="shared" si="6"/>
        <v>0</v>
      </c>
      <c r="AO18" s="3">
        <f t="shared" si="6"/>
        <v>0</v>
      </c>
      <c r="AP18" s="3">
        <f t="shared" si="6"/>
        <v>1</v>
      </c>
      <c r="AQ18" s="3">
        <f t="shared" si="6"/>
        <v>1</v>
      </c>
      <c r="AR18" s="3">
        <f t="shared" si="6"/>
        <v>1</v>
      </c>
      <c r="AS18" s="3">
        <f t="shared" si="6"/>
        <v>1</v>
      </c>
      <c r="AT18" s="3">
        <f t="shared" si="6"/>
        <v>0</v>
      </c>
      <c r="AU18" s="3">
        <f t="shared" si="6"/>
        <v>1</v>
      </c>
      <c r="AV18" s="3">
        <f t="shared" si="6"/>
        <v>1</v>
      </c>
      <c r="AW18" s="3">
        <f t="shared" si="6"/>
        <v>1</v>
      </c>
      <c r="AX18" s="3">
        <f t="shared" si="6"/>
        <v>1</v>
      </c>
      <c r="AY18" s="3">
        <f t="shared" si="6"/>
        <v>1</v>
      </c>
      <c r="AZ18" s="3">
        <f t="shared" si="6"/>
        <v>0</v>
      </c>
      <c r="BA18" s="3">
        <f t="shared" si="6"/>
        <v>1</v>
      </c>
      <c r="BB18" s="3">
        <f t="shared" si="6"/>
        <v>1</v>
      </c>
      <c r="BC18" s="3">
        <f t="shared" si="6"/>
        <v>1</v>
      </c>
      <c r="BD18" s="3">
        <f t="shared" si="6"/>
        <v>1</v>
      </c>
      <c r="BE18" s="3">
        <f t="shared" si="6"/>
        <v>1</v>
      </c>
      <c r="BF18" s="3">
        <f t="shared" si="6"/>
        <v>0</v>
      </c>
      <c r="BG18" s="3">
        <f t="shared" si="6"/>
        <v>1</v>
      </c>
      <c r="BH18" s="3">
        <f t="shared" si="6"/>
        <v>1</v>
      </c>
      <c r="BI18" s="3">
        <f t="shared" si="6"/>
        <v>0</v>
      </c>
      <c r="BJ18" s="3">
        <f t="shared" si="6"/>
        <v>1</v>
      </c>
      <c r="BK18" s="3">
        <f t="shared" si="6"/>
        <v>1</v>
      </c>
      <c r="BL18" s="3">
        <f t="shared" si="6"/>
        <v>1</v>
      </c>
      <c r="BM18" s="3">
        <f t="shared" si="6"/>
        <v>1</v>
      </c>
      <c r="BN18" s="3">
        <f t="shared" si="6"/>
        <v>0</v>
      </c>
      <c r="BO18" s="3">
        <f t="shared" si="6"/>
        <v>0</v>
      </c>
      <c r="BP18" s="3">
        <f t="shared" si="6"/>
        <v>0</v>
      </c>
      <c r="BQ18" s="3">
        <f t="shared" si="6"/>
        <v>1</v>
      </c>
      <c r="BR18" s="3">
        <f t="shared" si="6"/>
        <v>0</v>
      </c>
      <c r="BS18" s="3">
        <f t="shared" si="6"/>
        <v>0</v>
      </c>
      <c r="BT18" s="3">
        <f t="shared" si="6"/>
        <v>1</v>
      </c>
      <c r="BU18" s="3">
        <f t="shared" si="6"/>
        <v>1</v>
      </c>
      <c r="BV18" s="3">
        <f t="shared" si="6"/>
        <v>1</v>
      </c>
      <c r="BW18" s="3">
        <f t="shared" si="6"/>
        <v>1</v>
      </c>
      <c r="BX18" s="3">
        <f t="shared" si="6"/>
        <v>1</v>
      </c>
      <c r="BY18" s="3">
        <f t="shared" si="6"/>
        <v>1</v>
      </c>
      <c r="BZ18" s="3">
        <f t="shared" ref="BZ18:CI18" si="7">VLOOKUP(BZ17,$F$9:$G$83,2,0)</f>
        <v>1</v>
      </c>
      <c r="CA18" s="3">
        <f t="shared" si="7"/>
        <v>0</v>
      </c>
      <c r="CB18" s="3">
        <f t="shared" si="7"/>
        <v>1</v>
      </c>
      <c r="CC18" s="3">
        <f t="shared" si="7"/>
        <v>1</v>
      </c>
      <c r="CD18" s="3">
        <f t="shared" si="7"/>
        <v>1</v>
      </c>
      <c r="CE18" s="3">
        <f t="shared" si="7"/>
        <v>1</v>
      </c>
      <c r="CF18" s="3">
        <f t="shared" si="7"/>
        <v>0</v>
      </c>
      <c r="CG18" s="3">
        <f t="shared" si="7"/>
        <v>1</v>
      </c>
      <c r="CH18" s="3">
        <f t="shared" si="7"/>
        <v>1</v>
      </c>
      <c r="CI18" s="3">
        <f t="shared" si="7"/>
        <v>0</v>
      </c>
      <c r="CM18" s="62">
        <v>44</v>
      </c>
      <c r="CN18" s="62" t="s">
        <v>136</v>
      </c>
      <c r="CO18" s="63" t="str">
        <f t="shared" si="2"/>
        <v>Siento un zumbido constante en mis oídos</v>
      </c>
      <c r="CP18" s="6" t="str">
        <f t="shared" si="3"/>
        <v>(Verdadero)</v>
      </c>
      <c r="CQ18" s="6" t="str">
        <f t="shared" si="4"/>
        <v>(Verdadero)</v>
      </c>
    </row>
    <row r="19" spans="2:95" s="3" customFormat="1" ht="22.5" customHeight="1" x14ac:dyDescent="0.35">
      <c r="B19" s="79">
        <v>11</v>
      </c>
      <c r="C19" s="80" t="s">
        <v>3</v>
      </c>
      <c r="D19" s="84"/>
      <c r="E19" s="84" t="s">
        <v>47</v>
      </c>
      <c r="F19" s="79">
        <v>11</v>
      </c>
      <c r="G19" s="66">
        <f t="shared" si="1"/>
        <v>0</v>
      </c>
      <c r="H19" s="6" t="str">
        <f t="shared" si="5"/>
        <v>(Falso)</v>
      </c>
      <c r="CM19" s="62">
        <v>50</v>
      </c>
      <c r="CN19" s="62" t="s">
        <v>136</v>
      </c>
      <c r="CO19" s="63" t="str">
        <f t="shared" si="2"/>
        <v>Tengo dificultades para reconocer palabras escritas o habladas</v>
      </c>
      <c r="CP19" s="6" t="str">
        <f t="shared" si="3"/>
        <v>(Verdadero)</v>
      </c>
      <c r="CQ19" s="6" t="str">
        <f t="shared" si="4"/>
        <v>(Verdadero)</v>
      </c>
    </row>
    <row r="20" spans="2:95" s="3" customFormat="1" ht="22.5" customHeight="1" x14ac:dyDescent="0.35">
      <c r="B20" s="79">
        <v>12</v>
      </c>
      <c r="C20" s="81" t="s">
        <v>65</v>
      </c>
      <c r="D20" s="84" t="s">
        <v>47</v>
      </c>
      <c r="E20" s="84"/>
      <c r="F20" s="79">
        <v>12</v>
      </c>
      <c r="G20" s="87">
        <f t="shared" si="1"/>
        <v>1</v>
      </c>
      <c r="H20" s="6" t="str">
        <f t="shared" si="5"/>
        <v>(Verdadero)</v>
      </c>
      <c r="CM20" s="62">
        <v>54</v>
      </c>
      <c r="CN20" s="62" t="s">
        <v>137</v>
      </c>
      <c r="CO20" s="63" t="str">
        <f t="shared" si="2"/>
        <v>No he experimentado cambios en mi sentido del olfato</v>
      </c>
      <c r="CP20" s="6" t="str">
        <f t="shared" si="3"/>
        <v>(Verdadero)</v>
      </c>
      <c r="CQ20" s="6" t="str">
        <f t="shared" si="4"/>
        <v/>
      </c>
    </row>
    <row r="21" spans="2:95" s="3" customFormat="1" ht="36" x14ac:dyDescent="0.35">
      <c r="B21" s="79">
        <v>13</v>
      </c>
      <c r="C21" s="80" t="s">
        <v>66</v>
      </c>
      <c r="D21" s="84" t="s">
        <v>47</v>
      </c>
      <c r="E21" s="84"/>
      <c r="F21" s="79">
        <v>13</v>
      </c>
      <c r="G21" s="89">
        <f t="shared" si="1"/>
        <v>1</v>
      </c>
      <c r="H21" s="6" t="str">
        <f t="shared" si="5"/>
        <v>(Verdadero)</v>
      </c>
      <c r="CM21" s="62">
        <v>59</v>
      </c>
      <c r="CN21" s="62" t="s">
        <v>136</v>
      </c>
      <c r="CO21" s="63" t="str">
        <f t="shared" si="2"/>
        <v>Siento partes de mis extremidades entumecidas, aunque puedo moverlas sin dificultad</v>
      </c>
      <c r="CP21" s="6" t="str">
        <f t="shared" si="3"/>
        <v>(Falso)</v>
      </c>
      <c r="CQ21" s="6" t="str">
        <f t="shared" si="4"/>
        <v/>
      </c>
    </row>
    <row r="22" spans="2:95" s="3" customFormat="1" ht="22.5" customHeight="1" x14ac:dyDescent="0.35">
      <c r="B22" s="79">
        <v>14</v>
      </c>
      <c r="C22" s="81" t="s">
        <v>1</v>
      </c>
      <c r="D22" s="84" t="s">
        <v>47</v>
      </c>
      <c r="E22" s="84"/>
      <c r="F22" s="79">
        <v>14</v>
      </c>
      <c r="G22" s="66">
        <f t="shared" si="1"/>
        <v>1</v>
      </c>
      <c r="H22" s="6" t="str">
        <f t="shared" si="5"/>
        <v>(Verdadero)</v>
      </c>
      <c r="CM22" s="62">
        <v>64</v>
      </c>
      <c r="CN22" s="62" t="s">
        <v>136</v>
      </c>
      <c r="CO22" s="63" t="str">
        <f t="shared" si="2"/>
        <v>A veces mis pantorrillas están entumecidas que soy incapaz de moverlas</v>
      </c>
      <c r="CP22" s="6" t="str">
        <f t="shared" si="3"/>
        <v>(Verdadero)</v>
      </c>
      <c r="CQ22" s="6" t="str">
        <f t="shared" si="4"/>
        <v>(Verdadero)</v>
      </c>
    </row>
    <row r="23" spans="2:95" s="3" customFormat="1" ht="22.5" customHeight="1" x14ac:dyDescent="0.35">
      <c r="B23" s="79">
        <v>15</v>
      </c>
      <c r="C23" s="80" t="s">
        <v>67</v>
      </c>
      <c r="D23" s="84"/>
      <c r="E23" s="84" t="s">
        <v>47</v>
      </c>
      <c r="F23" s="79">
        <v>15</v>
      </c>
      <c r="G23" s="87">
        <f t="shared" si="1"/>
        <v>0</v>
      </c>
      <c r="H23" s="6" t="str">
        <f t="shared" si="5"/>
        <v>(Falso)</v>
      </c>
      <c r="CM23" s="62">
        <v>66</v>
      </c>
      <c r="CN23" s="62" t="s">
        <v>136</v>
      </c>
      <c r="CO23" s="63" t="str">
        <f t="shared" si="2"/>
        <v>Trabajo muy lentamente y mi rendimiento es muy reducido porque mi capacidad esta muy limitada</v>
      </c>
      <c r="CP23" s="6" t="str">
        <f t="shared" si="3"/>
        <v>(Verdadero)</v>
      </c>
      <c r="CQ23" s="6" t="str">
        <f t="shared" si="4"/>
        <v>(Verdadero)</v>
      </c>
    </row>
    <row r="24" spans="2:95" s="3" customFormat="1" ht="36" x14ac:dyDescent="0.35">
      <c r="B24" s="79">
        <v>16</v>
      </c>
      <c r="C24" s="81" t="s">
        <v>68</v>
      </c>
      <c r="D24" s="84" t="s">
        <v>47</v>
      </c>
      <c r="E24" s="84"/>
      <c r="F24" s="79">
        <v>16</v>
      </c>
      <c r="G24" s="86">
        <f>IF(D24="X",1,IF(E24="X",0,""))</f>
        <v>1</v>
      </c>
      <c r="H24" s="6" t="str">
        <f t="shared" si="5"/>
        <v>(Verdadero)</v>
      </c>
      <c r="CM24" s="62">
        <v>71</v>
      </c>
      <c r="CN24" s="62" t="s">
        <v>136</v>
      </c>
      <c r="CO24" s="63" t="str">
        <f t="shared" si="2"/>
        <v>Una vez a la semana, súbitamente, siento frío aunque la temperatura ambiental sea cálida</v>
      </c>
      <c r="CP24" s="6" t="str">
        <f t="shared" si="3"/>
        <v>(Verdadero)</v>
      </c>
      <c r="CQ24" s="6" t="str">
        <f t="shared" si="4"/>
        <v>(Verdadero)</v>
      </c>
    </row>
    <row r="25" spans="2:95" s="3" customFormat="1" ht="22.5" customHeight="1" x14ac:dyDescent="0.35">
      <c r="B25" s="79">
        <v>17</v>
      </c>
      <c r="C25" s="80" t="s">
        <v>69</v>
      </c>
      <c r="D25" s="84" t="s">
        <v>47</v>
      </c>
      <c r="E25" s="84"/>
      <c r="F25" s="79">
        <v>17</v>
      </c>
      <c r="G25" s="86">
        <f t="shared" si="1"/>
        <v>1</v>
      </c>
      <c r="H25" s="6" t="str">
        <f t="shared" si="5"/>
        <v>(Verdadero)</v>
      </c>
      <c r="CM25" s="61" t="s">
        <v>128</v>
      </c>
      <c r="CN25" s="61" t="s">
        <v>129</v>
      </c>
      <c r="CO25" s="61" t="s">
        <v>131</v>
      </c>
      <c r="CP25" s="61" t="s">
        <v>135</v>
      </c>
      <c r="CQ25" s="61" t="s">
        <v>138</v>
      </c>
    </row>
    <row r="26" spans="2:95" s="3" customFormat="1" ht="22.5" customHeight="1" x14ac:dyDescent="0.35">
      <c r="B26" s="79">
        <v>18</v>
      </c>
      <c r="C26" s="81" t="s">
        <v>70</v>
      </c>
      <c r="D26" s="84" t="s">
        <v>47</v>
      </c>
      <c r="E26" s="84"/>
      <c r="F26" s="79">
        <v>18</v>
      </c>
      <c r="G26" s="87">
        <f t="shared" si="1"/>
        <v>1</v>
      </c>
      <c r="H26" s="6" t="str">
        <f t="shared" si="5"/>
        <v>(Verdadero)</v>
      </c>
      <c r="CM26" s="62">
        <v>18</v>
      </c>
      <c r="CN26" s="62" t="s">
        <v>136</v>
      </c>
      <c r="CO26" s="63" t="str">
        <f t="shared" si="2"/>
        <v>Más de tres veces al día me levanto para agarrar algo, pero olvido que es lo que era</v>
      </c>
      <c r="CP26" s="6" t="str">
        <f t="shared" si="3"/>
        <v>(Verdadero)</v>
      </c>
      <c r="CQ26" s="6" t="str">
        <f t="shared" si="4"/>
        <v>(Verdadero)</v>
      </c>
    </row>
    <row r="27" spans="2:95" s="3" customFormat="1" ht="22.5" customHeight="1" x14ac:dyDescent="0.35">
      <c r="B27" s="79">
        <v>19</v>
      </c>
      <c r="C27" s="80" t="s">
        <v>71</v>
      </c>
      <c r="D27" s="84" t="s">
        <v>47</v>
      </c>
      <c r="E27" s="84"/>
      <c r="F27" s="79">
        <v>19</v>
      </c>
      <c r="G27" s="86">
        <f>IF(D27="X",0,IF(E27="X",1,""))</f>
        <v>0</v>
      </c>
      <c r="H27" s="6" t="str">
        <f t="shared" si="5"/>
        <v>(Falso)</v>
      </c>
      <c r="CM27" s="62">
        <v>61</v>
      </c>
      <c r="CN27" s="62" t="s">
        <v>136</v>
      </c>
      <c r="CO27" s="63" t="str">
        <f t="shared" si="2"/>
        <v>Tengo dificultades para recordar el día de mi cumpleaños</v>
      </c>
      <c r="CP27" s="6" t="str">
        <f t="shared" si="3"/>
        <v>(Verdadero)</v>
      </c>
      <c r="CQ27" s="6" t="str">
        <f t="shared" si="4"/>
        <v>(Verdadero)</v>
      </c>
    </row>
    <row r="28" spans="2:95" s="3" customFormat="1" ht="22.5" customHeight="1" x14ac:dyDescent="0.35">
      <c r="B28" s="79">
        <v>20</v>
      </c>
      <c r="C28" s="81" t="s">
        <v>72</v>
      </c>
      <c r="D28" s="84"/>
      <c r="E28" s="84" t="s">
        <v>47</v>
      </c>
      <c r="F28" s="79">
        <v>20</v>
      </c>
      <c r="G28" s="88">
        <f t="shared" si="1"/>
        <v>0</v>
      </c>
      <c r="H28" s="6" t="str">
        <f t="shared" si="5"/>
        <v>(Falso)</v>
      </c>
      <c r="CM28" s="62">
        <v>53</v>
      </c>
      <c r="CN28" s="62" t="s">
        <v>136</v>
      </c>
      <c r="CO28" s="63" t="str">
        <f t="shared" si="2"/>
        <v>Cuando no puedo recordar algo, las instrucciones o consejos no me sirven de ayuda</v>
      </c>
      <c r="CP28" s="6" t="str">
        <f t="shared" si="3"/>
        <v>(Verdadero)</v>
      </c>
      <c r="CQ28" s="6" t="str">
        <f t="shared" si="4"/>
        <v>(Verdadero)</v>
      </c>
    </row>
    <row r="29" spans="2:95" s="3" customFormat="1" ht="22.5" customHeight="1" x14ac:dyDescent="0.35">
      <c r="B29" s="79">
        <v>21</v>
      </c>
      <c r="C29" s="80" t="s">
        <v>4</v>
      </c>
      <c r="D29" s="84" t="s">
        <v>47</v>
      </c>
      <c r="E29" s="84"/>
      <c r="F29" s="79">
        <v>21</v>
      </c>
      <c r="G29" s="66">
        <f>IF(D29="X",1,IF(E29="X",0,""))</f>
        <v>1</v>
      </c>
      <c r="H29" s="6" t="str">
        <f t="shared" si="5"/>
        <v>(Verdadero)</v>
      </c>
      <c r="CM29" s="62">
        <v>49</v>
      </c>
      <c r="CN29" s="62" t="s">
        <v>136</v>
      </c>
      <c r="CO29" s="63" t="str">
        <f t="shared" si="2"/>
        <v>A veces olvido como llegar a casa mientras conduzco</v>
      </c>
      <c r="CP29" s="6" t="str">
        <f t="shared" si="3"/>
        <v>(Falso)</v>
      </c>
      <c r="CQ29" s="6" t="str">
        <f t="shared" si="4"/>
        <v/>
      </c>
    </row>
    <row r="30" spans="2:95" s="3" customFormat="1" ht="36" x14ac:dyDescent="0.35">
      <c r="B30" s="79">
        <v>22</v>
      </c>
      <c r="C30" s="81" t="s">
        <v>73</v>
      </c>
      <c r="D30" s="84" t="s">
        <v>47</v>
      </c>
      <c r="E30" s="84"/>
      <c r="F30" s="79">
        <v>22</v>
      </c>
      <c r="G30" s="87">
        <f t="shared" si="1"/>
        <v>1</v>
      </c>
      <c r="H30" s="6" t="str">
        <f t="shared" si="5"/>
        <v>(Verdadero)</v>
      </c>
      <c r="CM30" s="62">
        <v>45</v>
      </c>
      <c r="CN30" s="62" t="s">
        <v>136</v>
      </c>
      <c r="CO30" s="63" t="str">
        <f t="shared" si="2"/>
        <v>Me hicieron un comentario sobre una reunión en la que me mostré enfadado con alguien, pero no lo recuerdo en absoluto</v>
      </c>
      <c r="CP30" s="6" t="str">
        <f t="shared" si="3"/>
        <v>(Verdadero)</v>
      </c>
      <c r="CQ30" s="6" t="str">
        <f t="shared" si="4"/>
        <v>(Verdadero)</v>
      </c>
    </row>
    <row r="31" spans="2:95" s="3" customFormat="1" ht="22.5" customHeight="1" x14ac:dyDescent="0.35">
      <c r="B31" s="79">
        <v>23</v>
      </c>
      <c r="C31" s="80" t="s">
        <v>74</v>
      </c>
      <c r="D31" s="84" t="s">
        <v>47</v>
      </c>
      <c r="E31" s="84"/>
      <c r="F31" s="79">
        <v>23</v>
      </c>
      <c r="G31" s="86">
        <f>IF(D31="X",0,IF(E31="X",1,""))</f>
        <v>0</v>
      </c>
      <c r="H31" s="6" t="str">
        <f>+IF(G31=1,"(Falso)",IF(G31=0,"(Verdadero)",""))</f>
        <v>(Verdadero)</v>
      </c>
      <c r="CM31" s="62">
        <v>40</v>
      </c>
      <c r="CN31" s="62" t="s">
        <v>136</v>
      </c>
      <c r="CO31" s="63" t="str">
        <f t="shared" si="2"/>
        <v>No puedo recordar si estoy casado o no</v>
      </c>
      <c r="CP31" s="6" t="str">
        <f t="shared" si="3"/>
        <v>(Falso)</v>
      </c>
      <c r="CQ31" s="6" t="str">
        <f t="shared" si="4"/>
        <v/>
      </c>
    </row>
    <row r="32" spans="2:95" s="3" customFormat="1" ht="22.5" customHeight="1" x14ac:dyDescent="0.35">
      <c r="B32" s="79">
        <v>24</v>
      </c>
      <c r="C32" s="81" t="s">
        <v>75</v>
      </c>
      <c r="D32" s="84" t="s">
        <v>47</v>
      </c>
      <c r="E32" s="84"/>
      <c r="F32" s="79">
        <v>24</v>
      </c>
      <c r="G32" s="86">
        <f>IF(D32="X",1,IF(E32="X",0,""))</f>
        <v>1</v>
      </c>
      <c r="H32" s="6" t="str">
        <f t="shared" ref="H32:H53" si="8">+IF(G32=1,"(Verdadero)",IF(G32=0,"(Falso)",""))</f>
        <v>(Verdadero)</v>
      </c>
      <c r="CM32" s="62">
        <v>36</v>
      </c>
      <c r="CN32" s="62" t="s">
        <v>136</v>
      </c>
      <c r="CO32" s="63" t="str">
        <f t="shared" si="2"/>
        <v>Tengo dificultades para recordar mi número de teléfono</v>
      </c>
      <c r="CP32" s="6" t="str">
        <f t="shared" si="3"/>
        <v>(Verdadero)</v>
      </c>
      <c r="CQ32" s="6" t="str">
        <f t="shared" si="4"/>
        <v>(Verdadero)</v>
      </c>
    </row>
    <row r="33" spans="2:95" s="3" customFormat="1" ht="36" x14ac:dyDescent="0.35">
      <c r="B33" s="79">
        <v>25</v>
      </c>
      <c r="C33" s="80" t="s">
        <v>76</v>
      </c>
      <c r="D33" s="84" t="s">
        <v>47</v>
      </c>
      <c r="E33" s="84"/>
      <c r="F33" s="79">
        <v>25</v>
      </c>
      <c r="G33" s="87">
        <f t="shared" si="1"/>
        <v>1</v>
      </c>
      <c r="H33" s="6" t="str">
        <f t="shared" si="8"/>
        <v>(Verdadero)</v>
      </c>
      <c r="CM33" s="62">
        <v>33</v>
      </c>
      <c r="CN33" s="62" t="s">
        <v>136</v>
      </c>
      <c r="CO33" s="63" t="str">
        <f t="shared" si="2"/>
        <v>Mi vida pasada y acontecimientos importantes se vuelven borrosos durante la noche</v>
      </c>
      <c r="CP33" s="6" t="str">
        <f t="shared" si="3"/>
        <v>(Verdadero)</v>
      </c>
      <c r="CQ33" s="6" t="str">
        <f t="shared" si="4"/>
        <v>(Verdadero)</v>
      </c>
    </row>
    <row r="34" spans="2:95" s="3" customFormat="1" ht="22.5" customHeight="1" x14ac:dyDescent="0.35">
      <c r="B34" s="79">
        <v>26</v>
      </c>
      <c r="C34" s="81" t="s">
        <v>77</v>
      </c>
      <c r="D34" s="84" t="s">
        <v>47</v>
      </c>
      <c r="E34" s="84"/>
      <c r="F34" s="79">
        <v>26</v>
      </c>
      <c r="G34" s="88">
        <f t="shared" si="1"/>
        <v>1</v>
      </c>
      <c r="H34" s="6" t="str">
        <f t="shared" si="8"/>
        <v>(Verdadero)</v>
      </c>
      <c r="CM34" s="62">
        <v>30</v>
      </c>
      <c r="CN34" s="62" t="s">
        <v>136</v>
      </c>
      <c r="CO34" s="63" t="str">
        <f t="shared" si="2"/>
        <v>Tengo dificultades para recordar que fecha es hoy</v>
      </c>
      <c r="CP34" s="6" t="str">
        <f t="shared" si="3"/>
        <v>(Verdadero)</v>
      </c>
      <c r="CQ34" s="6" t="str">
        <f t="shared" si="4"/>
        <v>(Verdadero)</v>
      </c>
    </row>
    <row r="35" spans="2:95" s="3" customFormat="1" ht="22.5" customHeight="1" x14ac:dyDescent="0.35">
      <c r="B35" s="79">
        <v>27</v>
      </c>
      <c r="C35" s="80" t="s">
        <v>78</v>
      </c>
      <c r="D35" s="84" t="s">
        <v>47</v>
      </c>
      <c r="E35" s="84"/>
      <c r="F35" s="79">
        <v>27</v>
      </c>
      <c r="G35" s="87">
        <f t="shared" si="1"/>
        <v>1</v>
      </c>
      <c r="H35" s="6" t="str">
        <f t="shared" si="8"/>
        <v>(Verdadero)</v>
      </c>
      <c r="CM35" s="62">
        <v>27</v>
      </c>
      <c r="CN35" s="62" t="s">
        <v>136</v>
      </c>
      <c r="CO35" s="63" t="str">
        <f t="shared" si="2"/>
        <v>Tengo dificultades para recordar el día de la semana</v>
      </c>
      <c r="CP35" s="6" t="str">
        <f t="shared" si="3"/>
        <v>(Verdadero)</v>
      </c>
      <c r="CQ35" s="6" t="str">
        <f t="shared" si="4"/>
        <v>(Verdadero)</v>
      </c>
    </row>
    <row r="36" spans="2:95" s="3" customFormat="1" ht="30.6" customHeight="1" x14ac:dyDescent="0.35">
      <c r="B36" s="79">
        <v>28</v>
      </c>
      <c r="C36" s="81" t="s">
        <v>79</v>
      </c>
      <c r="D36" s="84"/>
      <c r="E36" s="84" t="s">
        <v>47</v>
      </c>
      <c r="F36" s="79">
        <v>28</v>
      </c>
      <c r="G36" s="89">
        <f t="shared" si="1"/>
        <v>0</v>
      </c>
      <c r="H36" s="6" t="str">
        <f t="shared" si="8"/>
        <v>(Falso)</v>
      </c>
      <c r="CM36" s="62">
        <v>25</v>
      </c>
      <c r="CN36" s="62" t="s">
        <v>136</v>
      </c>
      <c r="CO36" s="63" t="str">
        <f t="shared" si="2"/>
        <v>En ocasiones he sido incapaz de recordar los nombres o las caras de familiares cercanos, de forma que me resultan unos completos extraños.</v>
      </c>
      <c r="CP36" s="6" t="str">
        <f t="shared" si="3"/>
        <v>(Verdadero)</v>
      </c>
      <c r="CQ36" s="6" t="str">
        <f t="shared" si="4"/>
        <v>(Verdadero)</v>
      </c>
    </row>
    <row r="37" spans="2:95" s="3" customFormat="1" ht="36" x14ac:dyDescent="0.35">
      <c r="B37" s="79">
        <v>29</v>
      </c>
      <c r="C37" s="80" t="s">
        <v>80</v>
      </c>
      <c r="D37" s="84"/>
      <c r="E37" s="84" t="s">
        <v>47</v>
      </c>
      <c r="F37" s="79">
        <v>29</v>
      </c>
      <c r="G37" s="88">
        <f t="shared" si="1"/>
        <v>0</v>
      </c>
      <c r="H37" s="6" t="str">
        <f t="shared" si="8"/>
        <v>(Falso)</v>
      </c>
      <c r="CM37" s="62">
        <v>22</v>
      </c>
      <c r="CN37" s="62" t="s">
        <v>136</v>
      </c>
      <c r="CO37" s="63" t="str">
        <f t="shared" si="2"/>
        <v>Últimamente, me he dado cuenta de que mi memoria ha empeorado tanto que ha habido días enteros que no consigo recordar.</v>
      </c>
      <c r="CP37" s="6" t="str">
        <f t="shared" si="3"/>
        <v>(Verdadero)</v>
      </c>
      <c r="CQ37" s="6" t="str">
        <f t="shared" si="4"/>
        <v>(Verdadero)</v>
      </c>
    </row>
    <row r="38" spans="2:95" s="3" customFormat="1" ht="22.5" customHeight="1" x14ac:dyDescent="0.35">
      <c r="B38" s="79">
        <v>30</v>
      </c>
      <c r="C38" s="81" t="s">
        <v>81</v>
      </c>
      <c r="D38" s="84" t="s">
        <v>47</v>
      </c>
      <c r="E38" s="84"/>
      <c r="F38" s="79">
        <v>30</v>
      </c>
      <c r="G38" s="87">
        <f t="shared" si="1"/>
        <v>1</v>
      </c>
      <c r="H38" s="6" t="str">
        <f t="shared" si="8"/>
        <v>(Verdadero)</v>
      </c>
      <c r="CM38" s="62">
        <v>15</v>
      </c>
      <c r="CN38" s="62" t="s">
        <v>136</v>
      </c>
      <c r="CO38" s="63" t="str">
        <f t="shared" si="2"/>
        <v>El mayor problema que tengo es mi memoria</v>
      </c>
      <c r="CP38" s="6" t="str">
        <f t="shared" si="3"/>
        <v>(Falso)</v>
      </c>
      <c r="CQ38" s="6" t="str">
        <f t="shared" si="4"/>
        <v/>
      </c>
    </row>
    <row r="39" spans="2:95" s="3" customFormat="1" ht="22.5" customHeight="1" x14ac:dyDescent="0.35">
      <c r="B39" s="79">
        <v>31</v>
      </c>
      <c r="C39" s="80" t="s">
        <v>82</v>
      </c>
      <c r="D39" s="84" t="s">
        <v>47</v>
      </c>
      <c r="E39" s="84"/>
      <c r="F39" s="79">
        <v>31</v>
      </c>
      <c r="G39" s="89">
        <f t="shared" si="1"/>
        <v>1</v>
      </c>
      <c r="H39" s="6" t="str">
        <f t="shared" si="8"/>
        <v>(Verdadero)</v>
      </c>
      <c r="CM39" s="62">
        <v>12</v>
      </c>
      <c r="CN39" s="62" t="s">
        <v>136</v>
      </c>
      <c r="CO39" s="63" t="str">
        <f t="shared" si="2"/>
        <v>Tengo dificultades para recordar la dirección en la que vivo</v>
      </c>
      <c r="CP39" s="6" t="str">
        <f t="shared" si="3"/>
        <v>(Verdadero)</v>
      </c>
      <c r="CQ39" s="6" t="str">
        <f t="shared" si="4"/>
        <v>(Verdadero)</v>
      </c>
    </row>
    <row r="40" spans="2:95" s="3" customFormat="1" ht="22.5" customHeight="1" x14ac:dyDescent="0.35">
      <c r="B40" s="79">
        <v>32</v>
      </c>
      <c r="C40" s="81" t="s">
        <v>83</v>
      </c>
      <c r="D40" s="84" t="s">
        <v>47</v>
      </c>
      <c r="E40" s="84"/>
      <c r="F40" s="79">
        <v>32</v>
      </c>
      <c r="G40" s="86">
        <f>IF(D40="X",1,IF(E40="X",0,""))</f>
        <v>1</v>
      </c>
      <c r="H40" s="90" t="str">
        <f t="shared" si="8"/>
        <v>(Verdadero)</v>
      </c>
      <c r="CM40" s="62">
        <v>9</v>
      </c>
      <c r="CN40" s="62" t="s">
        <v>137</v>
      </c>
      <c r="CO40" s="63" t="str">
        <f t="shared" si="2"/>
        <v>Puedo recordar que es lo que hice hace una hora</v>
      </c>
      <c r="CP40" s="6" t="str">
        <f t="shared" si="3"/>
        <v>(Verdadero)</v>
      </c>
      <c r="CQ40" s="6" t="str">
        <f t="shared" si="4"/>
        <v/>
      </c>
    </row>
    <row r="41" spans="2:95" s="3" customFormat="1" ht="22.5" customHeight="1" x14ac:dyDescent="0.35">
      <c r="B41" s="79">
        <v>33</v>
      </c>
      <c r="C41" s="80" t="s">
        <v>84</v>
      </c>
      <c r="D41" s="84" t="s">
        <v>47</v>
      </c>
      <c r="E41" s="84"/>
      <c r="F41" s="79">
        <v>33</v>
      </c>
      <c r="G41" s="87">
        <f t="shared" si="1"/>
        <v>1</v>
      </c>
      <c r="H41" s="6" t="str">
        <f t="shared" si="8"/>
        <v>(Verdadero)</v>
      </c>
      <c r="CM41" s="61" t="s">
        <v>128</v>
      </c>
      <c r="CN41" s="61" t="s">
        <v>129</v>
      </c>
      <c r="CO41" s="61" t="s">
        <v>132</v>
      </c>
      <c r="CP41" s="61" t="s">
        <v>135</v>
      </c>
      <c r="CQ41" s="61" t="s">
        <v>138</v>
      </c>
    </row>
    <row r="42" spans="2:95" s="3" customFormat="1" ht="22.5" customHeight="1" x14ac:dyDescent="0.35">
      <c r="B42" s="79">
        <v>34</v>
      </c>
      <c r="C42" s="81" t="s">
        <v>85</v>
      </c>
      <c r="D42" s="84"/>
      <c r="E42" s="84" t="s">
        <v>47</v>
      </c>
      <c r="F42" s="79">
        <v>34</v>
      </c>
      <c r="G42" s="89">
        <f t="shared" si="1"/>
        <v>0</v>
      </c>
      <c r="H42" s="6" t="str">
        <f t="shared" si="8"/>
        <v>(Falso)</v>
      </c>
      <c r="CM42" s="62">
        <v>72</v>
      </c>
      <c r="CN42" s="62" t="s">
        <v>137</v>
      </c>
      <c r="CO42" s="63" t="str">
        <f t="shared" si="2"/>
        <v>Aunque las cosas estén realmente mal, trato de mantenerme esperanzado hasta que mejoren</v>
      </c>
      <c r="CP42" s="6" t="str">
        <f t="shared" si="3"/>
        <v>(Verdadero)</v>
      </c>
      <c r="CQ42" s="6" t="str">
        <f t="shared" si="4"/>
        <v/>
      </c>
    </row>
    <row r="43" spans="2:95" s="3" customFormat="1" ht="36" x14ac:dyDescent="0.35">
      <c r="B43" s="79">
        <v>35</v>
      </c>
      <c r="C43" s="80" t="s">
        <v>86</v>
      </c>
      <c r="D43" s="84" t="s">
        <v>47</v>
      </c>
      <c r="E43" s="84"/>
      <c r="F43" s="79">
        <v>35</v>
      </c>
      <c r="G43" s="88">
        <f t="shared" si="1"/>
        <v>1</v>
      </c>
      <c r="H43" s="6" t="str">
        <f t="shared" si="8"/>
        <v>(Verdadero)</v>
      </c>
      <c r="CM43" s="62">
        <v>60</v>
      </c>
      <c r="CN43" s="62" t="s">
        <v>136</v>
      </c>
      <c r="CO43" s="63" t="str">
        <f t="shared" si="2"/>
        <v>Parece que no puedo expresar mis sentimientos</v>
      </c>
      <c r="CP43" s="6" t="str">
        <f t="shared" si="3"/>
        <v>(Verdadero)</v>
      </c>
      <c r="CQ43" s="6" t="str">
        <f t="shared" si="4"/>
        <v>(Verdadero)</v>
      </c>
    </row>
    <row r="44" spans="2:95" s="3" customFormat="1" ht="22.5" customHeight="1" x14ac:dyDescent="0.35">
      <c r="B44" s="79">
        <v>36</v>
      </c>
      <c r="C44" s="81" t="s">
        <v>87</v>
      </c>
      <c r="D44" s="84" t="s">
        <v>47</v>
      </c>
      <c r="E44" s="84"/>
      <c r="F44" s="79">
        <v>36</v>
      </c>
      <c r="G44" s="87">
        <f t="shared" si="1"/>
        <v>1</v>
      </c>
      <c r="H44" s="6" t="str">
        <f t="shared" si="8"/>
        <v>(Verdadero)</v>
      </c>
      <c r="CM44" s="62">
        <v>55</v>
      </c>
      <c r="CN44" s="62" t="s">
        <v>137</v>
      </c>
      <c r="CO44" s="63" t="str">
        <f t="shared" si="2"/>
        <v>Cuando estoy deprimido, me animo con mis amigos, intereses y aficiones</v>
      </c>
      <c r="CP44" s="6" t="str">
        <f t="shared" si="3"/>
        <v>(Verdadero)</v>
      </c>
      <c r="CQ44" s="6" t="str">
        <f t="shared" si="4"/>
        <v/>
      </c>
    </row>
    <row r="45" spans="2:95" s="3" customFormat="1" ht="22.5" customHeight="1" x14ac:dyDescent="0.35">
      <c r="B45" s="79">
        <v>37</v>
      </c>
      <c r="C45" s="80" t="s">
        <v>88</v>
      </c>
      <c r="D45" s="84" t="s">
        <v>47</v>
      </c>
      <c r="E45" s="84"/>
      <c r="F45" s="79">
        <v>37</v>
      </c>
      <c r="G45" s="86">
        <f>IF(D45="X",1,IF(E45="X",0,""))</f>
        <v>1</v>
      </c>
      <c r="H45" s="6" t="str">
        <f t="shared" si="8"/>
        <v>(Verdadero)</v>
      </c>
      <c r="CM45" s="62">
        <v>52</v>
      </c>
      <c r="CN45" s="62" t="s">
        <v>136</v>
      </c>
      <c r="CO45" s="63" t="str">
        <f t="shared" si="2"/>
        <v>Me parece que no tengo tanta energía como solía tener</v>
      </c>
      <c r="CP45" s="6" t="str">
        <f t="shared" si="3"/>
        <v>(Verdadero)</v>
      </c>
      <c r="CQ45" s="6" t="str">
        <f t="shared" si="4"/>
        <v>(Verdadero)</v>
      </c>
    </row>
    <row r="46" spans="2:95" s="3" customFormat="1" ht="22.5" customHeight="1" x14ac:dyDescent="0.35">
      <c r="B46" s="79">
        <v>38</v>
      </c>
      <c r="C46" s="81" t="s">
        <v>89</v>
      </c>
      <c r="D46" s="84" t="s">
        <v>47</v>
      </c>
      <c r="E46" s="84"/>
      <c r="F46" s="79">
        <v>38</v>
      </c>
      <c r="G46" s="89">
        <f t="shared" si="1"/>
        <v>1</v>
      </c>
      <c r="H46" s="6" t="str">
        <f t="shared" si="8"/>
        <v>(Verdadero)</v>
      </c>
      <c r="CM46" s="62">
        <v>47</v>
      </c>
      <c r="CN46" s="62" t="s">
        <v>136</v>
      </c>
      <c r="CO46" s="63" t="str">
        <f t="shared" si="2"/>
        <v>Me siento deprimido todo el tiempo</v>
      </c>
      <c r="CP46" s="6" t="str">
        <f t="shared" si="3"/>
        <v>(Verdadero)</v>
      </c>
      <c r="CQ46" s="6" t="str">
        <f t="shared" si="4"/>
        <v>(Verdadero)</v>
      </c>
    </row>
    <row r="47" spans="2:95" s="3" customFormat="1" ht="22.5" customHeight="1" x14ac:dyDescent="0.35">
      <c r="B47" s="79">
        <v>39</v>
      </c>
      <c r="C47" s="80" t="s">
        <v>90</v>
      </c>
      <c r="D47" s="84" t="s">
        <v>47</v>
      </c>
      <c r="E47" s="84"/>
      <c r="F47" s="79">
        <v>39</v>
      </c>
      <c r="G47" s="88">
        <f t="shared" si="1"/>
        <v>1</v>
      </c>
      <c r="H47" s="6" t="str">
        <f t="shared" si="8"/>
        <v>(Verdadero)</v>
      </c>
      <c r="CM47" s="62">
        <v>43</v>
      </c>
      <c r="CN47" s="62" t="s">
        <v>136</v>
      </c>
      <c r="CO47" s="63" t="str">
        <f t="shared" si="2"/>
        <v>No tengo problemas para conciliar el sueño, pero me despierto a menudo durante la noche</v>
      </c>
      <c r="CP47" s="6" t="str">
        <f t="shared" si="3"/>
        <v>(Verdadero)</v>
      </c>
      <c r="CQ47" s="6" t="str">
        <f t="shared" si="4"/>
        <v>(Verdadero)</v>
      </c>
    </row>
    <row r="48" spans="2:95" s="3" customFormat="1" ht="22.5" customHeight="1" x14ac:dyDescent="0.35">
      <c r="B48" s="79">
        <v>40</v>
      </c>
      <c r="C48" s="81" t="s">
        <v>91</v>
      </c>
      <c r="D48" s="84"/>
      <c r="E48" s="84" t="s">
        <v>47</v>
      </c>
      <c r="F48" s="79">
        <v>40</v>
      </c>
      <c r="G48" s="87">
        <f t="shared" si="1"/>
        <v>0</v>
      </c>
      <c r="H48" s="6" t="str">
        <f t="shared" si="8"/>
        <v>(Falso)</v>
      </c>
      <c r="CM48" s="62">
        <v>37</v>
      </c>
      <c r="CN48" s="62" t="s">
        <v>136</v>
      </c>
      <c r="CO48" s="63" t="str">
        <f t="shared" si="2"/>
        <v>Mi estado de ánimo empeora a medida que pasa el día</v>
      </c>
      <c r="CP48" s="6" t="str">
        <f t="shared" si="3"/>
        <v>(Verdadero)</v>
      </c>
      <c r="CQ48" s="6" t="str">
        <f t="shared" si="4"/>
        <v>(Verdadero)</v>
      </c>
    </row>
    <row r="49" spans="2:95" s="3" customFormat="1" ht="22.5" customHeight="1" x14ac:dyDescent="0.35">
      <c r="B49" s="79">
        <v>41</v>
      </c>
      <c r="C49" s="80" t="s">
        <v>92</v>
      </c>
      <c r="D49" s="84" t="s">
        <v>47</v>
      </c>
      <c r="E49" s="84"/>
      <c r="F49" s="79">
        <v>41</v>
      </c>
      <c r="G49" s="66">
        <f>IF(D49="X",1,IF(E49="X",0,""))</f>
        <v>1</v>
      </c>
      <c r="H49" s="6" t="str">
        <f t="shared" si="8"/>
        <v>(Verdadero)</v>
      </c>
      <c r="CM49" s="62">
        <v>32</v>
      </c>
      <c r="CN49" s="62" t="s">
        <v>136</v>
      </c>
      <c r="CO49" s="63" t="str">
        <f t="shared" si="2"/>
        <v>Tengo dificultades para dormir</v>
      </c>
      <c r="CP49" s="6" t="str">
        <f t="shared" si="3"/>
        <v>(Verdadero)</v>
      </c>
      <c r="CQ49" s="6" t="str">
        <f t="shared" si="4"/>
        <v>(Verdadero)</v>
      </c>
    </row>
    <row r="50" spans="2:95" s="3" customFormat="1" ht="22.5" customHeight="1" x14ac:dyDescent="0.35">
      <c r="B50" s="79">
        <v>42</v>
      </c>
      <c r="C50" s="81" t="s">
        <v>93</v>
      </c>
      <c r="D50" s="84" t="s">
        <v>47</v>
      </c>
      <c r="E50" s="84"/>
      <c r="F50" s="79">
        <v>42</v>
      </c>
      <c r="G50" s="89">
        <f t="shared" si="1"/>
        <v>1</v>
      </c>
      <c r="H50" s="6" t="str">
        <f t="shared" si="8"/>
        <v>(Verdadero)</v>
      </c>
      <c r="CM50" s="62">
        <v>24</v>
      </c>
      <c r="CN50" s="62" t="s">
        <v>136</v>
      </c>
      <c r="CO50" s="63" t="str">
        <f t="shared" si="2"/>
        <v>Cuanto más deprimido me siento, más ganas de comer me entran</v>
      </c>
      <c r="CP50" s="6" t="str">
        <f t="shared" si="3"/>
        <v>(Verdadero)</v>
      </c>
      <c r="CQ50" s="6" t="str">
        <f t="shared" si="4"/>
        <v>(Verdadero)</v>
      </c>
    </row>
    <row r="51" spans="2:95" s="3" customFormat="1" ht="18" x14ac:dyDescent="0.35">
      <c r="B51" s="79">
        <v>43</v>
      </c>
      <c r="C51" s="80" t="s">
        <v>94</v>
      </c>
      <c r="D51" s="84" t="s">
        <v>47</v>
      </c>
      <c r="E51" s="84"/>
      <c r="F51" s="79">
        <v>43</v>
      </c>
      <c r="G51" s="86">
        <f>IF(D51="X",1,IF(E51="X",0,""))</f>
        <v>1</v>
      </c>
      <c r="H51" s="6" t="str">
        <f t="shared" si="8"/>
        <v>(Verdadero)</v>
      </c>
      <c r="CM51" s="62">
        <v>23</v>
      </c>
      <c r="CN51" s="62" t="s">
        <v>137</v>
      </c>
      <c r="CO51" s="63" t="str">
        <f t="shared" si="2"/>
        <v>Lloro en muy raras ocasiones</v>
      </c>
      <c r="CP51" s="6" t="str">
        <f t="shared" si="3"/>
        <v>(Verdadero)</v>
      </c>
      <c r="CQ51" s="6" t="str">
        <f t="shared" si="4"/>
        <v/>
      </c>
    </row>
    <row r="52" spans="2:95" s="3" customFormat="1" ht="22.5" customHeight="1" x14ac:dyDescent="0.35">
      <c r="B52" s="79">
        <v>44</v>
      </c>
      <c r="C52" s="81" t="s">
        <v>95</v>
      </c>
      <c r="D52" s="84" t="s">
        <v>47</v>
      </c>
      <c r="E52" s="84"/>
      <c r="F52" s="79">
        <v>44</v>
      </c>
      <c r="G52" s="88">
        <f t="shared" si="1"/>
        <v>1</v>
      </c>
      <c r="H52" s="6" t="str">
        <f t="shared" si="8"/>
        <v>(Verdadero)</v>
      </c>
      <c r="CM52" s="62">
        <v>19</v>
      </c>
      <c r="CN52" s="62" t="s">
        <v>136</v>
      </c>
      <c r="CO52" s="63" t="str">
        <f t="shared" si="2"/>
        <v>A veces estoy tan deprimido que me voy a dormir hasta que se me pase esa sensación</v>
      </c>
      <c r="CP52" s="6" t="str">
        <f t="shared" si="3"/>
        <v>(Falso)</v>
      </c>
      <c r="CQ52" s="6" t="str">
        <f t="shared" si="4"/>
        <v/>
      </c>
    </row>
    <row r="53" spans="2:95" s="3" customFormat="1" ht="36" x14ac:dyDescent="0.35">
      <c r="B53" s="79">
        <v>45</v>
      </c>
      <c r="C53" s="80" t="s">
        <v>96</v>
      </c>
      <c r="D53" s="84" t="s">
        <v>47</v>
      </c>
      <c r="E53" s="84"/>
      <c r="F53" s="79">
        <v>45</v>
      </c>
      <c r="G53" s="87">
        <f t="shared" si="1"/>
        <v>1</v>
      </c>
      <c r="H53" s="6" t="str">
        <f t="shared" si="8"/>
        <v>(Verdadero)</v>
      </c>
      <c r="CM53" s="62">
        <v>17</v>
      </c>
      <c r="CN53" s="62" t="s">
        <v>136</v>
      </c>
      <c r="CO53" s="63" t="str">
        <f t="shared" si="2"/>
        <v>Mi estado de ánimo es peor por la noche</v>
      </c>
      <c r="CP53" s="6" t="str">
        <f t="shared" si="3"/>
        <v>(Verdadero)</v>
      </c>
      <c r="CQ53" s="6" t="str">
        <f t="shared" si="4"/>
        <v>(Verdadero)</v>
      </c>
    </row>
    <row r="54" spans="2:95" s="3" customFormat="1" ht="22.5" customHeight="1" x14ac:dyDescent="0.35">
      <c r="B54" s="79">
        <v>46</v>
      </c>
      <c r="C54" s="81" t="s">
        <v>97</v>
      </c>
      <c r="D54" s="84" t="s">
        <v>47</v>
      </c>
      <c r="E54" s="84"/>
      <c r="F54" s="79">
        <v>46</v>
      </c>
      <c r="G54" s="66">
        <f>IF(D54="X",0,IF(E54="X",1,""))</f>
        <v>0</v>
      </c>
      <c r="H54" s="6" t="str">
        <f>+IF(G54=1,"(Falso)",IF(G54=0,"(Verdadero)",""))</f>
        <v>(Verdadero)</v>
      </c>
      <c r="CM54" s="62">
        <v>16</v>
      </c>
      <c r="CN54" s="62" t="s">
        <v>136</v>
      </c>
      <c r="CO54" s="63" t="str">
        <f t="shared" si="2"/>
        <v>Incluso estando deprimido la mayor parte del tiempo, me siento mejor por la mañana tras una buena noche de sueño</v>
      </c>
      <c r="CP54" s="6" t="str">
        <f t="shared" si="3"/>
        <v>(Verdadero)</v>
      </c>
      <c r="CQ54" s="6" t="str">
        <f t="shared" si="4"/>
        <v>(Verdadero)</v>
      </c>
    </row>
    <row r="55" spans="2:95" s="3" customFormat="1" ht="22.5" customHeight="1" x14ac:dyDescent="0.35">
      <c r="B55" s="79">
        <v>47</v>
      </c>
      <c r="C55" s="80" t="s">
        <v>98</v>
      </c>
      <c r="D55" s="84" t="s">
        <v>47</v>
      </c>
      <c r="E55" s="84"/>
      <c r="F55" s="79">
        <v>47</v>
      </c>
      <c r="G55" s="86">
        <f t="shared" si="1"/>
        <v>1</v>
      </c>
      <c r="H55" s="6" t="str">
        <f t="shared" ref="H55:H61" si="9">+IF(G55=1,"(Verdadero)",IF(G55=0,"(Falso)",""))</f>
        <v>(Verdadero)</v>
      </c>
      <c r="CM55" s="62">
        <v>6</v>
      </c>
      <c r="CN55" s="62" t="s">
        <v>136</v>
      </c>
      <c r="CO55" s="63" t="str">
        <f t="shared" si="2"/>
        <v>Rara vez me rio</v>
      </c>
      <c r="CP55" s="6" t="str">
        <f t="shared" si="3"/>
        <v>(Verdadero)</v>
      </c>
      <c r="CQ55" s="6" t="str">
        <f t="shared" si="4"/>
        <v>(Verdadero)</v>
      </c>
    </row>
    <row r="56" spans="2:95" s="3" customFormat="1" ht="22.5" customHeight="1" x14ac:dyDescent="0.35">
      <c r="B56" s="79">
        <v>48</v>
      </c>
      <c r="C56" s="81" t="s">
        <v>99</v>
      </c>
      <c r="D56" s="84" t="s">
        <v>47</v>
      </c>
      <c r="E56" s="84"/>
      <c r="F56" s="79">
        <v>48</v>
      </c>
      <c r="G56" s="89">
        <f t="shared" si="1"/>
        <v>1</v>
      </c>
      <c r="H56" s="6" t="str">
        <f t="shared" si="9"/>
        <v>(Verdadero)</v>
      </c>
      <c r="CM56" s="62">
        <v>2</v>
      </c>
      <c r="CN56" s="62" t="s">
        <v>136</v>
      </c>
      <c r="CO56" s="63" t="str">
        <f t="shared" si="2"/>
        <v>Cuando mi depresión se agrava, salgo a dar largos paseos y realizo algo de ejercicio para reducir la tensión</v>
      </c>
      <c r="CP56" s="6" t="str">
        <f t="shared" si="3"/>
        <v>(Verdadero)</v>
      </c>
      <c r="CQ56" s="6" t="str">
        <f t="shared" si="4"/>
        <v>(Verdadero)</v>
      </c>
    </row>
    <row r="57" spans="2:95" s="3" customFormat="1" ht="22.5" customHeight="1" x14ac:dyDescent="0.35">
      <c r="B57" s="79">
        <v>49</v>
      </c>
      <c r="C57" s="80" t="s">
        <v>100</v>
      </c>
      <c r="D57" s="84"/>
      <c r="E57" s="84" t="s">
        <v>47</v>
      </c>
      <c r="F57" s="79">
        <v>49</v>
      </c>
      <c r="G57" s="87">
        <f t="shared" si="1"/>
        <v>0</v>
      </c>
      <c r="H57" s="6" t="str">
        <f t="shared" si="9"/>
        <v>(Falso)</v>
      </c>
      <c r="CM57" s="61" t="s">
        <v>128</v>
      </c>
      <c r="CN57" s="61" t="s">
        <v>129</v>
      </c>
      <c r="CO57" s="61" t="s">
        <v>133</v>
      </c>
      <c r="CP57" s="61" t="s">
        <v>135</v>
      </c>
      <c r="CQ57" s="61" t="s">
        <v>138</v>
      </c>
    </row>
    <row r="58" spans="2:95" s="3" customFormat="1" ht="22.5" customHeight="1" x14ac:dyDescent="0.35">
      <c r="B58" s="79">
        <v>50</v>
      </c>
      <c r="C58" s="81" t="s">
        <v>101</v>
      </c>
      <c r="D58" s="84" t="s">
        <v>47</v>
      </c>
      <c r="E58" s="84"/>
      <c r="F58" s="79">
        <v>50</v>
      </c>
      <c r="G58" s="88">
        <f t="shared" si="1"/>
        <v>1</v>
      </c>
      <c r="H58" s="6" t="str">
        <f t="shared" si="9"/>
        <v>(Verdadero)</v>
      </c>
      <c r="CM58" s="62">
        <v>3</v>
      </c>
      <c r="CN58" s="62" t="s">
        <v>136</v>
      </c>
      <c r="CO58" s="63" t="str">
        <f t="shared" si="2"/>
        <v>Creo que el número de teléfono de una persona no se asigna aleatoriamente, sino que es la forma que tiene Dios de decidir que persona se salvara</v>
      </c>
      <c r="CP58" s="6" t="str">
        <f t="shared" si="3"/>
        <v>(Verdadero)</v>
      </c>
      <c r="CQ58" s="6" t="str">
        <f t="shared" si="4"/>
        <v>(Verdadero)</v>
      </c>
    </row>
    <row r="59" spans="2:95" s="3" customFormat="1" ht="18" x14ac:dyDescent="0.35">
      <c r="B59" s="79">
        <v>51</v>
      </c>
      <c r="C59" s="80" t="s">
        <v>102</v>
      </c>
      <c r="D59" s="84" t="s">
        <v>47</v>
      </c>
      <c r="E59" s="84"/>
      <c r="F59" s="79">
        <v>51</v>
      </c>
      <c r="G59" s="89">
        <f t="shared" si="1"/>
        <v>1</v>
      </c>
      <c r="H59" s="6" t="str">
        <f t="shared" si="9"/>
        <v>(Verdadero)</v>
      </c>
      <c r="CM59" s="62">
        <v>8</v>
      </c>
      <c r="CN59" s="62" t="s">
        <v>136</v>
      </c>
      <c r="CO59" s="63" t="str">
        <f t="shared" si="2"/>
        <v>Me he dado cuenta de que mi sombra baila como loca incluso cuando me quedo quieto</v>
      </c>
      <c r="CP59" s="6" t="str">
        <f t="shared" si="3"/>
        <v>(Falso)</v>
      </c>
      <c r="CQ59" s="6" t="str">
        <f t="shared" si="4"/>
        <v/>
      </c>
    </row>
    <row r="60" spans="2:95" s="3" customFormat="1" ht="22.5" customHeight="1" x14ac:dyDescent="0.35">
      <c r="B60" s="79">
        <v>52</v>
      </c>
      <c r="C60" s="81" t="s">
        <v>103</v>
      </c>
      <c r="D60" s="84" t="s">
        <v>47</v>
      </c>
      <c r="E60" s="84"/>
      <c r="F60" s="79">
        <v>52</v>
      </c>
      <c r="G60" s="86">
        <f t="shared" si="1"/>
        <v>1</v>
      </c>
      <c r="H60" s="6" t="str">
        <f t="shared" si="9"/>
        <v>(Verdadero)</v>
      </c>
      <c r="CM60" s="62">
        <v>10</v>
      </c>
      <c r="CN60" s="62" t="s">
        <v>136</v>
      </c>
      <c r="CO60" s="63" t="str">
        <f t="shared" si="2"/>
        <v>Me he dado cuenta de que mi cuerpo cambia de forma incluso si mi peso no varía</v>
      </c>
      <c r="CP60" s="6" t="str">
        <f t="shared" si="3"/>
        <v>(Verdadero)</v>
      </c>
      <c r="CQ60" s="6" t="str">
        <f t="shared" si="4"/>
        <v>(Verdadero)</v>
      </c>
    </row>
    <row r="61" spans="2:95" s="3" customFormat="1" ht="22.5" customHeight="1" x14ac:dyDescent="0.35">
      <c r="B61" s="79">
        <v>53</v>
      </c>
      <c r="C61" s="80" t="s">
        <v>104</v>
      </c>
      <c r="D61" s="84" t="s">
        <v>47</v>
      </c>
      <c r="E61" s="84"/>
      <c r="F61" s="79">
        <v>53</v>
      </c>
      <c r="G61" s="87">
        <f t="shared" si="1"/>
        <v>1</v>
      </c>
      <c r="H61" s="6" t="str">
        <f t="shared" si="9"/>
        <v>(Verdadero)</v>
      </c>
      <c r="CM61" s="62">
        <v>13</v>
      </c>
      <c r="CN61" s="62" t="s">
        <v>136</v>
      </c>
      <c r="CO61" s="63" t="str">
        <f t="shared" si="2"/>
        <v>No hay nada que pueda hacer, aparte de tomar medicación, que tenga algún efecto sobre las voces que oigo</v>
      </c>
      <c r="CP61" s="6" t="str">
        <f t="shared" si="3"/>
        <v>(Verdadero)</v>
      </c>
      <c r="CQ61" s="6" t="str">
        <f t="shared" si="4"/>
        <v>(Verdadero)</v>
      </c>
    </row>
    <row r="62" spans="2:95" s="3" customFormat="1" ht="22.5" customHeight="1" x14ac:dyDescent="0.35">
      <c r="B62" s="79">
        <v>54</v>
      </c>
      <c r="C62" s="81" t="s">
        <v>105</v>
      </c>
      <c r="D62" s="84" t="s">
        <v>47</v>
      </c>
      <c r="E62" s="84"/>
      <c r="F62" s="79">
        <v>54</v>
      </c>
      <c r="G62" s="88">
        <f>IF(D62="X",0,IF(E62="X",1,""))</f>
        <v>0</v>
      </c>
      <c r="H62" s="6" t="str">
        <f>+IF(G62=1,"(Falso)",IF(G62=0,"(Verdadero)",""))</f>
        <v>(Verdadero)</v>
      </c>
      <c r="CM62" s="62">
        <v>28</v>
      </c>
      <c r="CN62" s="62" t="s">
        <v>136</v>
      </c>
      <c r="CO62" s="63" t="str">
        <f t="shared" si="2"/>
        <v>Creo que el gobierno ha instalado cámaras de video en las señales de tráfico para espiarme</v>
      </c>
      <c r="CP62" s="6" t="str">
        <f t="shared" si="3"/>
        <v>(Falso)</v>
      </c>
      <c r="CQ62" s="6" t="str">
        <f t="shared" si="4"/>
        <v/>
      </c>
    </row>
    <row r="63" spans="2:95" s="3" customFormat="1" ht="22.5" customHeight="1" x14ac:dyDescent="0.35">
      <c r="B63" s="79">
        <v>55</v>
      </c>
      <c r="C63" s="80" t="s">
        <v>106</v>
      </c>
      <c r="D63" s="84" t="s">
        <v>47</v>
      </c>
      <c r="E63" s="84"/>
      <c r="F63" s="79">
        <v>55</v>
      </c>
      <c r="G63" s="86">
        <f>IF(D63="X",0,IF(E63="X",1,""))</f>
        <v>0</v>
      </c>
      <c r="H63" s="6" t="str">
        <f>+IF(G63=1,"(Falso)",IF(G63=0,"(Verdadero)",""))</f>
        <v>(Verdadero)</v>
      </c>
      <c r="CM63" s="62">
        <v>31</v>
      </c>
      <c r="CN63" s="62" t="s">
        <v>136</v>
      </c>
      <c r="CO63" s="63" t="str">
        <f t="shared" si="2"/>
        <v>La gente introduce pensamientos en mi cabeza en contra de mi voluntad</v>
      </c>
      <c r="CP63" s="6" t="str">
        <f t="shared" si="3"/>
        <v>(Verdadero)</v>
      </c>
      <c r="CQ63" s="6" t="str">
        <f t="shared" si="4"/>
        <v>(Verdadero)</v>
      </c>
    </row>
    <row r="64" spans="2:95" s="3" customFormat="1" ht="22.5" customHeight="1" x14ac:dyDescent="0.35">
      <c r="B64" s="79">
        <v>56</v>
      </c>
      <c r="C64" s="81" t="s">
        <v>107</v>
      </c>
      <c r="D64" s="84" t="s">
        <v>47</v>
      </c>
      <c r="E64" s="84"/>
      <c r="F64" s="79">
        <v>56</v>
      </c>
      <c r="G64" s="66">
        <f>IF(D64="X",0,IF(E64="X",1,""))</f>
        <v>0</v>
      </c>
      <c r="H64" s="6" t="str">
        <f>+IF(G64=1,"(Falso)",IF(G64=0,"(Verdadero)",""))</f>
        <v>(Verdadero)</v>
      </c>
      <c r="CM64" s="62">
        <v>34</v>
      </c>
      <c r="CN64" s="62" t="s">
        <v>136</v>
      </c>
      <c r="CO64" s="63" t="str">
        <f t="shared" si="2"/>
        <v>Creo que si uno se concentra muco puede llegar a ver los pensamientos de los otros</v>
      </c>
      <c r="CP64" s="6" t="str">
        <f t="shared" si="3"/>
        <v>(Falso)</v>
      </c>
      <c r="CQ64" s="6" t="str">
        <f t="shared" si="4"/>
        <v/>
      </c>
    </row>
    <row r="65" spans="2:95" s="3" customFormat="1" ht="22.5" customHeight="1" x14ac:dyDescent="0.35">
      <c r="B65" s="79">
        <v>57</v>
      </c>
      <c r="C65" s="80" t="s">
        <v>108</v>
      </c>
      <c r="D65" s="84" t="s">
        <v>47</v>
      </c>
      <c r="E65" s="84"/>
      <c r="F65" s="79">
        <v>57</v>
      </c>
      <c r="G65" s="89">
        <f t="shared" si="1"/>
        <v>1</v>
      </c>
      <c r="H65" s="6" t="str">
        <f>+IF(G65=1,"(Verdadero)",IF(G65=0,"(Falso)",""))</f>
        <v>(Verdadero)</v>
      </c>
      <c r="CM65" s="62">
        <v>38</v>
      </c>
      <c r="CN65" s="62" t="s">
        <v>136</v>
      </c>
      <c r="CO65" s="63" t="str">
        <f t="shared" si="2"/>
        <v>La voz o voces que oigo, y que otros no oyen, nunca han cesado desde que empezaron</v>
      </c>
      <c r="CP65" s="6" t="str">
        <f t="shared" si="3"/>
        <v>(Verdadero)</v>
      </c>
      <c r="CQ65" s="6" t="str">
        <f t="shared" si="4"/>
        <v>(Verdadero)</v>
      </c>
    </row>
    <row r="66" spans="2:95" s="3" customFormat="1" ht="22.5" customHeight="1" x14ac:dyDescent="0.35">
      <c r="B66" s="79">
        <v>58</v>
      </c>
      <c r="C66" s="81" t="s">
        <v>109</v>
      </c>
      <c r="D66" s="84" t="s">
        <v>47</v>
      </c>
      <c r="E66" s="84"/>
      <c r="F66" s="79">
        <v>58</v>
      </c>
      <c r="G66" s="66">
        <f>IF(D66="X",0,IF(E66="X",1,""))</f>
        <v>0</v>
      </c>
      <c r="H66" s="6" t="str">
        <f>+IF(G66=1,"(Falso)",IF(G66=0,"(Verdadero)",""))</f>
        <v>(Verdadero)</v>
      </c>
      <c r="CM66" s="62">
        <v>42</v>
      </c>
      <c r="CN66" s="62" t="s">
        <v>136</v>
      </c>
      <c r="CO66" s="63" t="str">
        <f t="shared" si="2"/>
        <v>Las flores tienen poderes mágicos, como hablarles a las personas</v>
      </c>
      <c r="CP66" s="6" t="str">
        <f t="shared" si="3"/>
        <v>(Verdadero)</v>
      </c>
      <c r="CQ66" s="6" t="str">
        <f t="shared" si="4"/>
        <v>(Verdadero)</v>
      </c>
    </row>
    <row r="67" spans="2:95" s="3" customFormat="1" ht="22.5" customHeight="1" x14ac:dyDescent="0.35">
      <c r="B67" s="79">
        <v>59</v>
      </c>
      <c r="C67" s="80" t="s">
        <v>110</v>
      </c>
      <c r="D67" s="84"/>
      <c r="E67" s="84" t="s">
        <v>47</v>
      </c>
      <c r="F67" s="79">
        <v>59</v>
      </c>
      <c r="G67" s="88">
        <f t="shared" si="1"/>
        <v>0</v>
      </c>
      <c r="H67" s="6" t="str">
        <f>+IF(G67=1,"(Verdadero)",IF(G67=0,"(Falso)",""))</f>
        <v>(Falso)</v>
      </c>
      <c r="CM67" s="62">
        <v>48</v>
      </c>
      <c r="CN67" s="62" t="s">
        <v>136</v>
      </c>
      <c r="CO67" s="63" t="str">
        <f t="shared" si="2"/>
        <v>La voz o voces que oigo, y que otros no oyen, provienen de fuera de mi cabeza</v>
      </c>
      <c r="CP67" s="6" t="str">
        <f t="shared" si="3"/>
        <v>(Verdadero)</v>
      </c>
      <c r="CQ67" s="6" t="str">
        <f t="shared" si="4"/>
        <v>(Verdadero)</v>
      </c>
    </row>
    <row r="68" spans="2:95" s="3" customFormat="1" ht="22.5" customHeight="1" x14ac:dyDescent="0.35">
      <c r="B68" s="79">
        <v>60</v>
      </c>
      <c r="C68" s="81" t="s">
        <v>111</v>
      </c>
      <c r="D68" s="84" t="s">
        <v>47</v>
      </c>
      <c r="E68" s="84"/>
      <c r="F68" s="79">
        <v>60</v>
      </c>
      <c r="G68" s="86">
        <f>IF(D68="X",1,IF(E68="X",0,""))</f>
        <v>1</v>
      </c>
      <c r="H68" s="6" t="str">
        <f>+IF(G68=1,"(Verdadero)",IF(G68=0,"(Falso)",""))</f>
        <v>(Verdadero)</v>
      </c>
      <c r="CM68" s="62">
        <v>51</v>
      </c>
      <c r="CN68" s="62" t="s">
        <v>136</v>
      </c>
      <c r="CO68" s="63" t="str">
        <f t="shared" si="2"/>
        <v>Tengo tanto miedo a que alguien me haga daño que sé exactamente como y cuando lo hará</v>
      </c>
      <c r="CP68" s="6" t="str">
        <f t="shared" si="3"/>
        <v>(Verdadero)</v>
      </c>
      <c r="CQ68" s="6" t="str">
        <f t="shared" si="4"/>
        <v>(Verdadero)</v>
      </c>
    </row>
    <row r="69" spans="2:95" s="3" customFormat="1" ht="22.5" customHeight="1" x14ac:dyDescent="0.35">
      <c r="B69" s="79">
        <v>61</v>
      </c>
      <c r="C69" s="80" t="s">
        <v>112</v>
      </c>
      <c r="D69" s="84" t="s">
        <v>47</v>
      </c>
      <c r="E69" s="84"/>
      <c r="F69" s="79">
        <v>61</v>
      </c>
      <c r="G69" s="87">
        <f t="shared" si="1"/>
        <v>1</v>
      </c>
      <c r="H69" s="6" t="str">
        <f>+IF(G69=1,"(Verdadero)",IF(G69=0,"(Falso)",""))</f>
        <v>(Verdadero)</v>
      </c>
      <c r="CM69" s="62">
        <v>57</v>
      </c>
      <c r="CN69" s="62" t="s">
        <v>136</v>
      </c>
      <c r="CO69" s="63" t="str">
        <f t="shared" si="2"/>
        <v>Un día de repente empecé a oír una o más voces que nadie más oía</v>
      </c>
      <c r="CP69" s="6" t="str">
        <f t="shared" si="3"/>
        <v>(Verdadero)</v>
      </c>
      <c r="CQ69" s="6" t="str">
        <f t="shared" si="4"/>
        <v>(Verdadero)</v>
      </c>
    </row>
    <row r="70" spans="2:95" s="3" customFormat="1" ht="22.5" customHeight="1" x14ac:dyDescent="0.35">
      <c r="B70" s="79">
        <v>62</v>
      </c>
      <c r="C70" s="81" t="s">
        <v>113</v>
      </c>
      <c r="D70" s="84" t="s">
        <v>47</v>
      </c>
      <c r="E70" s="84"/>
      <c r="F70" s="79">
        <v>62</v>
      </c>
      <c r="G70" s="89">
        <f t="shared" si="1"/>
        <v>1</v>
      </c>
      <c r="H70" s="6" t="str">
        <f>+IF(G70=1,"(Verdadero)",IF(G70=0,"(Falso)",""))</f>
        <v>(Verdadero)</v>
      </c>
      <c r="CM70" s="62">
        <v>62</v>
      </c>
      <c r="CN70" s="62" t="s">
        <v>136</v>
      </c>
      <c r="CO70" s="63" t="str">
        <f t="shared" si="2"/>
        <v>En mis visiones suelo ver partes de mi cuerpo cubiertas de sangre</v>
      </c>
      <c r="CP70" s="6" t="str">
        <f t="shared" si="3"/>
        <v>(Verdadero)</v>
      </c>
      <c r="CQ70" s="6" t="str">
        <f t="shared" si="4"/>
        <v>(Verdadero)</v>
      </c>
    </row>
    <row r="71" spans="2:95" s="3" customFormat="1" ht="22.5" customHeight="1" x14ac:dyDescent="0.35">
      <c r="B71" s="79">
        <v>63</v>
      </c>
      <c r="C71" s="80" t="s">
        <v>114</v>
      </c>
      <c r="D71" s="84"/>
      <c r="E71" s="84" t="s">
        <v>47</v>
      </c>
      <c r="F71" s="79">
        <v>63</v>
      </c>
      <c r="G71" s="66">
        <f>IF(D71="X",0,IF(E71="X",1,""))</f>
        <v>1</v>
      </c>
      <c r="H71" s="6" t="str">
        <f>+IF(G71=1,"(Falso)",IF(G71=0,"(Verdadero)",""))</f>
        <v>(Falso)</v>
      </c>
      <c r="CM71" s="62">
        <v>65</v>
      </c>
      <c r="CN71" s="62" t="s">
        <v>136</v>
      </c>
      <c r="CO71" s="63" t="str">
        <f t="shared" si="2"/>
        <v>Cuando oigo voces que parecen provenir de ningún sitio en especial, quiero echar a correr, pero me doy cuenta de que no puedo hacerlo sin gran dificultad</v>
      </c>
      <c r="CP71" s="6" t="str">
        <f t="shared" si="3"/>
        <v>(Verdadero)</v>
      </c>
      <c r="CQ71" s="6" t="str">
        <f t="shared" si="4"/>
        <v>(Verdadero)</v>
      </c>
    </row>
    <row r="72" spans="2:95" s="3" customFormat="1" ht="22.5" customHeight="1" x14ac:dyDescent="0.35">
      <c r="B72" s="79">
        <v>64</v>
      </c>
      <c r="C72" s="81" t="s">
        <v>115</v>
      </c>
      <c r="D72" s="84" t="s">
        <v>47</v>
      </c>
      <c r="E72" s="84"/>
      <c r="F72" s="79">
        <v>64</v>
      </c>
      <c r="G72" s="88">
        <f t="shared" si="1"/>
        <v>1</v>
      </c>
      <c r="H72" s="6" t="str">
        <f t="shared" ref="H72:H79" si="10">+IF(G72=1,"(Verdadero)",IF(G72=0,"(Falso)",""))</f>
        <v>(Verdadero)</v>
      </c>
      <c r="CM72" s="62">
        <v>69</v>
      </c>
      <c r="CN72" s="62" t="s">
        <v>136</v>
      </c>
      <c r="CO72" s="63" t="str">
        <f t="shared" si="2"/>
        <v>Cuando oigo voces siento como si salieran de mi cuerpo a través de mis dientes</v>
      </c>
      <c r="CP72" s="6" t="str">
        <f t="shared" si="3"/>
        <v>(Verdadero)</v>
      </c>
      <c r="CQ72" s="6" t="str">
        <f t="shared" si="4"/>
        <v>(Verdadero)</v>
      </c>
    </row>
    <row r="73" spans="2:95" s="3" customFormat="1" ht="36" x14ac:dyDescent="0.35">
      <c r="B73" s="79">
        <v>65</v>
      </c>
      <c r="C73" s="80" t="s">
        <v>116</v>
      </c>
      <c r="D73" s="84" t="s">
        <v>47</v>
      </c>
      <c r="E73" s="84"/>
      <c r="F73" s="79">
        <v>65</v>
      </c>
      <c r="G73" s="89">
        <f t="shared" si="1"/>
        <v>1</v>
      </c>
      <c r="H73" s="6" t="str">
        <f t="shared" si="10"/>
        <v>(Verdadero)</v>
      </c>
      <c r="CM73" s="61" t="s">
        <v>128</v>
      </c>
      <c r="CN73" s="61" t="s">
        <v>129</v>
      </c>
      <c r="CO73" s="61" t="s">
        <v>134</v>
      </c>
      <c r="CP73" s="61" t="s">
        <v>135</v>
      </c>
      <c r="CQ73" s="61" t="s">
        <v>138</v>
      </c>
    </row>
    <row r="74" spans="2:95" s="3" customFormat="1" ht="36" x14ac:dyDescent="0.35">
      <c r="B74" s="79">
        <v>66</v>
      </c>
      <c r="C74" s="81" t="s">
        <v>117</v>
      </c>
      <c r="D74" s="84" t="s">
        <v>47</v>
      </c>
      <c r="E74" s="84"/>
      <c r="F74" s="79">
        <v>66</v>
      </c>
      <c r="G74" s="88">
        <f t="shared" ref="G74:G82" si="11">IF(D74="X",1,IF(E74="X",0,""))</f>
        <v>1</v>
      </c>
      <c r="H74" s="6" t="str">
        <f t="shared" si="10"/>
        <v>(Verdadero)</v>
      </c>
      <c r="CM74" s="62">
        <v>75</v>
      </c>
      <c r="CN74" s="62" t="s">
        <v>137</v>
      </c>
      <c r="CO74" s="63" t="str">
        <f t="shared" si="2"/>
        <v>En la serie 11  - 22 - 33 - la siguiente respuesta sería 44</v>
      </c>
      <c r="CP74" s="6" t="str">
        <f t="shared" si="3"/>
        <v>(Verdadero)</v>
      </c>
      <c r="CQ74" s="6" t="str">
        <f t="shared" si="4"/>
        <v/>
      </c>
    </row>
    <row r="75" spans="2:95" s="3" customFormat="1" ht="22.5" customHeight="1" x14ac:dyDescent="0.35">
      <c r="B75" s="79">
        <v>67</v>
      </c>
      <c r="C75" s="80" t="s">
        <v>118</v>
      </c>
      <c r="D75" s="84"/>
      <c r="E75" s="84" t="s">
        <v>47</v>
      </c>
      <c r="F75" s="79">
        <v>67</v>
      </c>
      <c r="G75" s="66">
        <f t="shared" si="11"/>
        <v>0</v>
      </c>
      <c r="H75" s="6" t="str">
        <f t="shared" si="10"/>
        <v>(Falso)</v>
      </c>
      <c r="CM75" s="62">
        <v>73</v>
      </c>
      <c r="CN75" s="62" t="s">
        <v>136</v>
      </c>
      <c r="CO75" s="63" t="str">
        <f t="shared" si="2"/>
        <v>Un hombre tiene 56 manzanas y un vecino le regala 37 más. Ahora tiene 83 manzanas</v>
      </c>
      <c r="CP75" s="6" t="str">
        <f t="shared" ref="CP75:CP88" si="12">+VLOOKUP(CM75,$F$9:$H$83,3,0)</f>
        <v>(Verdadero)</v>
      </c>
      <c r="CQ75" s="6" t="str">
        <f t="shared" ref="CQ75:CQ88" si="13">IF(CP75="","(Omitido)",IF(CN75=CP75,CP75,""))</f>
        <v>(Verdadero)</v>
      </c>
    </row>
    <row r="76" spans="2:95" s="3" customFormat="1" ht="22.5" customHeight="1" x14ac:dyDescent="0.35">
      <c r="B76" s="79">
        <v>68</v>
      </c>
      <c r="C76" s="81" t="s">
        <v>119</v>
      </c>
      <c r="D76" s="84" t="s">
        <v>47</v>
      </c>
      <c r="E76" s="84"/>
      <c r="F76" s="79">
        <v>68</v>
      </c>
      <c r="G76" s="66">
        <f>IF(D76="X",1,IF(E76="X",0,""))</f>
        <v>1</v>
      </c>
      <c r="H76" s="6" t="str">
        <f t="shared" si="10"/>
        <v>(Verdadero)</v>
      </c>
      <c r="K76" s="78"/>
      <c r="CM76" s="62">
        <v>70</v>
      </c>
      <c r="CN76" s="62" t="s">
        <v>136</v>
      </c>
      <c r="CO76" s="63" t="str">
        <f t="shared" ref="CO76:CO88" si="14">VLOOKUP(CM76,$B$9:$C$83,2,0)</f>
        <v>El mayor problema que tengo es que las cosas son difíciles de entender para mí</v>
      </c>
      <c r="CP76" s="6" t="str">
        <f t="shared" si="12"/>
        <v>(Verdadero)</v>
      </c>
      <c r="CQ76" s="6" t="str">
        <f t="shared" si="13"/>
        <v>(Verdadero)</v>
      </c>
    </row>
    <row r="77" spans="2:95" s="3" customFormat="1" ht="22.5" customHeight="1" x14ac:dyDescent="0.35">
      <c r="B77" s="79">
        <v>69</v>
      </c>
      <c r="C77" s="80" t="s">
        <v>120</v>
      </c>
      <c r="D77" s="84" t="s">
        <v>47</v>
      </c>
      <c r="E77" s="84"/>
      <c r="F77" s="79">
        <v>69</v>
      </c>
      <c r="G77" s="89">
        <f t="shared" si="11"/>
        <v>1</v>
      </c>
      <c r="H77" s="6" t="str">
        <f t="shared" si="10"/>
        <v>(Verdadero)</v>
      </c>
      <c r="CM77" s="62">
        <v>68</v>
      </c>
      <c r="CN77" s="62" t="s">
        <v>136</v>
      </c>
      <c r="CO77" s="63" t="str">
        <f t="shared" si="14"/>
        <v>En la serie 1 - 12 - 123, la siguiente respuesta es 456</v>
      </c>
      <c r="CP77" s="6" t="str">
        <f t="shared" si="12"/>
        <v>(Verdadero)</v>
      </c>
      <c r="CQ77" s="6" t="str">
        <f t="shared" si="13"/>
        <v>(Verdadero)</v>
      </c>
    </row>
    <row r="78" spans="2:95" s="3" customFormat="1" ht="33.6" customHeight="1" x14ac:dyDescent="0.35">
      <c r="B78" s="79">
        <v>70</v>
      </c>
      <c r="C78" s="81" t="s">
        <v>121</v>
      </c>
      <c r="D78" s="84" t="s">
        <v>47</v>
      </c>
      <c r="E78" s="84"/>
      <c r="F78" s="79">
        <v>70</v>
      </c>
      <c r="G78" s="66">
        <f t="shared" si="11"/>
        <v>1</v>
      </c>
      <c r="H78" s="6" t="str">
        <f t="shared" si="10"/>
        <v>(Verdadero)</v>
      </c>
      <c r="CM78" s="62">
        <v>67</v>
      </c>
      <c r="CN78" s="62" t="s">
        <v>136</v>
      </c>
      <c r="CO78" s="63" t="str">
        <f t="shared" si="14"/>
        <v>Si Ud. tiene 1,50 pesos y gasta cincuenta centavos le quedan setenta y cinco centavos</v>
      </c>
      <c r="CP78" s="6" t="str">
        <f t="shared" si="12"/>
        <v>(Falso)</v>
      </c>
      <c r="CQ78" s="6" t="str">
        <f t="shared" si="13"/>
        <v/>
      </c>
    </row>
    <row r="79" spans="2:95" s="3" customFormat="1" ht="27" customHeight="1" x14ac:dyDescent="0.35">
      <c r="B79" s="79">
        <v>71</v>
      </c>
      <c r="C79" s="80" t="s">
        <v>122</v>
      </c>
      <c r="D79" s="84" t="s">
        <v>47</v>
      </c>
      <c r="E79" s="84"/>
      <c r="F79" s="79">
        <v>71</v>
      </c>
      <c r="G79" s="88">
        <f t="shared" si="11"/>
        <v>1</v>
      </c>
      <c r="H79" s="6" t="str">
        <f t="shared" si="10"/>
        <v>(Verdadero)</v>
      </c>
      <c r="CM79" s="62">
        <v>63</v>
      </c>
      <c r="CN79" s="62" t="s">
        <v>137</v>
      </c>
      <c r="CO79" s="63" t="str">
        <f t="shared" si="14"/>
        <v>Cristóbal Colon descubrió América</v>
      </c>
      <c r="CP79" s="6" t="str">
        <f t="shared" si="12"/>
        <v>(Falso)</v>
      </c>
      <c r="CQ79" s="6" t="str">
        <f t="shared" si="13"/>
        <v>(Falso)</v>
      </c>
    </row>
    <row r="80" spans="2:95" s="3" customFormat="1" ht="36" x14ac:dyDescent="0.35">
      <c r="B80" s="79">
        <v>72</v>
      </c>
      <c r="C80" s="81" t="s">
        <v>123</v>
      </c>
      <c r="D80" s="84" t="s">
        <v>47</v>
      </c>
      <c r="E80" s="84"/>
      <c r="F80" s="79">
        <v>72</v>
      </c>
      <c r="G80" s="86">
        <f>IF(D80="X",0,IF(E80="X",1,""))</f>
        <v>0</v>
      </c>
      <c r="H80" s="6" t="str">
        <f>+IF(G80=1,"(Falso)",IF(G80=0,"(Verdadero)",""))</f>
        <v>(Verdadero)</v>
      </c>
      <c r="CM80" s="62">
        <v>58</v>
      </c>
      <c r="CN80" s="62" t="s">
        <v>137</v>
      </c>
      <c r="CO80" s="63" t="str">
        <f t="shared" si="14"/>
        <v>Una puerta y una reja son similares porque ambas se abren</v>
      </c>
      <c r="CP80" s="6" t="str">
        <f t="shared" si="12"/>
        <v>(Verdadero)</v>
      </c>
      <c r="CQ80" s="6" t="str">
        <f t="shared" si="13"/>
        <v/>
      </c>
    </row>
    <row r="81" spans="2:95" s="3" customFormat="1" ht="22.5" customHeight="1" x14ac:dyDescent="0.35">
      <c r="B81" s="79">
        <v>73</v>
      </c>
      <c r="C81" s="80" t="s">
        <v>124</v>
      </c>
      <c r="D81" s="84" t="s">
        <v>47</v>
      </c>
      <c r="E81" s="84"/>
      <c r="F81" s="79">
        <v>73</v>
      </c>
      <c r="G81" s="66">
        <f t="shared" si="11"/>
        <v>1</v>
      </c>
      <c r="H81" s="6" t="str">
        <f>+IF(G81=1,"(Verdadero)",IF(G81=0,"(Falso)",""))</f>
        <v>(Verdadero)</v>
      </c>
      <c r="CM81" s="62">
        <v>56</v>
      </c>
      <c r="CN81" s="62" t="s">
        <v>137</v>
      </c>
      <c r="CO81" s="63" t="str">
        <f t="shared" si="14"/>
        <v>Un juez y un abogado son similares, puesto que ambos son parte del sistema legal</v>
      </c>
      <c r="CP81" s="6" t="str">
        <f t="shared" si="12"/>
        <v>(Verdadero)</v>
      </c>
      <c r="CQ81" s="6" t="str">
        <f t="shared" si="13"/>
        <v/>
      </c>
    </row>
    <row r="82" spans="2:95" s="3" customFormat="1" ht="22.5" customHeight="1" x14ac:dyDescent="0.35">
      <c r="B82" s="79">
        <v>74</v>
      </c>
      <c r="C82" s="81" t="s">
        <v>125</v>
      </c>
      <c r="D82" s="84" t="s">
        <v>47</v>
      </c>
      <c r="E82" s="84"/>
      <c r="F82" s="79">
        <v>74</v>
      </c>
      <c r="G82" s="88">
        <f t="shared" si="11"/>
        <v>1</v>
      </c>
      <c r="H82" s="6" t="str">
        <f>+IF(G82=1,"(Verdadero)",IF(G82=0,"(Falso)",""))</f>
        <v>(Verdadero)</v>
      </c>
      <c r="CM82" s="62">
        <v>46</v>
      </c>
      <c r="CN82" s="62" t="s">
        <v>137</v>
      </c>
      <c r="CO82" s="63" t="str">
        <f t="shared" si="14"/>
        <v>Las velas que se encienden están hechas de cera</v>
      </c>
      <c r="CP82" s="6" t="str">
        <f t="shared" si="12"/>
        <v>(Verdadero)</v>
      </c>
      <c r="CQ82" s="6" t="str">
        <f t="shared" si="13"/>
        <v/>
      </c>
    </row>
    <row r="83" spans="2:95" s="3" customFormat="1" ht="22.5" customHeight="1" x14ac:dyDescent="0.35">
      <c r="B83" s="79">
        <v>75</v>
      </c>
      <c r="C83" s="80" t="s">
        <v>126</v>
      </c>
      <c r="D83" s="84" t="s">
        <v>47</v>
      </c>
      <c r="E83" s="84"/>
      <c r="F83" s="79">
        <v>75</v>
      </c>
      <c r="G83" s="66">
        <f>IF(D83="X",0,IF(E83="X",1,""))</f>
        <v>0</v>
      </c>
      <c r="H83" s="6" t="str">
        <f>+IF(G83=1,"(Falso)",IF(G83=0,"(Verdadero)",""))</f>
        <v>(Verdadero)</v>
      </c>
      <c r="CM83" s="62">
        <v>41</v>
      </c>
      <c r="CN83" s="62" t="s">
        <v>136</v>
      </c>
      <c r="CO83" s="63" t="str">
        <f t="shared" si="14"/>
        <v>No puedo contar hacia atrás de 20 de a 1 sin cometer errores</v>
      </c>
      <c r="CP83" s="6" t="str">
        <f t="shared" si="12"/>
        <v>(Verdadero)</v>
      </c>
      <c r="CQ83" s="6" t="str">
        <f t="shared" si="13"/>
        <v>(Verdadero)</v>
      </c>
    </row>
    <row r="84" spans="2:95" ht="18" x14ac:dyDescent="0.35">
      <c r="CK84" s="35"/>
      <c r="CL84" s="3"/>
      <c r="CM84" s="62">
        <v>21</v>
      </c>
      <c r="CN84" s="62" t="s">
        <v>136</v>
      </c>
      <c r="CO84" s="63" t="str">
        <f t="shared" si="14"/>
        <v>Una semana tiene seis días</v>
      </c>
      <c r="CP84" s="6" t="str">
        <f t="shared" si="12"/>
        <v>(Verdadero)</v>
      </c>
      <c r="CQ84" s="6" t="str">
        <f t="shared" si="13"/>
        <v>(Verdadero)</v>
      </c>
    </row>
    <row r="85" spans="2:95" ht="18" x14ac:dyDescent="0.35">
      <c r="CK85" s="35"/>
      <c r="CL85" s="3"/>
      <c r="CM85" s="62">
        <v>14</v>
      </c>
      <c r="CN85" s="62" t="s">
        <v>136</v>
      </c>
      <c r="CO85" s="63" t="str">
        <f t="shared" si="14"/>
        <v>BARCELONA es la Capital de España</v>
      </c>
      <c r="CP85" s="6" t="str">
        <f t="shared" si="12"/>
        <v>(Verdadero)</v>
      </c>
      <c r="CQ85" s="6" t="str">
        <f t="shared" si="13"/>
        <v>(Verdadero)</v>
      </c>
    </row>
    <row r="86" spans="2:95" ht="18" x14ac:dyDescent="0.35">
      <c r="CK86" s="35"/>
      <c r="CL86" s="3"/>
      <c r="CM86" s="62">
        <v>11</v>
      </c>
      <c r="CN86" s="62" t="s">
        <v>136</v>
      </c>
      <c r="CO86" s="63" t="str">
        <f t="shared" si="14"/>
        <v>La capital de ITALIA es HUNGRÍA</v>
      </c>
      <c r="CP86" s="6" t="str">
        <f t="shared" si="12"/>
        <v>(Falso)</v>
      </c>
      <c r="CQ86" s="6" t="str">
        <f t="shared" si="13"/>
        <v/>
      </c>
    </row>
    <row r="87" spans="2:95" ht="18" x14ac:dyDescent="0.35">
      <c r="CK87" s="35"/>
      <c r="CL87" s="3"/>
      <c r="CM87" s="62">
        <v>7</v>
      </c>
      <c r="CN87" s="62" t="s">
        <v>137</v>
      </c>
      <c r="CO87" s="63" t="str">
        <f t="shared" si="14"/>
        <v>El oro y la plata son similares porque ambos son metales</v>
      </c>
      <c r="CP87" s="6" t="str">
        <f t="shared" si="12"/>
        <v>(Verdadero)</v>
      </c>
      <c r="CQ87" s="6" t="str">
        <f t="shared" si="13"/>
        <v/>
      </c>
    </row>
    <row r="88" spans="2:95" ht="18" x14ac:dyDescent="0.35">
      <c r="CK88" s="35"/>
      <c r="CL88" s="3"/>
      <c r="CM88" s="62">
        <v>4</v>
      </c>
      <c r="CN88" s="62" t="s">
        <v>136</v>
      </c>
      <c r="CO88" s="63" t="str">
        <f t="shared" si="14"/>
        <v>Si su sombra apunta hasta el sureste, el sol está situado en el noreste del cielo</v>
      </c>
      <c r="CP88" s="6" t="str">
        <f t="shared" si="12"/>
        <v>(Falso)</v>
      </c>
      <c r="CQ88" s="6" t="str">
        <f t="shared" si="13"/>
        <v/>
      </c>
    </row>
    <row r="89" spans="2:95" x14ac:dyDescent="0.4"/>
  </sheetData>
  <conditionalFormatting sqref="D9:E83">
    <cfRule type="containsBlanks" dxfId="0" priority="1">
      <formula>LEN(TRIM(D9))=0</formula>
    </cfRule>
  </conditionalFormatting>
  <pageMargins left="0.7" right="0.7" top="0.75" bottom="0.75" header="0.51180555555555496" footer="0.51180555555555496"/>
  <pageSetup paperSize="9" firstPageNumber="0"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uardar_datos">
                <anchor moveWithCells="1" sizeWithCells="1">
                  <from>
                    <xdr:col>2</xdr:col>
                    <xdr:colOff>6088380</xdr:colOff>
                    <xdr:row>85</xdr:row>
                    <xdr:rowOff>121920</xdr:rowOff>
                  </from>
                  <to>
                    <xdr:col>3</xdr:col>
                    <xdr:colOff>106680</xdr:colOff>
                    <xdr:row>88</xdr:row>
                    <xdr:rowOff>0</xdr:rowOff>
                  </to>
                </anchor>
              </controlPr>
            </control>
          </mc:Choice>
        </mc:AlternateContent>
        <mc:AlternateContent xmlns:mc="http://schemas.openxmlformats.org/markup-compatibility/2006">
          <mc:Choice Requires="x14">
            <control shapeId="6146" r:id="rId5" name="Button 2">
              <controlPr defaultSize="0" print="0" autoFill="0" autoPict="0" macro="[0]!Borrar">
                <anchor moveWithCells="1" sizeWithCells="1">
                  <from>
                    <xdr:col>3</xdr:col>
                    <xdr:colOff>76200</xdr:colOff>
                    <xdr:row>2</xdr:row>
                    <xdr:rowOff>175260</xdr:rowOff>
                  </from>
                  <to>
                    <xdr:col>5</xdr:col>
                    <xdr:colOff>365760</xdr:colOff>
                    <xdr:row>4</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E5D21-6024-4C66-BA1E-03B0B83B090E}">
  <sheetPr codeName="Hoja4"/>
  <dimension ref="A1:AB215"/>
  <sheetViews>
    <sheetView showGridLines="0" tabSelected="1" zoomScale="115" zoomScaleNormal="115" workbookViewId="0">
      <selection activeCell="R24" sqref="R24"/>
    </sheetView>
  </sheetViews>
  <sheetFormatPr baseColWidth="10" defaultColWidth="11.44140625" defaultRowHeight="16.2" zeroHeight="1" x14ac:dyDescent="0.4"/>
  <cols>
    <col min="1" max="1" width="6" style="12" customWidth="1"/>
    <col min="2" max="2" width="6.109375" style="12" customWidth="1"/>
    <col min="3" max="3" width="9.44140625" style="12" customWidth="1"/>
    <col min="4" max="4" width="6" style="12" customWidth="1"/>
    <col min="5" max="5" width="2" style="12" customWidth="1"/>
    <col min="6" max="6" width="4.109375" style="12" customWidth="1"/>
    <col min="7" max="7" width="4" style="12" customWidth="1"/>
    <col min="8" max="8" width="7.33203125" style="12" customWidth="1"/>
    <col min="9" max="9" width="8" style="12" customWidth="1"/>
    <col min="10" max="10" width="7.5546875" style="12" customWidth="1"/>
    <col min="11" max="14" width="11.44140625" style="12" customWidth="1"/>
    <col min="15" max="15" width="6.33203125" style="12" customWidth="1"/>
    <col min="16" max="16" width="3.109375" style="12" customWidth="1"/>
    <col min="17" max="17" width="8.109375" style="12" customWidth="1"/>
    <col min="18" max="20" width="11.44140625" style="12" customWidth="1"/>
    <col min="21" max="21" width="25.44140625" style="12" customWidth="1"/>
    <col min="22" max="22" width="25.6640625" style="12" customWidth="1"/>
    <col min="23" max="16384" width="11.44140625" style="12"/>
  </cols>
  <sheetData>
    <row r="1" spans="1:28" x14ac:dyDescent="0.4">
      <c r="B1" s="25"/>
    </row>
    <row r="2" spans="1:28" ht="7.5" customHeight="1" x14ac:dyDescent="0.45">
      <c r="A2" s="15"/>
      <c r="B2" s="16"/>
      <c r="C2" s="17"/>
      <c r="D2" s="17"/>
      <c r="E2" s="17"/>
      <c r="F2" s="17"/>
      <c r="G2" s="17"/>
      <c r="H2" s="17"/>
      <c r="I2" s="17"/>
      <c r="J2" s="17"/>
      <c r="K2" s="17"/>
      <c r="L2" s="17"/>
      <c r="M2" s="17"/>
      <c r="N2" s="17"/>
      <c r="O2" s="17"/>
      <c r="P2" s="17"/>
      <c r="T2" s="18" t="s">
        <v>38</v>
      </c>
      <c r="U2" s="18" t="s">
        <v>6</v>
      </c>
      <c r="V2" s="18" t="s">
        <v>8</v>
      </c>
      <c r="W2" s="18" t="s">
        <v>22</v>
      </c>
      <c r="X2" s="18" t="s">
        <v>23</v>
      </c>
      <c r="Y2" s="18" t="s">
        <v>24</v>
      </c>
      <c r="Z2" s="18" t="s">
        <v>31</v>
      </c>
      <c r="AA2" s="18" t="s">
        <v>25</v>
      </c>
      <c r="AB2" s="18" t="s">
        <v>30</v>
      </c>
    </row>
    <row r="3" spans="1:28" x14ac:dyDescent="0.4">
      <c r="A3" s="19">
        <v>3</v>
      </c>
      <c r="B3" s="16"/>
      <c r="C3" s="17"/>
      <c r="D3" s="17"/>
      <c r="E3" s="101" t="s">
        <v>16</v>
      </c>
      <c r="F3" s="101"/>
      <c r="G3" s="101"/>
      <c r="H3" s="94" t="str">
        <f>IF(Inicio!E8="","[Ingresar nombre]",Inicio!E8)</f>
        <v>Teodora Colque Zuñiga</v>
      </c>
      <c r="I3" s="94"/>
      <c r="J3" s="94"/>
      <c r="K3" s="94"/>
      <c r="L3" s="94"/>
      <c r="M3" s="94"/>
      <c r="N3" s="94"/>
      <c r="O3" s="94"/>
      <c r="P3" s="17"/>
      <c r="T3" s="12" t="str">
        <f>+H3</f>
        <v>Teodora Colque Zuñiga</v>
      </c>
      <c r="U3" s="12" t="str">
        <f>+K5</f>
        <v>Mujer</v>
      </c>
      <c r="V3" s="21">
        <f>+H5</f>
        <v>28</v>
      </c>
      <c r="W3" s="12">
        <f>+F16</f>
        <v>12</v>
      </c>
      <c r="X3" s="12">
        <f>+F18</f>
        <v>11</v>
      </c>
      <c r="Y3" s="12">
        <f>+F21</f>
        <v>11</v>
      </c>
      <c r="Z3" s="12">
        <f>+F24</f>
        <v>7</v>
      </c>
      <c r="AA3" s="12">
        <f>+F27</f>
        <v>11</v>
      </c>
      <c r="AB3" s="12">
        <f>+H14</f>
        <v>0</v>
      </c>
    </row>
    <row r="4" spans="1:28" ht="7.5" customHeight="1" x14ac:dyDescent="0.4">
      <c r="A4" s="15"/>
      <c r="B4" s="16"/>
      <c r="C4" s="17"/>
      <c r="D4" s="17"/>
      <c r="E4" s="102"/>
      <c r="F4" s="102"/>
      <c r="G4" s="102"/>
      <c r="H4" s="22"/>
      <c r="I4" s="22"/>
      <c r="J4" s="22"/>
      <c r="K4" s="22"/>
      <c r="L4" s="22"/>
      <c r="M4" s="22"/>
      <c r="N4" s="23"/>
      <c r="O4" s="23"/>
      <c r="P4" s="17"/>
    </row>
    <row r="5" spans="1:28" ht="14.25" customHeight="1" x14ac:dyDescent="0.4">
      <c r="A5" s="15"/>
      <c r="B5" s="16"/>
      <c r="C5" s="17"/>
      <c r="D5" s="17"/>
      <c r="E5" s="101" t="s">
        <v>17</v>
      </c>
      <c r="F5" s="101"/>
      <c r="G5" s="101"/>
      <c r="H5" s="95">
        <f>IF(Inicio!G10="","[Ingresar edad]",Inicio!G10)</f>
        <v>28</v>
      </c>
      <c r="I5" s="95"/>
      <c r="J5" s="83" t="s">
        <v>20</v>
      </c>
      <c r="K5" s="44" t="str">
        <f>IF(Inicio!T10="","[Marcar sexo]",Inicio!T10)</f>
        <v>Mujer</v>
      </c>
      <c r="L5" s="98" t="s">
        <v>21</v>
      </c>
      <c r="M5" s="98"/>
      <c r="N5" s="96" t="str">
        <f>+Inicio!T12</f>
        <v>22 / 9 / 26</v>
      </c>
      <c r="O5" s="96"/>
      <c r="P5" s="17"/>
    </row>
    <row r="6" spans="1:28" ht="7.5" customHeight="1" x14ac:dyDescent="0.4">
      <c r="B6" s="16"/>
      <c r="C6" s="17"/>
      <c r="D6" s="17"/>
      <c r="E6" s="102"/>
      <c r="F6" s="102"/>
      <c r="G6" s="102"/>
      <c r="H6" s="22"/>
      <c r="I6" s="22"/>
      <c r="J6" s="24"/>
      <c r="K6" s="22"/>
      <c r="L6" s="22"/>
      <c r="M6" s="22"/>
      <c r="N6" s="23"/>
      <c r="O6" s="23"/>
      <c r="P6" s="17"/>
    </row>
    <row r="7" spans="1:28" x14ac:dyDescent="0.4">
      <c r="B7" s="16"/>
      <c r="C7" s="17"/>
      <c r="D7" s="17"/>
      <c r="E7" s="101" t="s">
        <v>18</v>
      </c>
      <c r="F7" s="101"/>
      <c r="G7" s="101"/>
      <c r="H7" s="94" t="s">
        <v>33</v>
      </c>
      <c r="I7" s="94"/>
      <c r="J7" s="94"/>
      <c r="K7" s="94"/>
      <c r="L7" s="94"/>
      <c r="M7" s="94"/>
      <c r="N7" s="94"/>
      <c r="O7" s="94"/>
      <c r="P7" s="17"/>
    </row>
    <row r="8" spans="1:28" ht="7.5" customHeight="1" x14ac:dyDescent="0.4">
      <c r="B8" s="16"/>
      <c r="C8" s="17"/>
      <c r="D8" s="17"/>
      <c r="E8" s="17"/>
      <c r="F8" s="17"/>
      <c r="G8" s="22"/>
      <c r="H8" s="22"/>
      <c r="I8" s="22"/>
      <c r="J8" s="22"/>
      <c r="K8" s="22"/>
      <c r="L8" s="22"/>
      <c r="M8" s="22"/>
      <c r="N8" s="23"/>
      <c r="O8" s="23"/>
      <c r="P8" s="17"/>
    </row>
    <row r="9" spans="1:28" x14ac:dyDescent="0.4">
      <c r="B9" s="16"/>
      <c r="C9" s="17"/>
      <c r="D9" s="17"/>
      <c r="E9" s="100" t="s">
        <v>19</v>
      </c>
      <c r="F9" s="100"/>
      <c r="G9" s="100"/>
      <c r="H9" s="100"/>
      <c r="I9" s="100"/>
      <c r="J9" s="100"/>
      <c r="K9" s="99" t="s">
        <v>43</v>
      </c>
      <c r="L9" s="99"/>
      <c r="M9" s="99"/>
      <c r="N9" s="99"/>
      <c r="O9" s="99"/>
      <c r="P9" s="17"/>
    </row>
    <row r="10" spans="1:28" ht="7.5" customHeight="1" x14ac:dyDescent="0.4">
      <c r="B10" s="16"/>
      <c r="C10" s="17"/>
      <c r="D10" s="17"/>
      <c r="E10" s="17"/>
      <c r="F10" s="17"/>
      <c r="G10" s="17"/>
      <c r="H10" s="17"/>
      <c r="I10" s="17"/>
      <c r="J10" s="17"/>
      <c r="K10" s="17"/>
      <c r="L10" s="17"/>
      <c r="M10" s="17"/>
      <c r="N10" s="17"/>
      <c r="O10" s="17"/>
      <c r="P10" s="17"/>
    </row>
    <row r="11" spans="1:28" ht="8.25" customHeight="1" x14ac:dyDescent="0.4">
      <c r="B11" s="13"/>
      <c r="C11" s="14"/>
      <c r="D11" s="14"/>
      <c r="E11" s="14"/>
      <c r="F11" s="14"/>
      <c r="G11" s="14"/>
      <c r="H11" s="14"/>
      <c r="I11" s="14"/>
      <c r="J11" s="14"/>
      <c r="K11" s="14"/>
      <c r="L11" s="14"/>
      <c r="M11" s="14"/>
      <c r="N11" s="14"/>
      <c r="O11" s="14"/>
      <c r="P11" s="14"/>
    </row>
    <row r="12" spans="1:28" ht="20.25" customHeight="1" x14ac:dyDescent="0.4">
      <c r="B12" s="14"/>
      <c r="C12" s="14"/>
      <c r="D12" s="14"/>
      <c r="E12" s="14"/>
      <c r="F12" s="14"/>
      <c r="G12" s="14"/>
      <c r="H12" s="14"/>
      <c r="I12" s="14"/>
      <c r="J12" s="14"/>
      <c r="K12" s="14"/>
      <c r="L12" s="14"/>
      <c r="M12" s="14"/>
      <c r="N12" s="14"/>
      <c r="O12" s="14"/>
      <c r="P12" s="14"/>
    </row>
    <row r="13" spans="1:28" ht="5.25" customHeight="1" x14ac:dyDescent="0.4">
      <c r="B13" s="14"/>
      <c r="C13" s="14"/>
      <c r="D13" s="14"/>
      <c r="E13" s="14"/>
      <c r="F13" s="14"/>
      <c r="G13" s="14"/>
      <c r="H13" s="14"/>
      <c r="I13" s="14"/>
      <c r="J13" s="14"/>
      <c r="K13" s="14"/>
      <c r="L13" s="14"/>
      <c r="M13" s="14"/>
      <c r="N13" s="14"/>
      <c r="O13" s="14"/>
      <c r="P13" s="14"/>
    </row>
    <row r="14" spans="1:28" ht="14.25" customHeight="1" x14ac:dyDescent="0.4">
      <c r="B14" s="14"/>
      <c r="C14" s="14"/>
      <c r="D14" s="26" t="s">
        <v>30</v>
      </c>
      <c r="E14" s="14"/>
      <c r="F14" s="31">
        <f>Ingreso_Datos!K15</f>
        <v>52</v>
      </c>
      <c r="G14" s="14"/>
      <c r="H14" s="28"/>
      <c r="I14" s="14"/>
      <c r="J14" s="14"/>
      <c r="K14" s="14"/>
      <c r="L14" s="14"/>
      <c r="M14" s="14"/>
      <c r="N14" s="14"/>
      <c r="O14" s="14"/>
      <c r="P14" s="14"/>
      <c r="R14" s="12">
        <f>F14</f>
        <v>52</v>
      </c>
      <c r="S14" s="12">
        <v>1</v>
      </c>
      <c r="U14" s="12">
        <f>+F14</f>
        <v>52</v>
      </c>
      <c r="V14" s="12" t="str">
        <f>+D14</f>
        <v>Total</v>
      </c>
      <c r="W14" s="12" t="str">
        <f>IF(F14&lt;=16,"indica que no presenta un patrón "&amp;"de respuesta con la simulación o exageración de síntomas psicopatológicos"&amp;" o neurocognitivos. Ha respondido de manera consistente a los ítems que evalúan"&amp;" síntomas atípicos, improbables o ilógicos de diversos trastornos."&amp;" No se requiere una evaluación más exhaustiva de la posible simulación de"&amp;" síntomas, dado que la probabilidad de falseamiento es baja.",IF(F14&gt;=17,"indica"&amp;" que presenta un patrón de respuesta de sospecha de "&amp;"simulación o exageración de síntomas psicopatológicos o neurocognitivos. Ha "&amp;"respondido afirmativamente a un número elevado de ítems que describen"&amp;" síntomas atípicos, improbables o ilógicas de diversos trastornos. Esta"&amp;" elevación en la puntuación total supera al puntaje de corte (16). Lo que lo identifica como probable "&amp;"simulador. El patrón de respuestas observado refleja una tendencia "&amp;"sistemática a exagerar síntomas inconsistentes o improbables, lo que "&amp;"constituye un indicador significativo de posible falseamiento. Se recomienda"&amp;" una evaluación más extensa y exhaustiva con el fin de confirmar esta sospecha. Es muy importante señalar que el SIMS no es una prueba diagnóstica y, por lo tanto, no"&amp;" puede establecerse el diagnóstico de simulación aisladamente a partir de sus puntuaciones. Se requiere la convergencia de otras fuentes de información y evaluaciones para este propósito."))</f>
        <v>indica que presenta un patrón de respuesta de sospecha de simulación o exageración de síntomas psicopatológicos o neurocognitivos. Ha respondido afirmativamente a un número elevado de ítems que describen síntomas atípicos, improbables o ilógicas de diversos trastornos. Esta elevación en la puntuación total supera al puntaje de corte (16). Lo que lo identifica como probable simulador. El patrón de respuestas observado refleja una tendencia sistemática a exagerar síntomas inconsistentes o improbables, lo que constituye un indicador significativo de posible falseamiento. Se recomienda una evaluación más extensa y exhaustiva con el fin de confirmar esta sospecha. Es muy importante señalar que el SIMS no es una prueba diagnóstica y, por lo tanto, no puede establecerse el diagnóstico de simulación aisladamente a partir de sus puntuaciones. Se requiere la convergencia de otras fuentes de información y evaluaciones para este propósito.</v>
      </c>
    </row>
    <row r="15" spans="1:28" ht="16.5" customHeight="1" x14ac:dyDescent="0.4">
      <c r="B15" s="14"/>
      <c r="C15" s="14"/>
      <c r="D15" s="28"/>
      <c r="E15" s="14"/>
      <c r="F15" s="14"/>
      <c r="G15" s="14"/>
      <c r="H15" s="28"/>
      <c r="I15" s="14"/>
      <c r="J15" s="14"/>
      <c r="K15" s="14"/>
      <c r="L15" s="14"/>
      <c r="M15" s="14"/>
      <c r="N15" s="14"/>
      <c r="O15" s="14"/>
      <c r="P15" s="14"/>
      <c r="R15" s="12">
        <f>F16</f>
        <v>12</v>
      </c>
      <c r="S15" s="12">
        <v>1</v>
      </c>
    </row>
    <row r="16" spans="1:28" ht="14.25" customHeight="1" x14ac:dyDescent="0.4">
      <c r="B16" s="97" t="s">
        <v>22</v>
      </c>
      <c r="C16" s="97"/>
      <c r="D16" s="26" t="s">
        <v>26</v>
      </c>
      <c r="E16" s="29"/>
      <c r="F16" s="31">
        <f>Ingreso_Datos!K10</f>
        <v>12</v>
      </c>
      <c r="G16" s="14"/>
      <c r="H16" s="14"/>
      <c r="I16" s="14"/>
      <c r="J16" s="14"/>
      <c r="K16" s="14"/>
      <c r="L16" s="14"/>
      <c r="M16" s="14"/>
      <c r="N16" s="14"/>
      <c r="O16" s="14"/>
      <c r="P16" s="14"/>
      <c r="R16" s="12">
        <f>F18</f>
        <v>11</v>
      </c>
      <c r="S16" s="12">
        <v>2</v>
      </c>
      <c r="T16" s="12">
        <f>IF(ISNUMBER(U16),U16+(COUNTA($U$15:$U$27)-ROW()+2)*0.001,"")</f>
        <v>11.991</v>
      </c>
      <c r="U16" s="12">
        <f>IFERROR(IF(F16&gt;=3,F16,""),"")</f>
        <v>12</v>
      </c>
      <c r="V16" s="12" t="s">
        <v>34</v>
      </c>
      <c r="W16" s="12" t="str">
        <f>IF(F16&lt;=2,"indica que no presenta indicios de simulación de sintomatología"&amp;" psicótica. Las respuestas proporcionadas no reflejan un patrón de síntomas extravagantes, ilógicos o infrecuentes en cuadros psicóticos"&amp;" genuinos. La puntuación obtenida se encuentra dentro del rango en el que los ítems respondidos no evidencian la presencia de manifestaciones"&amp;" atípicas que caracterizan la simulación en esta dimensión",IF(F16&gt;=3,"indica que presenta una puntuación indicativa de simulación de psicosis. Ha respondido"&amp;" afirmativamente a un número elevado de ítems que describen síntomas extravagantes, ilógicos e inusuales en cuadros"&amp;" psicóticos genuinos. La puntuación obtenida supera el punto de corte establecido para la detección de simulación en esta escala, lo que implica la "&amp;"presencia de respuestas que reflejan un patrón característico de sobreinformación o distorsión en la presentación de síntomas psicóticos."))</f>
        <v>indica que presenta una puntuación indicativa de simulación de psicosis. Ha respondido afirmativamente a un número elevado de ítems que describen síntomas extravagantes, ilógicos e inusuales en cuadros psicóticos genuinos. La puntuación obtenida supera el punto de corte establecido para la detección de simulación en esta escala, lo que implica la presencia de respuestas que reflejan un patrón característico de sobreinformación o distorsión en la presentación de síntomas psicóticos.</v>
      </c>
    </row>
    <row r="17" spans="2:24" ht="15.75" customHeight="1" x14ac:dyDescent="0.4">
      <c r="B17" s="14"/>
      <c r="C17" s="14"/>
      <c r="D17" s="26"/>
      <c r="E17" s="14"/>
      <c r="F17" s="28"/>
      <c r="G17" s="14"/>
      <c r="H17" s="14"/>
      <c r="I17" s="14"/>
      <c r="J17" s="14"/>
      <c r="K17" s="14"/>
      <c r="L17" s="14"/>
      <c r="M17" s="14"/>
      <c r="N17" s="14"/>
      <c r="O17" s="14"/>
      <c r="P17" s="14"/>
      <c r="R17" s="12">
        <f>F21</f>
        <v>11</v>
      </c>
      <c r="S17" s="12">
        <v>3</v>
      </c>
    </row>
    <row r="18" spans="2:24" ht="14.25" customHeight="1" x14ac:dyDescent="0.4">
      <c r="B18" s="92"/>
      <c r="C18" s="92"/>
      <c r="D18" s="26" t="s">
        <v>27</v>
      </c>
      <c r="E18" s="29"/>
      <c r="F18" s="31">
        <f>Ingreso_Datos!K11</f>
        <v>11</v>
      </c>
      <c r="G18" s="14"/>
      <c r="H18" s="14"/>
      <c r="I18" s="14"/>
      <c r="J18" s="14"/>
      <c r="K18" s="14"/>
      <c r="L18" s="14"/>
      <c r="M18" s="14"/>
      <c r="N18" s="14"/>
      <c r="O18" s="14"/>
      <c r="P18" s="14"/>
      <c r="R18" s="12">
        <f>F24</f>
        <v>7</v>
      </c>
      <c r="S18" s="12">
        <v>4</v>
      </c>
      <c r="T18" s="12">
        <f>IF(ISNUMBER(U18),U18+(COUNTA($U$15:$U$27)-ROW()+2)*0.001,"")</f>
        <v>10.989000000000001</v>
      </c>
      <c r="U18" s="12">
        <f>IFERROR(IF(F18&gt;=4,F18,""),"")</f>
        <v>11</v>
      </c>
      <c r="V18" s="12" t="s">
        <v>139</v>
      </c>
      <c r="W18" s="12" t="str">
        <f>IF(F18&lt;=3,"indica que no presenta indicios de"&amp;" simulación de sintomatología neurológica. Las respuestas proporcionadas no reflejan"&amp;" un patrón de síntomas ilógicos, inconsistentes o extremadamente infrecuentes en cuadros"&amp;" neurológicos genuinos. La puntuación obtenida se encuentra dentro del rango en el que los"&amp;" ítems respondidos no evidencian la presencia de manifestaciones atípicas que caracterizan "&amp;"la simulación en esta dimensión.",IF(F18&gt;=4,"indica que presenta una puntuación indicativa de "&amp;"simulación de deterioro neurológico. Ha respondido afirmativamente a un número elevado de"&amp;" ítems que describen síntomas ilógicos, inconsistentes con los cuadros neurológicos"&amp;" genuinos o inusuales en pacientes con afectación neurológica real. La puntuación "&amp;"obtenida supera el punto de corte establecido para la detección de simulación en esta "&amp;"escala, lo que implica la presencia de respuestas que reflejan un patrón característico de"&amp;" sobreinformación o distorsión en la presentación de síntomas neurológicos."))</f>
        <v>indica que presenta una puntuación indicativa de simulación de deterioro neurológico. Ha respondido afirmativamente a un número elevado de ítems que describen síntomas ilógicos, inconsistentes con los cuadros neurológicos genuinos o inusuales en pacientes con afectación neurológica real. La puntuación obtenida supera el punto de corte establecido para la detección de simulación en esta escala, lo que implica la presencia de respuestas que reflejan un patrón característico de sobreinformación o distorsión en la presentación de síntomas neurológicos.</v>
      </c>
    </row>
    <row r="19" spans="2:24" ht="14.25" customHeight="1" x14ac:dyDescent="0.4">
      <c r="B19" s="92"/>
      <c r="C19" s="92"/>
      <c r="D19" s="26"/>
      <c r="E19" s="29"/>
      <c r="F19" s="33"/>
      <c r="G19" s="14"/>
      <c r="H19" s="14"/>
      <c r="I19" s="14"/>
      <c r="J19" s="14"/>
      <c r="K19" s="14"/>
      <c r="L19" s="14"/>
      <c r="M19" s="14"/>
      <c r="N19" s="14"/>
      <c r="O19" s="14"/>
      <c r="P19" s="14"/>
      <c r="R19" s="12">
        <f>F27</f>
        <v>11</v>
      </c>
      <c r="S19" s="12">
        <v>5</v>
      </c>
    </row>
    <row r="20" spans="2:24" ht="7.5" customHeight="1" x14ac:dyDescent="0.4">
      <c r="B20" s="30"/>
      <c r="C20" s="30"/>
      <c r="D20" s="26"/>
      <c r="E20" s="14"/>
      <c r="F20" s="28"/>
      <c r="G20" s="14"/>
      <c r="H20" s="14"/>
      <c r="I20" s="14"/>
      <c r="J20" s="14"/>
      <c r="K20" s="14"/>
      <c r="L20" s="14"/>
      <c r="M20" s="14"/>
      <c r="N20" s="14"/>
      <c r="O20" s="14"/>
      <c r="P20" s="14"/>
    </row>
    <row r="21" spans="2:24" ht="14.25" customHeight="1" x14ac:dyDescent="0.4">
      <c r="B21" s="92"/>
      <c r="C21" s="92"/>
      <c r="D21" s="26" t="s">
        <v>28</v>
      </c>
      <c r="E21" s="29"/>
      <c r="F21" s="31">
        <f>Ingreso_Datos!K12</f>
        <v>11</v>
      </c>
      <c r="G21" s="14"/>
      <c r="H21" s="14"/>
      <c r="I21" s="14"/>
      <c r="J21" s="14"/>
      <c r="K21" s="14"/>
      <c r="L21" s="14"/>
      <c r="M21" s="14"/>
      <c r="N21" s="14"/>
      <c r="O21" s="14"/>
      <c r="P21" s="14"/>
      <c r="T21" s="12">
        <f>IF(ISNUMBER(U21),U21+(COUNTA($U$15:$U$27)-ROW()+2)*0.001,"")</f>
        <v>10.986000000000001</v>
      </c>
      <c r="U21" s="12">
        <f>IFERROR(IF(F21&gt;=4,F21,""),"")</f>
        <v>11</v>
      </c>
      <c r="V21" s="12" t="s">
        <v>37</v>
      </c>
      <c r="W21" s="12" t="str">
        <f>IF(F21&lt;=3,"indica que no presenta indicios de simulación de "&amp;"alteraciones en la memoria. Las respuestas proporcionadas no reflejan un patrón"&amp;" de síntomas inconsistentes con los cuadros amnésicos genuinos ni la presencia de manifestaciones"&amp;" atípicas en la naturaleza, curso o aparición de los déficits de memoria. La puntuación "&amp;"obtenida se encuentra dentro del rango en el que los ítems respondidos no evidencian distorsión"&amp;" en la presentación de síntomas amnésicos.",IF(F21&gt;=4,"indica que presenta una puntuación"&amp;" indicativa de simulación de trastornos amnésicos. Ha respondido afirmativamente a un número"&amp;" elevado de ítems que describen síntomas inconsistentes con los patrones de deterioro de"&amp;" la memoria observados en casos de disfunción o daño cerebral real. La puntuación obtenida"&amp;" supera el punto de corte establecido para la detección de simulación en esta "&amp;"escala, lo que implica la presencia de respuestas que reflejan un patrón característico de "&amp;"sobreinformación o distorsión en la presentación de déficits de memoria."))</f>
        <v>indica que presenta una puntuación indicativa de simulación de trastornos amnésicos. Ha respondido afirmativamente a un número elevado de ítems que describen síntomas inconsistentes con los patrones de deterioro de la memoria observados en casos de disfunción o daño cerebral real. La puntuación obtenida supera el punto de corte establecido para la detección de simulación en esta escala, lo que implica la presencia de respuestas que reflejan un patrón característico de sobreinformación o distorsión en la presentación de déficits de memoria.</v>
      </c>
    </row>
    <row r="22" spans="2:24" ht="14.25" customHeight="1" x14ac:dyDescent="0.4">
      <c r="B22" s="92"/>
      <c r="C22" s="92"/>
      <c r="D22" s="26"/>
      <c r="E22" s="29"/>
      <c r="F22" s="33"/>
      <c r="G22" s="14"/>
      <c r="H22" s="14"/>
      <c r="I22" s="14"/>
      <c r="J22" s="14"/>
      <c r="K22" s="14"/>
      <c r="L22" s="14"/>
      <c r="M22" s="14"/>
      <c r="N22" s="14"/>
      <c r="O22" s="14"/>
      <c r="P22" s="14"/>
    </row>
    <row r="23" spans="2:24" ht="7.5" customHeight="1" x14ac:dyDescent="0.4">
      <c r="B23" s="32"/>
      <c r="C23" s="32"/>
      <c r="D23" s="26"/>
      <c r="E23" s="14"/>
      <c r="F23" s="28"/>
      <c r="G23" s="14"/>
      <c r="H23" s="14"/>
      <c r="I23" s="14"/>
      <c r="J23" s="14"/>
      <c r="K23" s="14"/>
      <c r="L23" s="14"/>
      <c r="M23" s="14"/>
      <c r="N23" s="14"/>
      <c r="O23" s="14"/>
      <c r="P23" s="14"/>
    </row>
    <row r="24" spans="2:24" ht="14.25" customHeight="1" x14ac:dyDescent="0.4">
      <c r="B24" s="92"/>
      <c r="C24" s="92"/>
      <c r="D24" s="26" t="s">
        <v>32</v>
      </c>
      <c r="E24" s="29"/>
      <c r="F24" s="31">
        <f>Ingreso_Datos!K13</f>
        <v>7</v>
      </c>
      <c r="G24" s="14"/>
      <c r="H24" s="14"/>
      <c r="I24" s="14"/>
      <c r="J24" s="14"/>
      <c r="K24" s="14"/>
      <c r="L24" s="14"/>
      <c r="M24" s="14"/>
      <c r="N24" s="14"/>
      <c r="O24" s="14"/>
      <c r="P24" s="14"/>
      <c r="T24" s="12">
        <f>IF(ISNUMBER(U24),U24+(COUNTA($U$15:$U$27)-ROW()+2)*0.001,"")</f>
        <v>6.9829999999999997</v>
      </c>
      <c r="U24" s="12">
        <f>IFERROR(IF(F24&gt;=4,F24,""),"")</f>
        <v>7</v>
      </c>
      <c r="V24" s="12" t="s">
        <v>35</v>
      </c>
      <c r="W24" s="12" t="str">
        <f>IF(F24&lt;=3,"indica que no presenta indicios de simulación"&amp;" de discapacidad intelectual. Las respuestas proporcionadas no reflejan un "&amp;"patrón de errores sistemáticos en ítems que evalúan conocimientos básicos ni evidencian"&amp;" una distorsión en la presentación de déficits cognitivos generales. La puntuación obtenida "&amp;"se encuentra dentro del rango en el que los ítems respondidos no corresponden con patrones"&amp;" de simulación en esta dimensión.",IF(F24&gt;=4,"indica que presenta una puntuación indicativa "&amp;"de simulación de discapacidad intelectual. Ha respondido incorrectamente a un número elevado "&amp;"de ítems que evalúan conocimientos básicos, los cuales incluso individuos con déficits "&amp;"intelectuales genuinos suelen responder correctamente. La puntuación obtenida supera el "&amp;"punto de corte establecido para la detección de simulación en esta escala, lo que"&amp;" implica la presencia de respuestas que reflejan un patrón característico de sobreinformación"&amp;" o distorsión en la presentación de una discapacidad cognitiva."))</f>
        <v>indica que presenta una puntuación indicativa de simulación de discapacidad intelectual. Ha respondido incorrectamente a un número elevado de ítems que evalúan conocimientos básicos, los cuales incluso individuos con déficits intelectuales genuinos suelen responder correctamente. La puntuación obtenida supera el punto de corte establecido para la detección de simulación en esta escala, lo que implica la presencia de respuestas que reflejan un patrón característico de sobreinformación o distorsión en la presentación de una discapacidad cognitiva.</v>
      </c>
    </row>
    <row r="25" spans="2:24" ht="14.25" customHeight="1" x14ac:dyDescent="0.4">
      <c r="B25" s="92"/>
      <c r="C25" s="92"/>
      <c r="D25" s="26"/>
      <c r="E25" s="29"/>
      <c r="F25" s="33"/>
      <c r="G25" s="14"/>
      <c r="H25" s="14"/>
      <c r="I25" s="14"/>
      <c r="J25" s="14"/>
      <c r="K25" s="14"/>
      <c r="L25" s="14"/>
      <c r="M25" s="14"/>
      <c r="N25" s="14"/>
      <c r="O25" s="14"/>
      <c r="P25" s="14"/>
    </row>
    <row r="26" spans="2:24" ht="7.5" customHeight="1" x14ac:dyDescent="0.4">
      <c r="B26" s="32"/>
      <c r="C26" s="32"/>
      <c r="D26" s="26"/>
      <c r="E26" s="14"/>
      <c r="F26" s="28"/>
      <c r="G26" s="14"/>
      <c r="H26" s="14"/>
      <c r="I26" s="14"/>
      <c r="J26" s="14"/>
      <c r="K26" s="14"/>
      <c r="L26" s="14"/>
      <c r="M26" s="14"/>
      <c r="N26" s="14"/>
      <c r="O26" s="14"/>
      <c r="P26" s="14"/>
    </row>
    <row r="27" spans="2:24" ht="14.25" customHeight="1" x14ac:dyDescent="0.4">
      <c r="B27" s="92"/>
      <c r="C27" s="92"/>
      <c r="D27" s="26" t="s">
        <v>29</v>
      </c>
      <c r="E27" s="29"/>
      <c r="F27" s="31">
        <f>Ingreso_Datos!K14</f>
        <v>11</v>
      </c>
      <c r="G27" s="14"/>
      <c r="H27" s="14"/>
      <c r="I27" s="14"/>
      <c r="J27" s="14"/>
      <c r="K27" s="14"/>
      <c r="L27" s="14"/>
      <c r="M27" s="14"/>
      <c r="N27" s="14"/>
      <c r="O27" s="14"/>
      <c r="P27" s="14"/>
      <c r="T27" s="12">
        <f>IF(ISNUMBER(U27),U27+(COUNTA($U$15:$U$27)-ROW()+2)*0.001,"")</f>
        <v>10.98</v>
      </c>
      <c r="U27" s="12">
        <f>IFERROR(IF(F27&gt;=8,F27,""),"")</f>
        <v>11</v>
      </c>
      <c r="V27" s="12" t="s">
        <v>36</v>
      </c>
      <c r="W27" s="12" t="str">
        <f>IF(F27&lt;=7,"indica que no presenta indicios"&amp;" de simulación de síntomas afectivos. Las respuestas proporcionadas no reflejan un patrón"&amp;"  de síntomas atípicos de depresión o ansiedad que resulten infrecuentes incluso en "&amp;" pacientes con trastornos afectivos genuinos. La puntuación obtenida se encuentra dentro del "&amp;" rango en el que los ítems respondidos no evidencian distorsión en la presentación de "&amp;" sintomatología afectiva.",IF(F27&gt;=8,"indica que presenta una puntuación indicativa de simulación "&amp;" de síntomas afectivos. Ha respondido afirmativamente a un número elevado de ítems que describen"&amp;"  manifestaciones emocionales inusuales o extremadamente infrecuentes en "&amp;" pacientes con ansiedad o depresión genuina. La puntuación obtenida supera el punto "&amp;" de corte establecido para la detección de simulación en esta escala, lo que implica la presencia"&amp;"  de respuestas que reflejan un patrón característico de sobreinformación o "&amp;" distorsión en la presentación de sintomatología afectiva."))</f>
        <v>indica que presenta una puntuación indicativa de simulación  de síntomas afectivos. Ha respondido afirmativamente a un número elevado de ítems que describen  manifestaciones emocionales inusuales o extremadamente infrecuentes en  pacientes con ansiedad o depresión genuina. La puntuación obtenida supera el punto  de corte establecido para la detección de simulación en esta escala, lo que implica la presencia  de respuestas que reflejan un patrón característico de sobreinformación o  distorsión en la presentación de sintomatología afectiva.</v>
      </c>
    </row>
    <row r="28" spans="2:24" ht="20.399999999999999" customHeight="1" x14ac:dyDescent="0.4">
      <c r="B28" s="92"/>
      <c r="C28" s="92"/>
      <c r="D28" s="14"/>
      <c r="E28" s="14"/>
      <c r="F28" s="14"/>
      <c r="G28" s="14"/>
      <c r="H28" s="14"/>
      <c r="I28" s="14"/>
      <c r="J28" s="14"/>
      <c r="K28" s="14"/>
      <c r="L28" s="14"/>
      <c r="M28" s="14"/>
      <c r="N28" s="14"/>
      <c r="O28" s="14"/>
      <c r="P28" s="14"/>
    </row>
    <row r="29" spans="2:24" x14ac:dyDescent="0.4">
      <c r="B29" s="14"/>
      <c r="C29" s="14"/>
      <c r="D29" s="14"/>
      <c r="E29" s="14"/>
      <c r="F29" s="14"/>
      <c r="G29" s="14"/>
      <c r="H29" s="14"/>
      <c r="I29" s="14"/>
      <c r="J29" s="14"/>
      <c r="K29" s="14"/>
      <c r="L29" s="14"/>
      <c r="M29" s="14"/>
      <c r="N29" s="14"/>
      <c r="O29" s="14"/>
      <c r="P29" s="14"/>
      <c r="T29" s="12">
        <v>1</v>
      </c>
      <c r="U29" s="12" t="str">
        <f>IF( ISBLANK(T29),"",IFERROR(IF(VLOOKUP(LARGE($T$16:$T$27,T29),$T$16:$W$27,3,0)&lt;1,"", VLOOKUP(LARGE($T$16:$T$27,T29),$T$16:$W$27,3,0)),""))</f>
        <v>psicoticos</v>
      </c>
      <c r="V29" s="27">
        <f>IF( OR(ISBLANK(T29), T29 &gt; COUNTA($T$16:$T$27)), "", IFERROR( ROUND( LARGE($T$16:$T$27, T29), 1 ), "" ) )</f>
        <v>12</v>
      </c>
      <c r="W29" s="12" t="str">
        <f>IF(ISBLANK(U29),"",IFERROR(VLOOKUP(U29,$V$16:$X$27,2,0),""))</f>
        <v>indica que presenta una puntuación indicativa de simulación de psicosis. Ha respondido afirmativamente a un número elevado de ítems que describen síntomas extravagantes, ilógicos e inusuales en cuadros psicóticos genuinos. La puntuación obtenida supera el punto de corte establecido para la detección de simulación en esta escala, lo que implica la presencia de respuestas que reflejan un patrón característico de sobreinformación o distorsión en la presentación de síntomas psicóticos.</v>
      </c>
      <c r="X29" s="12">
        <f>IF(ISBLANK(U29),"",IFERROR(VLOOKUP(U29,$V$16:$X$27,3,0),""))</f>
        <v>0</v>
      </c>
    </row>
    <row r="30" spans="2:24" x14ac:dyDescent="0.4">
      <c r="B30" s="14"/>
      <c r="C30" s="14"/>
      <c r="D30" s="14"/>
      <c r="E30" s="14"/>
      <c r="F30" s="14"/>
      <c r="G30" s="14"/>
      <c r="H30" s="14"/>
      <c r="I30" s="14"/>
      <c r="J30" s="14"/>
      <c r="K30" s="14"/>
      <c r="L30" s="14"/>
      <c r="M30" s="14"/>
      <c r="N30" s="14"/>
      <c r="O30" s="14"/>
      <c r="P30" s="14"/>
      <c r="T30" s="12">
        <v>2</v>
      </c>
      <c r="U30" s="12" t="str">
        <f>IF( ISBLANK(T30),"",IFERROR(IF(VLOOKUP(LARGE($T$16:$T$27,T30),$T$16:$W$27,3,0)&lt;1,"", VLOOKUP(LARGE($T$16:$T$27,T30),$T$16:$W$27,3,0)),""))</f>
        <v>de deterioro neurológico</v>
      </c>
      <c r="V30" s="27">
        <f>IF( OR(ISBLANK(T30), T30 &gt; COUNTA($T$16:$T$27)), "", IFERROR( ROUND( LARGE($T$16:$T$27, T30), 1 ), "" ) )</f>
        <v>11</v>
      </c>
      <c r="W30" s="12" t="str">
        <f>IF(ISBLANK(U30),"",IFERROR(VLOOKUP(U30,$V$16:$X$27,2,0),""))</f>
        <v>indica que presenta una puntuación indicativa de simulación de deterioro neurológico. Ha respondido afirmativamente a un número elevado de ítems que describen síntomas ilógicos, inconsistentes con los cuadros neurológicos genuinos o inusuales en pacientes con afectación neurológica real. La puntuación obtenida supera el punto de corte establecido para la detección de simulación en esta escala, lo que implica la presencia de respuestas que reflejan un patrón característico de sobreinformación o distorsión en la presentación de síntomas neurológicos.</v>
      </c>
    </row>
    <row r="31" spans="2:24" x14ac:dyDescent="0.4">
      <c r="B31" s="14"/>
      <c r="C31" s="14"/>
      <c r="D31" s="14"/>
      <c r="E31" s="14"/>
      <c r="F31" s="14"/>
      <c r="G31" s="14"/>
      <c r="H31" s="14"/>
      <c r="I31" s="14"/>
      <c r="J31" s="14"/>
      <c r="K31" s="14"/>
      <c r="L31" s="14"/>
      <c r="M31" s="14"/>
      <c r="N31" s="14"/>
      <c r="O31" s="14"/>
      <c r="P31" s="14"/>
      <c r="T31" s="12">
        <v>3</v>
      </c>
      <c r="U31" s="12" t="str">
        <f>IF( ISBLANK(T31),"",IFERROR(IF(VLOOKUP(LARGE($T$16:$T$27,T31),$T$16:$W$27,3,0)&lt;1,"", VLOOKUP(LARGE($T$16:$T$27,T31),$T$16:$W$27,3,0)),""))</f>
        <v>de trastornos amnésicos</v>
      </c>
      <c r="V31" s="27">
        <f>IF( OR(ISBLANK(T31), T31 &gt; COUNTA($T$16:$T$27)), "", IFERROR( ROUND( LARGE($T$16:$T$27, T31), 1 ), "" ) )</f>
        <v>11</v>
      </c>
      <c r="W31" s="12" t="str">
        <f>IF(ISBLANK(U31),"",IFERROR(VLOOKUP(U31,$V$16:$X$27,2,0),""))</f>
        <v>indica que presenta una puntuación indicativa de simulación de trastornos amnésicos. Ha respondido afirmativamente a un número elevado de ítems que describen síntomas inconsistentes con los patrones de deterioro de la memoria observados en casos de disfunción o daño cerebral real. La puntuación obtenida supera el punto de corte establecido para la detección de simulación en esta escala, lo que implica la presencia de respuestas que reflejan un patrón característico de sobreinformación o distorsión en la presentación de déficits de memoria.</v>
      </c>
    </row>
    <row r="32" spans="2:24" ht="14.25" customHeight="1" x14ac:dyDescent="0.4">
      <c r="B32" s="93" t="str">
        <f>CONCATENATE("   La puntuación total del SIMS proporciona una estimación general de la probabilidad de que esté fingiendo síntomas psicopatológicos o alteraciones neurocognitivas. ",H3," ","obtuvo una puntuación de ",U14,", "," lo que ",W14)</f>
        <v xml:space="preserve">   La puntuación total del SIMS proporciona una estimación general de la probabilidad de que esté fingiendo síntomas psicopatológicos o alteraciones neurocognitivas. Teodora Colque Zuñiga obtuvo una puntuación de 52,  lo que indica que presenta un patrón de respuesta de sospecha de simulación o exageración de síntomas psicopatológicos o neurocognitivos. Ha respondido afirmativamente a un número elevado de ítems que describen síntomas atípicos, improbables o ilógicas de diversos trastornos. Esta elevación en la puntuación total supera al puntaje de corte (16). Lo que lo identifica como probable simulador. El patrón de respuestas observado refleja una tendencia sistemática a exagerar síntomas inconsistentes o improbables, lo que constituye un indicador significativo de posible falseamiento. Se recomienda una evaluación más extensa y exhaustiva con el fin de confirmar esta sospecha. Es muy importante señalar que el SIMS no es una prueba diagnóstica y, por lo tanto, no puede establecerse el diagnóstico de simulación aisladamente a partir de sus puntuaciones. Se requiere la convergencia de otras fuentes de información y evaluaciones para este propósito.</v>
      </c>
      <c r="C32" s="93"/>
      <c r="D32" s="93"/>
      <c r="E32" s="93"/>
      <c r="F32" s="93"/>
      <c r="G32" s="93"/>
      <c r="H32" s="93"/>
      <c r="I32" s="93"/>
      <c r="J32" s="93"/>
      <c r="K32" s="93"/>
      <c r="L32" s="93"/>
      <c r="M32" s="93"/>
      <c r="N32" s="93"/>
      <c r="O32" s="93"/>
      <c r="P32" s="93"/>
      <c r="T32" s="12">
        <v>4</v>
      </c>
      <c r="U32" s="12" t="str">
        <f>IF( ISBLANK(T32),"",IFERROR(IF(VLOOKUP(LARGE($T$16:$T$27,T32),$T$16:$W$27,3,0)&lt;1,"", VLOOKUP(LARGE($T$16:$T$27,T32),$T$16:$W$27,3,0)),""))</f>
        <v>de trastornos afectivos</v>
      </c>
      <c r="V32" s="27">
        <f>IF( OR(ISBLANK(T32), T32 &gt; COUNTA($T$16:$T$27)), "", IFERROR( ROUND( LARGE($T$16:$T$27, T32), 1 ), "" ) )</f>
        <v>11</v>
      </c>
      <c r="W32" s="12" t="str">
        <f>IF(ISBLANK(U32),"",IFERROR(VLOOKUP(U32,$V$16:$X$27,2,0),""))</f>
        <v>indica que presenta una puntuación indicativa de simulación  de síntomas afectivos. Ha respondido afirmativamente a un número elevado de ítems que describen  manifestaciones emocionales inusuales o extremadamente infrecuentes en  pacientes con ansiedad o depresión genuina. La puntuación obtenida supera el punto  de corte establecido para la detección de simulación en esta escala, lo que implica la presencia  de respuestas que reflejan un patrón característico de sobreinformación o  distorsión en la presentación de sintomatología afectiva.</v>
      </c>
    </row>
    <row r="33" spans="2:23" x14ac:dyDescent="0.4">
      <c r="B33" s="93"/>
      <c r="C33" s="93"/>
      <c r="D33" s="93"/>
      <c r="E33" s="93"/>
      <c r="F33" s="93"/>
      <c r="G33" s="93"/>
      <c r="H33" s="93"/>
      <c r="I33" s="93"/>
      <c r="J33" s="93"/>
      <c r="K33" s="93"/>
      <c r="L33" s="93"/>
      <c r="M33" s="93"/>
      <c r="N33" s="93"/>
      <c r="O33" s="93"/>
      <c r="P33" s="93"/>
      <c r="T33" s="12">
        <v>5</v>
      </c>
      <c r="U33" s="12" t="str">
        <f>IF( ISBLANK(T33),"",IFERROR(IF(VLOOKUP(LARGE($T$16:$T$27,T33),$T$16:$W$27,3,0)&lt;1,"", VLOOKUP(LARGE($T$16:$T$27,T33),$T$16:$W$27,3,0)),""))</f>
        <v>de baja inteligencia</v>
      </c>
      <c r="V33" s="27">
        <f>IF( OR(ISBLANK(T33), T33 &gt; COUNTA($T$16:$T$27)), "", IFERROR( ROUND( LARGE($T$16:$T$27, T33), 1 ), "" ) )</f>
        <v>7</v>
      </c>
      <c r="W33" s="12" t="str">
        <f>IF(ISBLANK(U33),"",IFERROR(VLOOKUP(U33,$V$16:$X$27,2,0),""))</f>
        <v>indica que presenta una puntuación indicativa de simulación de discapacidad intelectual. Ha respondido incorrectamente a un número elevado de ítems que evalúan conocimientos básicos, los cuales incluso individuos con déficits intelectuales genuinos suelen responder correctamente. La puntuación obtenida supera el punto de corte establecido para la detección de simulación en esta escala, lo que implica la presencia de respuestas que reflejan un patrón característico de sobreinformación o distorsión en la presentación de una discapacidad cognitiva.</v>
      </c>
    </row>
    <row r="34" spans="2:23" x14ac:dyDescent="0.4">
      <c r="B34" s="93"/>
      <c r="C34" s="93"/>
      <c r="D34" s="93"/>
      <c r="E34" s="93"/>
      <c r="F34" s="93"/>
      <c r="G34" s="93"/>
      <c r="H34" s="93"/>
      <c r="I34" s="93"/>
      <c r="J34" s="93"/>
      <c r="K34" s="93"/>
      <c r="L34" s="93"/>
      <c r="M34" s="93"/>
      <c r="N34" s="93"/>
      <c r="O34" s="93"/>
      <c r="P34" s="93"/>
      <c r="V34" s="27"/>
    </row>
    <row r="35" spans="2:23" x14ac:dyDescent="0.4">
      <c r="B35" s="93"/>
      <c r="C35" s="93"/>
      <c r="D35" s="93"/>
      <c r="E35" s="93"/>
      <c r="F35" s="93"/>
      <c r="G35" s="93"/>
      <c r="H35" s="93"/>
      <c r="I35" s="93"/>
      <c r="J35" s="93"/>
      <c r="K35" s="93"/>
      <c r="L35" s="93"/>
      <c r="M35" s="93"/>
      <c r="N35" s="93"/>
      <c r="O35" s="93"/>
      <c r="P35" s="93"/>
    </row>
    <row r="36" spans="2:23" x14ac:dyDescent="0.4">
      <c r="B36" s="93"/>
      <c r="C36" s="93"/>
      <c r="D36" s="93"/>
      <c r="E36" s="93"/>
      <c r="F36" s="93"/>
      <c r="G36" s="93"/>
      <c r="H36" s="93"/>
      <c r="I36" s="93"/>
      <c r="J36" s="93"/>
      <c r="K36" s="93"/>
      <c r="L36" s="93"/>
      <c r="M36" s="93"/>
      <c r="N36" s="93"/>
      <c r="O36" s="93"/>
      <c r="P36" s="93"/>
    </row>
    <row r="37" spans="2:23" x14ac:dyDescent="0.4">
      <c r="B37" s="93"/>
      <c r="C37" s="93"/>
      <c r="D37" s="93"/>
      <c r="E37" s="93"/>
      <c r="F37" s="93"/>
      <c r="G37" s="93"/>
      <c r="H37" s="93"/>
      <c r="I37" s="93"/>
      <c r="J37" s="93"/>
      <c r="K37" s="93"/>
      <c r="L37" s="93"/>
      <c r="M37" s="93"/>
      <c r="N37" s="93"/>
      <c r="O37" s="93"/>
      <c r="P37" s="93"/>
    </row>
    <row r="38" spans="2:23" x14ac:dyDescent="0.4">
      <c r="B38" s="93"/>
      <c r="C38" s="93"/>
      <c r="D38" s="93"/>
      <c r="E38" s="93"/>
      <c r="F38" s="93"/>
      <c r="G38" s="93"/>
      <c r="H38" s="93"/>
      <c r="I38" s="93"/>
      <c r="J38" s="93"/>
      <c r="K38" s="93"/>
      <c r="L38" s="93"/>
      <c r="M38" s="93"/>
      <c r="N38" s="93"/>
      <c r="O38" s="93"/>
      <c r="P38" s="93"/>
    </row>
    <row r="39" spans="2:23" x14ac:dyDescent="0.4">
      <c r="B39" s="93"/>
      <c r="C39" s="93"/>
      <c r="D39" s="93"/>
      <c r="E39" s="93"/>
      <c r="F39" s="93"/>
      <c r="G39" s="93"/>
      <c r="H39" s="93"/>
      <c r="I39" s="93"/>
      <c r="J39" s="93"/>
      <c r="K39" s="93"/>
      <c r="L39" s="93"/>
      <c r="M39" s="93"/>
      <c r="N39" s="93"/>
      <c r="O39" s="93"/>
      <c r="P39" s="93"/>
    </row>
    <row r="40" spans="2:23" x14ac:dyDescent="0.4">
      <c r="B40" s="93"/>
      <c r="C40" s="93"/>
      <c r="D40" s="93"/>
      <c r="E40" s="93"/>
      <c r="F40" s="93"/>
      <c r="G40" s="93"/>
      <c r="H40" s="93"/>
      <c r="I40" s="93"/>
      <c r="J40" s="93"/>
      <c r="K40" s="93"/>
      <c r="L40" s="93"/>
      <c r="M40" s="93"/>
      <c r="N40" s="93"/>
      <c r="O40" s="93"/>
      <c r="P40" s="93"/>
    </row>
    <row r="41" spans="2:23" x14ac:dyDescent="0.4">
      <c r="B41" s="93"/>
      <c r="C41" s="93"/>
      <c r="D41" s="93"/>
      <c r="E41" s="93"/>
      <c r="F41" s="93"/>
      <c r="G41" s="93"/>
      <c r="H41" s="93"/>
      <c r="I41" s="93"/>
      <c r="J41" s="93"/>
      <c r="K41" s="93"/>
      <c r="L41" s="93"/>
      <c r="M41" s="93"/>
      <c r="N41" s="93"/>
      <c r="O41" s="93"/>
      <c r="P41" s="93"/>
    </row>
    <row r="42" spans="2:23" x14ac:dyDescent="0.4">
      <c r="B42" s="93"/>
      <c r="C42" s="93"/>
      <c r="D42" s="93"/>
      <c r="E42" s="93"/>
      <c r="F42" s="93"/>
      <c r="G42" s="93"/>
      <c r="H42" s="93"/>
      <c r="I42" s="93"/>
      <c r="J42" s="93"/>
      <c r="K42" s="93"/>
      <c r="L42" s="93"/>
      <c r="M42" s="93"/>
      <c r="N42" s="93"/>
      <c r="O42" s="93"/>
      <c r="P42" s="93"/>
    </row>
    <row r="43" spans="2:23" x14ac:dyDescent="0.4">
      <c r="B43" s="93"/>
      <c r="C43" s="93"/>
      <c r="D43" s="93"/>
      <c r="E43" s="93"/>
      <c r="F43" s="93"/>
      <c r="G43" s="93"/>
      <c r="H43" s="93"/>
      <c r="I43" s="93"/>
      <c r="J43" s="93"/>
      <c r="K43" s="93"/>
      <c r="L43" s="93"/>
      <c r="M43" s="93"/>
      <c r="N43" s="93"/>
      <c r="O43" s="93"/>
      <c r="P43" s="93"/>
    </row>
    <row r="44" spans="2:23" x14ac:dyDescent="0.4">
      <c r="B44" s="93"/>
      <c r="C44" s="93"/>
      <c r="D44" s="93"/>
      <c r="E44" s="93"/>
      <c r="F44" s="93"/>
      <c r="G44" s="93"/>
      <c r="H44" s="93"/>
      <c r="I44" s="93"/>
      <c r="J44" s="93"/>
      <c r="K44" s="93"/>
      <c r="L44" s="93"/>
      <c r="M44" s="93"/>
      <c r="N44" s="93"/>
      <c r="O44" s="93"/>
      <c r="P44" s="93"/>
    </row>
    <row r="45" spans="2:23" x14ac:dyDescent="0.4">
      <c r="B45" s="93"/>
      <c r="C45" s="93"/>
      <c r="D45" s="93"/>
      <c r="E45" s="93"/>
      <c r="F45" s="93"/>
      <c r="G45" s="93"/>
      <c r="H45" s="93"/>
      <c r="I45" s="93"/>
      <c r="J45" s="93"/>
      <c r="K45" s="93"/>
      <c r="L45" s="93"/>
      <c r="M45" s="93"/>
      <c r="N45" s="93"/>
      <c r="O45" s="93"/>
      <c r="P45" s="93"/>
    </row>
    <row r="46" spans="2:23" x14ac:dyDescent="0.4">
      <c r="B46" s="93"/>
      <c r="C46" s="93"/>
      <c r="D46" s="93"/>
      <c r="E46" s="93"/>
      <c r="F46" s="93"/>
      <c r="G46" s="93"/>
      <c r="H46" s="93"/>
      <c r="I46" s="93"/>
      <c r="J46" s="93"/>
      <c r="K46" s="93"/>
      <c r="L46" s="93"/>
      <c r="M46" s="93"/>
      <c r="N46" s="93"/>
      <c r="O46" s="93"/>
      <c r="P46" s="93"/>
    </row>
    <row r="47" spans="2:23" ht="14.25" customHeight="1" x14ac:dyDescent="0.4">
      <c r="B47" s="93" t="str">
        <f>IF(OR(U29="",V29="",W29=""),"",CONCATENATE("El perfil del SIMS refleja principalmente un patrón centrado en la presentación de síntomas ",U29,". Se obtuvo una puntuación de ",V29,", "," lo que ",W29))</f>
        <v>El perfil del SIMS refleja principalmente un patrón centrado en la presentación de síntomas psicoticos. Se obtuvo una puntuación de 12,  lo que indica que presenta una puntuación indicativa de simulación de psicosis. Ha respondido afirmativamente a un número elevado de ítems que describen síntomas extravagantes, ilógicos e inusuales en cuadros psicóticos genuinos. La puntuación obtenida supera el punto de corte establecido para la detección de simulación en esta escala, lo que implica la presencia de respuestas que reflejan un patrón característico de sobreinformación o distorsión en la presentación de síntomas psicóticos.</v>
      </c>
      <c r="C47" s="93"/>
      <c r="D47" s="93"/>
      <c r="E47" s="93"/>
      <c r="F47" s="93"/>
      <c r="G47" s="93"/>
      <c r="H47" s="93"/>
      <c r="I47" s="93"/>
      <c r="J47" s="93"/>
      <c r="K47" s="93"/>
      <c r="L47" s="93"/>
      <c r="M47" s="93"/>
      <c r="N47" s="93"/>
      <c r="O47" s="93"/>
      <c r="P47" s="93"/>
    </row>
    <row r="48" spans="2:23" x14ac:dyDescent="0.4">
      <c r="B48" s="93"/>
      <c r="C48" s="93"/>
      <c r="D48" s="93"/>
      <c r="E48" s="93"/>
      <c r="F48" s="93"/>
      <c r="G48" s="93"/>
      <c r="H48" s="93"/>
      <c r="I48" s="93"/>
      <c r="J48" s="93"/>
      <c r="K48" s="93"/>
      <c r="L48" s="93"/>
      <c r="M48" s="93"/>
      <c r="N48" s="93"/>
      <c r="O48" s="93"/>
      <c r="P48" s="93"/>
    </row>
    <row r="49" spans="2:16" x14ac:dyDescent="0.4">
      <c r="B49" s="93"/>
      <c r="C49" s="93"/>
      <c r="D49" s="93"/>
      <c r="E49" s="93"/>
      <c r="F49" s="93"/>
      <c r="G49" s="93"/>
      <c r="H49" s="93"/>
      <c r="I49" s="93"/>
      <c r="J49" s="93"/>
      <c r="K49" s="93"/>
      <c r="L49" s="93"/>
      <c r="M49" s="93"/>
      <c r="N49" s="93"/>
      <c r="O49" s="93"/>
      <c r="P49" s="93"/>
    </row>
    <row r="50" spans="2:16" x14ac:dyDescent="0.4">
      <c r="B50" s="93"/>
      <c r="C50" s="93"/>
      <c r="D50" s="93"/>
      <c r="E50" s="93"/>
      <c r="F50" s="93"/>
      <c r="G50" s="93"/>
      <c r="H50" s="93"/>
      <c r="I50" s="93"/>
      <c r="J50" s="93"/>
      <c r="K50" s="93"/>
      <c r="L50" s="93"/>
      <c r="M50" s="93"/>
      <c r="N50" s="93"/>
      <c r="O50" s="93"/>
      <c r="P50" s="93"/>
    </row>
    <row r="51" spans="2:16" x14ac:dyDescent="0.4">
      <c r="B51" s="93"/>
      <c r="C51" s="93"/>
      <c r="D51" s="93"/>
      <c r="E51" s="93"/>
      <c r="F51" s="93"/>
      <c r="G51" s="93"/>
      <c r="H51" s="93"/>
      <c r="I51" s="93"/>
      <c r="J51" s="93"/>
      <c r="K51" s="93"/>
      <c r="L51" s="93"/>
      <c r="M51" s="93"/>
      <c r="N51" s="93"/>
      <c r="O51" s="93"/>
      <c r="P51" s="93"/>
    </row>
    <row r="52" spans="2:16" x14ac:dyDescent="0.4">
      <c r="B52" s="93"/>
      <c r="C52" s="93"/>
      <c r="D52" s="93"/>
      <c r="E52" s="93"/>
      <c r="F52" s="93"/>
      <c r="G52" s="93"/>
      <c r="H52" s="93"/>
      <c r="I52" s="93"/>
      <c r="J52" s="93"/>
      <c r="K52" s="93"/>
      <c r="L52" s="93"/>
      <c r="M52" s="93"/>
      <c r="N52" s="93"/>
      <c r="O52" s="93"/>
      <c r="P52" s="93"/>
    </row>
    <row r="53" spans="2:16" x14ac:dyDescent="0.4">
      <c r="B53" s="93"/>
      <c r="C53" s="93"/>
      <c r="D53" s="93"/>
      <c r="E53" s="93"/>
      <c r="F53" s="93"/>
      <c r="G53" s="93"/>
      <c r="H53" s="93"/>
      <c r="I53" s="93"/>
      <c r="J53" s="93"/>
      <c r="K53" s="93"/>
      <c r="L53" s="93"/>
      <c r="M53" s="93"/>
      <c r="N53" s="93"/>
      <c r="O53" s="93"/>
      <c r="P53" s="93"/>
    </row>
    <row r="54" spans="2:16" x14ac:dyDescent="0.4">
      <c r="B54" s="93"/>
      <c r="C54" s="93"/>
      <c r="D54" s="93"/>
      <c r="E54" s="93"/>
      <c r="F54" s="93"/>
      <c r="G54" s="93"/>
      <c r="H54" s="93"/>
      <c r="I54" s="93"/>
      <c r="J54" s="93"/>
      <c r="K54" s="93"/>
      <c r="L54" s="93"/>
      <c r="M54" s="93"/>
      <c r="N54" s="93"/>
      <c r="O54" s="93"/>
      <c r="P54" s="93"/>
    </row>
    <row r="55" spans="2:16" x14ac:dyDescent="0.4">
      <c r="B55" s="93"/>
      <c r="C55" s="93"/>
      <c r="D55" s="93"/>
      <c r="E55" s="93"/>
      <c r="F55" s="93"/>
      <c r="G55" s="93"/>
      <c r="H55" s="93"/>
      <c r="I55" s="93"/>
      <c r="J55" s="93"/>
      <c r="K55" s="93"/>
      <c r="L55" s="93"/>
      <c r="M55" s="93"/>
      <c r="N55" s="93"/>
      <c r="O55" s="93"/>
      <c r="P55" s="93"/>
    </row>
    <row r="56" spans="2:16" x14ac:dyDescent="0.4">
      <c r="B56" s="93"/>
      <c r="C56" s="93"/>
      <c r="D56" s="93"/>
      <c r="E56" s="93"/>
      <c r="F56" s="93"/>
      <c r="G56" s="93"/>
      <c r="H56" s="93"/>
      <c r="I56" s="93"/>
      <c r="J56" s="93"/>
      <c r="K56" s="93"/>
      <c r="L56" s="93"/>
      <c r="M56" s="93"/>
      <c r="N56" s="93"/>
      <c r="O56" s="93"/>
      <c r="P56" s="93"/>
    </row>
    <row r="57" spans="2:16" x14ac:dyDescent="0.4">
      <c r="B57" s="93" t="str">
        <f>IF(OR(U30="",V30="",W30=""),"",CONCATENATE("También se observa la presencia de síntomas "," ",U30,", con una puntuación de "," ",V30,", lo que "," ",W30))</f>
        <v>También se observa la presencia de síntomas  de deterioro neurológico, con una puntuación de  11, lo que  indica que presenta una puntuación indicativa de simulación de deterioro neurológico. Ha respondido afirmativamente a un número elevado de ítems que describen síntomas ilógicos, inconsistentes con los cuadros neurológicos genuinos o inusuales en pacientes con afectación neurológica real. La puntuación obtenida supera el punto de corte establecido para la detección de simulación en esta escala, lo que implica la presencia de respuestas que reflejan un patrón característico de sobreinformación o distorsión en la presentación de síntomas neurológicos.</v>
      </c>
      <c r="C57" s="93"/>
      <c r="D57" s="93"/>
      <c r="E57" s="93"/>
      <c r="F57" s="93"/>
      <c r="G57" s="93"/>
      <c r="H57" s="93"/>
      <c r="I57" s="93"/>
      <c r="J57" s="93"/>
      <c r="K57" s="93"/>
      <c r="L57" s="93"/>
      <c r="M57" s="93"/>
      <c r="N57" s="93"/>
      <c r="O57" s="93"/>
      <c r="P57" s="93"/>
    </row>
    <row r="58" spans="2:16" x14ac:dyDescent="0.4">
      <c r="B58" s="93"/>
      <c r="C58" s="93"/>
      <c r="D58" s="93"/>
      <c r="E58" s="93"/>
      <c r="F58" s="93"/>
      <c r="G58" s="93"/>
      <c r="H58" s="93"/>
      <c r="I58" s="93"/>
      <c r="J58" s="93"/>
      <c r="K58" s="93"/>
      <c r="L58" s="93"/>
      <c r="M58" s="93"/>
      <c r="N58" s="93"/>
      <c r="O58" s="93"/>
      <c r="P58" s="93"/>
    </row>
    <row r="59" spans="2:16" x14ac:dyDescent="0.4">
      <c r="B59" s="93"/>
      <c r="C59" s="93"/>
      <c r="D59" s="93"/>
      <c r="E59" s="93"/>
      <c r="F59" s="93"/>
      <c r="G59" s="93"/>
      <c r="H59" s="93"/>
      <c r="I59" s="93"/>
      <c r="J59" s="93"/>
      <c r="K59" s="93"/>
      <c r="L59" s="93"/>
      <c r="M59" s="93"/>
      <c r="N59" s="93"/>
      <c r="O59" s="93"/>
      <c r="P59" s="93"/>
    </row>
    <row r="60" spans="2:16" x14ac:dyDescent="0.4">
      <c r="B60" s="93"/>
      <c r="C60" s="93"/>
      <c r="D60" s="93"/>
      <c r="E60" s="93"/>
      <c r="F60" s="93"/>
      <c r="G60" s="93"/>
      <c r="H60" s="93"/>
      <c r="I60" s="93"/>
      <c r="J60" s="93"/>
      <c r="K60" s="93"/>
      <c r="L60" s="93"/>
      <c r="M60" s="93"/>
      <c r="N60" s="93"/>
      <c r="O60" s="93"/>
      <c r="P60" s="93"/>
    </row>
    <row r="61" spans="2:16" x14ac:dyDescent="0.4">
      <c r="B61" s="93"/>
      <c r="C61" s="93"/>
      <c r="D61" s="93"/>
      <c r="E61" s="93"/>
      <c r="F61" s="93"/>
      <c r="G61" s="93"/>
      <c r="H61" s="93"/>
      <c r="I61" s="93"/>
      <c r="J61" s="93"/>
      <c r="K61" s="93"/>
      <c r="L61" s="93"/>
      <c r="M61" s="93"/>
      <c r="N61" s="93"/>
      <c r="O61" s="93"/>
      <c r="P61" s="93"/>
    </row>
    <row r="62" spans="2:16" x14ac:dyDescent="0.4">
      <c r="B62" s="93"/>
      <c r="C62" s="93"/>
      <c r="D62" s="93"/>
      <c r="E62" s="93"/>
      <c r="F62" s="93"/>
      <c r="G62" s="93"/>
      <c r="H62" s="93"/>
      <c r="I62" s="93"/>
      <c r="J62" s="93"/>
      <c r="K62" s="93"/>
      <c r="L62" s="93"/>
      <c r="M62" s="93"/>
      <c r="N62" s="93"/>
      <c r="O62" s="93"/>
      <c r="P62" s="93"/>
    </row>
    <row r="63" spans="2:16" x14ac:dyDescent="0.4">
      <c r="B63" s="93"/>
      <c r="C63" s="93"/>
      <c r="D63" s="93"/>
      <c r="E63" s="93"/>
      <c r="F63" s="93"/>
      <c r="G63" s="93"/>
      <c r="H63" s="93"/>
      <c r="I63" s="93"/>
      <c r="J63" s="93"/>
      <c r="K63" s="93"/>
      <c r="L63" s="93"/>
      <c r="M63" s="93"/>
      <c r="N63" s="93"/>
      <c r="O63" s="93"/>
      <c r="P63" s="93"/>
    </row>
    <row r="64" spans="2:16" x14ac:dyDescent="0.4">
      <c r="B64" s="93"/>
      <c r="C64" s="93"/>
      <c r="D64" s="93"/>
      <c r="E64" s="93"/>
      <c r="F64" s="93"/>
      <c r="G64" s="93"/>
      <c r="H64" s="93"/>
      <c r="I64" s="93"/>
      <c r="J64" s="93"/>
      <c r="K64" s="93"/>
      <c r="L64" s="93"/>
      <c r="M64" s="93"/>
      <c r="N64" s="93"/>
      <c r="O64" s="93"/>
      <c r="P64" s="93"/>
    </row>
    <row r="65" spans="2:16" x14ac:dyDescent="0.4">
      <c r="B65" s="93" t="str">
        <f>IF(OR(U31="",V31="",W31=""),"",CONCATENATE("Además, se observa la presencia de síntomas "," ",U31,", con una puntuación de "," ",V31,", lo que "," ",W31))</f>
        <v>Además, se observa la presencia de síntomas  de trastornos amnésicos, con una puntuación de  11, lo que  indica que presenta una puntuación indicativa de simulación de trastornos amnésicos. Ha respondido afirmativamente a un número elevado de ítems que describen síntomas inconsistentes con los patrones de deterioro de la memoria observados en casos de disfunción o daño cerebral real. La puntuación obtenida supera el punto de corte establecido para la detección de simulación en esta escala, lo que implica la presencia de respuestas que reflejan un patrón característico de sobreinformación o distorsión en la presentación de déficits de memoria.</v>
      </c>
      <c r="C65" s="93"/>
      <c r="D65" s="93"/>
      <c r="E65" s="93"/>
      <c r="F65" s="93"/>
      <c r="G65" s="93"/>
      <c r="H65" s="93"/>
      <c r="I65" s="93"/>
      <c r="J65" s="93"/>
      <c r="K65" s="93"/>
      <c r="L65" s="93"/>
      <c r="M65" s="93"/>
      <c r="N65" s="93"/>
      <c r="O65" s="93"/>
      <c r="P65" s="93"/>
    </row>
    <row r="66" spans="2:16" x14ac:dyDescent="0.4">
      <c r="B66" s="93"/>
      <c r="C66" s="93"/>
      <c r="D66" s="93"/>
      <c r="E66" s="93"/>
      <c r="F66" s="93"/>
      <c r="G66" s="93"/>
      <c r="H66" s="93"/>
      <c r="I66" s="93"/>
      <c r="J66" s="93"/>
      <c r="K66" s="93"/>
      <c r="L66" s="93"/>
      <c r="M66" s="93"/>
      <c r="N66" s="93"/>
      <c r="O66" s="93"/>
      <c r="P66" s="93"/>
    </row>
    <row r="67" spans="2:16" x14ac:dyDescent="0.4">
      <c r="B67" s="93"/>
      <c r="C67" s="93"/>
      <c r="D67" s="93"/>
      <c r="E67" s="93"/>
      <c r="F67" s="93"/>
      <c r="G67" s="93"/>
      <c r="H67" s="93"/>
      <c r="I67" s="93"/>
      <c r="J67" s="93"/>
      <c r="K67" s="93"/>
      <c r="L67" s="93"/>
      <c r="M67" s="93"/>
      <c r="N67" s="93"/>
      <c r="O67" s="93"/>
      <c r="P67" s="93"/>
    </row>
    <row r="68" spans="2:16" x14ac:dyDescent="0.4">
      <c r="B68" s="93"/>
      <c r="C68" s="93"/>
      <c r="D68" s="93"/>
      <c r="E68" s="93"/>
      <c r="F68" s="93"/>
      <c r="G68" s="93"/>
      <c r="H68" s="93"/>
      <c r="I68" s="93"/>
      <c r="J68" s="93"/>
      <c r="K68" s="93"/>
      <c r="L68" s="93"/>
      <c r="M68" s="93"/>
      <c r="N68" s="93"/>
      <c r="O68" s="93"/>
      <c r="P68" s="93"/>
    </row>
    <row r="69" spans="2:16" x14ac:dyDescent="0.4">
      <c r="B69" s="93"/>
      <c r="C69" s="93"/>
      <c r="D69" s="93"/>
      <c r="E69" s="93"/>
      <c r="F69" s="93"/>
      <c r="G69" s="93"/>
      <c r="H69" s="93"/>
      <c r="I69" s="93"/>
      <c r="J69" s="93"/>
      <c r="K69" s="93"/>
      <c r="L69" s="93"/>
      <c r="M69" s="93"/>
      <c r="N69" s="93"/>
      <c r="O69" s="93"/>
      <c r="P69" s="93"/>
    </row>
    <row r="70" spans="2:16" x14ac:dyDescent="0.4">
      <c r="B70" s="93"/>
      <c r="C70" s="93"/>
      <c r="D70" s="93"/>
      <c r="E70" s="93"/>
      <c r="F70" s="93"/>
      <c r="G70" s="93"/>
      <c r="H70" s="93"/>
      <c r="I70" s="93"/>
      <c r="J70" s="93"/>
      <c r="K70" s="93"/>
      <c r="L70" s="93"/>
      <c r="M70" s="93"/>
      <c r="N70" s="93"/>
      <c r="O70" s="93"/>
      <c r="P70" s="93"/>
    </row>
    <row r="71" spans="2:16" x14ac:dyDescent="0.4">
      <c r="B71" s="93"/>
      <c r="C71" s="93"/>
      <c r="D71" s="93"/>
      <c r="E71" s="93"/>
      <c r="F71" s="93"/>
      <c r="G71" s="93"/>
      <c r="H71" s="93"/>
      <c r="I71" s="93"/>
      <c r="J71" s="93"/>
      <c r="K71" s="93"/>
      <c r="L71" s="93"/>
      <c r="M71" s="93"/>
      <c r="N71" s="93"/>
      <c r="O71" s="93"/>
      <c r="P71" s="93"/>
    </row>
    <row r="72" spans="2:16" x14ac:dyDescent="0.4">
      <c r="B72" s="93"/>
      <c r="C72" s="93"/>
      <c r="D72" s="93"/>
      <c r="E72" s="93"/>
      <c r="F72" s="93"/>
      <c r="G72" s="93"/>
      <c r="H72" s="93"/>
      <c r="I72" s="93"/>
      <c r="J72" s="93"/>
      <c r="K72" s="93"/>
      <c r="L72" s="93"/>
      <c r="M72" s="93"/>
      <c r="N72" s="93"/>
      <c r="O72" s="93"/>
      <c r="P72" s="93"/>
    </row>
    <row r="73" spans="2:16" x14ac:dyDescent="0.4">
      <c r="B73" s="93" t="str">
        <f>IF(OR(U32="",V32="",W32=""),"",CONCATENATE("De igual manera, se observa la presencia de síntomas "," ",U32,", con una puntuación de "," ",V32,", lo que "," ",W32))</f>
        <v>De igual manera, se observa la presencia de síntomas  de trastornos afectivos, con una puntuación de  11, lo que  indica que presenta una puntuación indicativa de simulación  de síntomas afectivos. Ha respondido afirmativamente a un número elevado de ítems que describen  manifestaciones emocionales inusuales o extremadamente infrecuentes en  pacientes con ansiedad o depresión genuina. La puntuación obtenida supera el punto  de corte establecido para la detección de simulación en esta escala, lo que implica la presencia  de respuestas que reflejan un patrón característico de sobreinformación o  distorsión en la presentación de sintomatología afectiva.</v>
      </c>
      <c r="C73" s="93"/>
      <c r="D73" s="93"/>
      <c r="E73" s="93"/>
      <c r="F73" s="93"/>
      <c r="G73" s="93"/>
      <c r="H73" s="93"/>
      <c r="I73" s="93"/>
      <c r="J73" s="93"/>
      <c r="K73" s="93"/>
      <c r="L73" s="93"/>
      <c r="M73" s="93"/>
      <c r="N73" s="93"/>
      <c r="O73" s="93"/>
      <c r="P73" s="93"/>
    </row>
    <row r="74" spans="2:16" x14ac:dyDescent="0.4">
      <c r="B74" s="93"/>
      <c r="C74" s="93"/>
      <c r="D74" s="93"/>
      <c r="E74" s="93"/>
      <c r="F74" s="93"/>
      <c r="G74" s="93"/>
      <c r="H74" s="93"/>
      <c r="I74" s="93"/>
      <c r="J74" s="93"/>
      <c r="K74" s="93"/>
      <c r="L74" s="93"/>
      <c r="M74" s="93"/>
      <c r="N74" s="93"/>
      <c r="O74" s="93"/>
      <c r="P74" s="93"/>
    </row>
    <row r="75" spans="2:16" x14ac:dyDescent="0.4">
      <c r="B75" s="93"/>
      <c r="C75" s="93"/>
      <c r="D75" s="93"/>
      <c r="E75" s="93"/>
      <c r="F75" s="93"/>
      <c r="G75" s="93"/>
      <c r="H75" s="93"/>
      <c r="I75" s="93"/>
      <c r="J75" s="93"/>
      <c r="K75" s="93"/>
      <c r="L75" s="93"/>
      <c r="M75" s="93"/>
      <c r="N75" s="93"/>
      <c r="O75" s="93"/>
      <c r="P75" s="93"/>
    </row>
    <row r="76" spans="2:16" x14ac:dyDescent="0.4">
      <c r="B76" s="93"/>
      <c r="C76" s="93"/>
      <c r="D76" s="93"/>
      <c r="E76" s="93"/>
      <c r="F76" s="93"/>
      <c r="G76" s="93"/>
      <c r="H76" s="93"/>
      <c r="I76" s="93"/>
      <c r="J76" s="93"/>
      <c r="K76" s="93"/>
      <c r="L76" s="93"/>
      <c r="M76" s="93"/>
      <c r="N76" s="93"/>
      <c r="O76" s="93"/>
      <c r="P76" s="93"/>
    </row>
    <row r="77" spans="2:16" x14ac:dyDescent="0.4">
      <c r="B77" s="93"/>
      <c r="C77" s="93"/>
      <c r="D77" s="93"/>
      <c r="E77" s="93"/>
      <c r="F77" s="93"/>
      <c r="G77" s="93"/>
      <c r="H77" s="93"/>
      <c r="I77" s="93"/>
      <c r="J77" s="93"/>
      <c r="K77" s="93"/>
      <c r="L77" s="93"/>
      <c r="M77" s="93"/>
      <c r="N77" s="93"/>
      <c r="O77" s="93"/>
      <c r="P77" s="93"/>
    </row>
    <row r="78" spans="2:16" x14ac:dyDescent="0.4">
      <c r="B78" s="93"/>
      <c r="C78" s="93"/>
      <c r="D78" s="93"/>
      <c r="E78" s="93"/>
      <c r="F78" s="93"/>
      <c r="G78" s="93"/>
      <c r="H78" s="93"/>
      <c r="I78" s="93"/>
      <c r="J78" s="93"/>
      <c r="K78" s="93"/>
      <c r="L78" s="93"/>
      <c r="M78" s="93"/>
      <c r="N78" s="93"/>
      <c r="O78" s="93"/>
      <c r="P78" s="93"/>
    </row>
    <row r="79" spans="2:16" x14ac:dyDescent="0.4">
      <c r="B79" s="93"/>
      <c r="C79" s="93"/>
      <c r="D79" s="93"/>
      <c r="E79" s="93"/>
      <c r="F79" s="93"/>
      <c r="G79" s="93"/>
      <c r="H79" s="93"/>
      <c r="I79" s="93"/>
      <c r="J79" s="93"/>
      <c r="K79" s="93"/>
      <c r="L79" s="93"/>
      <c r="M79" s="93"/>
      <c r="N79" s="93"/>
      <c r="O79" s="93"/>
      <c r="P79" s="93"/>
    </row>
    <row r="80" spans="2:16" x14ac:dyDescent="0.4">
      <c r="B80" s="93"/>
      <c r="C80" s="93"/>
      <c r="D80" s="93"/>
      <c r="E80" s="93"/>
      <c r="F80" s="93"/>
      <c r="G80" s="93"/>
      <c r="H80" s="93"/>
      <c r="I80" s="93"/>
      <c r="J80" s="93"/>
      <c r="K80" s="93"/>
      <c r="L80" s="93"/>
      <c r="M80" s="93"/>
      <c r="N80" s="93"/>
      <c r="O80" s="93"/>
      <c r="P80" s="93"/>
    </row>
    <row r="81" spans="1:16" x14ac:dyDescent="0.4">
      <c r="B81" s="93" t="str">
        <f>IF(OR(U33="",V33="",W33=""),"",CONCATENATE("De igual manera, se observa la presencia de síntomas ",U33,"; con una puntuación de ",V33,", lo que ",W33))</f>
        <v>De igual manera, se observa la presencia de síntomas de baja inteligencia; con una puntuación de 7, lo que indica que presenta una puntuación indicativa de simulación de discapacidad intelectual. Ha respondido incorrectamente a un número elevado de ítems que evalúan conocimientos básicos, los cuales incluso individuos con déficits intelectuales genuinos suelen responder correctamente. La puntuación obtenida supera el punto de corte establecido para la detección de simulación en esta escala, lo que implica la presencia de respuestas que reflejan un patrón característico de sobreinformación o distorsión en la presentación de una discapacidad cognitiva.</v>
      </c>
      <c r="C81" s="93"/>
      <c r="D81" s="93"/>
      <c r="E81" s="93"/>
      <c r="F81" s="93"/>
      <c r="G81" s="93"/>
      <c r="H81" s="93"/>
      <c r="I81" s="93"/>
      <c r="J81" s="93"/>
      <c r="K81" s="93"/>
      <c r="L81" s="93"/>
      <c r="M81" s="93"/>
      <c r="N81" s="93"/>
      <c r="O81" s="93"/>
      <c r="P81" s="93"/>
    </row>
    <row r="82" spans="1:16" x14ac:dyDescent="0.4">
      <c r="B82" s="93"/>
      <c r="C82" s="93"/>
      <c r="D82" s="93"/>
      <c r="E82" s="93"/>
      <c r="F82" s="93"/>
      <c r="G82" s="93"/>
      <c r="H82" s="93"/>
      <c r="I82" s="93"/>
      <c r="J82" s="93"/>
      <c r="K82" s="93"/>
      <c r="L82" s="93"/>
      <c r="M82" s="93"/>
      <c r="N82" s="93"/>
      <c r="O82" s="93"/>
      <c r="P82" s="93"/>
    </row>
    <row r="83" spans="1:16" x14ac:dyDescent="0.4">
      <c r="B83" s="93"/>
      <c r="C83" s="93"/>
      <c r="D83" s="93"/>
      <c r="E83" s="93"/>
      <c r="F83" s="93"/>
      <c r="G83" s="93"/>
      <c r="H83" s="93"/>
      <c r="I83" s="93"/>
      <c r="J83" s="93"/>
      <c r="K83" s="93"/>
      <c r="L83" s="93"/>
      <c r="M83" s="93"/>
      <c r="N83" s="93"/>
      <c r="O83" s="93"/>
      <c r="P83" s="93"/>
    </row>
    <row r="84" spans="1:16" x14ac:dyDescent="0.4">
      <c r="B84" s="93"/>
      <c r="C84" s="93"/>
      <c r="D84" s="93"/>
      <c r="E84" s="93"/>
      <c r="F84" s="93"/>
      <c r="G84" s="93"/>
      <c r="H84" s="93"/>
      <c r="I84" s="93"/>
      <c r="J84" s="93"/>
      <c r="K84" s="93"/>
      <c r="L84" s="93"/>
      <c r="M84" s="93"/>
      <c r="N84" s="93"/>
      <c r="O84" s="93"/>
      <c r="P84" s="93"/>
    </row>
    <row r="85" spans="1:16" x14ac:dyDescent="0.4">
      <c r="B85" s="93"/>
      <c r="C85" s="93"/>
      <c r="D85" s="93"/>
      <c r="E85" s="93"/>
      <c r="F85" s="93"/>
      <c r="G85" s="93"/>
      <c r="H85" s="93"/>
      <c r="I85" s="93"/>
      <c r="J85" s="93"/>
      <c r="K85" s="93"/>
      <c r="L85" s="93"/>
      <c r="M85" s="93"/>
      <c r="N85" s="93"/>
      <c r="O85" s="93"/>
      <c r="P85" s="93"/>
    </row>
    <row r="86" spans="1:16" x14ac:dyDescent="0.4">
      <c r="B86" s="93"/>
      <c r="C86" s="93"/>
      <c r="D86" s="93"/>
      <c r="E86" s="93"/>
      <c r="F86" s="93"/>
      <c r="G86" s="93"/>
      <c r="H86" s="93"/>
      <c r="I86" s="93"/>
      <c r="J86" s="93"/>
      <c r="K86" s="93"/>
      <c r="L86" s="93"/>
      <c r="M86" s="93"/>
      <c r="N86" s="93"/>
      <c r="O86" s="93"/>
      <c r="P86" s="93"/>
    </row>
    <row r="87" spans="1:16" x14ac:dyDescent="0.4">
      <c r="B87" s="93"/>
      <c r="C87" s="93"/>
      <c r="D87" s="93"/>
      <c r="E87" s="93"/>
      <c r="F87" s="93"/>
      <c r="G87" s="93"/>
      <c r="H87" s="93"/>
      <c r="I87" s="93"/>
      <c r="J87" s="93"/>
      <c r="K87" s="93"/>
      <c r="L87" s="93"/>
      <c r="M87" s="93"/>
      <c r="N87" s="93"/>
      <c r="O87" s="93"/>
      <c r="P87" s="93"/>
    </row>
    <row r="88" spans="1:16" x14ac:dyDescent="0.4">
      <c r="B88" s="93"/>
      <c r="C88" s="93"/>
      <c r="D88" s="93"/>
      <c r="E88" s="93"/>
      <c r="F88" s="93"/>
      <c r="G88" s="93"/>
      <c r="H88" s="93"/>
      <c r="I88" s="93"/>
      <c r="J88" s="93"/>
      <c r="K88" s="93"/>
      <c r="L88" s="93"/>
      <c r="M88" s="93"/>
      <c r="N88" s="93"/>
      <c r="O88" s="93"/>
      <c r="P88" s="93"/>
    </row>
    <row r="89" spans="1:16" ht="9" customHeight="1" x14ac:dyDescent="0.4">
      <c r="B89" s="14"/>
      <c r="C89" s="14"/>
      <c r="D89" s="14"/>
      <c r="E89" s="14"/>
      <c r="F89" s="14"/>
      <c r="G89" s="14"/>
      <c r="H89" s="14"/>
      <c r="I89" s="14"/>
      <c r="J89" s="14"/>
      <c r="K89" s="14"/>
      <c r="L89" s="14"/>
      <c r="M89" s="14"/>
      <c r="N89" s="14"/>
      <c r="O89" s="14"/>
      <c r="P89" s="14"/>
    </row>
    <row r="90" spans="1:16" ht="9" customHeight="1" x14ac:dyDescent="0.4">
      <c r="B90" s="14"/>
      <c r="C90" s="14"/>
      <c r="D90" s="14"/>
      <c r="E90" s="14"/>
      <c r="F90" s="14"/>
      <c r="G90" s="14"/>
      <c r="H90" s="14"/>
      <c r="I90" s="14"/>
      <c r="J90" s="14"/>
      <c r="K90" s="14"/>
      <c r="L90" s="14"/>
      <c r="M90" s="14"/>
      <c r="N90" s="14"/>
      <c r="O90" s="14"/>
      <c r="P90" s="14"/>
    </row>
    <row r="91" spans="1:16" ht="9" customHeight="1" x14ac:dyDescent="0.4">
      <c r="B91" s="14"/>
      <c r="C91" s="14"/>
      <c r="D91" s="14"/>
      <c r="E91" s="14"/>
      <c r="F91" s="14"/>
      <c r="G91" s="14"/>
      <c r="H91" s="14"/>
      <c r="I91" s="14"/>
      <c r="J91" s="14"/>
      <c r="K91" s="14"/>
      <c r="L91" s="14"/>
      <c r="M91" s="14"/>
      <c r="N91" s="14"/>
      <c r="O91" s="14"/>
      <c r="P91" s="14"/>
    </row>
    <row r="92" spans="1:16" ht="24" x14ac:dyDescent="0.6">
      <c r="B92" s="45" t="s">
        <v>44</v>
      </c>
      <c r="C92" s="14"/>
      <c r="D92" s="14"/>
      <c r="E92" s="14"/>
      <c r="F92" s="14"/>
      <c r="G92" s="14"/>
      <c r="H92" s="14"/>
      <c r="I92" s="14"/>
      <c r="J92" s="14"/>
      <c r="K92" s="14"/>
      <c r="L92" s="14"/>
      <c r="M92" s="14"/>
      <c r="N92" s="14"/>
      <c r="O92" s="14"/>
      <c r="P92" s="14"/>
    </row>
    <row r="93" spans="1:16" ht="4.5" customHeight="1" x14ac:dyDescent="0.4">
      <c r="B93" s="14"/>
      <c r="C93" s="14"/>
      <c r="D93" s="14"/>
      <c r="E93" s="14"/>
      <c r="F93" s="14"/>
      <c r="G93" s="14"/>
      <c r="H93" s="14"/>
      <c r="I93" s="14"/>
      <c r="J93" s="14"/>
      <c r="K93" s="14"/>
      <c r="L93" s="14"/>
      <c r="M93" s="14"/>
      <c r="N93" s="14"/>
      <c r="O93" s="14"/>
      <c r="P93" s="14"/>
    </row>
    <row r="94" spans="1:16" ht="20.399999999999999" x14ac:dyDescent="0.4">
      <c r="B94" s="46" t="str" cm="1">
        <f t="array" ref="B94">IF(SUMPRODUCT(--(LEN(TRIM(B95:P114))&gt;0))=0,"","DETERIORO NEUROLÓGICO (Dn) ("&amp;SUMPRODUCT(--(LEN(TRIM(B95:P114))&gt;0))&amp;"/15)")</f>
        <v>DETERIORO NEUROLÓGICO (Dn) (11/15)</v>
      </c>
      <c r="C94" s="14"/>
      <c r="D94" s="14"/>
      <c r="E94" s="14"/>
      <c r="F94" s="14"/>
      <c r="G94" s="14"/>
      <c r="H94" s="14"/>
      <c r="I94" s="14"/>
      <c r="J94" s="14"/>
      <c r="K94" s="14"/>
      <c r="L94" s="14"/>
      <c r="M94" s="14"/>
      <c r="N94" s="14"/>
      <c r="O94" s="14"/>
      <c r="P94" s="14"/>
    </row>
    <row r="95" spans="1:16" ht="17.25" customHeight="1" x14ac:dyDescent="0.4">
      <c r="A95" s="62"/>
      <c r="B95" s="91" t="str">
        <f>IF(Ingreso_Datos!CQ10="","",CONCATENATE(Ingreso_Datos!CM10,".-"," ",Ingreso_Datos!CO10," ",Ingreso_Datos!CQ10))</f>
        <v>1.- A veces pierdo la sensibilidad en mi mano de tal forma que siento como si llevara un guante puesto en ella (Verdadero)</v>
      </c>
      <c r="C95" s="91"/>
      <c r="D95" s="91"/>
      <c r="E95" s="91"/>
      <c r="F95" s="91"/>
      <c r="G95" s="91"/>
      <c r="H95" s="91"/>
      <c r="I95" s="91"/>
      <c r="J95" s="91"/>
      <c r="K95" s="91"/>
      <c r="L95" s="91"/>
      <c r="M95" s="91"/>
      <c r="N95" s="91"/>
      <c r="O95" s="91"/>
      <c r="P95" s="91"/>
    </row>
    <row r="96" spans="1:16" ht="17.25" customHeight="1" x14ac:dyDescent="0.4">
      <c r="A96" s="62"/>
      <c r="B96" s="91"/>
      <c r="C96" s="91"/>
      <c r="D96" s="91"/>
      <c r="E96" s="91"/>
      <c r="F96" s="91"/>
      <c r="G96" s="91"/>
      <c r="H96" s="91"/>
      <c r="I96" s="91"/>
      <c r="J96" s="91"/>
      <c r="K96" s="91"/>
      <c r="L96" s="91"/>
      <c r="M96" s="91"/>
      <c r="N96" s="91"/>
      <c r="O96" s="91"/>
      <c r="P96" s="91"/>
    </row>
    <row r="97" spans="1:16" ht="17.25" customHeight="1" x14ac:dyDescent="0.4">
      <c r="A97" s="62"/>
      <c r="B97" s="65" t="str">
        <f>IF(Ingreso_Datos!CQ11="","",CONCATENATE(Ingreso_Datos!CM11,".-"," ",Ingreso_Datos!CO11," ",Ingreso_Datos!CQ11))</f>
        <v>5.- La comida no me sabe igual que antes (Verdadero)</v>
      </c>
      <c r="C97" s="64"/>
      <c r="D97" s="64"/>
      <c r="E97" s="64"/>
      <c r="F97" s="64"/>
      <c r="G97" s="64"/>
      <c r="H97" s="64"/>
      <c r="I97" s="64"/>
      <c r="J97" s="64"/>
      <c r="K97" s="64"/>
      <c r="L97" s="64"/>
      <c r="M97" s="64"/>
      <c r="N97" s="64"/>
      <c r="O97" s="64"/>
      <c r="P97" s="64"/>
    </row>
    <row r="98" spans="1:16" ht="17.25" customHeight="1" x14ac:dyDescent="0.4">
      <c r="A98" s="62"/>
      <c r="B98" s="65" t="str">
        <f>IF(Ingreso_Datos!CQ12="","",CONCATENATE(Ingreso_Datos!CM12,".-"," ",Ingreso_Datos!CO12," ",Ingreso_Datos!CQ12))</f>
        <v>74.- Tengo dolores de cabeza y mareos justo cuando olvido algo (Verdadero)</v>
      </c>
      <c r="C98" s="47"/>
      <c r="D98" s="47"/>
      <c r="E98" s="47"/>
      <c r="F98" s="47"/>
      <c r="G98" s="47"/>
      <c r="H98" s="47"/>
      <c r="I98" s="47"/>
      <c r="J98" s="47"/>
      <c r="K98" s="47"/>
      <c r="L98" s="47"/>
      <c r="M98" s="47"/>
      <c r="N98" s="47"/>
      <c r="O98" s="47"/>
      <c r="P98" s="47"/>
    </row>
    <row r="99" spans="1:16" x14ac:dyDescent="0.4">
      <c r="A99" s="62"/>
      <c r="B99" s="65" t="str">
        <f>IF(Ingreso_Datos!CQ13="","",CONCATENATE(Ingreso_Datos!CM13,".-"," ",Ingreso_Datos!CO13," ",Ingreso_Datos!CQ13))</f>
        <v/>
      </c>
      <c r="C99" s="47"/>
      <c r="D99" s="47"/>
      <c r="E99" s="47"/>
      <c r="F99" s="47"/>
      <c r="G99" s="47"/>
      <c r="H99" s="47"/>
      <c r="I99" s="47"/>
      <c r="J99" s="47"/>
      <c r="K99" s="47"/>
      <c r="L99" s="47"/>
      <c r="M99" s="47"/>
      <c r="N99" s="47"/>
      <c r="O99" s="47"/>
      <c r="P99" s="47"/>
    </row>
    <row r="100" spans="1:16" x14ac:dyDescent="0.4">
      <c r="A100" s="62"/>
      <c r="B100" s="65" t="str">
        <f>IF(Ingreso_Datos!CQ14="","",CONCATENATE(Ingreso_Datos!CM14,".-"," ",Ingreso_Datos!CO14," ",Ingreso_Datos!CQ14))</f>
        <v>26.- Caminar me resulta uy difícil debido a mis problemas de equilibrio (Verdadero)</v>
      </c>
      <c r="C100" s="48"/>
      <c r="D100" s="48"/>
      <c r="E100" s="48"/>
      <c r="F100" s="48"/>
      <c r="G100" s="48"/>
      <c r="H100" s="48"/>
      <c r="I100" s="48"/>
      <c r="J100" s="48"/>
      <c r="K100" s="48"/>
      <c r="L100" s="48"/>
      <c r="M100" s="48"/>
      <c r="N100" s="48"/>
      <c r="O100" s="48"/>
      <c r="P100" s="48"/>
    </row>
    <row r="101" spans="1:16" x14ac:dyDescent="0.4">
      <c r="A101" s="62"/>
      <c r="B101" s="91" t="str">
        <f>IF(Ingreso_Datos!CQ15="","",CONCATENATE(Ingreso_Datos!CM15,".-"," ",Ingreso_Datos!CO15," ",Ingreso_Datos!CQ15))</f>
        <v/>
      </c>
      <c r="C101" s="91"/>
      <c r="D101" s="91"/>
      <c r="E101" s="91"/>
      <c r="F101" s="91"/>
      <c r="G101" s="91"/>
      <c r="H101" s="91"/>
      <c r="I101" s="91"/>
      <c r="J101" s="91"/>
      <c r="K101" s="91"/>
      <c r="L101" s="91"/>
      <c r="M101" s="91"/>
      <c r="N101" s="91"/>
      <c r="O101" s="91"/>
      <c r="P101" s="91"/>
    </row>
    <row r="102" spans="1:16" x14ac:dyDescent="0.4">
      <c r="A102" s="62"/>
      <c r="B102" s="91"/>
      <c r="C102" s="91"/>
      <c r="D102" s="91"/>
      <c r="E102" s="91"/>
      <c r="F102" s="91"/>
      <c r="G102" s="91"/>
      <c r="H102" s="91"/>
      <c r="I102" s="91"/>
      <c r="J102" s="91"/>
      <c r="K102" s="91"/>
      <c r="L102" s="91"/>
      <c r="M102" s="91"/>
      <c r="N102" s="91"/>
      <c r="O102" s="91"/>
      <c r="P102" s="91"/>
    </row>
    <row r="103" spans="1:16" ht="17.25" customHeight="1" x14ac:dyDescent="0.4">
      <c r="A103" s="62"/>
      <c r="B103" s="91" t="str">
        <f>IF(Ingreso_Datos!CQ16="","",CONCATENATE(Ingreso_Datos!CM16,".-"," ",Ingreso_Datos!CO16," ",Ingreso_Datos!CQ16))</f>
        <v>35.- En ocasiones mis músculos se mueven con dificultad, sin razón aparente, hasta el punto de que siento mis brazos y piernas como si pesaran una tonelada (Verdadero)</v>
      </c>
      <c r="C103" s="91"/>
      <c r="D103" s="91"/>
      <c r="E103" s="91"/>
      <c r="F103" s="91"/>
      <c r="G103" s="91"/>
      <c r="H103" s="91"/>
      <c r="I103" s="91"/>
      <c r="J103" s="91"/>
      <c r="K103" s="91"/>
      <c r="L103" s="91"/>
      <c r="M103" s="91"/>
      <c r="N103" s="91"/>
      <c r="O103" s="91"/>
      <c r="P103" s="91"/>
    </row>
    <row r="104" spans="1:16" ht="17.25" customHeight="1" x14ac:dyDescent="0.4">
      <c r="A104" s="62"/>
      <c r="B104" s="91"/>
      <c r="C104" s="91"/>
      <c r="D104" s="91"/>
      <c r="E104" s="91"/>
      <c r="F104" s="91"/>
      <c r="G104" s="91"/>
      <c r="H104" s="91"/>
      <c r="I104" s="91"/>
      <c r="J104" s="91"/>
      <c r="K104" s="91"/>
      <c r="L104" s="91"/>
      <c r="M104" s="91"/>
      <c r="N104" s="91"/>
      <c r="O104" s="91"/>
      <c r="P104" s="91"/>
    </row>
    <row r="105" spans="1:16" x14ac:dyDescent="0.4">
      <c r="A105" s="62"/>
      <c r="B105" s="65" t="str">
        <f>IF(Ingreso_Datos!CQ17="","",CONCATENATE(Ingreso_Datos!CM17,".-"," ",Ingreso_Datos!CO17," ",Ingreso_Datos!CQ17))</f>
        <v>39.- Siento tanto dolor en mi cuerpo que parece como si tuviera bichos andando bajo mi piel (Verdadero)</v>
      </c>
      <c r="C105" s="64"/>
      <c r="D105" s="64"/>
      <c r="E105" s="64"/>
      <c r="F105" s="64"/>
      <c r="G105" s="64"/>
      <c r="H105" s="64"/>
      <c r="I105" s="64"/>
      <c r="J105" s="64"/>
      <c r="K105" s="64"/>
      <c r="L105" s="64"/>
      <c r="M105" s="64"/>
      <c r="N105" s="64"/>
      <c r="O105" s="64"/>
      <c r="P105" s="64"/>
    </row>
    <row r="106" spans="1:16" ht="17.25" customHeight="1" x14ac:dyDescent="0.4">
      <c r="A106" s="62"/>
      <c r="B106" s="65" t="str">
        <f>IF(Ingreso_Datos!CQ18="","",CONCATENATE(Ingreso_Datos!CM18,".-"," ",Ingreso_Datos!CO18," ",Ingreso_Datos!CQ18))</f>
        <v>44.- Siento un zumbido constante en mis oídos (Verdadero)</v>
      </c>
      <c r="C106" s="64"/>
      <c r="D106" s="64"/>
      <c r="E106" s="64"/>
      <c r="F106" s="64"/>
      <c r="G106" s="64"/>
      <c r="H106" s="64"/>
      <c r="I106" s="64"/>
      <c r="J106" s="64"/>
      <c r="K106" s="64"/>
      <c r="L106" s="64"/>
      <c r="M106" s="64"/>
      <c r="N106" s="64"/>
      <c r="O106" s="64"/>
      <c r="P106" s="64"/>
    </row>
    <row r="107" spans="1:16" ht="17.25" customHeight="1" x14ac:dyDescent="0.4">
      <c r="A107" s="62"/>
      <c r="B107" s="65" t="str">
        <f>IF(Ingreso_Datos!CQ19="","",CONCATENATE(Ingreso_Datos!CM19,".-"," ",Ingreso_Datos!CO19," ",Ingreso_Datos!CQ19))</f>
        <v>50.- Tengo dificultades para reconocer palabras escritas o habladas (Verdadero)</v>
      </c>
      <c r="C107" s="64"/>
      <c r="D107" s="64"/>
      <c r="E107" s="64"/>
      <c r="F107" s="64"/>
      <c r="G107" s="64"/>
      <c r="H107" s="64"/>
      <c r="I107" s="64"/>
      <c r="J107" s="64"/>
      <c r="K107" s="64"/>
      <c r="L107" s="64"/>
      <c r="M107" s="64"/>
      <c r="N107" s="64"/>
      <c r="O107" s="64"/>
      <c r="P107" s="64"/>
    </row>
    <row r="108" spans="1:16" x14ac:dyDescent="0.4">
      <c r="A108" s="62"/>
      <c r="B108" s="65" t="str">
        <f>IF(Ingreso_Datos!CQ20="","",CONCATENATE(Ingreso_Datos!CM20,".-"," ",Ingreso_Datos!CO20," ",Ingreso_Datos!CQ20))</f>
        <v/>
      </c>
      <c r="C108" s="47"/>
      <c r="D108" s="47"/>
      <c r="E108" s="47"/>
      <c r="F108" s="47"/>
      <c r="G108" s="47"/>
      <c r="H108" s="47"/>
      <c r="I108" s="47"/>
      <c r="J108" s="47"/>
      <c r="K108" s="47"/>
      <c r="L108" s="47"/>
      <c r="M108" s="47"/>
      <c r="N108" s="47"/>
      <c r="O108" s="47"/>
      <c r="P108" s="47"/>
    </row>
    <row r="109" spans="1:16" ht="17.25" customHeight="1" x14ac:dyDescent="0.4">
      <c r="A109" s="62"/>
      <c r="B109" s="65" t="str">
        <f>IF(Ingreso_Datos!CQ21="","",CONCATENATE(Ingreso_Datos!CM21,".-"," ",Ingreso_Datos!CO21," ",Ingreso_Datos!CQ21))</f>
        <v/>
      </c>
      <c r="C109" s="47"/>
      <c r="D109" s="47"/>
      <c r="E109" s="47"/>
      <c r="F109" s="47"/>
      <c r="G109" s="47"/>
      <c r="H109" s="47"/>
      <c r="I109" s="47"/>
      <c r="J109" s="47"/>
      <c r="K109" s="47"/>
      <c r="L109" s="47"/>
      <c r="M109" s="47"/>
      <c r="N109" s="47"/>
      <c r="O109" s="47"/>
      <c r="P109" s="47"/>
    </row>
    <row r="110" spans="1:16" x14ac:dyDescent="0.4">
      <c r="A110" s="62"/>
      <c r="B110" s="65" t="str">
        <f>IF(Ingreso_Datos!CQ22="","",CONCATENATE(Ingreso_Datos!CM22,".-"," ",Ingreso_Datos!CO22," ",Ingreso_Datos!CQ22))</f>
        <v>64.- A veces mis pantorrillas están entumecidas que soy incapaz de moverlas (Verdadero)</v>
      </c>
      <c r="C110" s="47"/>
      <c r="D110" s="47"/>
      <c r="E110" s="47"/>
      <c r="F110" s="47"/>
      <c r="G110" s="47"/>
      <c r="H110" s="47"/>
      <c r="I110" s="47"/>
      <c r="J110" s="47"/>
      <c r="K110" s="47"/>
      <c r="L110" s="47"/>
      <c r="M110" s="47"/>
      <c r="N110" s="47"/>
      <c r="O110" s="47"/>
      <c r="P110" s="47"/>
    </row>
    <row r="111" spans="1:16" x14ac:dyDescent="0.4">
      <c r="A111" s="62"/>
      <c r="B111" s="91" t="str">
        <f>IF(Ingreso_Datos!CQ23="","",CONCATENATE(Ingreso_Datos!CM23,".-"," ",Ingreso_Datos!CO23," ",Ingreso_Datos!CQ23))</f>
        <v>66.- Trabajo muy lentamente y mi rendimiento es muy reducido porque mi capacidad esta muy limitada (Verdadero)</v>
      </c>
      <c r="C111" s="91"/>
      <c r="D111" s="91"/>
      <c r="E111" s="91"/>
      <c r="F111" s="91"/>
      <c r="G111" s="91"/>
      <c r="H111" s="91"/>
      <c r="I111" s="91"/>
      <c r="J111" s="91"/>
      <c r="K111" s="91"/>
      <c r="L111" s="91"/>
      <c r="M111" s="91"/>
      <c r="N111" s="91"/>
      <c r="O111" s="91"/>
      <c r="P111" s="91"/>
    </row>
    <row r="112" spans="1:16" x14ac:dyDescent="0.4">
      <c r="A112" s="62"/>
      <c r="B112" s="91"/>
      <c r="C112" s="91"/>
      <c r="D112" s="91"/>
      <c r="E112" s="91"/>
      <c r="F112" s="91"/>
      <c r="G112" s="91"/>
      <c r="H112" s="91"/>
      <c r="I112" s="91"/>
      <c r="J112" s="91"/>
      <c r="K112" s="91"/>
      <c r="L112" s="91"/>
      <c r="M112" s="91"/>
      <c r="N112" s="91"/>
      <c r="O112" s="91"/>
      <c r="P112" s="91"/>
    </row>
    <row r="113" spans="1:16" x14ac:dyDescent="0.4">
      <c r="A113" s="62"/>
      <c r="B113" s="91" t="str">
        <f>IF(Ingreso_Datos!CQ24="","",CONCATENATE(Ingreso_Datos!CM24,".-"," ",Ingreso_Datos!CO24," ",Ingreso_Datos!CQ24))</f>
        <v>71.- Una vez a la semana, súbitamente, siento frío aunque la temperatura ambiental sea cálida (Verdadero)</v>
      </c>
      <c r="C113" s="91"/>
      <c r="D113" s="91"/>
      <c r="E113" s="91"/>
      <c r="F113" s="91"/>
      <c r="G113" s="91"/>
      <c r="H113" s="91"/>
      <c r="I113" s="91"/>
      <c r="J113" s="91"/>
      <c r="K113" s="91"/>
      <c r="L113" s="91"/>
      <c r="M113" s="91"/>
      <c r="N113" s="91"/>
      <c r="O113" s="91"/>
      <c r="P113" s="91"/>
    </row>
    <row r="114" spans="1:16" x14ac:dyDescent="0.4">
      <c r="B114" s="91"/>
      <c r="C114" s="91"/>
      <c r="D114" s="91"/>
      <c r="E114" s="91"/>
      <c r="F114" s="91"/>
      <c r="G114" s="91"/>
      <c r="H114" s="91"/>
      <c r="I114" s="91"/>
      <c r="J114" s="91"/>
      <c r="K114" s="91"/>
      <c r="L114" s="91"/>
      <c r="M114" s="91"/>
      <c r="N114" s="91"/>
      <c r="O114" s="91"/>
      <c r="P114" s="91"/>
    </row>
    <row r="115" spans="1:16" ht="9" customHeight="1" x14ac:dyDescent="0.4">
      <c r="B115" s="14"/>
      <c r="C115" s="14"/>
      <c r="D115" s="14"/>
      <c r="E115" s="14"/>
      <c r="F115" s="14"/>
      <c r="G115" s="14"/>
      <c r="H115" s="14"/>
      <c r="I115" s="14"/>
      <c r="J115" s="14"/>
      <c r="K115" s="14"/>
      <c r="L115" s="14"/>
      <c r="M115" s="14"/>
      <c r="N115" s="14"/>
      <c r="O115" s="14"/>
      <c r="P115" s="14"/>
    </row>
    <row r="116" spans="1:16" ht="20.399999999999999" x14ac:dyDescent="0.5">
      <c r="B116" s="49" t="str" cm="1">
        <f t="array" ref="B116">IF(SUMPRODUCT(--(LEN(TRIM(B117:P134))&gt;0))=0,"","AMNESIA (Am) ("&amp;SUMPRODUCT(--(LEN(TRIM(B117:P134))&gt;0))&amp;"/15)")</f>
        <v>AMNESIA (Am) (11/15)</v>
      </c>
      <c r="C116" s="14"/>
      <c r="D116" s="14"/>
      <c r="E116" s="14"/>
      <c r="F116" s="14"/>
      <c r="G116" s="14"/>
      <c r="H116" s="14"/>
      <c r="I116" s="14"/>
      <c r="J116" s="14"/>
      <c r="K116" s="14"/>
      <c r="L116" s="14"/>
      <c r="M116" s="14"/>
      <c r="N116" s="14"/>
      <c r="O116" s="14"/>
      <c r="P116" s="14"/>
    </row>
    <row r="117" spans="1:16" x14ac:dyDescent="0.4">
      <c r="B117" s="48" t="str">
        <f>IF(Ingreso_Datos!CQ26="","",CONCATENATE(Ingreso_Datos!CM26,".-"," ",Ingreso_Datos!CO26," ",Ingreso_Datos!CQ26))</f>
        <v>18.- Más de tres veces al día me levanto para agarrar algo, pero olvido que es lo que era (Verdadero)</v>
      </c>
      <c r="C117" s="48"/>
      <c r="D117" s="48"/>
      <c r="E117" s="48"/>
      <c r="F117" s="48"/>
      <c r="G117" s="48"/>
      <c r="H117" s="48"/>
      <c r="I117" s="48"/>
      <c r="J117" s="48"/>
      <c r="K117" s="48"/>
      <c r="L117" s="48"/>
      <c r="M117" s="48"/>
      <c r="N117" s="48"/>
      <c r="O117" s="48"/>
      <c r="P117" s="48"/>
    </row>
    <row r="118" spans="1:16" x14ac:dyDescent="0.4">
      <c r="B118" s="48" t="str">
        <f>IF(Ingreso_Datos!CQ27="","",CONCATENATE(Ingreso_Datos!CM27,".-"," ",Ingreso_Datos!CO27," ",Ingreso_Datos!CQ27))</f>
        <v>61.- Tengo dificultades para recordar el día de mi cumpleaños (Verdadero)</v>
      </c>
      <c r="C118" s="48"/>
      <c r="D118" s="48"/>
      <c r="E118" s="48"/>
      <c r="F118" s="48"/>
      <c r="G118" s="48"/>
      <c r="H118" s="48"/>
      <c r="I118" s="48"/>
      <c r="J118" s="48"/>
      <c r="K118" s="48"/>
      <c r="L118" s="48"/>
      <c r="M118" s="48"/>
      <c r="N118" s="48"/>
      <c r="O118" s="48"/>
      <c r="P118" s="48"/>
    </row>
    <row r="119" spans="1:16" x14ac:dyDescent="0.4">
      <c r="B119" s="48" t="str">
        <f>IF(Ingreso_Datos!CQ28="","",CONCATENATE(Ingreso_Datos!CM28,".-"," ",Ingreso_Datos!CO28," ",Ingreso_Datos!CQ28))</f>
        <v>53.- Cuando no puedo recordar algo, las instrucciones o consejos no me sirven de ayuda (Verdadero)</v>
      </c>
      <c r="C119" s="48"/>
      <c r="D119" s="48"/>
      <c r="E119" s="48"/>
      <c r="F119" s="48"/>
      <c r="G119" s="48"/>
      <c r="H119" s="48"/>
      <c r="I119" s="48"/>
      <c r="J119" s="48"/>
      <c r="K119" s="48"/>
      <c r="L119" s="48"/>
      <c r="M119" s="48"/>
      <c r="N119" s="48"/>
      <c r="O119" s="48"/>
      <c r="P119" s="48"/>
    </row>
    <row r="120" spans="1:16" x14ac:dyDescent="0.4">
      <c r="B120" s="48" t="str">
        <f>IF(Ingreso_Datos!CQ29="","",CONCATENATE(Ingreso_Datos!CM29,".-"," ",Ingreso_Datos!CO29," ",Ingreso_Datos!CQ29))</f>
        <v/>
      </c>
      <c r="C120" s="48"/>
      <c r="D120" s="48"/>
      <c r="E120" s="48"/>
      <c r="F120" s="48"/>
      <c r="G120" s="48"/>
      <c r="H120" s="48"/>
      <c r="I120" s="48"/>
      <c r="J120" s="48"/>
      <c r="K120" s="48"/>
      <c r="L120" s="48"/>
      <c r="M120" s="48"/>
      <c r="N120" s="48"/>
      <c r="O120" s="48"/>
      <c r="P120" s="48"/>
    </row>
    <row r="121" spans="1:16" x14ac:dyDescent="0.4">
      <c r="B121" s="91" t="str">
        <f>IF(Ingreso_Datos!CQ30="","",CONCATENATE(Ingreso_Datos!CM30,".-"," ",Ingreso_Datos!CO30," ",Ingreso_Datos!CQ30))</f>
        <v>45.- Me hicieron un comentario sobre una reunión en la que me mostré enfadado con alguien, pero no lo recuerdo en absoluto (Verdadero)</v>
      </c>
      <c r="C121" s="91"/>
      <c r="D121" s="91"/>
      <c r="E121" s="91"/>
      <c r="F121" s="91"/>
      <c r="G121" s="91"/>
      <c r="H121" s="91"/>
      <c r="I121" s="91"/>
      <c r="J121" s="91"/>
      <c r="K121" s="91"/>
      <c r="L121" s="91"/>
      <c r="M121" s="91"/>
      <c r="N121" s="91"/>
      <c r="O121" s="91"/>
      <c r="P121" s="91"/>
    </row>
    <row r="122" spans="1:16" x14ac:dyDescent="0.4">
      <c r="B122" s="91"/>
      <c r="C122" s="91"/>
      <c r="D122" s="91"/>
      <c r="E122" s="91"/>
      <c r="F122" s="91"/>
      <c r="G122" s="91"/>
      <c r="H122" s="91"/>
      <c r="I122" s="91"/>
      <c r="J122" s="91"/>
      <c r="K122" s="91"/>
      <c r="L122" s="91"/>
      <c r="M122" s="91"/>
      <c r="N122" s="91"/>
      <c r="O122" s="91"/>
      <c r="P122" s="91"/>
    </row>
    <row r="123" spans="1:16" x14ac:dyDescent="0.4">
      <c r="B123" s="48" t="str">
        <f>IF(Ingreso_Datos!CQ31="","",CONCATENATE(Ingreso_Datos!CM31,".-"," ",Ingreso_Datos!CO31," ",Ingreso_Datos!CQ31))</f>
        <v/>
      </c>
      <c r="C123" s="64"/>
      <c r="D123" s="64"/>
      <c r="E123" s="64"/>
      <c r="F123" s="64"/>
      <c r="G123" s="64"/>
      <c r="H123" s="64"/>
      <c r="I123" s="64"/>
      <c r="J123" s="64"/>
      <c r="K123" s="64"/>
      <c r="L123" s="64"/>
      <c r="M123" s="64"/>
      <c r="N123" s="64"/>
      <c r="O123" s="64"/>
      <c r="P123" s="64"/>
    </row>
    <row r="124" spans="1:16" x14ac:dyDescent="0.4">
      <c r="B124" s="48" t="str">
        <f>IF(Ingreso_Datos!CQ32="","",CONCATENATE(Ingreso_Datos!CM32,".-"," ",Ingreso_Datos!CO32," ",Ingreso_Datos!CQ32))</f>
        <v>36.- Tengo dificultades para recordar mi número de teléfono (Verdadero)</v>
      </c>
      <c r="C124" s="48"/>
      <c r="D124" s="48"/>
      <c r="E124" s="48"/>
      <c r="F124" s="48"/>
      <c r="G124" s="48"/>
      <c r="H124" s="48"/>
      <c r="I124" s="48"/>
      <c r="J124" s="48"/>
      <c r="K124" s="48"/>
      <c r="L124" s="48"/>
      <c r="M124" s="48"/>
      <c r="N124" s="48"/>
      <c r="O124" s="48"/>
      <c r="P124" s="48"/>
    </row>
    <row r="125" spans="1:16" x14ac:dyDescent="0.4">
      <c r="B125" s="48" t="str">
        <f>IF(Ingreso_Datos!CQ33="","",CONCATENATE(Ingreso_Datos!CM33,".-"," ",Ingreso_Datos!CO33," ",Ingreso_Datos!CQ33))</f>
        <v>33.- Mi vida pasada y acontecimientos importantes se vuelven borrosos durante la noche (Verdadero)</v>
      </c>
      <c r="C125" s="48"/>
      <c r="D125" s="48"/>
      <c r="E125" s="48"/>
      <c r="F125" s="48"/>
      <c r="G125" s="48"/>
      <c r="H125" s="48"/>
      <c r="I125" s="48"/>
      <c r="J125" s="48"/>
      <c r="K125" s="48"/>
      <c r="L125" s="48"/>
      <c r="M125" s="48"/>
      <c r="N125" s="48"/>
      <c r="O125" s="48"/>
      <c r="P125" s="48"/>
    </row>
    <row r="126" spans="1:16" x14ac:dyDescent="0.4">
      <c r="B126" s="48" t="str">
        <f>IF(Ingreso_Datos!CQ34="","",CONCATENATE(Ingreso_Datos!CM34,".-"," ",Ingreso_Datos!CO34," ",Ingreso_Datos!CQ34))</f>
        <v>30.- Tengo dificultades para recordar que fecha es hoy (Verdadero)</v>
      </c>
      <c r="C126" s="48"/>
      <c r="D126" s="48"/>
      <c r="E126" s="48"/>
      <c r="F126" s="48"/>
      <c r="G126" s="48"/>
      <c r="H126" s="48"/>
      <c r="I126" s="48"/>
      <c r="J126" s="48"/>
      <c r="K126" s="48"/>
      <c r="L126" s="48"/>
      <c r="M126" s="48"/>
      <c r="N126" s="48"/>
      <c r="O126" s="48"/>
      <c r="P126" s="48"/>
    </row>
    <row r="127" spans="1:16" x14ac:dyDescent="0.4">
      <c r="B127" s="48" t="str">
        <f>IF(Ingreso_Datos!CQ35="","",CONCATENATE(Ingreso_Datos!CM35,".-"," ",Ingreso_Datos!CO35," ",Ingreso_Datos!CQ35))</f>
        <v>27.- Tengo dificultades para recordar el día de la semana (Verdadero)</v>
      </c>
      <c r="C127" s="48"/>
      <c r="D127" s="48"/>
      <c r="E127" s="48"/>
      <c r="F127" s="48"/>
      <c r="G127" s="48"/>
      <c r="H127" s="48"/>
      <c r="I127" s="48"/>
      <c r="J127" s="48"/>
      <c r="K127" s="48"/>
      <c r="L127" s="48"/>
      <c r="M127" s="48"/>
      <c r="N127" s="48"/>
      <c r="O127" s="48"/>
      <c r="P127" s="48"/>
    </row>
    <row r="128" spans="1:16" x14ac:dyDescent="0.4">
      <c r="B128" s="91" t="str">
        <f>IF(Ingreso_Datos!CQ36="","",CONCATENATE(Ingreso_Datos!CM36,".-"," ",Ingreso_Datos!CO36," ",Ingreso_Datos!CQ36))</f>
        <v>25.- En ocasiones he sido incapaz de recordar los nombres o las caras de familiares cercanos, de forma que me resultan unos completos extraños. (Verdadero)</v>
      </c>
      <c r="C128" s="91"/>
      <c r="D128" s="91"/>
      <c r="E128" s="91"/>
      <c r="F128" s="91"/>
      <c r="G128" s="91"/>
      <c r="H128" s="91"/>
      <c r="I128" s="91"/>
      <c r="J128" s="91"/>
      <c r="K128" s="91"/>
      <c r="L128" s="91"/>
      <c r="M128" s="91"/>
      <c r="N128" s="91"/>
      <c r="O128" s="91"/>
      <c r="P128" s="91"/>
    </row>
    <row r="129" spans="2:16" x14ac:dyDescent="0.4">
      <c r="B129" s="91"/>
      <c r="C129" s="91"/>
      <c r="D129" s="91"/>
      <c r="E129" s="91"/>
      <c r="F129" s="91"/>
      <c r="G129" s="91"/>
      <c r="H129" s="91"/>
      <c r="I129" s="91"/>
      <c r="J129" s="91"/>
      <c r="K129" s="91"/>
      <c r="L129" s="91"/>
      <c r="M129" s="91"/>
      <c r="N129" s="91"/>
      <c r="O129" s="91"/>
      <c r="P129" s="91"/>
    </row>
    <row r="130" spans="2:16" x14ac:dyDescent="0.4">
      <c r="B130" s="91" t="str">
        <f>IF(Ingreso_Datos!CQ37="","",CONCATENATE(Ingreso_Datos!CM37,".-"," ",Ingreso_Datos!CO37," ",Ingreso_Datos!CQ37))</f>
        <v>22.- Últimamente, me he dado cuenta de que mi memoria ha empeorado tanto que ha habido días enteros que no consigo recordar. (Verdadero)</v>
      </c>
      <c r="C130" s="91"/>
      <c r="D130" s="91"/>
      <c r="E130" s="91"/>
      <c r="F130" s="91"/>
      <c r="G130" s="91"/>
      <c r="H130" s="91"/>
      <c r="I130" s="91"/>
      <c r="J130" s="91"/>
      <c r="K130" s="91"/>
      <c r="L130" s="91"/>
      <c r="M130" s="91"/>
      <c r="N130" s="91"/>
      <c r="O130" s="91"/>
      <c r="P130" s="91"/>
    </row>
    <row r="131" spans="2:16" x14ac:dyDescent="0.4">
      <c r="B131" s="91"/>
      <c r="C131" s="91"/>
      <c r="D131" s="91"/>
      <c r="E131" s="91"/>
      <c r="F131" s="91"/>
      <c r="G131" s="91"/>
      <c r="H131" s="91"/>
      <c r="I131" s="91"/>
      <c r="J131" s="91"/>
      <c r="K131" s="91"/>
      <c r="L131" s="91"/>
      <c r="M131" s="91"/>
      <c r="N131" s="91"/>
      <c r="O131" s="91"/>
      <c r="P131" s="91"/>
    </row>
    <row r="132" spans="2:16" x14ac:dyDescent="0.4">
      <c r="B132" s="48" t="str">
        <f>IF(Ingreso_Datos!CQ38="","",CONCATENATE(Ingreso_Datos!CM38,".-"," ",Ingreso_Datos!CO38," ",Ingreso_Datos!CQ38))</f>
        <v/>
      </c>
      <c r="C132" s="64"/>
      <c r="D132" s="64"/>
      <c r="E132" s="64"/>
      <c r="F132" s="64"/>
      <c r="G132" s="64"/>
      <c r="H132" s="64"/>
      <c r="I132" s="64"/>
      <c r="J132" s="64"/>
      <c r="K132" s="64"/>
      <c r="L132" s="64"/>
      <c r="M132" s="64"/>
      <c r="N132" s="64"/>
      <c r="O132" s="64"/>
      <c r="P132" s="64"/>
    </row>
    <row r="133" spans="2:16" x14ac:dyDescent="0.4">
      <c r="B133" s="48" t="str">
        <f>IF(Ingreso_Datos!CQ39="","",CONCATENATE(Ingreso_Datos!CM39,".-"," ",Ingreso_Datos!CO39," ",Ingreso_Datos!CQ39))</f>
        <v>12.- Tengo dificultades para recordar la dirección en la que vivo (Verdadero)</v>
      </c>
      <c r="C133" s="64"/>
      <c r="D133" s="64"/>
      <c r="E133" s="64"/>
      <c r="F133" s="64"/>
      <c r="G133" s="64"/>
      <c r="H133" s="64"/>
      <c r="I133" s="64"/>
      <c r="J133" s="64"/>
      <c r="K133" s="64"/>
      <c r="L133" s="64"/>
      <c r="M133" s="64"/>
      <c r="N133" s="64"/>
      <c r="O133" s="64"/>
      <c r="P133" s="64"/>
    </row>
    <row r="134" spans="2:16" x14ac:dyDescent="0.4">
      <c r="B134" s="48" t="str">
        <f>IF(Ingreso_Datos!CQ40="","",CONCATENATE(Ingreso_Datos!CM40,".-"," ",Ingreso_Datos!CO40," ",Ingreso_Datos!CQ40))</f>
        <v/>
      </c>
      <c r="C134" s="64"/>
      <c r="D134" s="64"/>
      <c r="E134" s="64"/>
      <c r="F134" s="64"/>
      <c r="G134" s="64"/>
      <c r="H134" s="64"/>
      <c r="I134" s="64"/>
      <c r="J134" s="64"/>
      <c r="K134" s="64"/>
      <c r="L134" s="64"/>
      <c r="M134" s="64"/>
      <c r="N134" s="64"/>
      <c r="O134" s="64"/>
      <c r="P134" s="64"/>
    </row>
    <row r="135" spans="2:16" ht="9.75" customHeight="1" x14ac:dyDescent="0.4">
      <c r="B135" s="48"/>
      <c r="C135" s="48"/>
      <c r="D135" s="48"/>
      <c r="E135" s="48"/>
      <c r="F135" s="48"/>
      <c r="G135" s="48"/>
      <c r="H135" s="48"/>
      <c r="I135" s="48"/>
      <c r="J135" s="48"/>
      <c r="K135" s="48"/>
      <c r="L135" s="48"/>
      <c r="M135" s="48"/>
      <c r="N135" s="48"/>
      <c r="O135" s="48"/>
      <c r="P135" s="48"/>
    </row>
    <row r="136" spans="2:16" ht="20.399999999999999" x14ac:dyDescent="0.4">
      <c r="B136" s="46" t="str" cm="1">
        <f t="array" ref="B136">IF(SUMPRODUCT(--(LEN(TRIM(B137:P155))&gt;0))=0,"","TRASTORNOS AFECTIVOS (Af) ("&amp;SUMPRODUCT(--(LEN(TRIM(B137:P155))&gt;0))&amp;"/15)")</f>
        <v>TRASTORNOS AFECTIVOS (Af) (11/15)</v>
      </c>
      <c r="C136" s="14"/>
      <c r="D136" s="14"/>
      <c r="E136" s="14"/>
      <c r="F136" s="14"/>
      <c r="G136" s="14"/>
      <c r="H136" s="14"/>
      <c r="I136" s="14"/>
      <c r="J136" s="14"/>
      <c r="K136" s="14"/>
      <c r="L136" s="14"/>
      <c r="M136" s="14"/>
      <c r="N136" s="14"/>
      <c r="O136" s="14"/>
      <c r="P136" s="14"/>
    </row>
    <row r="137" spans="2:16" x14ac:dyDescent="0.4">
      <c r="B137" s="91" t="str">
        <f>IF(Ingreso_Datos!CQ42="","",CONCATENATE(Ingreso_Datos!CM42,".-"," ",Ingreso_Datos!CO42," ",Ingreso_Datos!CQ42))</f>
        <v/>
      </c>
      <c r="C137" s="91"/>
      <c r="D137" s="91"/>
      <c r="E137" s="91"/>
      <c r="F137" s="91"/>
      <c r="G137" s="91"/>
      <c r="H137" s="91"/>
      <c r="I137" s="91"/>
      <c r="J137" s="91"/>
      <c r="K137" s="91"/>
      <c r="L137" s="91"/>
      <c r="M137" s="91"/>
      <c r="N137" s="91"/>
      <c r="O137" s="91"/>
      <c r="P137" s="91"/>
    </row>
    <row r="138" spans="2:16" x14ac:dyDescent="0.4">
      <c r="B138" s="91"/>
      <c r="C138" s="91"/>
      <c r="D138" s="91"/>
      <c r="E138" s="91"/>
      <c r="F138" s="91"/>
      <c r="G138" s="91"/>
      <c r="H138" s="91"/>
      <c r="I138" s="91"/>
      <c r="J138" s="91"/>
      <c r="K138" s="91"/>
      <c r="L138" s="91"/>
      <c r="M138" s="91"/>
      <c r="N138" s="91"/>
      <c r="O138" s="91"/>
      <c r="P138" s="91"/>
    </row>
    <row r="139" spans="2:16" x14ac:dyDescent="0.4">
      <c r="B139" s="48" t="str">
        <f>IF(Ingreso_Datos!CQ43="","",CONCATENATE(Ingreso_Datos!CM43,".-"," ",Ingreso_Datos!CO43," ",Ingreso_Datos!CQ43))</f>
        <v>60.- Parece que no puedo expresar mis sentimientos (Verdadero)</v>
      </c>
      <c r="C139" s="14"/>
      <c r="D139" s="14"/>
      <c r="E139" s="14"/>
      <c r="F139" s="14"/>
      <c r="G139" s="14"/>
      <c r="H139" s="14"/>
      <c r="I139" s="14"/>
      <c r="J139" s="14"/>
      <c r="K139" s="14"/>
      <c r="L139" s="14"/>
      <c r="M139" s="14"/>
      <c r="N139" s="14"/>
      <c r="O139" s="14"/>
      <c r="P139" s="14"/>
    </row>
    <row r="140" spans="2:16" x14ac:dyDescent="0.4">
      <c r="B140" s="48" t="str">
        <f>IF(Ingreso_Datos!CQ44="","",CONCATENATE(Ingreso_Datos!CM44,".-"," ",Ingreso_Datos!CO44," ",Ingreso_Datos!CQ44))</f>
        <v/>
      </c>
      <c r="C140" s="14"/>
      <c r="D140" s="14"/>
      <c r="E140" s="14"/>
      <c r="F140" s="14"/>
      <c r="G140" s="14"/>
      <c r="H140" s="14"/>
      <c r="I140" s="14"/>
      <c r="J140" s="14"/>
      <c r="K140" s="14"/>
      <c r="L140" s="14"/>
      <c r="M140" s="14"/>
      <c r="N140" s="14"/>
      <c r="O140" s="14"/>
      <c r="P140" s="14"/>
    </row>
    <row r="141" spans="2:16" x14ac:dyDescent="0.4">
      <c r="B141" s="48" t="str">
        <f>IF(Ingreso_Datos!CQ45="","",CONCATENATE(Ingreso_Datos!CM45,".-"," ",Ingreso_Datos!CO45," ",Ingreso_Datos!CQ45))</f>
        <v>52.- Me parece que no tengo tanta energía como solía tener (Verdadero)</v>
      </c>
      <c r="C141" s="14"/>
      <c r="D141" s="14"/>
      <c r="E141" s="14"/>
      <c r="F141" s="14"/>
      <c r="G141" s="14"/>
      <c r="H141" s="14"/>
      <c r="I141" s="14"/>
      <c r="J141" s="14"/>
      <c r="K141" s="14"/>
      <c r="L141" s="14"/>
      <c r="M141" s="14"/>
      <c r="N141" s="14"/>
      <c r="O141" s="14"/>
      <c r="P141" s="14"/>
    </row>
    <row r="142" spans="2:16" x14ac:dyDescent="0.4">
      <c r="B142" s="48" t="str">
        <f>IF(Ingreso_Datos!CQ46="","",CONCATENATE(Ingreso_Datos!CM46,".-"," ",Ingreso_Datos!CO46," ",Ingreso_Datos!CQ46))</f>
        <v>47.- Me siento deprimido todo el tiempo (Verdadero)</v>
      </c>
      <c r="C142" s="14"/>
      <c r="D142" s="14"/>
      <c r="E142" s="14"/>
      <c r="F142" s="14"/>
      <c r="G142" s="14"/>
      <c r="H142" s="14"/>
      <c r="I142" s="14"/>
      <c r="J142" s="14"/>
      <c r="K142" s="14"/>
      <c r="L142" s="14"/>
      <c r="M142" s="14"/>
      <c r="N142" s="14"/>
      <c r="O142" s="14"/>
      <c r="P142" s="14"/>
    </row>
    <row r="143" spans="2:16" x14ac:dyDescent="0.4">
      <c r="B143" s="91" t="str">
        <f>IF(Ingreso_Datos!CQ47="","",CONCATENATE(Ingreso_Datos!CM47,".-"," ",Ingreso_Datos!CO47," ",Ingreso_Datos!CQ47))</f>
        <v>43.- No tengo problemas para conciliar el sueño, pero me despierto a menudo durante la noche (Verdadero)</v>
      </c>
      <c r="C143" s="91"/>
      <c r="D143" s="91"/>
      <c r="E143" s="91"/>
      <c r="F143" s="91"/>
      <c r="G143" s="91"/>
      <c r="H143" s="91"/>
      <c r="I143" s="91"/>
      <c r="J143" s="91"/>
      <c r="K143" s="91"/>
      <c r="L143" s="91"/>
      <c r="M143" s="91"/>
      <c r="N143" s="91"/>
      <c r="O143" s="91"/>
      <c r="P143" s="91"/>
    </row>
    <row r="144" spans="2:16" x14ac:dyDescent="0.4">
      <c r="B144" s="91"/>
      <c r="C144" s="91"/>
      <c r="D144" s="91"/>
      <c r="E144" s="91"/>
      <c r="F144" s="91"/>
      <c r="G144" s="91"/>
      <c r="H144" s="91"/>
      <c r="I144" s="91"/>
      <c r="J144" s="91"/>
      <c r="K144" s="91"/>
      <c r="L144" s="91"/>
      <c r="M144" s="91"/>
      <c r="N144" s="91"/>
      <c r="O144" s="91"/>
      <c r="P144" s="91"/>
    </row>
    <row r="145" spans="2:16" x14ac:dyDescent="0.4">
      <c r="B145" s="48" t="str">
        <f>IF(Ingreso_Datos!CQ48="","",CONCATENATE(Ingreso_Datos!CM48,".-"," ",Ingreso_Datos!CO48," ",Ingreso_Datos!CQ48))</f>
        <v>37.- Mi estado de ánimo empeora a medida que pasa el día (Verdadero)</v>
      </c>
      <c r="C145" s="14"/>
      <c r="D145" s="14"/>
      <c r="E145" s="14"/>
      <c r="F145" s="14"/>
      <c r="G145" s="14"/>
      <c r="H145" s="14"/>
      <c r="I145" s="14"/>
      <c r="J145" s="14"/>
      <c r="K145" s="14"/>
      <c r="L145" s="14"/>
      <c r="M145" s="14"/>
      <c r="N145" s="14"/>
      <c r="O145" s="14"/>
      <c r="P145" s="14"/>
    </row>
    <row r="146" spans="2:16" x14ac:dyDescent="0.4">
      <c r="B146" s="48" t="str">
        <f>IF(Ingreso_Datos!CQ49="","",CONCATENATE(Ingreso_Datos!CM49,".-"," ",Ingreso_Datos!CO49," ",Ingreso_Datos!CQ49))</f>
        <v>32.- Tengo dificultades para dormir (Verdadero)</v>
      </c>
      <c r="C146" s="14"/>
      <c r="D146" s="14"/>
      <c r="E146" s="14"/>
      <c r="F146" s="14"/>
      <c r="G146" s="14"/>
      <c r="H146" s="14"/>
      <c r="I146" s="14"/>
      <c r="J146" s="14"/>
      <c r="K146" s="14"/>
      <c r="L146" s="14"/>
      <c r="M146" s="14"/>
      <c r="N146" s="14"/>
      <c r="O146" s="14"/>
      <c r="P146" s="14"/>
    </row>
    <row r="147" spans="2:16" x14ac:dyDescent="0.4">
      <c r="B147" s="48" t="str">
        <f>IF(Ingreso_Datos!CQ50="","",CONCATENATE(Ingreso_Datos!CM50,".-"," ",Ingreso_Datos!CO50," ",Ingreso_Datos!CQ50))</f>
        <v>24.- Cuanto más deprimido me siento, más ganas de comer me entran (Verdadero)</v>
      </c>
      <c r="C147" s="14"/>
      <c r="D147" s="14"/>
      <c r="E147" s="14"/>
      <c r="F147" s="14"/>
      <c r="G147" s="14"/>
      <c r="H147" s="14"/>
      <c r="I147" s="14"/>
      <c r="J147" s="14"/>
      <c r="K147" s="14"/>
      <c r="L147" s="14"/>
      <c r="M147" s="14"/>
      <c r="N147" s="14"/>
      <c r="O147" s="14"/>
      <c r="P147" s="14"/>
    </row>
    <row r="148" spans="2:16" x14ac:dyDescent="0.4">
      <c r="B148" s="48" t="str">
        <f>IF(Ingreso_Datos!CQ51="","",CONCATENATE(Ingreso_Datos!CM51,".-"," ",Ingreso_Datos!CO51," ",Ingreso_Datos!CQ51))</f>
        <v/>
      </c>
      <c r="C148" s="14"/>
      <c r="D148" s="14"/>
      <c r="E148" s="14"/>
      <c r="F148" s="14"/>
      <c r="G148" s="14"/>
      <c r="H148" s="14"/>
      <c r="I148" s="14"/>
      <c r="J148" s="14"/>
      <c r="K148" s="14"/>
      <c r="L148" s="14"/>
      <c r="M148" s="14"/>
      <c r="N148" s="14"/>
      <c r="O148" s="14"/>
      <c r="P148" s="14"/>
    </row>
    <row r="149" spans="2:16" x14ac:dyDescent="0.4">
      <c r="B149" s="48" t="str">
        <f>IF(Ingreso_Datos!CQ52="","",CONCATENATE(Ingreso_Datos!CM52,".-"," ",Ingreso_Datos!CO52," ",Ingreso_Datos!CQ52))</f>
        <v/>
      </c>
      <c r="C149" s="14"/>
      <c r="D149" s="14"/>
      <c r="E149" s="14"/>
      <c r="F149" s="14"/>
      <c r="G149" s="14"/>
      <c r="H149" s="14"/>
      <c r="I149" s="14"/>
      <c r="J149" s="14"/>
      <c r="K149" s="14"/>
      <c r="L149" s="14"/>
      <c r="M149" s="14"/>
      <c r="N149" s="14"/>
      <c r="O149" s="14"/>
      <c r="P149" s="14"/>
    </row>
    <row r="150" spans="2:16" x14ac:dyDescent="0.4">
      <c r="B150" s="48" t="str">
        <f>IF(Ingreso_Datos!CQ53="","",CONCATENATE(Ingreso_Datos!CM53,".-"," ",Ingreso_Datos!CO53," ",Ingreso_Datos!CQ53))</f>
        <v>17.- Mi estado de ánimo es peor por la noche (Verdadero)</v>
      </c>
      <c r="C150" s="14"/>
      <c r="D150" s="14"/>
      <c r="E150" s="14"/>
      <c r="F150" s="14"/>
      <c r="G150" s="14"/>
      <c r="H150" s="14"/>
      <c r="I150" s="14"/>
      <c r="J150" s="14"/>
      <c r="K150" s="14"/>
      <c r="L150" s="14"/>
      <c r="M150" s="14"/>
      <c r="N150" s="14"/>
      <c r="O150" s="14"/>
      <c r="P150" s="14"/>
    </row>
    <row r="151" spans="2:16" x14ac:dyDescent="0.4">
      <c r="B151" s="91" t="str">
        <f>IF(Ingreso_Datos!CQ54="","",CONCATENATE(Ingreso_Datos!CM54,".-"," ",Ingreso_Datos!CO54," ",Ingreso_Datos!CQ54))</f>
        <v>16.- Incluso estando deprimido la mayor parte del tiempo, me siento mejor por la mañana tras una buena noche de sueño (Verdadero)</v>
      </c>
      <c r="C151" s="91"/>
      <c r="D151" s="91"/>
      <c r="E151" s="91"/>
      <c r="F151" s="91"/>
      <c r="G151" s="91"/>
      <c r="H151" s="91"/>
      <c r="I151" s="91"/>
      <c r="J151" s="91"/>
      <c r="K151" s="91"/>
      <c r="L151" s="91"/>
      <c r="M151" s="91"/>
      <c r="N151" s="91"/>
      <c r="O151" s="91"/>
      <c r="P151" s="91"/>
    </row>
    <row r="152" spans="2:16" x14ac:dyDescent="0.4">
      <c r="B152" s="91"/>
      <c r="C152" s="91"/>
      <c r="D152" s="91"/>
      <c r="E152" s="91"/>
      <c r="F152" s="91"/>
      <c r="G152" s="91"/>
      <c r="H152" s="91"/>
      <c r="I152" s="91"/>
      <c r="J152" s="91"/>
      <c r="K152" s="91"/>
      <c r="L152" s="91"/>
      <c r="M152" s="91"/>
      <c r="N152" s="91"/>
      <c r="O152" s="91"/>
      <c r="P152" s="91"/>
    </row>
    <row r="153" spans="2:16" x14ac:dyDescent="0.4">
      <c r="B153" s="48" t="str">
        <f>IF(Ingreso_Datos!CQ55="","",CONCATENATE(Ingreso_Datos!CM55,".-"," ",Ingreso_Datos!CO55," ",Ingreso_Datos!CQ55))</f>
        <v>6.- Rara vez me rio (Verdadero)</v>
      </c>
      <c r="C153" s="64"/>
      <c r="D153" s="64"/>
      <c r="E153" s="64"/>
      <c r="F153" s="64"/>
      <c r="G153" s="64"/>
      <c r="H153" s="64"/>
      <c r="I153" s="64"/>
      <c r="J153" s="64"/>
      <c r="K153" s="64"/>
      <c r="L153" s="64"/>
      <c r="M153" s="64"/>
      <c r="N153" s="64"/>
      <c r="O153" s="64"/>
      <c r="P153" s="64"/>
    </row>
    <row r="154" spans="2:16" x14ac:dyDescent="0.4">
      <c r="B154" s="91" t="str">
        <f>IF(Ingreso_Datos!CQ56="","",CONCATENATE(Ingreso_Datos!CM56,".-"," ",Ingreso_Datos!CO56," ",Ingreso_Datos!CQ56))</f>
        <v>2.- Cuando mi depresión se agrava, salgo a dar largos paseos y realizo algo de ejercicio para reducir la tensión (Verdadero)</v>
      </c>
      <c r="C154" s="91"/>
      <c r="D154" s="91"/>
      <c r="E154" s="91"/>
      <c r="F154" s="91"/>
      <c r="G154" s="91"/>
      <c r="H154" s="91"/>
      <c r="I154" s="91"/>
      <c r="J154" s="91"/>
      <c r="K154" s="91"/>
      <c r="L154" s="91"/>
      <c r="M154" s="91"/>
      <c r="N154" s="91"/>
      <c r="O154" s="91"/>
      <c r="P154" s="91"/>
    </row>
    <row r="155" spans="2:16" x14ac:dyDescent="0.4">
      <c r="B155" s="91"/>
      <c r="C155" s="91"/>
      <c r="D155" s="91"/>
      <c r="E155" s="91"/>
      <c r="F155" s="91"/>
      <c r="G155" s="91"/>
      <c r="H155" s="91"/>
      <c r="I155" s="91"/>
      <c r="J155" s="91"/>
      <c r="K155" s="91"/>
      <c r="L155" s="91"/>
      <c r="M155" s="91"/>
      <c r="N155" s="91"/>
      <c r="O155" s="91"/>
      <c r="P155" s="91"/>
    </row>
    <row r="156" spans="2:16" ht="12.75" customHeight="1" x14ac:dyDescent="0.4">
      <c r="B156" s="48"/>
      <c r="C156" s="14"/>
      <c r="D156" s="14"/>
      <c r="E156" s="14"/>
      <c r="F156" s="14"/>
      <c r="G156" s="14"/>
      <c r="H156" s="14"/>
      <c r="I156" s="14"/>
      <c r="J156" s="14"/>
      <c r="K156" s="14"/>
      <c r="L156" s="14"/>
      <c r="M156" s="14"/>
      <c r="N156" s="14"/>
      <c r="O156" s="14"/>
      <c r="P156" s="14"/>
    </row>
    <row r="157" spans="2:16" ht="20.399999999999999" x14ac:dyDescent="0.4">
      <c r="B157" s="46" t="str" cm="1">
        <f t="array" ref="B157">IF(SUMPRODUCT(--(LEN(TRIM(B158:P180))&gt;0))=0,"","PSICOSIS (Ps) ("&amp;SUMPRODUCT(--(LEN(TRIM(B158:P180))&gt;0))&amp;"/15)")</f>
        <v>PSICOSIS (Ps) (12/15)</v>
      </c>
      <c r="C157" s="14"/>
      <c r="D157" s="14"/>
      <c r="E157" s="14"/>
      <c r="F157" s="14"/>
      <c r="G157" s="14"/>
      <c r="H157" s="14"/>
      <c r="I157" s="14"/>
      <c r="J157" s="14"/>
      <c r="K157" s="14"/>
      <c r="L157" s="14"/>
      <c r="M157" s="14"/>
      <c r="N157" s="14"/>
      <c r="O157" s="14"/>
      <c r="P157" s="14"/>
    </row>
    <row r="158" spans="2:16" ht="17.25" customHeight="1" x14ac:dyDescent="0.4">
      <c r="B158" s="103" t="str">
        <f>IF(Ingreso_Datos!CQ58="","",CONCATENATE(Ingreso_Datos!CM58,".-"," ",Ingreso_Datos!CO58," ",Ingreso_Datos!CQ58))</f>
        <v>3.- Creo que el número de teléfono de una persona no se asigna aleatoriamente, sino que es la forma que tiene Dios de decidir que persona se salvara (Verdadero)</v>
      </c>
      <c r="C158" s="103"/>
      <c r="D158" s="103"/>
      <c r="E158" s="103"/>
      <c r="F158" s="103"/>
      <c r="G158" s="103"/>
      <c r="H158" s="103"/>
      <c r="I158" s="103"/>
      <c r="J158" s="103"/>
      <c r="K158" s="103"/>
      <c r="L158" s="103"/>
      <c r="M158" s="103"/>
      <c r="N158" s="103"/>
      <c r="O158" s="103"/>
      <c r="P158" s="103"/>
    </row>
    <row r="159" spans="2:16" ht="17.25" customHeight="1" x14ac:dyDescent="0.4">
      <c r="B159" s="103"/>
      <c r="C159" s="103"/>
      <c r="D159" s="103"/>
      <c r="E159" s="103"/>
      <c r="F159" s="103"/>
      <c r="G159" s="103"/>
      <c r="H159" s="103"/>
      <c r="I159" s="103"/>
      <c r="J159" s="103"/>
      <c r="K159" s="103"/>
      <c r="L159" s="103"/>
      <c r="M159" s="103"/>
      <c r="N159" s="103"/>
      <c r="O159" s="103"/>
      <c r="P159" s="103"/>
    </row>
    <row r="160" spans="2:16" ht="17.25" customHeight="1" x14ac:dyDescent="0.4">
      <c r="B160" s="103" t="str">
        <f>IF(Ingreso_Datos!CQ59="","",CONCATENATE(Ingreso_Datos!CM59,".-"," ",Ingreso_Datos!CO59," ",Ingreso_Datos!CQ59))</f>
        <v/>
      </c>
      <c r="C160" s="103"/>
      <c r="D160" s="103"/>
      <c r="E160" s="103"/>
      <c r="F160" s="103"/>
      <c r="G160" s="103"/>
      <c r="H160" s="103"/>
      <c r="I160" s="103"/>
      <c r="J160" s="103"/>
      <c r="K160" s="103"/>
      <c r="L160" s="103"/>
      <c r="M160" s="103"/>
      <c r="N160" s="103"/>
      <c r="O160" s="103"/>
      <c r="P160" s="103"/>
    </row>
    <row r="161" spans="2:16" ht="17.25" customHeight="1" x14ac:dyDescent="0.4">
      <c r="B161" s="103"/>
      <c r="C161" s="103"/>
      <c r="D161" s="103"/>
      <c r="E161" s="103"/>
      <c r="F161" s="103"/>
      <c r="G161" s="103"/>
      <c r="H161" s="103"/>
      <c r="I161" s="103"/>
      <c r="J161" s="103"/>
      <c r="K161" s="103"/>
      <c r="L161" s="103"/>
      <c r="M161" s="103"/>
      <c r="N161" s="103"/>
      <c r="O161" s="103"/>
      <c r="P161" s="103"/>
    </row>
    <row r="162" spans="2:16" ht="18" x14ac:dyDescent="0.4">
      <c r="B162" s="67" t="str">
        <f>IF(Ingreso_Datos!CQ60="","",CONCATENATE(Ingreso_Datos!CM60,".-"," ",Ingreso_Datos!CO60," ",Ingreso_Datos!CQ60))</f>
        <v>10.- Me he dado cuenta de que mi cuerpo cambia de forma incluso si mi peso no varía (Verdadero)</v>
      </c>
      <c r="C162" s="14"/>
      <c r="D162" s="14"/>
      <c r="E162" s="14"/>
      <c r="F162" s="14"/>
      <c r="G162" s="14"/>
      <c r="H162" s="14"/>
      <c r="I162" s="14"/>
      <c r="J162" s="14"/>
      <c r="K162" s="14"/>
      <c r="L162" s="14"/>
      <c r="M162" s="14"/>
      <c r="N162" s="14"/>
      <c r="O162" s="14"/>
      <c r="P162" s="14"/>
    </row>
    <row r="163" spans="2:16" ht="18.75" customHeight="1" x14ac:dyDescent="0.4">
      <c r="B163" s="103" t="str">
        <f>IF(Ingreso_Datos!CQ61="","",CONCATENATE(Ingreso_Datos!CM61,".-"," ",Ingreso_Datos!CO61," ",Ingreso_Datos!CQ61))</f>
        <v>13.- No hay nada que pueda hacer, aparte de tomar medicación, que tenga algún efecto sobre las voces que oigo (Verdadero)</v>
      </c>
      <c r="C163" s="103"/>
      <c r="D163" s="103"/>
      <c r="E163" s="103"/>
      <c r="F163" s="103"/>
      <c r="G163" s="103"/>
      <c r="H163" s="103"/>
      <c r="I163" s="103"/>
      <c r="J163" s="103"/>
      <c r="K163" s="103"/>
      <c r="L163" s="103"/>
      <c r="M163" s="103"/>
      <c r="N163" s="103"/>
      <c r="O163" s="103"/>
      <c r="P163" s="103"/>
    </row>
    <row r="164" spans="2:16" ht="18.75" customHeight="1" x14ac:dyDescent="0.4">
      <c r="B164" s="103"/>
      <c r="C164" s="103"/>
      <c r="D164" s="103"/>
      <c r="E164" s="103"/>
      <c r="F164" s="103"/>
      <c r="G164" s="103"/>
      <c r="H164" s="103"/>
      <c r="I164" s="103"/>
      <c r="J164" s="103"/>
      <c r="K164" s="103"/>
      <c r="L164" s="103"/>
      <c r="M164" s="103"/>
      <c r="N164" s="103"/>
      <c r="O164" s="103"/>
      <c r="P164" s="103"/>
    </row>
    <row r="165" spans="2:16" ht="18.75" customHeight="1" x14ac:dyDescent="0.4">
      <c r="B165" s="103" t="str">
        <f>IF(Ingreso_Datos!CQ62="","",CONCATENATE(Ingreso_Datos!CM62,".-"," ",Ingreso_Datos!CO62," ",Ingreso_Datos!CQ62))</f>
        <v/>
      </c>
      <c r="C165" s="103"/>
      <c r="D165" s="103"/>
      <c r="E165" s="103"/>
      <c r="F165" s="103"/>
      <c r="G165" s="103"/>
      <c r="H165" s="103"/>
      <c r="I165" s="103"/>
      <c r="J165" s="103"/>
      <c r="K165" s="103"/>
      <c r="L165" s="103"/>
      <c r="M165" s="103"/>
      <c r="N165" s="103"/>
      <c r="O165" s="103"/>
      <c r="P165" s="103"/>
    </row>
    <row r="166" spans="2:16" ht="18.75" customHeight="1" x14ac:dyDescent="0.4">
      <c r="B166" s="103"/>
      <c r="C166" s="103"/>
      <c r="D166" s="103"/>
      <c r="E166" s="103"/>
      <c r="F166" s="103"/>
      <c r="G166" s="103"/>
      <c r="H166" s="103"/>
      <c r="I166" s="103"/>
      <c r="J166" s="103"/>
      <c r="K166" s="103"/>
      <c r="L166" s="103"/>
      <c r="M166" s="103"/>
      <c r="N166" s="103"/>
      <c r="O166" s="103"/>
      <c r="P166" s="103"/>
    </row>
    <row r="167" spans="2:16" ht="18" x14ac:dyDescent="0.4">
      <c r="B167" s="67" t="str">
        <f>IF(Ingreso_Datos!CQ63="","",CONCATENATE(Ingreso_Datos!CM63,".-"," ",Ingreso_Datos!CO63," ",Ingreso_Datos!CQ63))</f>
        <v>31.- La gente introduce pensamientos en mi cabeza en contra de mi voluntad (Verdadero)</v>
      </c>
      <c r="C167" s="64"/>
      <c r="D167" s="64"/>
      <c r="E167" s="64"/>
      <c r="F167" s="64"/>
      <c r="G167" s="64"/>
      <c r="H167" s="64"/>
      <c r="I167" s="64"/>
      <c r="J167" s="64"/>
      <c r="K167" s="64"/>
      <c r="L167" s="64"/>
      <c r="M167" s="64"/>
      <c r="N167" s="64"/>
      <c r="O167" s="64"/>
      <c r="P167" s="64"/>
    </row>
    <row r="168" spans="2:16" ht="18.75" customHeight="1" x14ac:dyDescent="0.4">
      <c r="B168" s="103" t="str">
        <f>IF(Ingreso_Datos!CQ64="","",CONCATENATE(Ingreso_Datos!CM64,".-"," ",Ingreso_Datos!CO64," ",Ingreso_Datos!CQ64))</f>
        <v/>
      </c>
      <c r="C168" s="103"/>
      <c r="D168" s="103"/>
      <c r="E168" s="103"/>
      <c r="F168" s="103"/>
      <c r="G168" s="103"/>
      <c r="H168" s="103"/>
      <c r="I168" s="103"/>
      <c r="J168" s="103"/>
      <c r="K168" s="103"/>
      <c r="L168" s="103"/>
      <c r="M168" s="103"/>
      <c r="N168" s="103"/>
      <c r="O168" s="103"/>
      <c r="P168" s="103"/>
    </row>
    <row r="169" spans="2:16" ht="18.75" customHeight="1" x14ac:dyDescent="0.4">
      <c r="B169" s="103"/>
      <c r="C169" s="103"/>
      <c r="D169" s="103"/>
      <c r="E169" s="103"/>
      <c r="F169" s="103"/>
      <c r="G169" s="103"/>
      <c r="H169" s="103"/>
      <c r="I169" s="103"/>
      <c r="J169" s="103"/>
      <c r="K169" s="103"/>
      <c r="L169" s="103"/>
      <c r="M169" s="103"/>
      <c r="N169" s="103"/>
      <c r="O169" s="103"/>
      <c r="P169" s="103"/>
    </row>
    <row r="170" spans="2:16" ht="18.75" customHeight="1" x14ac:dyDescent="0.4">
      <c r="B170" s="103" t="str">
        <f>IF(Ingreso_Datos!CQ65="","",CONCATENATE(Ingreso_Datos!CM65,".-"," ",Ingreso_Datos!CO65," ",Ingreso_Datos!CQ65))</f>
        <v>38.- La voz o voces que oigo, y que otros no oyen, nunca han cesado desde que empezaron (Verdadero)</v>
      </c>
      <c r="C170" s="103"/>
      <c r="D170" s="103"/>
      <c r="E170" s="103"/>
      <c r="F170" s="103"/>
      <c r="G170" s="103"/>
      <c r="H170" s="103"/>
      <c r="I170" s="103"/>
      <c r="J170" s="103"/>
      <c r="K170" s="103"/>
      <c r="L170" s="103"/>
      <c r="M170" s="103"/>
      <c r="N170" s="103"/>
      <c r="O170" s="103"/>
      <c r="P170" s="103"/>
    </row>
    <row r="171" spans="2:16" ht="18.75" customHeight="1" x14ac:dyDescent="0.4">
      <c r="B171" s="103"/>
      <c r="C171" s="103"/>
      <c r="D171" s="103"/>
      <c r="E171" s="103"/>
      <c r="F171" s="103"/>
      <c r="G171" s="103"/>
      <c r="H171" s="103"/>
      <c r="I171" s="103"/>
      <c r="J171" s="103"/>
      <c r="K171" s="103"/>
      <c r="L171" s="103"/>
      <c r="M171" s="103"/>
      <c r="N171" s="103"/>
      <c r="O171" s="103"/>
      <c r="P171" s="103"/>
    </row>
    <row r="172" spans="2:16" ht="18" x14ac:dyDescent="0.4">
      <c r="B172" s="67" t="str">
        <f>IF(Ingreso_Datos!CQ66="","",CONCATENATE(Ingreso_Datos!CM66,".-"," ",Ingreso_Datos!CO66," ",Ingreso_Datos!CQ66))</f>
        <v>42.- Las flores tienen poderes mágicos, como hablarles a las personas (Verdadero)</v>
      </c>
      <c r="C172" s="14"/>
      <c r="D172" s="14"/>
      <c r="E172" s="14"/>
      <c r="F172" s="14"/>
      <c r="G172" s="14"/>
      <c r="H172" s="14"/>
      <c r="I172" s="14"/>
      <c r="J172" s="14"/>
      <c r="K172" s="14"/>
      <c r="L172" s="14"/>
      <c r="M172" s="14"/>
      <c r="N172" s="14"/>
      <c r="O172" s="14"/>
      <c r="P172" s="14"/>
    </row>
    <row r="173" spans="2:16" ht="18" x14ac:dyDescent="0.4">
      <c r="B173" s="67" t="str">
        <f>IF(Ingreso_Datos!CQ67="","",CONCATENATE(Ingreso_Datos!CM67,".-"," ",Ingreso_Datos!CO67," ",Ingreso_Datos!CQ67))</f>
        <v>48.- La voz o voces que oigo, y que otros no oyen, provienen de fuera de mi cabeza (Verdadero)</v>
      </c>
      <c r="C173" s="14"/>
      <c r="D173" s="14"/>
      <c r="E173" s="14"/>
      <c r="F173" s="14"/>
      <c r="G173" s="14"/>
      <c r="H173" s="14"/>
      <c r="I173" s="14"/>
      <c r="J173" s="14"/>
      <c r="K173" s="14"/>
      <c r="L173" s="14"/>
      <c r="M173" s="14"/>
      <c r="N173" s="14"/>
      <c r="O173" s="14"/>
      <c r="P173" s="14"/>
    </row>
    <row r="174" spans="2:16" ht="18.75" customHeight="1" x14ac:dyDescent="0.4">
      <c r="B174" s="103" t="str">
        <f>IF(Ingreso_Datos!CQ68="","",CONCATENATE(Ingreso_Datos!CM68,".-"," ",Ingreso_Datos!CO68," ",Ingreso_Datos!CQ68))</f>
        <v>51.- Tengo tanto miedo a que alguien me haga daño que sé exactamente como y cuando lo hará (Verdadero)</v>
      </c>
      <c r="C174" s="103"/>
      <c r="D174" s="103"/>
      <c r="E174" s="103"/>
      <c r="F174" s="103"/>
      <c r="G174" s="103"/>
      <c r="H174" s="103"/>
      <c r="I174" s="103"/>
      <c r="J174" s="103"/>
      <c r="K174" s="103"/>
      <c r="L174" s="103"/>
      <c r="M174" s="103"/>
      <c r="N174" s="103"/>
      <c r="O174" s="103"/>
      <c r="P174" s="103"/>
    </row>
    <row r="175" spans="2:16" ht="18.75" customHeight="1" x14ac:dyDescent="0.4">
      <c r="B175" s="103"/>
      <c r="C175" s="103"/>
      <c r="D175" s="103"/>
      <c r="E175" s="103"/>
      <c r="F175" s="103"/>
      <c r="G175" s="103"/>
      <c r="H175" s="103"/>
      <c r="I175" s="103"/>
      <c r="J175" s="103"/>
      <c r="K175" s="103"/>
      <c r="L175" s="103"/>
      <c r="M175" s="103"/>
      <c r="N175" s="103"/>
      <c r="O175" s="103"/>
      <c r="P175" s="103"/>
    </row>
    <row r="176" spans="2:16" ht="18" x14ac:dyDescent="0.4">
      <c r="B176" s="67" t="str">
        <f>IF(Ingreso_Datos!CQ69="","",CONCATENATE(Ingreso_Datos!CM69,".-"," ",Ingreso_Datos!CO69," ",Ingreso_Datos!CQ69))</f>
        <v>57.- Un día de repente empecé a oír una o más voces que nadie más oía (Verdadero)</v>
      </c>
      <c r="C176" s="14"/>
      <c r="D176" s="14"/>
      <c r="E176" s="14"/>
      <c r="F176" s="14"/>
      <c r="G176" s="14"/>
      <c r="H176" s="14"/>
      <c r="I176" s="14"/>
      <c r="J176" s="14"/>
      <c r="K176" s="14"/>
      <c r="L176" s="14"/>
      <c r="M176" s="14"/>
      <c r="N176" s="14"/>
      <c r="O176" s="14"/>
      <c r="P176" s="14"/>
    </row>
    <row r="177" spans="2:16" ht="18" x14ac:dyDescent="0.4">
      <c r="B177" s="67" t="str">
        <f>IF(Ingreso_Datos!CQ70="","",CONCATENATE(Ingreso_Datos!CM70,".-"," ",Ingreso_Datos!CO70," ",Ingreso_Datos!CQ70))</f>
        <v>62.- En mis visiones suelo ver partes de mi cuerpo cubiertas de sangre (Verdadero)</v>
      </c>
      <c r="C177" s="14"/>
      <c r="D177" s="14"/>
      <c r="E177" s="14"/>
      <c r="F177" s="14"/>
      <c r="G177" s="14"/>
      <c r="H177" s="14"/>
      <c r="I177" s="14"/>
      <c r="J177" s="14"/>
      <c r="K177" s="14"/>
      <c r="L177" s="14"/>
      <c r="M177" s="14"/>
      <c r="N177" s="14"/>
      <c r="O177" s="14"/>
      <c r="P177" s="14"/>
    </row>
    <row r="178" spans="2:16" ht="18.75" customHeight="1" x14ac:dyDescent="0.4">
      <c r="B178" s="103" t="str">
        <f>IF(Ingreso_Datos!CQ71="","",CONCATENATE(Ingreso_Datos!CM71,".-"," ",Ingreso_Datos!CO71," ",Ingreso_Datos!CQ71))</f>
        <v>65.- Cuando oigo voces que parecen provenir de ningún sitio en especial, quiero echar a correr, pero me doy cuenta de que no puedo hacerlo sin gran dificultad (Verdadero)</v>
      </c>
      <c r="C178" s="103"/>
      <c r="D178" s="103"/>
      <c r="E178" s="103"/>
      <c r="F178" s="103"/>
      <c r="G178" s="103"/>
      <c r="H178" s="103"/>
      <c r="I178" s="103"/>
      <c r="J178" s="103"/>
      <c r="K178" s="103"/>
      <c r="L178" s="103"/>
      <c r="M178" s="103"/>
      <c r="N178" s="103"/>
      <c r="O178" s="103"/>
      <c r="P178" s="103"/>
    </row>
    <row r="179" spans="2:16" ht="18.75" customHeight="1" x14ac:dyDescent="0.4">
      <c r="B179" s="103"/>
      <c r="C179" s="103"/>
      <c r="D179" s="103"/>
      <c r="E179" s="103"/>
      <c r="F179" s="103"/>
      <c r="G179" s="103"/>
      <c r="H179" s="103"/>
      <c r="I179" s="103"/>
      <c r="J179" s="103"/>
      <c r="K179" s="103"/>
      <c r="L179" s="103"/>
      <c r="M179" s="103"/>
      <c r="N179" s="103"/>
      <c r="O179" s="103"/>
      <c r="P179" s="103"/>
    </row>
    <row r="180" spans="2:16" ht="18" x14ac:dyDescent="0.4">
      <c r="B180" s="67" t="str">
        <f>IF(Ingreso_Datos!CQ72="","",CONCATENATE(Ingreso_Datos!CM72,".-"," ",Ingreso_Datos!CO72," ",Ingreso_Datos!CQ72))</f>
        <v>69.- Cuando oigo voces siento como si salieran de mi cuerpo a través de mis dientes (Verdadero)</v>
      </c>
      <c r="C180" s="14"/>
      <c r="D180" s="14"/>
      <c r="E180" s="14"/>
      <c r="F180" s="14"/>
      <c r="G180" s="14"/>
      <c r="H180" s="14"/>
      <c r="I180" s="14"/>
      <c r="J180" s="14"/>
      <c r="K180" s="14"/>
      <c r="L180" s="14"/>
      <c r="M180" s="14"/>
      <c r="N180" s="14"/>
      <c r="O180" s="14"/>
      <c r="P180" s="14"/>
    </row>
    <row r="181" spans="2:16" x14ac:dyDescent="0.4">
      <c r="B181" s="48"/>
      <c r="C181" s="14"/>
      <c r="D181" s="14"/>
      <c r="E181" s="14"/>
      <c r="F181" s="14"/>
      <c r="G181" s="14"/>
      <c r="H181" s="14"/>
      <c r="I181" s="14"/>
      <c r="J181" s="14"/>
      <c r="K181" s="14"/>
      <c r="L181" s="14"/>
      <c r="M181" s="14"/>
      <c r="N181" s="14"/>
      <c r="O181" s="14"/>
      <c r="P181" s="14"/>
    </row>
    <row r="182" spans="2:16" ht="20.399999999999999" x14ac:dyDescent="0.4">
      <c r="B182" s="46" t="str" cm="1">
        <f t="array" ref="B182">IF(SUMPRODUCT(--(LEN(TRIM(B183:P197))&gt;0))=0,"","BAJA INTELIGENCIA (Bi) ("&amp;SUMPRODUCT(--(LEN(TRIM(B183:P197))&gt;0))&amp;"/15)")</f>
        <v>BAJA INTELIGENCIA (Bi) (7/15)</v>
      </c>
      <c r="C182" s="14"/>
      <c r="D182" s="14"/>
      <c r="E182" s="14"/>
      <c r="F182" s="14"/>
      <c r="G182" s="14"/>
      <c r="H182" s="14"/>
      <c r="I182" s="14"/>
      <c r="J182" s="14"/>
      <c r="K182" s="14"/>
      <c r="L182" s="14"/>
      <c r="M182" s="14"/>
      <c r="N182" s="14"/>
      <c r="O182" s="14"/>
      <c r="P182" s="14"/>
    </row>
    <row r="183" spans="2:16" x14ac:dyDescent="0.4">
      <c r="B183" s="48" t="str">
        <f>IF(Ingreso_Datos!CQ74="","",CONCATENATE(Ingreso_Datos!CM74,".-"," ",Ingreso_Datos!CO74," ",Ingreso_Datos!CQ74))</f>
        <v/>
      </c>
      <c r="C183" s="14"/>
      <c r="D183" s="14"/>
      <c r="E183" s="14"/>
      <c r="F183" s="14"/>
      <c r="G183" s="14"/>
      <c r="H183" s="14"/>
      <c r="I183" s="14"/>
      <c r="J183" s="14"/>
      <c r="K183" s="14"/>
      <c r="L183" s="14"/>
      <c r="M183" s="14"/>
      <c r="N183" s="14"/>
      <c r="O183" s="14"/>
      <c r="P183" s="14"/>
    </row>
    <row r="184" spans="2:16" x14ac:dyDescent="0.4">
      <c r="B184" s="48" t="str">
        <f>IF(Ingreso_Datos!CQ75="","",CONCATENATE(Ingreso_Datos!CM75,".-"," ",Ingreso_Datos!CO75," ",Ingreso_Datos!CQ75))</f>
        <v>73.- Un hombre tiene 56 manzanas y un vecino le regala 37 más. Ahora tiene 83 manzanas (Verdadero)</v>
      </c>
      <c r="C184" s="14"/>
      <c r="D184" s="14"/>
      <c r="E184" s="14"/>
      <c r="F184" s="14"/>
      <c r="G184" s="14"/>
      <c r="H184" s="14"/>
      <c r="I184" s="14"/>
      <c r="J184" s="14"/>
      <c r="K184" s="14"/>
      <c r="L184" s="14"/>
      <c r="M184" s="14"/>
      <c r="N184" s="14"/>
      <c r="O184" s="14"/>
      <c r="P184" s="14"/>
    </row>
    <row r="185" spans="2:16" x14ac:dyDescent="0.4">
      <c r="B185" s="48" t="str">
        <f>IF(Ingreso_Datos!CQ76="","",CONCATENATE(Ingreso_Datos!CM76,".-"," ",Ingreso_Datos!CO76," ",Ingreso_Datos!CQ76))</f>
        <v>70.- El mayor problema que tengo es que las cosas son difíciles de entender para mí (Verdadero)</v>
      </c>
      <c r="C185" s="14"/>
      <c r="D185" s="14"/>
      <c r="E185" s="14"/>
      <c r="F185" s="14"/>
      <c r="G185" s="14"/>
      <c r="H185" s="14"/>
      <c r="I185" s="14"/>
      <c r="J185" s="14"/>
      <c r="K185" s="14"/>
      <c r="L185" s="14"/>
      <c r="M185" s="14"/>
      <c r="N185" s="14"/>
      <c r="O185" s="14"/>
      <c r="P185" s="14"/>
    </row>
    <row r="186" spans="2:16" x14ac:dyDescent="0.4">
      <c r="B186" s="48" t="str">
        <f>IF(Ingreso_Datos!CQ77="","",CONCATENATE(Ingreso_Datos!CM77,".-"," ",Ingreso_Datos!CO77," ",Ingreso_Datos!CQ77))</f>
        <v>68.- En la serie 1 - 12 - 123, la siguiente respuesta es 456 (Verdadero)</v>
      </c>
      <c r="C186" s="14"/>
      <c r="D186" s="14"/>
      <c r="E186" s="14"/>
      <c r="F186" s="14"/>
      <c r="G186" s="14"/>
      <c r="H186" s="14"/>
      <c r="I186" s="14"/>
      <c r="J186" s="14"/>
      <c r="K186" s="14"/>
      <c r="L186" s="14"/>
      <c r="M186" s="14"/>
      <c r="N186" s="14"/>
      <c r="O186" s="14"/>
      <c r="P186" s="14"/>
    </row>
    <row r="187" spans="2:16" x14ac:dyDescent="0.4">
      <c r="B187" s="48" t="str">
        <f>IF(Ingreso_Datos!CQ78="","",CONCATENATE(Ingreso_Datos!CM78,".-"," ",Ingreso_Datos!CO78," ",Ingreso_Datos!CQ78))</f>
        <v/>
      </c>
      <c r="C187" s="14"/>
      <c r="D187" s="14"/>
      <c r="E187" s="14"/>
      <c r="F187" s="14"/>
      <c r="G187" s="14"/>
      <c r="H187" s="14"/>
      <c r="I187" s="14"/>
      <c r="J187" s="14"/>
      <c r="K187" s="14"/>
      <c r="L187" s="14"/>
      <c r="M187" s="14"/>
      <c r="N187" s="14"/>
      <c r="O187" s="14"/>
      <c r="P187" s="14"/>
    </row>
    <row r="188" spans="2:16" x14ac:dyDescent="0.4">
      <c r="B188" s="48" t="str">
        <f>IF(Ingreso_Datos!CQ79="","",CONCATENATE(Ingreso_Datos!CM79,".-"," ",Ingreso_Datos!CO79," ",Ingreso_Datos!CQ79))</f>
        <v>63.- Cristóbal Colon descubrió América (Falso)</v>
      </c>
      <c r="C188" s="14"/>
      <c r="D188" s="14"/>
      <c r="E188" s="14"/>
      <c r="F188" s="14"/>
      <c r="G188" s="14"/>
      <c r="H188" s="14"/>
      <c r="I188" s="14"/>
      <c r="J188" s="14"/>
      <c r="K188" s="14"/>
      <c r="L188" s="14"/>
      <c r="M188" s="14"/>
      <c r="N188" s="14"/>
      <c r="O188" s="14"/>
      <c r="P188" s="14"/>
    </row>
    <row r="189" spans="2:16" x14ac:dyDescent="0.4">
      <c r="B189" s="48" t="str">
        <f>IF(Ingreso_Datos!CQ80="","",CONCATENATE(Ingreso_Datos!CM80,".-"," ",Ingreso_Datos!CO80," ",Ingreso_Datos!CQ80))</f>
        <v/>
      </c>
      <c r="C189" s="14"/>
      <c r="D189" s="14"/>
      <c r="E189" s="14"/>
      <c r="F189" s="14"/>
      <c r="G189" s="14"/>
      <c r="H189" s="14"/>
      <c r="I189" s="14"/>
      <c r="J189" s="14"/>
      <c r="K189" s="14"/>
      <c r="L189" s="14"/>
      <c r="M189" s="14"/>
      <c r="N189" s="14"/>
      <c r="O189" s="14"/>
      <c r="P189" s="14"/>
    </row>
    <row r="190" spans="2:16" x14ac:dyDescent="0.4">
      <c r="B190" s="48" t="str">
        <f>IF(Ingreso_Datos!CQ81="","",CONCATENATE(Ingreso_Datos!CM81,".-"," ",Ingreso_Datos!CO81," ",Ingreso_Datos!CQ81))</f>
        <v/>
      </c>
      <c r="C190" s="14"/>
      <c r="D190" s="14"/>
      <c r="E190" s="14"/>
      <c r="F190" s="14"/>
      <c r="G190" s="14"/>
      <c r="H190" s="14"/>
      <c r="I190" s="14"/>
      <c r="J190" s="14"/>
      <c r="K190" s="14"/>
      <c r="L190" s="14"/>
      <c r="M190" s="14"/>
      <c r="N190" s="14"/>
      <c r="O190" s="14"/>
      <c r="P190" s="14"/>
    </row>
    <row r="191" spans="2:16" x14ac:dyDescent="0.4">
      <c r="B191" s="48" t="str">
        <f>IF(Ingreso_Datos!CQ82="","",CONCATENATE(Ingreso_Datos!CM82,".-"," ",Ingreso_Datos!CO82," ",Ingreso_Datos!CQ82))</f>
        <v/>
      </c>
      <c r="C191" s="14"/>
      <c r="D191" s="14"/>
      <c r="E191" s="14"/>
      <c r="F191" s="14"/>
      <c r="G191" s="14"/>
      <c r="H191" s="14"/>
      <c r="I191" s="14"/>
      <c r="J191" s="14"/>
      <c r="K191" s="14"/>
      <c r="L191" s="14"/>
      <c r="M191" s="14"/>
      <c r="N191" s="14"/>
      <c r="O191" s="14"/>
      <c r="P191" s="14"/>
    </row>
    <row r="192" spans="2:16" x14ac:dyDescent="0.4">
      <c r="B192" s="48" t="str">
        <f>IF(Ingreso_Datos!CQ83="","",CONCATENATE(Ingreso_Datos!CM83,".-"," ",Ingreso_Datos!CO83," ",Ingreso_Datos!CQ83))</f>
        <v>41.- No puedo contar hacia atrás de 20 de a 1 sin cometer errores (Verdadero)</v>
      </c>
      <c r="C192" s="14"/>
      <c r="D192" s="14"/>
      <c r="E192" s="14"/>
      <c r="F192" s="14"/>
      <c r="G192" s="14"/>
      <c r="H192" s="14"/>
      <c r="I192" s="14"/>
      <c r="J192" s="14"/>
      <c r="K192" s="14"/>
      <c r="L192" s="14"/>
      <c r="M192" s="14"/>
      <c r="N192" s="14"/>
      <c r="O192" s="14"/>
      <c r="P192" s="14"/>
    </row>
    <row r="193" spans="2:16" x14ac:dyDescent="0.4">
      <c r="B193" s="48" t="str">
        <f>IF(Ingreso_Datos!CQ84="","",CONCATENATE(Ingreso_Datos!CM84,".-"," ",Ingreso_Datos!CO84," ",Ingreso_Datos!CQ84))</f>
        <v>21.- Una semana tiene seis días (Verdadero)</v>
      </c>
      <c r="C193" s="14"/>
      <c r="D193" s="14"/>
      <c r="E193" s="14"/>
      <c r="F193" s="14"/>
      <c r="G193" s="14"/>
      <c r="H193" s="14"/>
      <c r="I193" s="14"/>
      <c r="J193" s="14"/>
      <c r="K193" s="14"/>
      <c r="L193" s="14"/>
      <c r="M193" s="14"/>
      <c r="N193" s="14"/>
      <c r="O193" s="14"/>
      <c r="P193" s="14"/>
    </row>
    <row r="194" spans="2:16" x14ac:dyDescent="0.4">
      <c r="B194" s="48" t="str">
        <f>IF(Ingreso_Datos!CQ85="","",CONCATENATE(Ingreso_Datos!CM85,".-"," ",Ingreso_Datos!CO85," ",Ingreso_Datos!CQ85))</f>
        <v>14.- BARCELONA es la Capital de España (Verdadero)</v>
      </c>
      <c r="C194" s="14"/>
      <c r="D194" s="14"/>
      <c r="E194" s="14"/>
      <c r="F194" s="14"/>
      <c r="G194" s="14"/>
      <c r="H194" s="14"/>
      <c r="I194" s="14"/>
      <c r="J194" s="14"/>
      <c r="K194" s="14"/>
      <c r="L194" s="14"/>
      <c r="M194" s="14"/>
      <c r="N194" s="14"/>
      <c r="O194" s="14"/>
      <c r="P194" s="14"/>
    </row>
    <row r="195" spans="2:16" x14ac:dyDescent="0.4">
      <c r="B195" s="48" t="str">
        <f>IF(Ingreso_Datos!CQ86="","",CONCATENATE(Ingreso_Datos!CM86,".-"," ",Ingreso_Datos!CO86," ",Ingreso_Datos!CQ86))</f>
        <v/>
      </c>
      <c r="C195" s="14"/>
      <c r="D195" s="14"/>
      <c r="E195" s="14"/>
      <c r="F195" s="14"/>
      <c r="G195" s="14"/>
      <c r="H195" s="14"/>
      <c r="I195" s="14"/>
      <c r="J195" s="14"/>
      <c r="K195" s="14"/>
      <c r="L195" s="14"/>
      <c r="M195" s="14"/>
      <c r="N195" s="14"/>
      <c r="O195" s="14"/>
      <c r="P195" s="14"/>
    </row>
    <row r="196" spans="2:16" x14ac:dyDescent="0.4">
      <c r="B196" s="48" t="str">
        <f>IF(Ingreso_Datos!CQ87="","",CONCATENATE(Ingreso_Datos!CM87,".-"," ",Ingreso_Datos!CO87," ",Ingreso_Datos!CQ87))</f>
        <v/>
      </c>
      <c r="C196" s="14"/>
      <c r="D196" s="14"/>
      <c r="E196" s="14"/>
      <c r="F196" s="14"/>
      <c r="G196" s="14"/>
      <c r="H196" s="14"/>
      <c r="I196" s="14"/>
      <c r="J196" s="14"/>
      <c r="K196" s="14"/>
      <c r="L196" s="14"/>
      <c r="M196" s="14"/>
      <c r="N196" s="14"/>
      <c r="O196" s="14"/>
      <c r="P196" s="14"/>
    </row>
    <row r="197" spans="2:16" x14ac:dyDescent="0.4">
      <c r="B197" s="48" t="str">
        <f>IF(Ingreso_Datos!CQ88="","",CONCATENATE(Ingreso_Datos!CM88,".-"," ",Ingreso_Datos!CO88," ",Ingreso_Datos!CQ88))</f>
        <v/>
      </c>
      <c r="C197" s="14"/>
      <c r="D197" s="14"/>
      <c r="E197" s="14"/>
      <c r="F197" s="14"/>
      <c r="G197" s="14"/>
      <c r="H197" s="14"/>
      <c r="I197" s="14"/>
      <c r="J197" s="14"/>
      <c r="K197" s="14"/>
      <c r="L197" s="14"/>
      <c r="M197" s="14"/>
      <c r="N197" s="14"/>
      <c r="O197" s="14"/>
      <c r="P197" s="14"/>
    </row>
    <row r="198" spans="2:16" x14ac:dyDescent="0.4">
      <c r="B198" s="42"/>
    </row>
    <row r="199" spans="2:16" x14ac:dyDescent="0.4">
      <c r="B199" s="42"/>
    </row>
    <row r="200" spans="2:16" hidden="1" x14ac:dyDescent="0.4">
      <c r="B200" s="42"/>
    </row>
    <row r="201" spans="2:16" hidden="1" x14ac:dyDescent="0.4">
      <c r="B201" s="42"/>
    </row>
    <row r="202" spans="2:16" hidden="1" x14ac:dyDescent="0.4">
      <c r="B202" s="42"/>
    </row>
    <row r="203" spans="2:16" hidden="1" x14ac:dyDescent="0.4">
      <c r="B203" s="42"/>
    </row>
    <row r="204" spans="2:16" hidden="1" x14ac:dyDescent="0.4">
      <c r="B204" s="42"/>
    </row>
    <row r="205" spans="2:16" hidden="1" x14ac:dyDescent="0.4">
      <c r="B205" s="42"/>
    </row>
    <row r="206" spans="2:16" hidden="1" x14ac:dyDescent="0.4">
      <c r="B206" s="42"/>
    </row>
    <row r="207" spans="2:16" hidden="1" x14ac:dyDescent="0.4">
      <c r="B207" s="42"/>
    </row>
    <row r="208" spans="2:16" hidden="1" x14ac:dyDescent="0.4">
      <c r="B208" s="42"/>
    </row>
    <row r="209" spans="2:2" hidden="1" x14ac:dyDescent="0.4">
      <c r="B209" s="42"/>
    </row>
    <row r="210" spans="2:2" hidden="1" x14ac:dyDescent="0.4">
      <c r="B210" s="42"/>
    </row>
    <row r="211" spans="2:2" hidden="1" x14ac:dyDescent="0.4">
      <c r="B211" s="42"/>
    </row>
    <row r="212" spans="2:2" hidden="1" x14ac:dyDescent="0.4">
      <c r="B212" s="42"/>
    </row>
    <row r="213" spans="2:2" hidden="1" x14ac:dyDescent="0.4">
      <c r="B213" s="42"/>
    </row>
    <row r="214" spans="2:2" hidden="1" x14ac:dyDescent="0.4">
      <c r="B214" s="42"/>
    </row>
    <row r="215" spans="2:2" hidden="1" x14ac:dyDescent="0.4">
      <c r="B215" s="42"/>
    </row>
  </sheetData>
  <mergeCells count="43">
    <mergeCell ref="B178:P179"/>
    <mergeCell ref="B174:P175"/>
    <mergeCell ref="B168:P169"/>
    <mergeCell ref="B158:P159"/>
    <mergeCell ref="B160:P161"/>
    <mergeCell ref="B163:P164"/>
    <mergeCell ref="B165:P166"/>
    <mergeCell ref="B170:P171"/>
    <mergeCell ref="B103:P104"/>
    <mergeCell ref="B101:P102"/>
    <mergeCell ref="B95:P96"/>
    <mergeCell ref="B111:P112"/>
    <mergeCell ref="B113:P114"/>
    <mergeCell ref="B24:C25"/>
    <mergeCell ref="B21:C22"/>
    <mergeCell ref="B18:C19"/>
    <mergeCell ref="E3:G3"/>
    <mergeCell ref="E4:G4"/>
    <mergeCell ref="E5:G5"/>
    <mergeCell ref="E6:G6"/>
    <mergeCell ref="E7:G7"/>
    <mergeCell ref="H7:O7"/>
    <mergeCell ref="H3:O3"/>
    <mergeCell ref="H5:I5"/>
    <mergeCell ref="N5:O5"/>
    <mergeCell ref="B16:C16"/>
    <mergeCell ref="L5:M5"/>
    <mergeCell ref="K9:O9"/>
    <mergeCell ref="E9:J9"/>
    <mergeCell ref="B27:C28"/>
    <mergeCell ref="B73:P80"/>
    <mergeCell ref="B81:P88"/>
    <mergeCell ref="B57:P64"/>
    <mergeCell ref="B65:P72"/>
    <mergeCell ref="B32:P46"/>
    <mergeCell ref="B47:P56"/>
    <mergeCell ref="B154:P155"/>
    <mergeCell ref="B151:P152"/>
    <mergeCell ref="B121:P122"/>
    <mergeCell ref="B128:P129"/>
    <mergeCell ref="B130:P131"/>
    <mergeCell ref="B137:P138"/>
    <mergeCell ref="B143:P144"/>
  </mergeCells>
  <pageMargins left="0.7" right="0.7" top="0.75" bottom="0.75" header="0.3" footer="0.3"/>
  <pageSetup paperSize="9" scale="55" orientation="portrait" horizontalDpi="4294967292" verticalDpi="0" r:id="rId1"/>
  <colBreaks count="1" manualBreakCount="1">
    <brk id="17" max="136" man="1"/>
  </col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Guardar_perfil">
                <anchor moveWithCells="1" sizeWithCells="1">
                  <from>
                    <xdr:col>13</xdr:col>
                    <xdr:colOff>274320</xdr:colOff>
                    <xdr:row>27</xdr:row>
                    <xdr:rowOff>175260</xdr:rowOff>
                  </from>
                  <to>
                    <xdr:col>15</xdr:col>
                    <xdr:colOff>213360</xdr:colOff>
                    <xdr:row>29</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19847-4464-4346-8C9A-8254F40C6FEE}">
  <sheetPr codeName="Hoja5"/>
  <dimension ref="A1:CA27"/>
  <sheetViews>
    <sheetView showGridLines="0" workbookViewId="0">
      <selection activeCell="C20" sqref="C20"/>
    </sheetView>
  </sheetViews>
  <sheetFormatPr baseColWidth="10" defaultColWidth="0" defaultRowHeight="14.4" x14ac:dyDescent="0.3"/>
  <cols>
    <col min="1" max="1" width="34.88671875" customWidth="1"/>
    <col min="2" max="3" width="13" customWidth="1"/>
    <col min="4" max="78" width="6.6640625" customWidth="1"/>
    <col min="79" max="79" width="11.44140625" customWidth="1"/>
    <col min="80" max="16384" width="11.44140625" hidden="1"/>
  </cols>
  <sheetData>
    <row r="1" spans="1:78" x14ac:dyDescent="0.3">
      <c r="A1" s="110" t="s">
        <v>41</v>
      </c>
      <c r="B1" s="110"/>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row>
    <row r="2" spans="1:78" x14ac:dyDescent="0.3">
      <c r="A2" s="110"/>
      <c r="B2" s="110"/>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row>
    <row r="3" spans="1:78" ht="15.6" x14ac:dyDescent="0.3">
      <c r="A3" s="8" t="s">
        <v>38</v>
      </c>
      <c r="B3" s="8" t="s">
        <v>6</v>
      </c>
      <c r="C3" s="8" t="s">
        <v>8</v>
      </c>
      <c r="D3" s="8">
        <v>1</v>
      </c>
      <c r="E3" s="8">
        <v>2</v>
      </c>
      <c r="F3" s="8">
        <v>3</v>
      </c>
      <c r="G3" s="8">
        <v>4</v>
      </c>
      <c r="H3" s="8">
        <v>5</v>
      </c>
      <c r="I3" s="8">
        <v>6</v>
      </c>
      <c r="J3" s="8">
        <v>7</v>
      </c>
      <c r="K3" s="8">
        <v>8</v>
      </c>
      <c r="L3" s="8">
        <v>9</v>
      </c>
      <c r="M3" s="8">
        <v>10</v>
      </c>
      <c r="N3" s="8">
        <v>11</v>
      </c>
      <c r="O3" s="8">
        <v>12</v>
      </c>
      <c r="P3" s="8">
        <v>13</v>
      </c>
      <c r="Q3" s="8">
        <v>14</v>
      </c>
      <c r="R3" s="8">
        <v>15</v>
      </c>
      <c r="S3" s="8">
        <v>16</v>
      </c>
      <c r="T3" s="8">
        <v>17</v>
      </c>
      <c r="U3" s="8">
        <v>18</v>
      </c>
      <c r="V3" s="8">
        <v>19</v>
      </c>
      <c r="W3" s="8">
        <v>20</v>
      </c>
      <c r="X3" s="8">
        <v>21</v>
      </c>
      <c r="Y3" s="8">
        <v>22</v>
      </c>
      <c r="Z3" s="8">
        <v>23</v>
      </c>
      <c r="AA3" s="8">
        <v>24</v>
      </c>
      <c r="AB3" s="8">
        <v>25</v>
      </c>
      <c r="AC3" s="8">
        <v>26</v>
      </c>
      <c r="AD3" s="8">
        <v>27</v>
      </c>
      <c r="AE3" s="8">
        <v>28</v>
      </c>
      <c r="AF3" s="8">
        <v>29</v>
      </c>
      <c r="AG3" s="8">
        <v>30</v>
      </c>
      <c r="AH3" s="8">
        <v>31</v>
      </c>
      <c r="AI3" s="8">
        <v>32</v>
      </c>
      <c r="AJ3" s="8">
        <v>33</v>
      </c>
      <c r="AK3" s="8">
        <v>34</v>
      </c>
      <c r="AL3" s="8">
        <v>35</v>
      </c>
      <c r="AM3" s="8">
        <v>36</v>
      </c>
      <c r="AN3" s="8">
        <v>37</v>
      </c>
      <c r="AO3" s="8">
        <v>38</v>
      </c>
      <c r="AP3" s="8">
        <v>39</v>
      </c>
      <c r="AQ3" s="8">
        <v>40</v>
      </c>
      <c r="AR3" s="8">
        <v>41</v>
      </c>
      <c r="AS3" s="8">
        <v>42</v>
      </c>
      <c r="AT3" s="8">
        <v>43</v>
      </c>
      <c r="AU3" s="8">
        <v>44</v>
      </c>
      <c r="AV3" s="8">
        <v>45</v>
      </c>
      <c r="AW3" s="8">
        <v>46</v>
      </c>
      <c r="AX3" s="8">
        <v>47</v>
      </c>
      <c r="AY3" s="8">
        <v>48</v>
      </c>
      <c r="AZ3" s="8">
        <v>49</v>
      </c>
      <c r="BA3" s="8">
        <v>50</v>
      </c>
      <c r="BB3" s="8">
        <v>51</v>
      </c>
      <c r="BC3" s="8">
        <v>52</v>
      </c>
      <c r="BD3" s="8">
        <v>53</v>
      </c>
      <c r="BE3" s="8">
        <v>54</v>
      </c>
      <c r="BF3" s="8">
        <v>55</v>
      </c>
      <c r="BG3" s="8">
        <v>56</v>
      </c>
      <c r="BH3" s="8">
        <v>57</v>
      </c>
      <c r="BI3" s="8">
        <v>58</v>
      </c>
      <c r="BJ3" s="8">
        <v>59</v>
      </c>
      <c r="BK3" s="8">
        <v>60</v>
      </c>
      <c r="BL3" s="8">
        <v>61</v>
      </c>
      <c r="BM3" s="8">
        <v>62</v>
      </c>
      <c r="BN3" s="8">
        <v>63</v>
      </c>
      <c r="BO3" s="8">
        <v>64</v>
      </c>
      <c r="BP3" s="8">
        <v>65</v>
      </c>
      <c r="BQ3" s="8">
        <v>66</v>
      </c>
      <c r="BR3" s="8">
        <v>67</v>
      </c>
      <c r="BS3" s="8">
        <v>68</v>
      </c>
      <c r="BT3" s="8">
        <v>69</v>
      </c>
      <c r="BU3" s="8">
        <v>70</v>
      </c>
      <c r="BV3" s="8">
        <v>71</v>
      </c>
      <c r="BW3" s="8">
        <v>72</v>
      </c>
      <c r="BX3" s="8">
        <v>73</v>
      </c>
      <c r="BY3" s="8">
        <v>74</v>
      </c>
      <c r="BZ3" s="8">
        <v>75</v>
      </c>
    </row>
    <row r="4" spans="1:78" s="69" customFormat="1" ht="15.6" x14ac:dyDescent="0.3">
      <c r="A4" s="68" t="s">
        <v>48</v>
      </c>
      <c r="B4" s="68" t="s">
        <v>39</v>
      </c>
      <c r="C4" s="68">
        <v>48</v>
      </c>
      <c r="D4" s="68">
        <v>0</v>
      </c>
      <c r="E4" s="68">
        <v>1</v>
      </c>
      <c r="F4" s="68">
        <v>0</v>
      </c>
      <c r="G4" s="68">
        <v>0</v>
      </c>
      <c r="H4" s="68">
        <v>1</v>
      </c>
      <c r="I4" s="68">
        <v>0</v>
      </c>
      <c r="J4" s="68">
        <v>0</v>
      </c>
      <c r="K4" s="68">
        <v>0</v>
      </c>
      <c r="L4" s="68">
        <v>0</v>
      </c>
      <c r="M4" s="68">
        <v>1</v>
      </c>
      <c r="N4" s="68">
        <v>0</v>
      </c>
      <c r="O4" s="68">
        <v>1</v>
      </c>
      <c r="P4" s="68">
        <v>0</v>
      </c>
      <c r="Q4" s="68">
        <v>0</v>
      </c>
      <c r="R4" s="68">
        <v>1</v>
      </c>
      <c r="S4" s="68">
        <v>0</v>
      </c>
      <c r="T4" s="68">
        <v>0</v>
      </c>
      <c r="U4" s="68">
        <v>1</v>
      </c>
      <c r="V4" s="68">
        <v>0</v>
      </c>
      <c r="W4" s="68">
        <v>1</v>
      </c>
      <c r="X4" s="68">
        <v>1</v>
      </c>
      <c r="Y4" s="68">
        <v>1</v>
      </c>
      <c r="Z4" s="68">
        <v>1</v>
      </c>
      <c r="AA4" s="68">
        <v>1</v>
      </c>
      <c r="AB4" s="68">
        <v>1</v>
      </c>
      <c r="AC4" s="68">
        <v>0</v>
      </c>
      <c r="AD4" s="68">
        <v>1</v>
      </c>
      <c r="AE4" s="68">
        <v>0</v>
      </c>
      <c r="AF4" s="68">
        <v>1</v>
      </c>
      <c r="AG4" s="68">
        <v>0</v>
      </c>
      <c r="AH4" s="68">
        <v>1</v>
      </c>
      <c r="AI4" s="68">
        <v>0</v>
      </c>
      <c r="AJ4" s="68">
        <v>0</v>
      </c>
      <c r="AK4" s="68">
        <v>0</v>
      </c>
      <c r="AL4" s="68">
        <v>0</v>
      </c>
      <c r="AM4" s="68">
        <v>1</v>
      </c>
      <c r="AN4" s="68">
        <v>0</v>
      </c>
      <c r="AO4" s="68">
        <v>1</v>
      </c>
      <c r="AP4" s="68">
        <v>1</v>
      </c>
      <c r="AQ4" s="68">
        <v>1</v>
      </c>
      <c r="AR4" s="68">
        <v>0</v>
      </c>
      <c r="AS4" s="68">
        <v>1</v>
      </c>
      <c r="AT4" s="68">
        <v>0</v>
      </c>
      <c r="AU4" s="68">
        <v>0</v>
      </c>
      <c r="AV4" s="68">
        <v>1</v>
      </c>
      <c r="AW4" s="68">
        <v>1</v>
      </c>
      <c r="AX4" s="68">
        <v>1</v>
      </c>
      <c r="AY4" s="68">
        <v>1</v>
      </c>
      <c r="AZ4" s="68">
        <v>0</v>
      </c>
      <c r="BA4" s="68">
        <v>1</v>
      </c>
      <c r="BB4" s="68">
        <v>0</v>
      </c>
      <c r="BC4" s="68">
        <v>1</v>
      </c>
      <c r="BD4" s="68">
        <v>0</v>
      </c>
      <c r="BE4" s="68">
        <v>1</v>
      </c>
      <c r="BF4" s="68">
        <v>1</v>
      </c>
      <c r="BG4" s="68">
        <v>1</v>
      </c>
      <c r="BH4" s="68">
        <v>1</v>
      </c>
      <c r="BI4" s="68">
        <v>1</v>
      </c>
      <c r="BJ4" s="68">
        <v>1</v>
      </c>
      <c r="BK4" s="68">
        <v>0</v>
      </c>
      <c r="BL4" s="68">
        <v>0</v>
      </c>
      <c r="BM4" s="68">
        <v>1</v>
      </c>
      <c r="BN4" s="68">
        <v>1</v>
      </c>
      <c r="BO4" s="68">
        <v>1</v>
      </c>
      <c r="BP4" s="68">
        <v>1</v>
      </c>
      <c r="BQ4" s="68">
        <v>0</v>
      </c>
      <c r="BR4" s="68">
        <v>1</v>
      </c>
      <c r="BS4" s="68">
        <v>0</v>
      </c>
      <c r="BT4" s="68">
        <v>1</v>
      </c>
      <c r="BU4" s="68">
        <v>0</v>
      </c>
      <c r="BV4" s="68">
        <v>1</v>
      </c>
      <c r="BW4" s="68">
        <v>1</v>
      </c>
      <c r="BX4" s="68">
        <v>0</v>
      </c>
      <c r="BY4" s="68">
        <v>1</v>
      </c>
      <c r="BZ4" s="68">
        <v>1</v>
      </c>
    </row>
    <row r="5" spans="1:78" s="69" customFormat="1" ht="15.6" x14ac:dyDescent="0.3">
      <c r="A5" s="68" t="s">
        <v>48</v>
      </c>
      <c r="B5" s="68" t="s">
        <v>39</v>
      </c>
      <c r="C5" s="68">
        <v>48</v>
      </c>
      <c r="D5" s="68">
        <v>1</v>
      </c>
      <c r="E5" s="68">
        <v>1</v>
      </c>
      <c r="F5" s="68">
        <v>1</v>
      </c>
      <c r="G5" s="68">
        <v>1</v>
      </c>
      <c r="H5" s="68">
        <v>1</v>
      </c>
      <c r="I5" s="68">
        <v>1</v>
      </c>
      <c r="J5" s="68">
        <v>0</v>
      </c>
      <c r="K5" s="68">
        <v>1</v>
      </c>
      <c r="L5" s="68">
        <v>0</v>
      </c>
      <c r="M5" s="68">
        <v>1</v>
      </c>
      <c r="N5" s="68">
        <v>1</v>
      </c>
      <c r="O5" s="68">
        <v>1</v>
      </c>
      <c r="P5" s="68">
        <v>1</v>
      </c>
      <c r="Q5" s="68">
        <v>1</v>
      </c>
      <c r="R5" s="68">
        <v>1</v>
      </c>
      <c r="S5" s="68">
        <v>1</v>
      </c>
      <c r="T5" s="68">
        <v>1</v>
      </c>
      <c r="U5" s="68">
        <v>1</v>
      </c>
      <c r="V5" s="68">
        <v>1</v>
      </c>
      <c r="W5" s="68">
        <v>1</v>
      </c>
      <c r="X5" s="68">
        <v>1</v>
      </c>
      <c r="Y5" s="68">
        <v>1</v>
      </c>
      <c r="Z5" s="68">
        <v>1</v>
      </c>
      <c r="AA5" s="68">
        <v>1</v>
      </c>
      <c r="AB5" s="68">
        <v>1</v>
      </c>
      <c r="AC5" s="68">
        <v>1</v>
      </c>
      <c r="AD5" s="68">
        <v>1</v>
      </c>
      <c r="AE5" s="68">
        <v>1</v>
      </c>
      <c r="AF5" s="68">
        <v>1</v>
      </c>
      <c r="AG5" s="68">
        <v>1</v>
      </c>
      <c r="AH5" s="68">
        <v>1</v>
      </c>
      <c r="AI5" s="68">
        <v>1</v>
      </c>
      <c r="AJ5" s="68">
        <v>1</v>
      </c>
      <c r="AK5" s="68">
        <v>1</v>
      </c>
      <c r="AL5" s="68">
        <v>1</v>
      </c>
      <c r="AM5" s="68">
        <v>1</v>
      </c>
      <c r="AN5" s="68">
        <v>1</v>
      </c>
      <c r="AO5" s="68">
        <v>1</v>
      </c>
      <c r="AP5" s="68">
        <v>1</v>
      </c>
      <c r="AQ5" s="68">
        <v>1</v>
      </c>
      <c r="AR5" s="68">
        <v>1</v>
      </c>
      <c r="AS5" s="68">
        <v>1</v>
      </c>
      <c r="AT5" s="68">
        <v>1</v>
      </c>
      <c r="AU5" s="68">
        <v>1</v>
      </c>
      <c r="AV5" s="68">
        <v>1</v>
      </c>
      <c r="AW5" s="68">
        <v>1</v>
      </c>
      <c r="AX5" s="68">
        <v>1</v>
      </c>
      <c r="AY5" s="68">
        <v>1</v>
      </c>
      <c r="AZ5" s="68">
        <v>1</v>
      </c>
      <c r="BA5" s="68">
        <v>1</v>
      </c>
      <c r="BB5" s="68">
        <v>1</v>
      </c>
      <c r="BC5" s="68">
        <v>1</v>
      </c>
      <c r="BD5" s="68">
        <v>1</v>
      </c>
      <c r="BE5" s="68">
        <v>1</v>
      </c>
      <c r="BF5" s="68">
        <v>1</v>
      </c>
      <c r="BG5" s="68">
        <v>1</v>
      </c>
      <c r="BH5" s="68">
        <v>1</v>
      </c>
      <c r="BI5" s="68">
        <v>1</v>
      </c>
      <c r="BJ5" s="68">
        <v>1</v>
      </c>
      <c r="BK5" s="68">
        <v>1</v>
      </c>
      <c r="BL5" s="68">
        <v>1</v>
      </c>
      <c r="BM5" s="68">
        <v>1</v>
      </c>
      <c r="BN5" s="68">
        <v>1</v>
      </c>
      <c r="BO5" s="68">
        <v>1</v>
      </c>
      <c r="BP5" s="68">
        <v>1</v>
      </c>
      <c r="BQ5" s="68">
        <v>1</v>
      </c>
      <c r="BR5" s="68">
        <v>1</v>
      </c>
      <c r="BS5" s="68">
        <v>1</v>
      </c>
      <c r="BT5" s="68">
        <v>1</v>
      </c>
      <c r="BU5" s="68">
        <v>1</v>
      </c>
      <c r="BV5" s="68">
        <v>1</v>
      </c>
      <c r="BW5" s="68">
        <v>1</v>
      </c>
      <c r="BX5" s="68">
        <v>1</v>
      </c>
      <c r="BY5" s="68">
        <v>1</v>
      </c>
      <c r="BZ5" s="68">
        <v>1</v>
      </c>
    </row>
    <row r="6" spans="1:78" s="69" customFormat="1" ht="15.6" x14ac:dyDescent="0.3">
      <c r="A6" s="68" t="s">
        <v>48</v>
      </c>
      <c r="B6" s="68" t="s">
        <v>39</v>
      </c>
      <c r="C6" s="68">
        <v>48</v>
      </c>
      <c r="D6" s="68">
        <v>1</v>
      </c>
      <c r="E6" s="68">
        <v>1</v>
      </c>
      <c r="F6" s="68">
        <v>1</v>
      </c>
      <c r="G6" s="68">
        <v>1</v>
      </c>
      <c r="H6" s="68">
        <v>1</v>
      </c>
      <c r="I6" s="68">
        <v>1</v>
      </c>
      <c r="J6" s="68">
        <v>0</v>
      </c>
      <c r="K6" s="68">
        <v>1</v>
      </c>
      <c r="L6" s="68">
        <v>0</v>
      </c>
      <c r="M6" s="68">
        <v>1</v>
      </c>
      <c r="N6" s="68">
        <v>1</v>
      </c>
      <c r="O6" s="68">
        <v>1</v>
      </c>
      <c r="P6" s="68">
        <v>1</v>
      </c>
      <c r="Q6" s="68">
        <v>1</v>
      </c>
      <c r="R6" s="68">
        <v>1</v>
      </c>
      <c r="S6" s="68">
        <v>1</v>
      </c>
      <c r="T6" s="68">
        <v>1</v>
      </c>
      <c r="U6" s="68">
        <v>1</v>
      </c>
      <c r="V6" s="68">
        <v>1</v>
      </c>
      <c r="W6" s="68">
        <v>1</v>
      </c>
      <c r="X6" s="68">
        <v>1</v>
      </c>
      <c r="Y6" s="68">
        <v>1</v>
      </c>
      <c r="Z6" s="68">
        <v>1</v>
      </c>
      <c r="AA6" s="68">
        <v>1</v>
      </c>
      <c r="AB6" s="68">
        <v>1</v>
      </c>
      <c r="AC6" s="68">
        <v>1</v>
      </c>
      <c r="AD6" s="68">
        <v>1</v>
      </c>
      <c r="AE6" s="68">
        <v>1</v>
      </c>
      <c r="AF6" s="68">
        <v>1</v>
      </c>
      <c r="AG6" s="68">
        <v>1</v>
      </c>
      <c r="AH6" s="68">
        <v>1</v>
      </c>
      <c r="AI6" s="68">
        <v>1</v>
      </c>
      <c r="AJ6" s="68">
        <v>1</v>
      </c>
      <c r="AK6" s="68">
        <v>1</v>
      </c>
      <c r="AL6" s="68">
        <v>1</v>
      </c>
      <c r="AM6" s="68">
        <v>1</v>
      </c>
      <c r="AN6" s="68">
        <v>1</v>
      </c>
      <c r="AO6" s="68">
        <v>1</v>
      </c>
      <c r="AP6" s="68">
        <v>1</v>
      </c>
      <c r="AQ6" s="68">
        <v>1</v>
      </c>
      <c r="AR6" s="68">
        <v>1</v>
      </c>
      <c r="AS6" s="68">
        <v>1</v>
      </c>
      <c r="AT6" s="68">
        <v>1</v>
      </c>
      <c r="AU6" s="68">
        <v>1</v>
      </c>
      <c r="AV6" s="68">
        <v>1</v>
      </c>
      <c r="AW6" s="68">
        <v>1</v>
      </c>
      <c r="AX6" s="68">
        <v>1</v>
      </c>
      <c r="AY6" s="68">
        <v>1</v>
      </c>
      <c r="AZ6" s="68">
        <v>1</v>
      </c>
      <c r="BA6" s="68">
        <v>1</v>
      </c>
      <c r="BB6" s="68">
        <v>1</v>
      </c>
      <c r="BC6" s="68">
        <v>1</v>
      </c>
      <c r="BD6" s="68">
        <v>1</v>
      </c>
      <c r="BE6" s="68">
        <v>1</v>
      </c>
      <c r="BF6" s="68">
        <v>1</v>
      </c>
      <c r="BG6" s="68">
        <v>1</v>
      </c>
      <c r="BH6" s="68">
        <v>1</v>
      </c>
      <c r="BI6" s="68">
        <v>1</v>
      </c>
      <c r="BJ6" s="68">
        <v>1</v>
      </c>
      <c r="BK6" s="68">
        <v>1</v>
      </c>
      <c r="BL6" s="68">
        <v>1</v>
      </c>
      <c r="BM6" s="68">
        <v>1</v>
      </c>
      <c r="BN6" s="68">
        <v>1</v>
      </c>
      <c r="BO6" s="68">
        <v>1</v>
      </c>
      <c r="BP6" s="68">
        <v>1</v>
      </c>
      <c r="BQ6" s="68">
        <v>1</v>
      </c>
      <c r="BR6" s="68">
        <v>1</v>
      </c>
      <c r="BS6" s="68">
        <v>1</v>
      </c>
      <c r="BT6" s="68">
        <v>1</v>
      </c>
      <c r="BU6" s="68">
        <v>1</v>
      </c>
      <c r="BV6" s="68">
        <v>1</v>
      </c>
      <c r="BW6" s="68">
        <v>1</v>
      </c>
      <c r="BX6" s="68">
        <v>1</v>
      </c>
      <c r="BY6" s="68">
        <v>1</v>
      </c>
      <c r="BZ6" s="68">
        <v>1</v>
      </c>
    </row>
    <row r="7" spans="1:78" s="69" customFormat="1" ht="15.6" x14ac:dyDescent="0.3">
      <c r="A7" s="68"/>
      <c r="B7" s="68"/>
      <c r="C7" s="68"/>
      <c r="D7" s="68"/>
      <c r="E7" s="68"/>
      <c r="F7" s="68"/>
      <c r="G7" s="68"/>
      <c r="H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c r="AK7" s="68"/>
      <c r="AL7" s="68"/>
      <c r="AM7" s="68"/>
      <c r="AN7" s="68"/>
      <c r="AO7" s="68"/>
      <c r="AP7" s="68"/>
      <c r="AQ7" s="68"/>
      <c r="AR7" s="68"/>
      <c r="AS7" s="68"/>
      <c r="AT7" s="68"/>
      <c r="AU7" s="68"/>
      <c r="AV7" s="68"/>
      <c r="AW7" s="68"/>
      <c r="AX7" s="68"/>
      <c r="AY7" s="68"/>
      <c r="AZ7" s="68"/>
      <c r="BA7" s="68"/>
      <c r="BB7" s="68"/>
      <c r="BC7" s="68"/>
      <c r="BD7" s="68"/>
      <c r="BE7" s="68"/>
      <c r="BF7" s="68"/>
      <c r="BG7" s="68"/>
      <c r="BH7" s="68"/>
      <c r="BI7" s="68"/>
      <c r="BJ7" s="68"/>
      <c r="BK7" s="68"/>
      <c r="BL7" s="68"/>
      <c r="BM7" s="68"/>
      <c r="BN7" s="68"/>
      <c r="BO7" s="68"/>
      <c r="BP7" s="68"/>
      <c r="BQ7" s="68"/>
      <c r="BR7" s="68"/>
      <c r="BS7" s="68"/>
      <c r="BT7" s="68"/>
      <c r="BU7" s="68"/>
      <c r="BV7" s="68"/>
      <c r="BW7" s="68"/>
      <c r="BX7" s="68"/>
      <c r="BY7" s="68"/>
      <c r="BZ7" s="68"/>
    </row>
    <row r="8" spans="1:78" s="69" customFormat="1" ht="15.6" x14ac:dyDescent="0.3">
      <c r="A8" s="68"/>
      <c r="B8" s="68"/>
      <c r="C8" s="68"/>
      <c r="D8" s="68"/>
      <c r="E8" s="68"/>
      <c r="F8" s="68"/>
      <c r="G8" s="68"/>
      <c r="H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c r="AK8" s="68"/>
      <c r="AL8" s="68"/>
      <c r="AM8" s="68"/>
      <c r="AN8" s="68"/>
      <c r="AO8" s="68"/>
      <c r="AP8" s="68"/>
      <c r="AQ8" s="68"/>
      <c r="AR8" s="68"/>
      <c r="AS8" s="68"/>
      <c r="AT8" s="68"/>
      <c r="AU8" s="68"/>
      <c r="AV8" s="68"/>
      <c r="AW8" s="68"/>
      <c r="AX8" s="68"/>
      <c r="AY8" s="68"/>
      <c r="AZ8" s="68"/>
      <c r="BA8" s="68"/>
      <c r="BB8" s="68"/>
      <c r="BC8" s="68"/>
      <c r="BD8" s="68"/>
      <c r="BE8" s="68"/>
      <c r="BF8" s="68"/>
      <c r="BG8" s="68"/>
      <c r="BH8" s="68"/>
      <c r="BI8" s="68"/>
      <c r="BJ8" s="68"/>
      <c r="BK8" s="68"/>
      <c r="BL8" s="68"/>
      <c r="BM8" s="68"/>
      <c r="BN8" s="68"/>
      <c r="BO8" s="68"/>
      <c r="BP8" s="68"/>
      <c r="BQ8" s="68"/>
      <c r="BR8" s="68"/>
      <c r="BS8" s="68"/>
      <c r="BT8" s="68"/>
      <c r="BU8" s="68"/>
      <c r="BV8" s="68"/>
      <c r="BW8" s="68"/>
      <c r="BX8" s="68"/>
      <c r="BY8" s="68"/>
      <c r="BZ8" s="68"/>
    </row>
    <row r="9" spans="1:78" s="69" customFormat="1" ht="15.6" x14ac:dyDescent="0.3">
      <c r="A9" s="68"/>
      <c r="B9" s="68"/>
      <c r="C9" s="68"/>
      <c r="D9" s="68"/>
      <c r="E9" s="68"/>
      <c r="F9" s="68"/>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68"/>
      <c r="BD9" s="68"/>
      <c r="BE9" s="68"/>
      <c r="BF9" s="68"/>
      <c r="BG9" s="68"/>
      <c r="BH9" s="68"/>
      <c r="BI9" s="68"/>
      <c r="BJ9" s="68"/>
      <c r="BK9" s="68"/>
      <c r="BL9" s="68"/>
      <c r="BM9" s="68"/>
      <c r="BN9" s="68"/>
      <c r="BO9" s="68"/>
      <c r="BP9" s="68"/>
      <c r="BQ9" s="68"/>
      <c r="BR9" s="68"/>
      <c r="BS9" s="68"/>
      <c r="BT9" s="68"/>
      <c r="BU9" s="68"/>
      <c r="BV9" s="68"/>
      <c r="BW9" s="68"/>
      <c r="BX9" s="68"/>
      <c r="BY9" s="68"/>
      <c r="BZ9" s="68"/>
    </row>
    <row r="10" spans="1:78" s="69" customFormat="1" ht="15.6" x14ac:dyDescent="0.3">
      <c r="A10" s="68"/>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68"/>
      <c r="AY10" s="68"/>
      <c r="AZ10" s="68"/>
      <c r="BA10" s="68"/>
      <c r="BB10" s="68"/>
      <c r="BC10" s="68"/>
      <c r="BD10" s="68"/>
      <c r="BE10" s="68"/>
      <c r="BF10" s="68"/>
      <c r="BG10" s="68"/>
      <c r="BH10" s="68"/>
      <c r="BI10" s="68"/>
      <c r="BJ10" s="68"/>
      <c r="BK10" s="68"/>
      <c r="BL10" s="68"/>
      <c r="BM10" s="68"/>
      <c r="BN10" s="68"/>
      <c r="BO10" s="68"/>
      <c r="BP10" s="68"/>
      <c r="BQ10" s="68"/>
      <c r="BR10" s="68"/>
      <c r="BS10" s="68"/>
      <c r="BT10" s="68"/>
      <c r="BU10" s="68"/>
      <c r="BV10" s="68"/>
      <c r="BW10" s="68"/>
      <c r="BX10" s="68"/>
      <c r="BY10" s="68"/>
      <c r="BZ10" s="68"/>
    </row>
    <row r="11" spans="1:78" s="69" customFormat="1" ht="15.6" x14ac:dyDescent="0.3">
      <c r="A11" s="68"/>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8"/>
      <c r="AX11" s="68"/>
      <c r="AY11" s="68"/>
      <c r="AZ11" s="68"/>
      <c r="BA11" s="68"/>
      <c r="BB11" s="68"/>
      <c r="BC11" s="68"/>
      <c r="BD11" s="68"/>
      <c r="BE11" s="68"/>
      <c r="BF11" s="68"/>
      <c r="BG11" s="68"/>
      <c r="BH11" s="68"/>
      <c r="BI11" s="68"/>
      <c r="BJ11" s="68"/>
      <c r="BK11" s="68"/>
      <c r="BL11" s="68"/>
      <c r="BM11" s="68"/>
      <c r="BN11" s="68"/>
      <c r="BO11" s="68"/>
      <c r="BP11" s="68"/>
      <c r="BQ11" s="68"/>
      <c r="BR11" s="68"/>
      <c r="BS11" s="68"/>
      <c r="BT11" s="68"/>
      <c r="BU11" s="68"/>
      <c r="BV11" s="68"/>
      <c r="BW11" s="68"/>
      <c r="BX11" s="68"/>
      <c r="BY11" s="68"/>
      <c r="BZ11" s="68"/>
    </row>
    <row r="12" spans="1:78" s="69" customFormat="1" ht="15.6" x14ac:dyDescent="0.3">
      <c r="A12" s="68"/>
      <c r="B12" s="68"/>
      <c r="C12" s="68"/>
      <c r="D12" s="68"/>
      <c r="E12" s="68"/>
      <c r="F12" s="68"/>
      <c r="G12" s="68"/>
      <c r="H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c r="BV12" s="68"/>
      <c r="BW12" s="68"/>
      <c r="BX12" s="68"/>
      <c r="BY12" s="68"/>
      <c r="BZ12" s="68"/>
    </row>
    <row r="13" spans="1:78" ht="15.6"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row>
    <row r="14" spans="1:78" ht="15.6"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row>
    <row r="15" spans="1:78" ht="15.6"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row>
    <row r="16" spans="1:78" ht="15.6"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row>
    <row r="17" spans="1:78" ht="15.6"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row>
    <row r="18" spans="1:78" ht="15.6"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row>
    <row r="19" spans="1:78" ht="15.6"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row>
    <row r="20" spans="1:78" ht="15.6"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row>
    <row r="21" spans="1:78" ht="15.6"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row>
    <row r="22" spans="1:78" ht="15.6"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row>
    <row r="23" spans="1:78" ht="15.6" x14ac:dyDescent="0.3">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c r="BB23" s="7"/>
      <c r="BC23" s="7"/>
      <c r="BD23" s="7"/>
      <c r="BE23" s="7"/>
      <c r="BF23" s="7"/>
      <c r="BG23" s="7"/>
      <c r="BH23" s="7"/>
      <c r="BI23" s="7"/>
      <c r="BJ23" s="7"/>
      <c r="BK23" s="7"/>
      <c r="BL23" s="7"/>
      <c r="BM23" s="7"/>
      <c r="BN23" s="7"/>
      <c r="BO23" s="7"/>
      <c r="BP23" s="7"/>
      <c r="BQ23" s="7"/>
      <c r="BR23" s="7"/>
      <c r="BS23" s="7"/>
      <c r="BT23" s="7"/>
      <c r="BU23" s="7"/>
      <c r="BV23" s="7"/>
      <c r="BW23" s="7"/>
      <c r="BX23" s="7"/>
      <c r="BY23" s="7"/>
      <c r="BZ23" s="7"/>
    </row>
    <row r="24" spans="1:78" ht="15.6" x14ac:dyDescent="0.3">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row>
    <row r="25" spans="1:78" ht="15.6" x14ac:dyDescent="0.3">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row>
    <row r="26" spans="1:78" ht="15.6" x14ac:dyDescent="0.3">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row>
    <row r="27" spans="1:78" ht="15.6" x14ac:dyDescent="0.3">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row>
  </sheetData>
  <mergeCells count="1">
    <mergeCell ref="A1:AD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46EAB-2D11-4ECE-8C38-2A374E170EF2}">
  <sheetPr codeName="Hoja6"/>
  <dimension ref="A1:J10"/>
  <sheetViews>
    <sheetView showGridLines="0" workbookViewId="0">
      <selection activeCell="A4" sqref="A4:I4"/>
    </sheetView>
  </sheetViews>
  <sheetFormatPr baseColWidth="10" defaultColWidth="0" defaultRowHeight="14.4" x14ac:dyDescent="0.3"/>
  <cols>
    <col min="1" max="1" width="36.5546875" customWidth="1"/>
    <col min="2" max="2" width="13.44140625" customWidth="1"/>
    <col min="3" max="3" width="11.44140625" customWidth="1"/>
    <col min="4" max="8" width="27.6640625" customWidth="1"/>
    <col min="9" max="10" width="11.44140625" customWidth="1"/>
    <col min="11" max="16384" width="11.44140625" hidden="1"/>
  </cols>
  <sheetData>
    <row r="1" spans="1:9" x14ac:dyDescent="0.3">
      <c r="A1" s="111" t="s">
        <v>42</v>
      </c>
      <c r="B1" s="111"/>
      <c r="C1" s="111"/>
      <c r="D1" s="111"/>
      <c r="E1" s="111"/>
      <c r="F1" s="111"/>
      <c r="G1" s="111"/>
      <c r="H1" s="111"/>
      <c r="I1" s="111"/>
    </row>
    <row r="2" spans="1:9" x14ac:dyDescent="0.3">
      <c r="A2" s="111"/>
      <c r="B2" s="111"/>
      <c r="C2" s="111"/>
      <c r="D2" s="111"/>
      <c r="E2" s="111"/>
      <c r="F2" s="111"/>
      <c r="G2" s="111"/>
      <c r="H2" s="111"/>
      <c r="I2" s="111"/>
    </row>
    <row r="3" spans="1:9" ht="15.6" x14ac:dyDescent="0.3">
      <c r="A3" s="4" t="s">
        <v>38</v>
      </c>
      <c r="B3" s="4" t="s">
        <v>6</v>
      </c>
      <c r="C3" s="4" t="s">
        <v>8</v>
      </c>
      <c r="D3" s="4" t="s">
        <v>22</v>
      </c>
      <c r="E3" s="4" t="s">
        <v>23</v>
      </c>
      <c r="F3" s="4" t="s">
        <v>24</v>
      </c>
      <c r="G3" s="4" t="s">
        <v>31</v>
      </c>
      <c r="H3" s="4" t="s">
        <v>25</v>
      </c>
      <c r="I3" s="4" t="s">
        <v>30</v>
      </c>
    </row>
    <row r="4" spans="1:9" ht="15.6" x14ac:dyDescent="0.3">
      <c r="A4" s="7" t="s">
        <v>140</v>
      </c>
      <c r="B4" s="7" t="s">
        <v>39</v>
      </c>
      <c r="C4" s="7">
        <v>32</v>
      </c>
      <c r="D4" s="7">
        <v>2</v>
      </c>
      <c r="E4" s="7">
        <v>6</v>
      </c>
      <c r="F4" s="7">
        <v>1</v>
      </c>
      <c r="G4" s="7">
        <v>3</v>
      </c>
      <c r="H4" s="7">
        <v>9</v>
      </c>
      <c r="I4" s="7">
        <v>0</v>
      </c>
    </row>
    <row r="5" spans="1:9" ht="15.6" x14ac:dyDescent="0.3">
      <c r="A5" s="7" t="s">
        <v>48</v>
      </c>
      <c r="B5" s="7" t="s">
        <v>39</v>
      </c>
      <c r="C5" s="7">
        <v>48</v>
      </c>
      <c r="D5" s="7">
        <v>6</v>
      </c>
      <c r="E5" s="7">
        <v>9</v>
      </c>
      <c r="F5" s="7">
        <v>6</v>
      </c>
      <c r="G5" s="7">
        <v>4</v>
      </c>
      <c r="H5" s="7">
        <v>10</v>
      </c>
      <c r="I5" s="7">
        <v>0</v>
      </c>
    </row>
    <row r="6" spans="1:9" ht="15.6" x14ac:dyDescent="0.3">
      <c r="A6" s="7" t="s">
        <v>48</v>
      </c>
      <c r="B6" s="7" t="s">
        <v>39</v>
      </c>
      <c r="C6" s="7">
        <v>48</v>
      </c>
      <c r="D6" s="7">
        <v>6</v>
      </c>
      <c r="E6" s="7">
        <v>9</v>
      </c>
      <c r="F6" s="7">
        <v>6</v>
      </c>
      <c r="G6" s="7">
        <v>4</v>
      </c>
      <c r="H6" s="7">
        <v>10</v>
      </c>
      <c r="I6" s="7">
        <v>0</v>
      </c>
    </row>
    <row r="7" spans="1:9" ht="15.6" x14ac:dyDescent="0.3">
      <c r="A7" s="7" t="s">
        <v>12</v>
      </c>
      <c r="B7" s="7" t="s">
        <v>40</v>
      </c>
      <c r="C7" s="7" t="s">
        <v>13</v>
      </c>
      <c r="D7" s="7">
        <v>2</v>
      </c>
      <c r="E7" s="7">
        <v>1</v>
      </c>
      <c r="F7" s="7">
        <v>1</v>
      </c>
      <c r="G7" s="7">
        <v>2</v>
      </c>
      <c r="H7" s="7">
        <v>2</v>
      </c>
      <c r="I7" s="7">
        <v>8</v>
      </c>
    </row>
    <row r="8" spans="1:9" ht="15.6" x14ac:dyDescent="0.3">
      <c r="A8" s="7" t="s">
        <v>12</v>
      </c>
      <c r="B8" s="7" t="s">
        <v>39</v>
      </c>
      <c r="C8" s="7" t="s">
        <v>13</v>
      </c>
      <c r="D8" s="7">
        <v>2</v>
      </c>
      <c r="E8" s="7">
        <v>1</v>
      </c>
      <c r="F8" s="7">
        <v>1</v>
      </c>
      <c r="G8" s="7">
        <v>2</v>
      </c>
      <c r="H8" s="7">
        <v>2</v>
      </c>
      <c r="I8" s="7">
        <v>8</v>
      </c>
    </row>
    <row r="9" spans="1:9" ht="15.6" x14ac:dyDescent="0.3">
      <c r="A9" s="7" t="s">
        <v>12</v>
      </c>
      <c r="B9" s="7" t="s">
        <v>39</v>
      </c>
      <c r="C9" s="7" t="s">
        <v>13</v>
      </c>
      <c r="D9" s="7">
        <v>2</v>
      </c>
      <c r="E9" s="7">
        <v>1</v>
      </c>
      <c r="F9" s="7">
        <v>1</v>
      </c>
      <c r="G9" s="7">
        <v>2</v>
      </c>
      <c r="H9" s="7">
        <v>2</v>
      </c>
      <c r="I9" s="7">
        <v>8</v>
      </c>
    </row>
    <row r="10" spans="1:9" ht="15.6" x14ac:dyDescent="0.3">
      <c r="A10" s="7" t="s">
        <v>12</v>
      </c>
      <c r="B10" s="7" t="s">
        <v>39</v>
      </c>
      <c r="C10" s="7" t="s">
        <v>13</v>
      </c>
      <c r="D10" s="7">
        <v>2</v>
      </c>
      <c r="E10" s="7">
        <v>1</v>
      </c>
      <c r="F10" s="7">
        <v>1</v>
      </c>
      <c r="G10" s="7">
        <v>2</v>
      </c>
      <c r="H10" s="7">
        <v>2</v>
      </c>
      <c r="I10" s="7">
        <v>8</v>
      </c>
    </row>
  </sheetData>
  <mergeCells count="1">
    <mergeCell ref="A1: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Inicio</vt:lpstr>
      <vt:lpstr>Ingreso_Datos</vt:lpstr>
      <vt:lpstr>Perfil</vt:lpstr>
      <vt:lpstr>B_D</vt:lpstr>
      <vt:lpstr>B_P</vt:lpstr>
      <vt:lpstr>Perfil!Área_de_impresión</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Sanidad2</dc:creator>
  <cp:lastModifiedBy>Edgar Espinoza</cp:lastModifiedBy>
  <cp:revision>0</cp:revision>
  <cp:lastPrinted>2025-03-03T22:28:23Z</cp:lastPrinted>
  <dcterms:created xsi:type="dcterms:W3CDTF">2015-05-29T13:28:46Z</dcterms:created>
  <dcterms:modified xsi:type="dcterms:W3CDTF">2026-10-22T15:07:18Z</dcterms:modified>
</cp:coreProperties>
</file>