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win\Downloads\"/>
    </mc:Choice>
  </mc:AlternateContent>
  <xr:revisionPtr revIDLastSave="0" documentId="13_ncr:1_{92693B73-A54F-45FE-8014-9A1A67F6F603}" xr6:coauthVersionLast="47" xr6:coauthVersionMax="47" xr10:uidLastSave="{00000000-0000-0000-0000-000000000000}"/>
  <bookViews>
    <workbookView xWindow="-120" yWindow="-120" windowWidth="29040" windowHeight="15720" xr2:uid="{CE029121-A0A2-484C-BF79-426EC3601E0D}"/>
  </bookViews>
  <sheets>
    <sheet name="Cuadernillo" sheetId="10" r:id="rId1"/>
    <sheet name="Perfil " sheetId="6" r:id="rId2"/>
    <sheet name="Baremos" sheetId="7" r:id="rId3"/>
  </sheets>
  <definedNames>
    <definedName name="_xlpm.letraMax" hidden="1" xlm="1">#NAME?</definedName>
    <definedName name="_xlpm.maxResp" hidden="1" xlm="1">#NAME?</definedName>
    <definedName name="_xlpm.pctMax" hidden="1" xlm="1">#NAME?</definedName>
    <definedName name="_xlpm.pctResp" hidden="1" xlm="1">#NAME?</definedName>
    <definedName name="_xlpm.respA" hidden="1" xlm="1">#NAME?</definedName>
    <definedName name="_xlpm.respB" hidden="1" xlm="1">#NAME?</definedName>
    <definedName name="_xlpm.respC" hidden="1" xlm="1">#NAME?</definedName>
    <definedName name="_xlpm.respD" hidden="1" xlm="1">#NAME?</definedName>
    <definedName name="_xlpm.totalItems" hidden="1" xlm="1">#NAME?</definedName>
    <definedName name="_xlpm.totalResp" hidden="1" xlm="1">#NAME?</definedName>
    <definedName name="AA_B">Baremos!$A$5:$A$32</definedName>
    <definedName name="AA_C">Baremos!$A$38:$A$65</definedName>
    <definedName name="AAA_B">Baremos!$W$5:$W$32</definedName>
    <definedName name="AAA_C">Baremos!$W$38:$W$65</definedName>
    <definedName name="AAAA_B">Baremos!$AQ$5:$AQ$32</definedName>
    <definedName name="AAAA_C">Baremos!$AQ$38:$AQ$64</definedName>
    <definedName name="BA_B">Baremos!$B$5:$B$32</definedName>
    <definedName name="BA_C">Baremos!$B$38:$B$65</definedName>
    <definedName name="BBA_B">Baremos!$X$5:$X$32</definedName>
    <definedName name="BBA_C">Baremos!$X$38:$X$65</definedName>
    <definedName name="BBBA_B">Baremos!$AR$5:$AR$32</definedName>
    <definedName name="BBBA_C">Baremos!$AR$38:$AR$65</definedName>
    <definedName name="CA_B">Baremos!$D$5:$D$32</definedName>
    <definedName name="CA_C">Baremos!$D$38:$D$65</definedName>
    <definedName name="CCA_B">Baremos!$Z$5:$Z$32</definedName>
    <definedName name="CCA_C">Baremos!$Z$38:$Z$65</definedName>
    <definedName name="CCCA_B">Baremos!$AT$5:$AT$32</definedName>
    <definedName name="CCCA_C">Baremos!$AT$38:$AT$64</definedName>
    <definedName name="DA_B">Baremos!$C$5:$C$32</definedName>
    <definedName name="DA_C">Baremos!$C$38:$C$65</definedName>
    <definedName name="DDA_B">Baremos!$Y$5:$Y$32</definedName>
    <definedName name="DDA_C">Baremos!$Y$38:$Y$65</definedName>
    <definedName name="DDDA_B">Baremos!$AS$5:$AS$32</definedName>
    <definedName name="DDDA_C">Baremos!$AS$38:$AS$65</definedName>
    <definedName name="EA_B">Baremos!$F$5:$F$32</definedName>
    <definedName name="EA_C">Baremos!$F$38:$F$65</definedName>
    <definedName name="EEA_B">Baremos!$AB$5:$AB$32</definedName>
    <definedName name="EEA_C">Baremos!$AB$38:$AB$65</definedName>
    <definedName name="EEEA_B">Baremos!$AV$5:$AV$32</definedName>
    <definedName name="EEEA_C">Baremos!$AV$38:$AV$65</definedName>
    <definedName name="FA_B">Baremos!$E$5:$E$32</definedName>
    <definedName name="FA_C">Baremos!$E$38:$E$65</definedName>
    <definedName name="FFA_B">Baremos!$AA$5:$AA$32</definedName>
    <definedName name="FFA_C">Baremos!$AA$38:$AA$65</definedName>
    <definedName name="FFFA_B">Baremos!$AU$5:$AU$32</definedName>
    <definedName name="FFFA_C">Baremos!$AU$38:$AU$65</definedName>
    <definedName name="GA_B">Baremos!$H$5:$H$32</definedName>
    <definedName name="GA_C">Baremos!$H$38:$H$65</definedName>
    <definedName name="GGA_B">Baremos!$AD$5:$AD$32</definedName>
    <definedName name="GGA_C">Baremos!$AD$38:$AD$65</definedName>
    <definedName name="GGGA_B">Baremos!$AX$5:$AX$32</definedName>
    <definedName name="GGGA_C">Baremos!$AX$38:$AX$65</definedName>
    <definedName name="HA_B">Baremos!$G$5:$G$32</definedName>
    <definedName name="HA_C">Baremos!$G$38:$G$65</definedName>
    <definedName name="HHA_B">Baremos!$AC$5:$AC$32</definedName>
    <definedName name="HHA_C">Baremos!$AC$38:$AC$65</definedName>
    <definedName name="HHHA_B">Baremos!$AW$5:$AW$32</definedName>
    <definedName name="HHHA_C">Baremos!$AW$38:$AW$65</definedName>
    <definedName name="IA_B">Baremos!$J$5:$J$32</definedName>
    <definedName name="IA_C">Baremos!$J$38:$J$65</definedName>
    <definedName name="IIA_B">Baremos!$AF$5:$AF$32</definedName>
    <definedName name="IIA_C">Baremos!$AF$38:$AF$65</definedName>
    <definedName name="JA_B">Baremos!$I$5:$I$32</definedName>
    <definedName name="JA_C">Baremos!$I$38:$I$65</definedName>
    <definedName name="JJA_B">Baremos!$AE$5:$AE$32</definedName>
    <definedName name="JJA_C">Baremos!$AE$38:$AE$65</definedName>
    <definedName name="KA_B">Baremos!$K$5:$K$32</definedName>
    <definedName name="KA_C">Baremos!$K$38:$K$65</definedName>
    <definedName name="KKKA_B">Baremos!$BH$5:$BH$32</definedName>
    <definedName name="KKKA_C">Baremos!$BH$38:$BH$65</definedName>
    <definedName name="LA_B">Baremos!$L$5:$L$32</definedName>
    <definedName name="LA_C">Baremos!$L$38:$L$65</definedName>
    <definedName name="MA_B">Baremos!$N$5:$N$32</definedName>
    <definedName name="MA_C">Baremos!$N$38:$N$65</definedName>
    <definedName name="MMA_B">Baremos!$AH$5:$AH$32</definedName>
    <definedName name="MMA_C">Baremos!$AH$38:$AH$65</definedName>
    <definedName name="MMMA_B">Baremos!$AZ$5:$AZ$32</definedName>
    <definedName name="MMMA_C">Baremos!$AZ$38:$AZ$65</definedName>
    <definedName name="NA_B">Baremos!$M$5:$M$32</definedName>
    <definedName name="NA_C">Baremos!$M$38:$M$65</definedName>
    <definedName name="NNA_B">Baremos!$AG$5:$AG$32</definedName>
    <definedName name="NNA_C">Baremos!$AG$38:$AG$65</definedName>
    <definedName name="NNNA_B">Baremos!$AY$5:$AY$32</definedName>
    <definedName name="NNNA_C">Baremos!$AY$38:$AY$65</definedName>
    <definedName name="OA_b">Baremos!$P$5:$P$32</definedName>
    <definedName name="OA_C">Baremos!$P$38:$P$65</definedName>
    <definedName name="OOA_b">Baremos!$AJ$5:$AJ$32</definedName>
    <definedName name="OOA_C">Baremos!$AJ$38:$AJ$65</definedName>
    <definedName name="OOOA_B">Baremos!$BD$5:$BD$32</definedName>
    <definedName name="OOOA_C">Baremos!$BD$38:$BD$65</definedName>
    <definedName name="PA_b">Baremos!$O$5:$O$32</definedName>
    <definedName name="PA_C">Baremos!$O$38:$O$65</definedName>
    <definedName name="PPA_B">Baremos!$AI$5:$AI$32</definedName>
    <definedName name="PPA_C">Baremos!$AI$38:$AI$65</definedName>
    <definedName name="PPPA_B">Baremos!$BC$5:$BC$32</definedName>
    <definedName name="PPPA_C">Baremos!$BC$38:$BC$65</definedName>
    <definedName name="QA_B">Baremos!$R$5:$R$31</definedName>
    <definedName name="QA_C">Baremos!$R$38:$R$65</definedName>
    <definedName name="RA_B">Baremos!$Q$5:$Q$32</definedName>
    <definedName name="RA_C">Baremos!$Q$38:$Q$65</definedName>
    <definedName name="RRA_B">Baremos!$AN$5:$AN$32</definedName>
    <definedName name="RRA_C">Baremos!$AN$38:$AN$65</definedName>
    <definedName name="RRRA_B">Baremos!$BB$5:$BB$32</definedName>
    <definedName name="RRRA_C">Baremos!$BB$38:$BB$65</definedName>
    <definedName name="SSSA_B">Baremos!$BG$5:$BG$32</definedName>
    <definedName name="SSSA_C">Baremos!$BG$38:$BG$65</definedName>
    <definedName name="TA_B">Baremos!$T$5:$T$32</definedName>
    <definedName name="TA_C">Baremos!$T$38:$T$65</definedName>
    <definedName name="TTA_B">Baremos!$AM$5:$AM$32</definedName>
    <definedName name="TTA_C">Baremos!$AM$38:$AM$65</definedName>
    <definedName name="TTTA_B">Baremos!$BA$5:$BA$32</definedName>
    <definedName name="TTTA_C">Baremos!$BA$38:$BA$65</definedName>
    <definedName name="UA_B">Baremos!$S$5:$S$32</definedName>
    <definedName name="UA_C">Baremos!$S$38:$S$65</definedName>
    <definedName name="UUA_B">Baremos!$AP$5:$AP$32</definedName>
    <definedName name="UUA_C">Baremos!$AP$38:$AP$65</definedName>
    <definedName name="VVA_B">Baremos!$AO$5:$AO$32</definedName>
    <definedName name="VVA_C">Baremos!$AO$38:$AO$65</definedName>
    <definedName name="XA_B">Baremos!$U$5:$U$32</definedName>
    <definedName name="XA_C">Baremos!$U$38:$U$65</definedName>
    <definedName name="XXA_B">Baremos!$AL$5:$AL$32</definedName>
    <definedName name="XXA_C">Baremos!$AL$38:$AL$65</definedName>
    <definedName name="XXXA_B">Baremos!$BF$5:$BF$32</definedName>
    <definedName name="XXXA_C">Baremos!$BF$38:$BF$65</definedName>
    <definedName name="ZA_B">Baremos!$V$5:$V$32</definedName>
    <definedName name="ZA_C">Baremos!$V$38:$V$65</definedName>
    <definedName name="ZZA_b">Baremos!$AK$5:$AK$32</definedName>
    <definedName name="ZZA_C">Baremos!$AK$38:$AK$65</definedName>
    <definedName name="ZZZA_B">Baremos!$BE$5:$BE$32</definedName>
    <definedName name="ZZZA_C">Baremos!$BE$38:$BE$65</definedName>
  </definedNames>
  <calcPr calcId="191029"/>
  <customWorkbookViews>
    <customWorkbookView name="WIN uE10 - Vista personalizada" guid="{6588CA40-4688-49DF-A588-7743C3C3A0E2}" mergeInterval="0" personalView="1" maximized="1" xWindow="1" yWindow="1" windowWidth="1024" windowHeight="545" activeSheetId="0" showComments="commIndAndComment"/>
  </customWorkbookViews>
</workbook>
</file>

<file path=xl/calcChain.xml><?xml version="1.0" encoding="utf-8"?>
<calcChain xmlns="http://schemas.openxmlformats.org/spreadsheetml/2006/main">
  <c r="V47" i="10" l="1"/>
  <c r="V44" i="10"/>
  <c r="V43" i="10"/>
  <c r="F138" i="6"/>
  <c r="F134" i="6"/>
  <c r="F115" i="6"/>
  <c r="V116" i="10"/>
  <c r="V117" i="10"/>
  <c r="V101" i="10"/>
  <c r="F102" i="10" a="1"/>
  <c r="F102" i="10" s="1"/>
  <c r="V102" i="10"/>
  <c r="F130" i="6" l="1"/>
  <c r="F96" i="6"/>
  <c r="Z5" i="6"/>
  <c r="Q5" i="6"/>
  <c r="L5" i="6"/>
  <c r="K3" i="6"/>
  <c r="V45" i="10"/>
  <c r="V46" i="10"/>
  <c r="V48" i="10"/>
  <c r="V49" i="10"/>
  <c r="V50" i="10"/>
  <c r="V51" i="10"/>
  <c r="V52" i="10"/>
  <c r="V53" i="10"/>
  <c r="V54" i="10"/>
  <c r="V55" i="10"/>
  <c r="V56" i="10"/>
  <c r="V57" i="10"/>
  <c r="V58" i="10"/>
  <c r="V59" i="10"/>
  <c r="V60" i="10"/>
  <c r="V61" i="10"/>
  <c r="V62" i="10"/>
  <c r="V63" i="10"/>
  <c r="V64" i="10"/>
  <c r="V65" i="10"/>
  <c r="V66" i="10"/>
  <c r="V67" i="10"/>
  <c r="V68" i="10"/>
  <c r="V69" i="10"/>
  <c r="V70" i="10"/>
  <c r="V71" i="10"/>
  <c r="V72" i="10"/>
  <c r="V73" i="10"/>
  <c r="V74" i="10"/>
  <c r="V75" i="10"/>
  <c r="V76" i="10"/>
  <c r="V77" i="10"/>
  <c r="V78" i="10"/>
  <c r="V79" i="10"/>
  <c r="V80" i="10"/>
  <c r="V81" i="10"/>
  <c r="V82" i="10"/>
  <c r="V83" i="10"/>
  <c r="V84" i="10"/>
  <c r="V85" i="10"/>
  <c r="V86" i="10"/>
  <c r="V87" i="10"/>
  <c r="V88" i="10"/>
  <c r="V89" i="10"/>
  <c r="V90" i="10"/>
  <c r="V91" i="10"/>
  <c r="V92" i="10"/>
  <c r="V93" i="10"/>
  <c r="V94" i="10"/>
  <c r="V95" i="10"/>
  <c r="V96" i="10"/>
  <c r="V97" i="10"/>
  <c r="V98" i="10"/>
  <c r="V99" i="10"/>
  <c r="V100" i="10"/>
  <c r="V103" i="10"/>
  <c r="V104" i="10"/>
  <c r="V105" i="10"/>
  <c r="V106" i="10"/>
  <c r="V107" i="10"/>
  <c r="V108" i="10"/>
  <c r="V109" i="10"/>
  <c r="V110" i="10"/>
  <c r="V111" i="10"/>
  <c r="V112" i="10"/>
  <c r="V113" i="10"/>
  <c r="V114" i="10"/>
  <c r="V115" i="10"/>
  <c r="V118" i="10"/>
  <c r="V119" i="10"/>
  <c r="V120" i="10"/>
  <c r="V121" i="10"/>
  <c r="V122" i="10"/>
  <c r="V123" i="10"/>
  <c r="V124" i="10"/>
  <c r="V125" i="10"/>
  <c r="V126" i="10"/>
  <c r="V127" i="10"/>
  <c r="V128" i="10"/>
  <c r="V129" i="10"/>
  <c r="V130" i="10"/>
  <c r="V131" i="10"/>
  <c r="V132" i="10"/>
  <c r="V133" i="10"/>
  <c r="V134" i="10"/>
  <c r="V135" i="10"/>
  <c r="V136" i="10"/>
  <c r="V137" i="10"/>
  <c r="V138" i="10"/>
  <c r="V139" i="10"/>
  <c r="V140" i="10"/>
  <c r="V141" i="10"/>
  <c r="V142" i="10"/>
  <c r="V143" i="10"/>
  <c r="V144" i="10"/>
  <c r="V145" i="10"/>
  <c r="V146" i="10"/>
  <c r="V147" i="10"/>
  <c r="V148" i="10"/>
  <c r="V149" i="10"/>
  <c r="V150" i="10"/>
  <c r="V151" i="10"/>
  <c r="V152" i="10"/>
  <c r="V153" i="10"/>
  <c r="V154" i="10"/>
  <c r="V155" i="10"/>
  <c r="V156" i="10"/>
  <c r="V157" i="10"/>
  <c r="V158" i="10"/>
  <c r="V159" i="10"/>
  <c r="V160" i="10"/>
  <c r="V161" i="10"/>
  <c r="V162" i="10"/>
  <c r="V163" i="10"/>
  <c r="V164" i="10"/>
  <c r="V165" i="10"/>
  <c r="V166" i="10"/>
  <c r="V167" i="10"/>
  <c r="V168" i="10"/>
  <c r="V169" i="10"/>
  <c r="V170" i="10"/>
  <c r="V171" i="10"/>
  <c r="V172" i="10"/>
  <c r="V173" i="10"/>
  <c r="V174" i="10"/>
  <c r="V175" i="10"/>
  <c r="V176" i="10"/>
  <c r="V177" i="10"/>
  <c r="V178" i="10"/>
  <c r="V179" i="10"/>
  <c r="V180" i="10"/>
  <c r="V181" i="10"/>
  <c r="V182" i="10"/>
  <c r="V183" i="10"/>
  <c r="V184" i="10"/>
  <c r="V185" i="10"/>
  <c r="V186" i="10"/>
  <c r="V187" i="10"/>
  <c r="V188" i="10"/>
  <c r="V189" i="10"/>
  <c r="V190" i="10"/>
  <c r="V191" i="10"/>
  <c r="V192" i="10"/>
  <c r="V193" i="10"/>
  <c r="V194" i="10"/>
  <c r="V195" i="10"/>
  <c r="V196" i="10"/>
  <c r="V197" i="10"/>
  <c r="V198" i="10"/>
  <c r="V199" i="10"/>
  <c r="V200" i="10"/>
  <c r="V201" i="10"/>
  <c r="V202" i="10"/>
  <c r="V203" i="10"/>
  <c r="V204" i="10"/>
  <c r="V205" i="10"/>
  <c r="V206" i="10"/>
  <c r="V207" i="10"/>
  <c r="V208" i="10"/>
  <c r="V209" i="10"/>
  <c r="V210" i="10"/>
  <c r="V211" i="10"/>
  <c r="V212" i="10"/>
  <c r="V213" i="10"/>
  <c r="V214" i="10"/>
  <c r="V215" i="10"/>
  <c r="V216" i="10"/>
  <c r="V217" i="10"/>
  <c r="V218" i="10"/>
  <c r="V219" i="10"/>
  <c r="V220" i="10"/>
  <c r="V221" i="10"/>
  <c r="V222" i="10"/>
  <c r="F102" i="6" l="1" a="1"/>
  <c r="F102" i="6" s="1"/>
  <c r="F120" i="6"/>
  <c r="F127" i="6"/>
  <c r="F98" i="6"/>
  <c r="F140" i="6"/>
  <c r="AA57" i="10"/>
  <c r="AA60" i="10"/>
  <c r="O48" i="6"/>
  <c r="AA48" i="10"/>
  <c r="O28" i="6"/>
  <c r="AA59" i="10"/>
  <c r="AA46" i="10"/>
  <c r="AA71" i="10"/>
  <c r="O31" i="6"/>
  <c r="O86" i="6"/>
  <c r="O18" i="6"/>
  <c r="AA62" i="10"/>
  <c r="O38" i="6"/>
  <c r="AA70" i="10"/>
  <c r="O43" i="6"/>
  <c r="AA50" i="10"/>
  <c r="O71" i="6"/>
  <c r="AA45" i="10"/>
  <c r="O68" i="6"/>
  <c r="O78" i="6"/>
  <c r="AA53" i="10"/>
  <c r="O53" i="6"/>
  <c r="AA63" i="10"/>
  <c r="O26" i="6"/>
  <c r="O51" i="6"/>
  <c r="O21" i="6"/>
  <c r="O36" i="6"/>
  <c r="O81" i="6"/>
  <c r="O46" i="6"/>
  <c r="AA47" i="10"/>
  <c r="O41" i="6"/>
  <c r="O83" i="6"/>
  <c r="AA55" i="10"/>
  <c r="O88" i="6"/>
  <c r="AA61" i="10"/>
  <c r="AA49" i="10"/>
  <c r="AA69" i="10"/>
  <c r="AA72" i="10"/>
  <c r="O73" i="6"/>
  <c r="AA68" i="10"/>
  <c r="AA51" i="10"/>
  <c r="O56" i="6"/>
  <c r="AA56" i="10"/>
  <c r="AA44" i="10"/>
  <c r="AA58" i="10"/>
  <c r="O66" i="6"/>
  <c r="AA54" i="10"/>
  <c r="O16" i="6"/>
  <c r="O76" i="6"/>
  <c r="AA52" i="10"/>
  <c r="AA64" i="10"/>
  <c r="AA65" i="10"/>
  <c r="AA66" i="10"/>
  <c r="AA67" i="10"/>
  <c r="O23" i="6"/>
  <c r="O61" i="6"/>
  <c r="O33" i="6"/>
  <c r="O63" i="6"/>
  <c r="O58" i="6"/>
  <c r="AA73" i="10"/>
  <c r="AV48" i="6"/>
  <c r="BB48" i="6" s="1"/>
  <c r="AV46" i="6"/>
  <c r="BB46" i="6" s="1"/>
  <c r="AV43" i="6"/>
  <c r="BB43" i="6" s="1"/>
  <c r="AV41" i="6"/>
  <c r="BB41" i="6" s="1"/>
  <c r="AV38" i="6"/>
  <c r="BB38" i="6" s="1"/>
  <c r="AV36" i="6"/>
  <c r="BB36" i="6" s="1"/>
  <c r="AV33" i="6"/>
  <c r="BB33" i="6" s="1"/>
  <c r="AV31" i="6"/>
  <c r="BB31" i="6" s="1"/>
  <c r="AV28" i="6"/>
  <c r="BB28" i="6" s="1"/>
  <c r="AV26" i="6"/>
  <c r="BB26" i="6" s="1"/>
  <c r="AV23" i="6"/>
  <c r="BB23" i="6" s="1"/>
  <c r="AV21" i="6"/>
  <c r="BB21" i="6" s="1"/>
  <c r="AV18" i="6"/>
  <c r="BB18" i="6" s="1"/>
  <c r="AV16" i="6"/>
  <c r="BB16" i="6" s="1"/>
  <c r="AV14" i="6"/>
  <c r="BB14" i="6" s="1"/>
  <c r="Q33" i="6" a="1"/>
  <c r="Q51" i="6" a="1"/>
  <c r="Q56" i="6" a="1"/>
  <c r="Q46" i="6" a="1"/>
  <c r="Q61" i="6" a="1"/>
  <c r="Q53" i="6" a="1"/>
  <c r="Q43" i="6" a="1"/>
  <c r="Q63" i="6" a="1"/>
  <c r="Q83" i="6" a="1"/>
  <c r="Q21" i="6" a="1"/>
  <c r="Q71" i="6" a="1"/>
  <c r="Q76" i="6" a="1"/>
  <c r="Q48" i="6" a="1"/>
  <c r="Q86" i="6" a="1"/>
  <c r="Q88" i="6" a="1"/>
  <c r="Q23" i="6" a="1"/>
  <c r="Q31" i="6" a="1"/>
  <c r="Q68" i="6" a="1"/>
  <c r="Q73" i="6" a="1"/>
  <c r="Q78" i="6" a="1"/>
  <c r="Q41" i="6" a="1"/>
  <c r="Q66" i="6" a="1"/>
  <c r="Q18" i="6" a="1"/>
  <c r="Q16" i="6" a="1"/>
  <c r="Q28" i="6" a="1"/>
  <c r="Q38" i="6" a="1"/>
  <c r="Q81" i="6" a="1"/>
  <c r="Q36" i="6" a="1"/>
  <c r="Q58" i="6" a="1"/>
  <c r="Q26" i="6" a="1"/>
  <c r="Q51" i="6" l="1"/>
  <c r="Q41" i="6"/>
  <c r="Q66" i="6"/>
  <c r="Q38" i="6"/>
  <c r="Q56" i="6"/>
  <c r="Q81" i="6"/>
  <c r="Q28" i="6"/>
  <c r="Q76" i="6"/>
  <c r="Q63" i="6"/>
  <c r="Q31" i="6"/>
  <c r="Q83" i="6"/>
  <c r="Q78" i="6"/>
  <c r="Q23" i="6"/>
  <c r="Q68" i="6"/>
  <c r="Q53" i="6"/>
  <c r="Q21" i="6"/>
  <c r="Q18" i="6"/>
  <c r="Q88" i="6"/>
  <c r="Q16" i="6"/>
  <c r="AO16" i="6" s="1"/>
  <c r="Q48" i="6"/>
  <c r="Q71" i="6"/>
  <c r="Q46" i="6"/>
  <c r="Q61" i="6"/>
  <c r="Q33" i="6"/>
  <c r="Q36" i="6"/>
  <c r="Q86" i="6"/>
  <c r="Q26" i="6"/>
  <c r="Q58" i="6"/>
  <c r="Q43" i="6"/>
  <c r="Q73" i="6"/>
  <c r="AO41" i="6" l="1"/>
  <c r="AO34" i="6"/>
  <c r="AO22" i="6"/>
  <c r="AO38" i="6"/>
  <c r="AO29" i="6"/>
  <c r="AO21" i="6"/>
  <c r="AO39" i="6"/>
  <c r="AO45" i="6"/>
  <c r="AO27" i="6"/>
  <c r="AO32" i="6"/>
  <c r="AO18" i="6"/>
  <c r="AO37" i="6"/>
  <c r="AO26" i="6"/>
  <c r="AO23" i="6"/>
  <c r="AO43" i="6"/>
  <c r="AO28" i="6"/>
  <c r="AO35" i="6"/>
  <c r="AO40" i="6"/>
  <c r="AO42" i="6"/>
  <c r="AO17" i="6"/>
  <c r="AO33" i="6"/>
  <c r="AO25" i="6"/>
  <c r="AO20" i="6"/>
  <c r="AO31" i="6"/>
  <c r="AO36" i="6"/>
  <c r="AO44" i="6"/>
  <c r="AO24" i="6"/>
  <c r="AO19" i="6"/>
  <c r="AO30" i="6"/>
  <c r="AU48" i="6"/>
  <c r="AW48" i="6" s="1"/>
  <c r="BC14" i="6"/>
  <c r="BD14" i="6" s="1"/>
  <c r="BC28" i="6"/>
  <c r="BD28" i="6" s="1"/>
  <c r="BC18" i="6"/>
  <c r="BD18" i="6" s="1"/>
  <c r="BC31" i="6"/>
  <c r="BD31" i="6" s="1"/>
  <c r="BC21" i="6"/>
  <c r="BD21" i="6" s="1"/>
  <c r="BC33" i="6"/>
  <c r="BD33" i="6" s="1"/>
  <c r="AU23" i="6"/>
  <c r="AW23" i="6" s="1"/>
  <c r="BC38" i="6"/>
  <c r="BD38" i="6" s="1"/>
  <c r="BC26" i="6"/>
  <c r="BD26" i="6" s="1"/>
  <c r="AU33" i="6"/>
  <c r="AW33" i="6" s="1"/>
  <c r="AU28" i="6"/>
  <c r="AW28" i="6" s="1"/>
  <c r="AU43" i="6"/>
  <c r="AW43" i="6" s="1"/>
  <c r="AU46" i="6"/>
  <c r="AW46" i="6" s="1"/>
  <c r="BC48" i="6"/>
  <c r="BD48" i="6" s="1"/>
  <c r="BC41" i="6"/>
  <c r="BD41" i="6" s="1"/>
  <c r="AU14" i="6"/>
  <c r="AW14" i="6" s="1"/>
  <c r="AU36" i="6"/>
  <c r="AW36" i="6" s="1"/>
  <c r="BC23" i="6"/>
  <c r="BD23" i="6" s="1"/>
  <c r="AU26" i="6"/>
  <c r="AW26" i="6" s="1"/>
  <c r="AU21" i="6"/>
  <c r="AW21" i="6" s="1"/>
  <c r="BC16" i="6"/>
  <c r="BD16" i="6" s="1"/>
  <c r="BC43" i="6"/>
  <c r="BD43" i="6" s="1"/>
  <c r="AU16" i="6"/>
  <c r="AW16" i="6" s="1"/>
  <c r="BC36" i="6"/>
  <c r="BD36" i="6" s="1"/>
  <c r="AU31" i="6"/>
  <c r="AW31" i="6" s="1"/>
  <c r="AU18" i="6"/>
  <c r="AW18" i="6" s="1"/>
  <c r="AU41" i="6"/>
  <c r="AW41" i="6" s="1"/>
  <c r="AU38" i="6"/>
  <c r="AW38" i="6" s="1"/>
  <c r="BC46" i="6"/>
  <c r="BD46" i="6" s="1"/>
  <c r="AT18" i="6" l="1"/>
  <c r="AT23" i="6"/>
  <c r="AT36" i="6"/>
  <c r="AT21" i="6"/>
  <c r="AT31" i="6"/>
  <c r="AT41" i="6"/>
  <c r="AT16" i="6"/>
  <c r="AT46" i="6"/>
  <c r="AT38" i="6"/>
  <c r="AT26" i="6"/>
  <c r="AT48" i="6"/>
  <c r="AT28" i="6"/>
  <c r="AT33" i="6"/>
  <c r="AT14" i="6"/>
  <c r="AT43" i="6"/>
  <c r="AV88" i="6" l="1"/>
  <c r="BB88" i="6" s="1"/>
  <c r="AY83" i="6"/>
  <c r="AW88" i="6"/>
  <c r="AV61" i="6"/>
  <c r="BB61" i="6" s="1"/>
  <c r="AX68" i="6"/>
  <c r="AY66" i="6"/>
  <c r="AW63" i="6"/>
  <c r="AW68" i="6"/>
  <c r="AW86" i="6"/>
  <c r="AW78" i="6"/>
  <c r="AY63" i="6"/>
  <c r="AV73" i="6"/>
  <c r="BB73" i="6" s="1"/>
  <c r="AW76" i="6"/>
  <c r="AY86" i="6"/>
  <c r="AV66" i="6"/>
  <c r="AV56" i="6"/>
  <c r="BB56" i="6" s="1"/>
  <c r="AV53" i="6"/>
  <c r="AY78" i="6"/>
  <c r="AW56" i="6"/>
  <c r="AW81" i="6"/>
  <c r="AW58" i="6"/>
  <c r="AV78" i="6"/>
  <c r="BB78" i="6" s="1"/>
  <c r="AX76" i="6"/>
  <c r="AX56" i="6"/>
  <c r="AY56" i="6"/>
  <c r="AV76" i="6"/>
  <c r="BB76" i="6" s="1"/>
  <c r="AV71" i="6"/>
  <c r="BB71" i="6" s="1"/>
  <c r="AX73" i="6"/>
  <c r="AX71" i="6"/>
  <c r="AY76" i="6"/>
  <c r="AX81" i="6"/>
  <c r="AV58" i="6"/>
  <c r="BB58" i="6" s="1"/>
  <c r="AX78" i="6"/>
  <c r="AY68" i="6"/>
  <c r="AX83" i="6"/>
  <c r="AY61" i="6"/>
  <c r="AX53" i="6"/>
  <c r="AW61" i="6"/>
  <c r="AV86" i="6"/>
  <c r="BB86" i="6" s="1"/>
  <c r="AV68" i="6"/>
  <c r="BB68" i="6" s="1"/>
  <c r="AX63" i="6"/>
  <c r="AW73" i="6"/>
  <c r="AY88" i="6"/>
  <c r="AY53" i="6"/>
  <c r="AX58" i="6"/>
  <c r="AW83" i="6"/>
  <c r="AX86" i="6"/>
  <c r="AV81" i="6"/>
  <c r="BB81" i="6" s="1"/>
  <c r="AX61" i="6"/>
  <c r="AY58" i="6"/>
  <c r="AX88" i="6"/>
  <c r="AW53" i="6"/>
  <c r="AX66" i="6"/>
  <c r="AV63" i="6"/>
  <c r="BB63" i="6" s="1"/>
  <c r="AY73" i="6"/>
  <c r="AY71" i="6"/>
  <c r="AW71" i="6"/>
  <c r="AW66" i="6"/>
  <c r="AV83" i="6"/>
  <c r="BB83" i="6" s="1"/>
  <c r="AY81" i="6"/>
  <c r="F113" i="6" l="1"/>
  <c r="F111" i="6"/>
  <c r="F105" i="6"/>
  <c r="BB66" i="6"/>
  <c r="BA53" i="6"/>
  <c r="BA61" i="6"/>
  <c r="BA71" i="6"/>
  <c r="BA66" i="6"/>
  <c r="BA86" i="6"/>
  <c r="BA73" i="6"/>
  <c r="AZ61" i="6"/>
  <c r="AZ86" i="6"/>
  <c r="AZ66" i="6"/>
  <c r="AZ76" i="6"/>
  <c r="AZ73" i="6"/>
  <c r="BA76" i="6"/>
  <c r="AZ88" i="6"/>
  <c r="AZ53" i="6"/>
  <c r="BA78" i="6"/>
  <c r="BA56" i="6"/>
  <c r="BB53" i="6"/>
  <c r="F109" i="6" s="1"/>
  <c r="AZ56" i="6"/>
  <c r="AZ71" i="6"/>
  <c r="BA83" i="6"/>
  <c r="BA88" i="6"/>
  <c r="BA63" i="6"/>
  <c r="AZ68" i="6"/>
  <c r="AZ63" i="6"/>
  <c r="AZ78" i="6"/>
  <c r="BA68" i="6"/>
  <c r="BA81" i="6"/>
  <c r="AZ58" i="6"/>
  <c r="AZ81" i="6"/>
  <c r="BA58" i="6"/>
  <c r="AZ83" i="6"/>
  <c r="F132" i="6" l="1"/>
  <c r="F122" i="6"/>
  <c r="F124" i="6"/>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<sst xmlns="http://schemas.openxmlformats.org/spreadsheetml/2006/main" count="576" uniqueCount="340">
  <si>
    <t>PC</t>
  </si>
  <si>
    <t>A</t>
  </si>
  <si>
    <t>B</t>
  </si>
  <si>
    <t>C</t>
  </si>
  <si>
    <t>D</t>
  </si>
  <si>
    <t>X</t>
  </si>
  <si>
    <t>Ser astrónomo</t>
  </si>
  <si>
    <t>Cientifico</t>
  </si>
  <si>
    <t>Ac</t>
  </si>
  <si>
    <t>Pr</t>
  </si>
  <si>
    <t>PD</t>
  </si>
  <si>
    <t>Pc</t>
  </si>
  <si>
    <t>Tecnico</t>
  </si>
  <si>
    <t>Sanidad</t>
  </si>
  <si>
    <t>Cientifico Social / Humanidades</t>
  </si>
  <si>
    <t>Juridico Social</t>
  </si>
  <si>
    <t xml:space="preserve">Comunicación informacion </t>
  </si>
  <si>
    <t xml:space="preserve">Psicopedagogico </t>
  </si>
  <si>
    <t>Empresarial/Administrativo/ Comercial</t>
  </si>
  <si>
    <t>Informatica</t>
  </si>
  <si>
    <t>Agrario/Agropecuario/Ambiental</t>
  </si>
  <si>
    <t>Artistico- Plastico/ Artesania Moda</t>
  </si>
  <si>
    <t>Artistico Musical/ Espectaculo</t>
  </si>
  <si>
    <t xml:space="preserve">Deportivo </t>
  </si>
  <si>
    <t>Turismo y hoteleria</t>
  </si>
  <si>
    <t xml:space="preserve">Campos profesionales </t>
  </si>
  <si>
    <t>Fuerzas Armadas/Seguridad/Proteccion</t>
  </si>
  <si>
    <t>Apagar incendios o prevenirlos, proteger o salvar a las personas en los mismos.</t>
  </si>
  <si>
    <t>Ser ingeniero en Electrónica.</t>
  </si>
  <si>
    <t>Realizar tareas de especialista en diversos campos de la Informática; llevar a cabo trabajos de programación, análisis y arquitectura de computadores.</t>
  </si>
  <si>
    <t>Trabajar como publicista.</t>
  </si>
  <si>
    <t>Asesorar y tratar a las personas con problemas de alimentación, elaborando la dieta adecuada para cada paciente.</t>
  </si>
  <si>
    <t>Ser criminólogo.</t>
  </si>
  <si>
    <t>Proyectar edificios y supervisar la construcción de los mismos; proyectar el desarrollo de zonas urbanas; participar en la ordenación estética de jardines.</t>
  </si>
  <si>
    <t>Ser gestor administrativo.</t>
  </si>
  <si>
    <t>Conservar y restaurar bienes culturales (esculturas, cuadros, elementos arqueológicos, documentos, etc.) sin alterarlos.</t>
  </si>
  <si>
    <t>Trabajar como técnico en animación turística.</t>
  </si>
  <si>
    <t>Rescatar a personas que se encuentren en situaciones problemáticas en el mar, ríos, pantanos, etc. Practicarles los primeros auxilios.</t>
  </si>
  <si>
    <t>Ser ingeniero de montes</t>
  </si>
  <si>
    <t>Buscar y redactar noticias para publicarlas en la prensa escrita o para difundirlas por radio, televisión u otros medios.</t>
  </si>
  <si>
    <t>Trabajar como restaurador de bienes culturales</t>
  </si>
  <si>
    <t>Formar parte de una orquesta o actuar como solista tocando un instrumento musical (piano, violín, guitarra, etc.)</t>
  </si>
  <si>
    <t>Ser bombero.</t>
  </si>
  <si>
    <t>Analizar e investigar la actuación del hombre en sus aspectos social y evolutivo a lo largo del tiempo y difundir estas investigaciones como profesor o escribiendo artículos o libros.</t>
  </si>
  <si>
    <t>Ser ingeniero en Informática.</t>
  </si>
  <si>
    <t>Dar recitales o conciertos interpretando canciones clásicas o modernas, actuando como solista o formando parte de un grupo.</t>
  </si>
  <si>
    <t>Trabajar en Comunicación audiovisual.</t>
  </si>
  <si>
    <t>Representar a empresas, trabajadores o particulares ante los tribunales de lo social. Trabajaren asuntos relacionados con la búsqueda de empleo, organización del trabajo o gestión de personal.</t>
  </si>
  <si>
    <t>Trabajar como técnico en turismo.</t>
  </si>
  <si>
    <t>Aplicar los conocimientos informáticos sobre sistemas operativos y tecnología de la programación en la realización de software de gestión para empresas. Analizar proyectos informáticos para las mismas.</t>
  </si>
  <si>
    <t>Ser músico instrumentista</t>
  </si>
  <si>
    <t>Trabajar como animador de actividades físicas y deportivas.</t>
  </si>
  <si>
    <t>Intervenir ante los tribunales de justicia en nombre de la ley, representando a una persona o al estado. Asesorar y defender a personas o entidades en todo lo relativo a sus intereses jurídicos.</t>
  </si>
  <si>
    <t>Trabajar como técnico en información turística.</t>
  </si>
  <si>
    <t>Organizar explotaciones agrícolas o agropecuarias para obtener mejores variedades de vegetales y mejorar las razas animales. Proyectar maquinaria agrícola.</t>
  </si>
  <si>
    <t>Trabajar en el campo de los Recursos Humanos.</t>
  </si>
  <si>
    <t>Establecer comunidades de propietarios, participando en la elaboración de sus estatutos, asistir a las reuniones de las mismas y elaborar las actas. Formalizar contratos.</t>
  </si>
  <si>
    <t>Trabajar como técnico superior en restauración.</t>
  </si>
  <si>
    <t>Dirigir la realización material en las obras de construcción de edificios y controlar los materiales empleados en estas. Hacer que las obras se ajusten al proyecto.</t>
  </si>
  <si>
    <t>Trabajar como profesional de las Ciencias de la Actividad Física.</t>
  </si>
  <si>
    <t>Ser administrador de fincas</t>
  </si>
  <si>
    <t>Organizar actividades físicas o deportivas, enseñar juegos o actividades físicas en centros escolares, centros de salud, etc., adaptándolas a las características de los participantes.</t>
  </si>
  <si>
    <t>Ser musicólogo</t>
  </si>
  <si>
    <t>Trabajar en la educación de adultos, utilizando recursos didácticos y nuevas tecnologías o en la integración social de personas desadaptadas o discapacitados físicos o psíquicos.</t>
  </si>
  <si>
    <t>Ser ingeniero técnico en Informática de Gestión</t>
  </si>
  <si>
    <t>Dedicarse a la conservación de recursos naturales, aplicando conocimientos científicos sobre el medio ambiente y sus bases físicas y químicas. Analizar los fenómenos meteorológicos y realizar predicciones.</t>
  </si>
  <si>
    <t>Ser economista</t>
  </si>
  <si>
    <t>Trabajar en explotaciones ganaderas ocupándose de la alimentación e higiene de los animales destinados a la producción de alimentos (leche, carne, etc.)</t>
  </si>
  <si>
    <t>Ejercer la profesión de historiador.</t>
  </si>
  <si>
    <t>Realizar, en el Ejército, trabajos de especialista en mecánica, electricidad, electrónica, automoción, etc.</t>
  </si>
  <si>
    <t>Trabajar como técnico superior en administración de sistemas informáticos.</t>
  </si>
  <si>
    <t>Aplicar los conocimientos profesionales para registrar, reproducir y captar sonidos en producciones musicales o de espectáculos de cualquier tipo, garantizando una buena calidad técnica.</t>
  </si>
  <si>
    <t>Ser cantante.</t>
  </si>
  <si>
    <t>Realizar trámites (seguros, permisos de conducir, de armas, etc.) para empresas o particulares.</t>
  </si>
  <si>
    <t>Ser veterinario.</t>
  </si>
  <si>
    <t>Aplicar conocimientos de Informática, Electrónica y Telecomunicaciones para el tratamiento gráfico de datos.</t>
  </si>
  <si>
    <t>Ser controlador aéreo.</t>
  </si>
  <si>
    <t>Enseñar a alumnos con necesidades especiales (físicas o psíquicas), valorando la situación de cada alumno para adaptar a ese dato la enseñanza.</t>
  </si>
  <si>
    <t>Trabajar como técnico superior en alojamiento.</t>
  </si>
  <si>
    <t>Estudiar los seres vivos y realizar trabajos en campos como la Botánica, la Zoología o la Genética. Aplicar sus conocimientos en diversas industrias (sanitaria, alimentación, conservera, etc.).</t>
  </si>
  <si>
    <t>Ser dibujante, ilustrador de publicaciones</t>
  </si>
  <si>
    <t>Bailar en representaciones públicas, interpretando danza clásica o moderna, en teatros, festivales, etc.</t>
  </si>
  <si>
    <t>Realizar trabajos de informática aplicada a las comunicaciones.</t>
  </si>
  <si>
    <t>Trabajar como técnico en explotaciones ganaderas.</t>
  </si>
  <si>
    <t>Estudiar la Tierra y sus componentes. Tratar de localizar recursos naturales, como petróleo, gases y otros minerales, para su explotación.</t>
  </si>
  <si>
    <t>Trabajar como maestro especialista en Educación Física.</t>
  </si>
  <si>
    <t>Utilizar los conocimientos sobre masaje y anatomía humana para ayudar a los deportistas a recuperarse de las lesiones relacionadas con su actividad deportiva.</t>
  </si>
  <si>
    <t>Trabajar como vigilante jurado</t>
  </si>
  <si>
    <t>Cooperar en la educación de niños de O a 3  años contribuyendo a la mejora de sus hábitos de alimentación, higiene y seguridad y favoreciendo el desarrollo de su autonomía.</t>
  </si>
  <si>
    <t>Ser oficial de carrera del Ejército.</t>
  </si>
  <si>
    <t>Trabajar en centros de cultivo de especies acuáticas vegetales o animales (acuicultura). Investigar para la conservación y preservación de recursos marinos.</t>
  </si>
  <si>
    <t>Trabajar en el ámbito de las Ciencias Actuariales y Financieras.</t>
  </si>
  <si>
    <t>Aplicar conocimientos científicos trabajando en laboratorios donde se preparan medicamentos. Atender un establecimiento de farmacia, informando a los clientes sobre los efectos de los medicamentos y su utilización.</t>
  </si>
  <si>
    <t>Ser geólogo.</t>
  </si>
  <si>
    <t>Elaborar la información para presentarla en los medios de comunicación audiovisual.</t>
  </si>
  <si>
    <t>Ser un profesional dedicado a las Ciencias del Mar</t>
  </si>
  <si>
    <t>Desarrollar proyectos o trabajos de electrónica aplicada a la industria, como robotización, organización de plantas industriales o diseño de circuitos electrónicos.</t>
  </si>
  <si>
    <t>Trabajar como diseñador de interiores.</t>
  </si>
  <si>
    <t>Potenciar los espacios naturales y su utilización y tomar decisiones sobre la conservación y repoblación de bosques y la prevención de incendios forestales.</t>
  </si>
  <si>
    <t>Ser especialista en Telemática (combinación de servicios de informática y telecomunicación).</t>
  </si>
  <si>
    <t>Estudiar los fenómenos del firmamento y aplicar estos conocimientos a la navegación o a la utilización del espacio.</t>
  </si>
  <si>
    <t>Ser bailarín.</t>
  </si>
  <si>
    <t>Comprar, vender o alquilar casas, pisos o solares; estimar el valor de los mismos y asesorar a los propietarios.</t>
  </si>
  <si>
    <t>Investigar y analizar la historia de la música, sus técnicas y métodos.</t>
  </si>
  <si>
    <t>Diseñar instalaciones relacionadas con las comunicaciones (telefonía, radio, televisión, radar, etc.) en diversos campos (industria, defensa, control aéreo, etc.).</t>
  </si>
  <si>
    <t>Trabajar como pedagogo.</t>
  </si>
  <si>
    <t>Aplicar conocimientos profesionales para resol ver problemas relacionados con los trabajadores de una empresa. Asesorar en conflictos laborales.</t>
  </si>
  <si>
    <t>Estudiar la sociedad, los grupos humanos y sus relaciones y aplicar estos conocimientos realizando análisis sociológicos (encuestas, cuestionarios, etc.) o cooperando a la solución de conflictos.</t>
  </si>
  <si>
    <t>Trabajar como técnico de sonido.</t>
  </si>
  <si>
    <t>Dirigir fincas, tratar de aumentar la productividad de granjas o explotaciones agrícolas.</t>
  </si>
  <si>
    <t>Investigar los fundamentos de la religión católica; estudiar y analizar textos escritos, restos arqueológicos y tradiciones.</t>
  </si>
  <si>
    <t>Ser ingeniero técnico agrícola.</t>
  </si>
  <si>
    <t>Ejercer la profesión de trabajador social.</t>
  </si>
  <si>
    <t>Diseñar y elaborar productos relacionados con la moda: tejidos, ropa, joyería, bisutería, calzado, etc.</t>
  </si>
  <si>
    <t>Trabajar como masajista deportivo.</t>
  </si>
  <si>
    <t>Realizar tareas de vigilancia y protección del medio ambiente en bosques, jardines o parques e intervenir en la plantación de árboles o arbustos y en la conservación de bosques.</t>
  </si>
  <si>
    <t>Ser abogado.</t>
  </si>
  <si>
    <t>Impartir las enseñanzas de educación física, contribuir a la mejora de las capacidades físicas de los alumnos de educación infantil y primaria y a su desarrollo personal.</t>
  </si>
  <si>
    <t>Trabajar en el campo de las Relaciones Laborales.</t>
  </si>
  <si>
    <t>Diseñar campañas publicitarias para dar a conocer un producto y lograr su aceptación o para difundir mensajes institucionales sobre temas como sanidad, circulación (tráfico) o energía.</t>
  </si>
  <si>
    <t>Trabajar como fisioterapeuta.</t>
  </si>
  <si>
    <t>Realizar las tareas relacionadas con la ordenación y la seguridad del tráfico aéreo en aeropuertos civiles.</t>
  </si>
  <si>
    <t>Ser ceramista.</t>
  </si>
  <si>
    <t>Realizar proyectos para la construcción de puentes, carreteras, aeropuertos, puertos o vías férreas; supervisar la construcción de dichas obras.</t>
  </si>
  <si>
    <t>Ser diplomático (embajador).</t>
  </si>
  <si>
    <t>Aplicar pruebas psicológicas para evaluar la inteligencia, aptitudes y personalidad de los alumnos; aconsejar técnicas para resolver problemas personales, de aprendizaje o de adaptación en la escuela.</t>
  </si>
  <si>
    <t>Ser ingeniero de Telecomunicación.</t>
  </si>
  <si>
    <t>Establecer destinos turísticos, atender y guiar a grupos de visitantes dominando, al menos, dos idiomas extranjeros para comunicarse con ellos.</t>
  </si>
  <si>
    <t>Trabajar en Enfermería.</t>
  </si>
  <si>
    <t>Colaborar con personas o familias para solucionar problemas de tipo social o personal (tratamientos médicos, falta de adaptación, etc.) o prestar servicios sociales en escuelas infantiles, residencias de mayores, hospitales, etc.</t>
  </si>
  <si>
    <t>Ser policía.</t>
  </si>
  <si>
    <t>Aplicar los conocimientos sobre las distintas manifestaciones artísticas dando clases de arte, trabajando en galerías de arte o escribiendo artículos o crítica en publicaciones.</t>
  </si>
  <si>
    <t>Trabajar como ingeniero agrónomo.</t>
  </si>
  <si>
    <t>Emplear técnicas de expresión gráfica para rea lizar ilustraciones en libros infantiles, fantásticos o científicos.</t>
  </si>
  <si>
    <t>Ser agente de la propiedad inmobiliaria.</t>
  </si>
  <si>
    <t>Representar al propio país en otros países, como embajador o trabajando en embajadas o consulados.</t>
  </si>
  <si>
    <t>Ser ingeniero de caminos (ingeniero civil).</t>
  </si>
  <si>
    <t>Asesorar sobre aspectos de la actividad física y el deporte en centros escolares o deportivos. Trabajar en temas deportivos en equipos, colegios, polideportivos, etc.</t>
  </si>
  <si>
    <t>Ser actor profesional.</t>
  </si>
  <si>
    <t>Investigar las propiedades de la materia y aplicar estas investigaciones a la creación de materiales y productos para la medicina, la agricultura, la alimentación y otras industrias.</t>
  </si>
  <si>
    <t>Ser diseñador especialista en moda.</t>
  </si>
  <si>
    <t>Ejercer la profesión de sociólogo.</t>
  </si>
  <si>
    <t>Dirigir o administrar restaurantes; crear productos gastronómicos para ofrecerlos a los clientes</t>
  </si>
  <si>
    <t>Ser arquitecto.</t>
  </si>
  <si>
    <t>Entrenar a deportistas o equipos para perfeccionar sus conocimientos y aptitudes y mejorar la práctica del deporte.</t>
  </si>
  <si>
    <t>Ser químico</t>
  </si>
  <si>
    <t>Crear piezas de cerámica, investigar técnicas o estilos relativos a este trabajo.</t>
  </si>
  <si>
    <t>Ser farmacéutico</t>
  </si>
  <si>
    <t>Obtener imágenes por medio de fotografía, vídeo o cámara cinematográfica y presentarlas en cualquier soporte. Iluminar espacios escénicos.</t>
  </si>
  <si>
    <t>Trabajar como maestro en Educación Especial.</t>
  </si>
  <si>
    <t>Aplicar los conocimientos de la anatomía, las funciones y el comportamiento de las personas sanas y enfermas para establecer, con métodos científicos, el diagnóstico clínico y el tratamiento de las enfermedades.</t>
  </si>
  <si>
    <t>Trabajar como tripulante de cabina de pasajeros o auxiliar de barco.</t>
  </si>
  <si>
    <t>Trabajar asesorando a las Fuerzas de Seguridad, en temas referentes a comportamientos criminales, analizando los hechos y su relación el medio social y cultural del delincuente.</t>
  </si>
  <si>
    <t>Trabajar como técnico superior en desarrollo de aplicaciones informáticas.</t>
  </si>
  <si>
    <t>Organizar todo lo necesario para recibir a los clientes de un hotel; supervisar los servicios del mismo que se relacionan con la acogida y atención al cliente (recepción, conserjería, etc.).</t>
  </si>
  <si>
    <t>Trabajar como educador social.</t>
  </si>
  <si>
    <t>Participar en el diseño de aplicaciones informáticas realizando la programación de las mismas de acuerdo con los requisitos y especificaciones establecidos.</t>
  </si>
  <si>
    <t>Trabajar en el ámbito de las Ciencias Ambientales.</t>
  </si>
  <si>
    <t>Aplicar los conocimientos de medicina al tratamiento de enfermedades dentales, localizar lesiones en la dentadura, hacer empastes, etc.</t>
  </si>
  <si>
    <t>Ser técnico de imagen</t>
  </si>
  <si>
    <t>Hacer averiguaciones e informar a jueces, policías y otros profesionales sobre los aspectos relacionados con comportamientos delictivos</t>
  </si>
  <si>
    <t>Ejercer la profesión de filólogo.</t>
  </si>
  <si>
    <t>Dirigir a personas o grupos en recorridos por senderos o zonas de montaña, a pie, en bicicleta o a caballo, en condiciones de seguridad.</t>
  </si>
  <si>
    <t>Ser biólogo.</t>
  </si>
  <si>
    <t>Establecer y manejar los sistemas informáticos que sirven de base para la administración y la gestión de una empresa o facilitar la utilización de paquetes informáticos de tipo general.</t>
  </si>
  <si>
    <t>Ser periodista</t>
  </si>
  <si>
    <t>Enseñar a realizar un deporte determinado y procurar el perfeccionamiento del mismo.</t>
  </si>
  <si>
    <t>Ser arquitecto técnico (aparejador).</t>
  </si>
  <si>
    <t>Realizar los planes establecidos para la comercialización de productos. Organizar las secciones de ventas en empresas comercia/es o dirigir un establecimiento.</t>
  </si>
  <si>
    <t>Trabajar como Grado en multimedia.</t>
  </si>
  <si>
    <t>Actuar en representaciones teatrales, de cine o televisión, interpretando un personaje.</t>
  </si>
  <si>
    <t>Ser entrenador deportivo.</t>
  </si>
  <si>
    <t>Estudiar los procesos y técnicas de los medios audiovisuales y los elementos que intervienen en ellos. Elaborar la información para su difusión en estos medios.</t>
  </si>
  <si>
    <t>Ser odontólogo (dentista).</t>
  </si>
  <si>
    <t>Interpretar y traducir textos, aplicando los conocimientos lingüísticos, teóricos, prácticos y culturales propios de la lengua en que están escritos.</t>
  </si>
  <si>
    <t>Ser director-realizador de medios audiovisuales.</t>
  </si>
  <si>
    <t>Procurar la mejora del turismo incluyendo actividades culturales o de interés humano en las que el turista participe, destacando los aspectos que lo hagan más atractivo.</t>
  </si>
  <si>
    <t>Trabajar como psicólogo escolar.</t>
  </si>
  <si>
    <t>Doblar las voces de actores extranjeros para las versiones traducidas de películas de cine o de televisión.</t>
  </si>
  <si>
    <t>Trabajar como técnico en educación infantil.</t>
  </si>
  <si>
    <t>Crear diseños para la mejora o el desarrollo de  espacios interiores para diversos usos (oficinas, establecimientos, lugares públicos, etc.).</t>
  </si>
  <si>
    <t>Ser técnico en gestión comercial y marketing.</t>
  </si>
  <si>
    <t>Colaborar con el médico en el cuidado de los  enfermos, aplicando conocimientos sobre el organismo humano, las funciones fisiológicas y el comportamiento de las personas.</t>
  </si>
  <si>
    <t>Ser actor de doblaje.</t>
  </si>
  <si>
    <t>Aplicar los conocimientos técnicos al campo de los seguros; calcular las operaciones financieras para hacer rentables los fondos económicos.</t>
  </si>
  <si>
    <t>Trabajar como investigador privado</t>
  </si>
  <si>
    <t>Atender a los pasajeros en vuelos de líneas aéreas o de barcos o cruceros.</t>
  </si>
  <si>
    <t>Ser teólogo.</t>
  </si>
  <si>
    <t>Custodiar establecimientos, oficinas, etc., para evitar robos y otros hechos delictivos. Colaborar en el transporte de mercancías valiosas o dinero</t>
  </si>
  <si>
    <t>Ejercer la profesión de especialista en Arte.</t>
  </si>
  <si>
    <t>Aplicar los conocimientos de Economía para interpretar situaciones y aplicar soluciones que resuelvan problemas prácticos en empresas; establecer planes para el crecimiento de las mismas.</t>
  </si>
  <si>
    <t>Trabajar como técnico en trabajos forestales y  conservación del medio ambiente.</t>
  </si>
  <si>
    <t>Analizar las técnicas y métodos de enseñanza e idear nuevos procedimientos didácticos, o dirigir y organizar centros educativos.</t>
  </si>
  <si>
    <t>Ser médico</t>
  </si>
  <si>
    <t>Dibujar, o diseñar con ordenador, elementos para decoración cerámica, estampación textil, escaparatismo o mobiliario.</t>
  </si>
  <si>
    <t>Ser especialista del Ejército.</t>
  </si>
  <si>
    <t>Ser dietista (Grado en Nutrición Humana).</t>
  </si>
  <si>
    <t>Realizar las tareas necesarias para garantizar la seguridad de los ciudadanos y asegurar el libre ejercicio de las libertades.</t>
  </si>
  <si>
    <t>Realizar trabajos técnicos, científicos o de mando, relacionados con los fines de ejercito, formando parte de este</t>
  </si>
  <si>
    <t>Trabajar como conductor de actividades deportivas en el medio natural.</t>
  </si>
  <si>
    <t>Curar algunas enfermedades del aparato locomotor o del sistema nervioso (parálisis, torceduras, etc.) mediante técnicas y medios naturales, mecánicos o físicos.</t>
  </si>
  <si>
    <t>Ser técnico deportivo</t>
  </si>
  <si>
    <t>Trabajar como técnico en salvamento acuático</t>
  </si>
  <si>
    <t>Trabajar como técnico en artes plásticas y diseño.</t>
  </si>
  <si>
    <t>3.º y 4.º de secundaria </t>
  </si>
  <si>
    <t>5.º y 6.º de secundaria</t>
  </si>
  <si>
    <t>3.º y 4.º de secundaria</t>
  </si>
  <si>
    <t>A_B</t>
  </si>
  <si>
    <t>A_C</t>
  </si>
  <si>
    <t>E</t>
  </si>
  <si>
    <t>F</t>
  </si>
  <si>
    <t>G</t>
  </si>
  <si>
    <t>H</t>
  </si>
  <si>
    <t>I</t>
  </si>
  <si>
    <t>J</t>
  </si>
  <si>
    <t>L</t>
  </si>
  <si>
    <t>K</t>
  </si>
  <si>
    <t>M</t>
  </si>
  <si>
    <t>N</t>
  </si>
  <si>
    <t>O</t>
  </si>
  <si>
    <t>P</t>
  </si>
  <si>
    <t>Q</t>
  </si>
  <si>
    <t>R</t>
  </si>
  <si>
    <t>T</t>
  </si>
  <si>
    <t>U</t>
  </si>
  <si>
    <t>Z</t>
  </si>
  <si>
    <t>BB</t>
  </si>
  <si>
    <t>AA</t>
  </si>
  <si>
    <t>CC</t>
  </si>
  <si>
    <t>DD</t>
  </si>
  <si>
    <t>EE</t>
  </si>
  <si>
    <t>FF</t>
  </si>
  <si>
    <t>GG</t>
  </si>
  <si>
    <t>HH</t>
  </si>
  <si>
    <t>II</t>
  </si>
  <si>
    <t>JJ</t>
  </si>
  <si>
    <t>MM</t>
  </si>
  <si>
    <t>NN</t>
  </si>
  <si>
    <t>OO</t>
  </si>
  <si>
    <t>PP</t>
  </si>
  <si>
    <t>XX</t>
  </si>
  <si>
    <t>ZZ</t>
  </si>
  <si>
    <t>RR</t>
  </si>
  <si>
    <t>TT</t>
  </si>
  <si>
    <t>UU</t>
  </si>
  <si>
    <t>VV</t>
  </si>
  <si>
    <t>AAA</t>
  </si>
  <si>
    <t>BBB</t>
  </si>
  <si>
    <t>CCC</t>
  </si>
  <si>
    <t>DDD</t>
  </si>
  <si>
    <t>EEE</t>
  </si>
  <si>
    <t>FFF</t>
  </si>
  <si>
    <t>GGG</t>
  </si>
  <si>
    <t>HHH</t>
  </si>
  <si>
    <t>MMM</t>
  </si>
  <si>
    <t>NNN</t>
  </si>
  <si>
    <t>RRR</t>
  </si>
  <si>
    <t>TTT</t>
  </si>
  <si>
    <t>OOO</t>
  </si>
  <si>
    <t>PPP</t>
  </si>
  <si>
    <t>XXX</t>
  </si>
  <si>
    <t>ZZZ</t>
  </si>
  <si>
    <t>KKK</t>
  </si>
  <si>
    <t>SSS</t>
  </si>
  <si>
    <t>Edad:</t>
  </si>
  <si>
    <t>Actividades</t>
  </si>
  <si>
    <t>interés</t>
  </si>
  <si>
    <r>
      <t xml:space="preserve">En esta prueba se pide que indiques </t>
    </r>
    <r>
      <rPr>
        <b/>
        <sz val="10"/>
        <color rgb="FF447B8D"/>
        <rFont val="Daytona"/>
        <family val="2"/>
      </rPr>
      <t>tus gustos y preferencia</t>
    </r>
    <r>
      <rPr>
        <sz val="10"/>
        <color theme="1"/>
        <rFont val="Daytona"/>
        <family val="2"/>
      </rPr>
      <t xml:space="preserve">s respecto a las </t>
    </r>
    <r>
      <rPr>
        <sz val="10"/>
        <color rgb="FF447B8D"/>
        <rFont val="Daytona"/>
        <family val="2"/>
      </rPr>
      <t>actividades y profesione</t>
    </r>
    <r>
      <rPr>
        <sz val="10"/>
        <color theme="1"/>
        <rFont val="Daytona"/>
        <family val="2"/>
      </rPr>
      <t xml:space="preserve">s que se presentan en las páginas siguientes.
Lee con atención cada frase y anota tu contestación en la hoja de respuestas siguiendo las indicaciones escritas en la parte superior de cada página. Debes escribir dentro del cuadrado correspondiente, en MAYÚSCULA y con letra clara, la letra correspondiente a la respuesta elegida (A, B, C o D). Siempre debes anotar la contestación en la línea que tenga el mismo número que la cuestión a que estás respondiendo.
Cuando en alguna de estas cuestiones aparezcan dos o más proposiciones (por ejemplo, </t>
    </r>
    <r>
      <rPr>
        <i/>
        <sz val="10"/>
        <color theme="1"/>
        <rFont val="Daytona"/>
        <family val="2"/>
      </rPr>
      <t>"Encargarse de la organización básica en un laboratorio químico. Realizar análisis químicos o ensayos físicos</t>
    </r>
    <r>
      <rPr>
        <sz val="10"/>
        <color theme="1"/>
        <rFont val="Daytona"/>
        <family val="2"/>
      </rPr>
      <t xml:space="preserve">") deberás anotar la opción </t>
    </r>
    <r>
      <rPr>
        <i/>
        <sz val="10"/>
        <color theme="1"/>
        <rFont val="Daytona"/>
        <family val="2"/>
      </rPr>
      <t xml:space="preserve">"Me gusta" </t>
    </r>
    <r>
      <rPr>
        <sz val="10"/>
        <color theme="1"/>
        <rFont val="Daytona"/>
        <family val="2"/>
      </rPr>
      <t xml:space="preserve">si te agrada solo UNA de las opciones propuestas, o TODAS ellas; anotarás </t>
    </r>
    <r>
      <rPr>
        <i/>
        <sz val="10"/>
        <color theme="1"/>
        <rFont val="Daytona"/>
        <family val="2"/>
      </rPr>
      <t>"No me gusta"</t>
    </r>
    <r>
      <rPr>
        <sz val="10"/>
        <color theme="1"/>
        <rFont val="Daytona"/>
        <family val="2"/>
      </rPr>
      <t xml:space="preserve"> o </t>
    </r>
    <r>
      <rPr>
        <i/>
        <sz val="10"/>
        <color theme="1"/>
        <rFont val="Daytona"/>
        <family val="2"/>
      </rPr>
      <t>"Me es indiferente o tengo dudas"</t>
    </r>
    <r>
      <rPr>
        <sz val="10"/>
        <color theme="1"/>
        <rFont val="Daytona"/>
        <family val="2"/>
      </rPr>
      <t xml:space="preserve"> solamente cuando te desagraden o te sean indiferentes TODAS las opciones propuestas.
Debes indicar tus preferencias prescindiendo de consideraciones tales como recursos económicos, capacidad para estudiar, posibilidades, prestigio o dinero que se espera obtener, etc.
</t>
    </r>
    <r>
      <rPr>
        <b/>
        <sz val="10"/>
        <color rgb="FF447B8D"/>
        <rFont val="Daytona"/>
        <family val="2"/>
      </rPr>
      <t>No hay respuestas correctas ni incorrectas</t>
    </r>
    <r>
      <rPr>
        <sz val="10"/>
        <color theme="1"/>
        <rFont val="Daytona"/>
        <family val="2"/>
      </rPr>
      <t xml:space="preserve"> puesto que en ellas se reflejan simplemente la opinión o los intereses de cada persona.
Procura contestar a todas las cuestiones anotando la respuesta que se te ocurra espontáneamente, sin detenerte demasiado y sin consultar con tus compañeros. Tus respuestas debes decidirlas tú mismo.</t>
    </r>
  </si>
  <si>
    <t>Prevenir, diagnosticar y tratar las enfermedades que padezcan los animales y estudiar los aspectos relativos a la cría y reproducción de los mismos.</t>
  </si>
  <si>
    <t>Idear, preparar y dirigir programas de animación cultural, estableciendo las actividades recursos y documentación necesarias para llevarlos a cabo.</t>
  </si>
  <si>
    <r>
      <t xml:space="preserve">para contestar </t>
    </r>
    <r>
      <rPr>
        <b/>
        <sz val="10"/>
        <color rgb="FF447B8D"/>
        <rFont val="Daytona"/>
        <family val="2"/>
      </rPr>
      <t>"ME GUSTA"</t>
    </r>
  </si>
  <si>
    <r>
      <t xml:space="preserve">para contestar </t>
    </r>
    <r>
      <rPr>
        <b/>
        <sz val="10"/>
        <color rgb="FF447B8D"/>
        <rFont val="Daytona"/>
        <family val="2"/>
      </rPr>
      <t>"ME ES INDIFERENTE o TENGO DUDAS"</t>
    </r>
  </si>
  <si>
    <r>
      <t xml:space="preserve">para contestar </t>
    </r>
    <r>
      <rPr>
        <b/>
        <sz val="10"/>
        <color rgb="FF447B8D"/>
        <rFont val="Daytona"/>
        <family val="2"/>
      </rPr>
      <t>"NO ME GUSTA"</t>
    </r>
  </si>
  <si>
    <r>
      <t xml:space="preserve">para indicar que </t>
    </r>
    <r>
      <rPr>
        <b/>
        <sz val="10"/>
        <color rgb="FF447B8D"/>
        <rFont val="Daytona"/>
        <family val="2"/>
      </rPr>
      <t>no conoces</t>
    </r>
    <r>
      <rPr>
        <sz val="10"/>
        <color theme="1"/>
        <rFont val="Daytona"/>
        <family val="2"/>
      </rPr>
      <t xml:space="preserve"> esa actividad o profesión.</t>
    </r>
  </si>
  <si>
    <t>Ptj</t>
  </si>
  <si>
    <t>CAMPOS PROFESIONALES</t>
  </si>
  <si>
    <t>Id:</t>
  </si>
  <si>
    <t>Fecha de aplicación:</t>
  </si>
  <si>
    <t>Baremo:</t>
  </si>
  <si>
    <t>Responsable de la aplicación:</t>
  </si>
  <si>
    <t>Sexo:</t>
  </si>
  <si>
    <t>CIENTÍFICO</t>
  </si>
  <si>
    <t>TÉCNICO</t>
  </si>
  <si>
    <t>SANIDAD</t>
  </si>
  <si>
    <t>CIENTÍFICO SOCIAL / HUMANIDADES</t>
  </si>
  <si>
    <t>JURÍDICO SOCIAL</t>
  </si>
  <si>
    <t>COMUNICACIÓN INFORMACIÓN </t>
  </si>
  <si>
    <t>PSICOPEDAGÓGICO </t>
  </si>
  <si>
    <t>EMPRESARIAL/ADMINISTRATIVO/ COMERCIAL</t>
  </si>
  <si>
    <t>INFORMÁTICA</t>
  </si>
  <si>
    <t>AGRARIO/AGROPECUARIO/AMBIENTAL</t>
  </si>
  <si>
    <t>ARTÍSTICO - PLÁSTICO/ ARTESANÍA /MODA</t>
  </si>
  <si>
    <t>ARTÍSTICO MUSICAL/ ESPECTÁCULO</t>
  </si>
  <si>
    <t>FUERZAS ARMADAS/SEGURIDAD/PROTECCIÓN</t>
  </si>
  <si>
    <t>DEPORTIVO </t>
  </si>
  <si>
    <t>TURISMO Y HOTELERÍA</t>
  </si>
  <si>
    <r>
      <rPr>
        <b/>
        <sz val="11"/>
        <color theme="1"/>
        <rFont val="Daytona"/>
        <family val="2"/>
      </rPr>
      <t xml:space="preserve">Nota: </t>
    </r>
    <r>
      <rPr>
        <sz val="11"/>
        <color theme="1"/>
        <rFont val="Daytona"/>
        <family val="2"/>
      </rPr>
      <t>Pc (percentil) escala ordinal.</t>
    </r>
  </si>
  <si>
    <t>CENTRO</t>
  </si>
  <si>
    <t>Número de carnet:</t>
  </si>
  <si>
    <t>Curso:</t>
  </si>
  <si>
    <t>sexo</t>
  </si>
  <si>
    <t>INTRODUCCIÓN</t>
  </si>
  <si>
    <t>VISIÓN GENERAL</t>
  </si>
  <si>
    <t>PREFERENCIAS DESTACADAS</t>
  </si>
  <si>
    <t>DISCREPANCIAS NOTABLES</t>
  </si>
  <si>
    <t>RECHAZOS</t>
  </si>
  <si>
    <t>ADVERTENCIAS Y PRECAUCIONES</t>
  </si>
  <si>
    <t>Discrepancia entre intereses y aptitudes</t>
  </si>
  <si>
    <t>VALIDEZ DE LA APLICACIÓN</t>
  </si>
  <si>
    <t>Actividades: Estudiar los seres vivos, la tierra y sus componentes y los fenómenos del firmamento. Aplicar los conocimientos sobre propiedades de la materia a la medicina, la agricultura, la alimentación, etc. Aplicar conocimientos científicos sobre el medio ambiente a la conservación de recursos naturales. Investigar sobre el mar como fuente de riqueza. Investigar en óptica, electrónica, etc.</t>
  </si>
  <si>
    <t>Actividades: Proyectar edificios y zonas urbanas y dirigir las obras de los mismos. Diseñar instalaciones para las comunicaciones (radar, telefonía, radio, etc.). Realizar proyectos para construir puertos, carreteras o puentes. Desarrollar proyectos de electrónica aplicada a la industria. Controlar el tráfico aéreo.</t>
  </si>
  <si>
    <t>Actividades: Examinar a los enfermos y establecer diagnósticos para diversas enfermedades. Realizar intervenciones quirúrgicas. Establecer y realizar tratamientos de rehabilitación. Tratar las enfermedades de la dentadura. Conocer los usos y efectos de los medicamentos. Establecer y controlar dietas y planes alimenticios. Colaborar con el médico en el tratamiento de los enfermos.</t>
  </si>
  <si>
    <t>Actividades: Estudiar la actuación del hombre a lo largo del tiempo. Aplicar los conocimientos sobre arte en la enseñanza o en publicaciones. Interpretar o traducir textos. Estudiar los grupos humanos y sus relaciones. Estudiar los fundamentos de la religión católica y la historia comparada de las religiones. Cooperar con las personas para resolver problemas sociales.</t>
  </si>
  <si>
    <t>Actividades: Intervenir ante los tribunales de justicia o formar parte de ellos. Asesorar sobre temas jurídicos. Hacer indagaciones sobre comportamientos delictivos. Asesorar en conflictos laborales. Representar a empresas o trabajadores ante tribunales de lo social. Analizar los crímenes o delitos y su relación con el delincuente. Representar al propio país en otros países.</t>
  </si>
  <si>
    <t>Actividades: Buscar y redactar noticias para publicarlas. Diseñar campañas o elementos de publicidad. Estudiar procesos y técnicas de medios audiovisuales. Obtener imágenes con cámara fotográfica, vídeo, cámara cinematográfica, etc., y presentarlas o publicarlas. Registrar y reproducir sonidos.</t>
  </si>
  <si>
    <t>Actividades: Analizar o idear técnicas de enseñanza y procedimientos educativos. Evaluar las aptitudes de los alumnos. Aconsejar sobre métodos para resolver problemas de aprendizaje o de adaptación. Trabajar en educación de adultos o integración de discapacitados. Enseñar a alumnos con necesidades especiales. Impartir enseñanzas de educación física. Cooperar en la educación de niños de cero a tres años.</t>
  </si>
  <si>
    <t>Actividades: Interpretar y resolver problemas prácticos en las empresas. Establecer planes de crecimiento en empresas. Aplicar conocimientos técnicos en el campo de los seguros. Realizar planes de comercialización de productos. Establecer comunidades de propietarios, elaborar las actas y los estatutos de las mismas. Actuar como mediador en alquiler, compra o venta de pisos o fincas. Realizar trámites administrativos en nombre de otros.</t>
  </si>
  <si>
    <t>Actividades: Realizar tareas especializadas en campos de la informática: análisis y arquitectura de los ordenadores. Efectuar la programación de aplicaciones informáticas. Crear o manejar los sistemas informáticos para la administración de empresas. Elaborar software de gestión para empresas. Realizar trabajos de informática aplicada a las comunicaciones. Trabajar en el tratamiento de datos aplicando informática, electrónica y telecomunicación.</t>
  </si>
  <si>
    <t>Actividades: Organizar explotaciones agrícolas o agropecuarias para mejorar productos vegetales y razas animales. Impulsar el desarrollo de espacios naturales. Decidir sobre la repoblación de bosques. Dirigir fincas agrícolas, mejorar su producción. Prevenir, diagnosticar y tratar las enfermedades de los animales. Realizar tareas de vigilancia y protección del medio ambiente en bosques, jardines o parques.</t>
  </si>
  <si>
    <t>Actividades: Conservar y restaurar bienes culturales (esculturas, cuadros, elementos arqueológicos, etc.) sin alterarlos. Ilustrar libros empleando diversas técnicas de expresión gráfica. Crear diseños para la mejora de espacios interiores. Dibujar o diseñar con ordenador elementos para decoración textil, cerámica o mobiliario. Diseñar y elaborar elementos relacionados con la moda. Crear piezas de cerámica.</t>
  </si>
  <si>
    <t>Actividades: Representar un personaje en el teatro, el cine o la televisión. Doblar las voces de actores extranjeros para las versiones traducidas de películas. Dar recitales o conciertos interpretando canciones como solista o formando parte de un grupo. Bailar en representaciones públicas interpretando danza clásica o moderna. Formar parte de una orquesta o actuar como solista tocando un instrumento. Investigar la historia de la música, sus técnicas y métodos.</t>
  </si>
  <si>
    <t>Actividades: Realizar trabajos técnicos o de mando formando parte del Ejército. Trabajar para garantizar la seguridad de los ciudadanos y el ejercicio de las libertades. Custodiar establecimientos, oficinas, etc., para evitar robos u otros delitos. Apagar incendios o realizar trabajos para prevenirlos. Rescatar y practicar los primeros auxilios a personas en situación de riesgo. Ejecutar trabajos de mecánica, electricidad, electrónica, etc. formando parte del Ejército.</t>
  </si>
  <si>
    <t>Actividades: Asesorar sobre deporte y actividad física en centros escolares o deportivos. Dirigir expediciones por senderos o zonas de montaña, andando, en bicicleta, etc. Enseñar la práctica de algún deporte. Ayudar a los deportistas a recuperarse de sus lesiones mediante masaje. Organizar actividades físicas en centros escolares, de salud, etc. Entrenar a deportistas.</t>
  </si>
  <si>
    <t>Actividades: Establecer destinos o rutas turísticas. Preparar programas de actividades de animación y llevarlas a cabo. Procurar la mejora del turismo. Dirigir restaurantes o preparar alimentos. Atender a los pasajeros en aviones o barcos. Organizar la acogida de los clientes en un hotel.</t>
  </si>
  <si>
    <t>Profesiones: Geólogo, Biólogo, Astrónomo, Químico, Licenciado en Ciencias Ambientales, Físico.</t>
  </si>
  <si>
    <t>Profesiones: Arquitecto, Aparejador, Ingeniero de Telecomunicación, Aeronáutico, en Electrónica, de Caminos o Industrial. Ingeniero técnico en cualquiera de estas materias.</t>
  </si>
  <si>
    <t>Profesiones: Médico, Fisioterapeuta, Odontólogo, Dietista, Oftalmólogo. Médico especialista (cardiólogo, pediatra, traumatólogo, etc.), Psicólogo, Psiquiatra.</t>
  </si>
  <si>
    <t>Profesiones: Historiador, Especialista en arte (pintura, arquitectura, escultura, etc.), Sociólogo, Filósofo, Trabajador social, Arqueólogo, Antropólogo.</t>
  </si>
  <si>
    <t>Profesiones: Abogado, Investigador privado, Diplomado en relaciones laborales, Diplomático, Licenciado en Ciencias del Trabajo, Criminólogo.</t>
  </si>
  <si>
    <t>Profesiones: Periodista, Licenciado en Comunicación Audiovisual, Técnico en Imagen o en Sonido, Director-realizador de medios audiovisuales.</t>
  </si>
  <si>
    <t>Profesiones: Pedagogo, Psicólogo escolar, Educador social, Maestro de educación especial, Maestro especialista en educación física, Técnico en educación infantil. Profesor (de Primaria, de Bachillerato, etc.).</t>
  </si>
  <si>
    <t>Profesiones: Economista, Licenciado en Ciencias Actuariales y Financieras, Técnico en gestión comercial, Administrador de fincas, Agente de la propiedad inmobiliaria. Gestor administrativo.</t>
  </si>
  <si>
    <t>Profesiones: Ingeniero en informática, Técnico superior en desarrollo de aplicaciones informáticas, Técnico superior en administración de sistemas informáticos, Ingeniero técnico en informática de gestión. Especialista en Telemática (combinación de servicios de informática y telecomunicación).</t>
  </si>
  <si>
    <t>Profesiones: Ingeniero agrónomo, Ingeniero de montes, Veterinario, Ingeniero técnico agrícola, Técnico en trabajos forestales y conservación del medio ambiente.</t>
  </si>
  <si>
    <t>Profesiones: Dibujante, Restaurador de bienes culturales, Ilustrador de publicaciones, Diseñador de interiores, Ceramista, Técnico en artes gráficas y diseño. Diseñador de moda.</t>
  </si>
  <si>
    <t>Profesiones: Cantante, Actor profesional, Actor de doblaje, Músico instrumentista, Bailarín, Musicólogo.</t>
  </si>
  <si>
    <t>Profesiones: Policía, Vigilante jurado, Oficial de carrera del Ejército, Bombero, Especialista del Ejército, Técnico en salvamento acuático.</t>
  </si>
  <si>
    <t>Profesiones: Conductor de actividades deportivas, Técnico deportivo, Licenciado en Ciencias de la Actividad Física, Masajista deportivo, Entrenador, Animador deportivo.</t>
  </si>
  <si>
    <t>Profesiones: Técnico de animación turística, Técnico en turismo, Tripulante de cabina o auxiliar de barco, Técnico en información turística. Técnico superior de alojamiento, Técnico en restauración.</t>
  </si>
  <si>
    <t>ro de respuestas anotadas: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</si>
</sst>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 &quot;años&quot;"/>
  </numFmts>
  <fonts count="27" x14ac:knownFonts="1">
    <font>
      <sz val="11"/>
      <color theme="1"/>
      <name val="Calibri"/>
      <family val="2"/>
      <scheme val="minor"/>
    </font>
    <font>
      <b/>
      <sz val="9"/>
      <color theme="1"/>
      <name val="Calibri"/>
      <family val="2"/>
      <scheme val="minor"/>
    </font>
    <font>
      <sz val="9"/>
      <color theme="1"/>
      <name val="Calibri"/>
      <family val="2"/>
      <scheme val="minor"/>
    </font>
    <font>
      <b/>
      <sz val="12"/>
      <color theme="1"/>
      <name val="Calibri"/>
      <family val="2"/>
      <scheme val="minor"/>
    </font>
    <font>
      <b/>
      <sz val="10"/>
      <color theme="1"/>
      <name val="Daytona"/>
      <family val="2"/>
    </font>
    <font>
      <sz val="10"/>
      <color theme="1"/>
      <name val="Daytona"/>
      <family val="2"/>
    </font>
    <font>
      <sz val="11"/>
      <color theme="1"/>
      <name val="Daytona"/>
      <family val="2"/>
    </font>
    <font>
      <b/>
      <sz val="11"/>
      <color theme="1"/>
      <name val="Daytona"/>
      <family val="2"/>
    </font>
    <font>
      <sz val="10"/>
      <color rgb="FF447B8D"/>
      <name val="Daytona"/>
      <family val="2"/>
    </font>
    <font>
      <b/>
      <sz val="10"/>
      <color rgb="FF447B8D"/>
      <name val="Daytona"/>
      <family val="2"/>
    </font>
    <font>
      <i/>
      <sz val="10"/>
      <color theme="1"/>
      <name val="Daytona"/>
      <family val="2"/>
    </font>
    <font>
      <b/>
      <sz val="10"/>
      <color rgb="FF1F3841"/>
      <name val="Daytona"/>
      <family val="2"/>
    </font>
    <font>
      <sz val="11"/>
      <color theme="0"/>
      <name val="Daytona"/>
      <family val="2"/>
    </font>
    <font>
      <sz val="11"/>
      <name val="Daytona"/>
      <family val="2"/>
    </font>
    <font>
      <sz val="9"/>
      <color theme="1"/>
      <name val="Daytona"/>
      <family val="2"/>
    </font>
    <font>
      <b/>
      <sz val="8"/>
      <color theme="1"/>
      <name val="Daytona"/>
      <family val="2"/>
    </font>
    <font>
      <b/>
      <sz val="10"/>
      <color theme="0"/>
      <name val="Daytona"/>
      <family val="2"/>
    </font>
    <font>
      <b/>
      <sz val="9"/>
      <color theme="1"/>
      <name val="Daytona"/>
      <family val="2"/>
    </font>
    <font>
      <b/>
      <sz val="10"/>
      <name val="Daytona"/>
      <family val="2"/>
    </font>
    <font>
      <sz val="10"/>
      <color theme="1"/>
      <name val="Wandohope"/>
      <family val="1"/>
      <charset val="128"/>
    </font>
    <font>
      <b/>
      <sz val="14"/>
      <color rgb="FF1F4E79"/>
      <name val="Daytona"/>
      <family val="2"/>
    </font>
    <font>
      <b/>
      <sz val="11"/>
      <color rgb="FF2E75B6"/>
      <name val="Daytona"/>
      <family val="2"/>
    </font>
    <font>
      <sz val="10"/>
      <color rgb="FF000000"/>
      <name val="Daytona"/>
      <family val="2"/>
    </font>
    <font>
      <i/>
      <sz val="10"/>
      <color rgb="FF000000"/>
      <name val="Daytona"/>
      <family val="2"/>
    </font>
    <font>
      <b/>
      <i/>
      <sz val="10"/>
      <color rgb="FF2E75B6"/>
      <name val="Daytona"/>
      <family val="2"/>
    </font>
    <font>
      <sz val="11"/>
      <color rgb="FF000000"/>
      <name val="Calibri"/>
      <family val="2"/>
    </font>
    <font>
      <b/>
      <sz val="11"/>
      <color theme="0"/>
      <name val="Daytona"/>
      <family val="2"/>
    </font>
  </fonts>
  <fills count="8">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rgb="FF447B8D"/>
        <bgColor indexed="64"/>
      </patternFill>
    </fill>
    <fill>
      <patternFill patternType="solid">
        <fgColor rgb="FFEEF0F0"/>
        <bgColor indexed="64"/>
      </patternFill>
    </fill>
    <fill>
      <patternFill patternType="solid">
        <fgColor rgb="FFF4F7FF"/>
        <bgColor indexed="64"/>
      </patternFill>
    </fill>
    <fill>
      <patternFill patternType="solid">
        <fgColor rgb="FFFCD5B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C6E8E8"/>
      </bottom>
      <diagonal/>
    </border>
    <border>
      <left/>
      <right/>
      <top style="medium">
        <color rgb="FFC6E8E8"/>
      </top>
      <bottom/>
      <diagonal/>
    </border>
    <border>
      <left/>
      <right style="thick">
        <color theme="0"/>
      </right>
      <top/>
      <bottom/>
      <diagonal/>
    </border>
  </borders>
  <cellStyleXfs count="1">
    <xf numFmtId="0" fontId="0" fillId="0" borderId="0"/>
  </cellStyleXfs>
  <cellXfs count="112">
    <xf numFmtId="0" fontId="0" fillId="0" borderId="0" xfId="0"/>
    <xf numFmtId="0" fontId="2" fillId="0" borderId="0" xfId="0" applyFont="1" applyAlignment="1">
      <alignment horizontal="center" vertical="center"/>
    </xf>
    <xf numFmtId="0" fontId="2" fillId="0" borderId="1" xfId="0" applyFont="1" applyBorder="1" applyAlignment="1">
      <alignment horizontal="center" vertical="center"/>
    </xf>
    <xf numFmtId="0" fontId="1" fillId="3" borderId="1" xfId="0" applyFont="1" applyFill="1" applyBorder="1" applyAlignment="1">
      <alignment horizontal="center" vertical="center"/>
    </xf>
    <xf numFmtId="0" fontId="2" fillId="2" borderId="1" xfId="0" applyFont="1" applyFill="1" applyBorder="1" applyAlignment="1">
      <alignment horizontal="center" vertical="center"/>
    </xf>
    <xf numFmtId="0" fontId="6" fillId="0" borderId="0" xfId="0" applyFont="1" applyProtection="1">
      <protection locked="0"/>
    </xf>
    <xf numFmtId="0" fontId="7" fillId="0" borderId="1" xfId="0"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0" fontId="6" fillId="0" borderId="3" xfId="0" applyFont="1" applyBorder="1" applyAlignment="1" applyProtection="1">
      <alignment horizontal="center" vertical="center"/>
      <protection locked="0"/>
    </xf>
    <xf numFmtId="0" fontId="6" fillId="0" borderId="0" xfId="0" applyFont="1" applyAlignment="1" applyProtection="1">
      <alignment horizontal="center" vertical="center"/>
      <protection locked="0"/>
    </xf>
    <xf numFmtId="0" fontId="4" fillId="0" borderId="0" xfId="0" applyFont="1" applyAlignment="1" applyProtection="1">
      <alignment horizontal="center" vertical="center"/>
      <protection locked="0"/>
    </xf>
    <xf numFmtId="0" fontId="5" fillId="0" borderId="0" xfId="0" applyFont="1" applyAlignment="1" applyProtection="1">
      <alignment horizontal="left" vertical="center" wrapText="1"/>
      <protection locked="0"/>
    </xf>
    <xf numFmtId="0" fontId="6" fillId="0" borderId="0" xfId="0" applyFont="1" applyAlignment="1" applyProtection="1">
      <alignment horizontal="left" vertical="center" wrapText="1"/>
      <protection locked="0"/>
    </xf>
    <xf numFmtId="0" fontId="13" fillId="0" borderId="0" xfId="0" applyFont="1" applyProtection="1">
      <protection locked="0"/>
    </xf>
    <xf numFmtId="1" fontId="13" fillId="0" borderId="0" xfId="0" applyNumberFormat="1" applyFont="1" applyProtection="1">
      <protection locked="0"/>
    </xf>
    <xf numFmtId="0" fontId="13" fillId="0" borderId="0" xfId="0" applyFont="1" applyAlignment="1" applyProtection="1">
      <alignment horizontal="left"/>
      <protection locked="0"/>
    </xf>
    <xf numFmtId="0" fontId="6" fillId="0" borderId="0" xfId="0" applyFont="1" applyAlignment="1" applyProtection="1">
      <alignment horizontal="left"/>
      <protection locked="0"/>
    </xf>
    <xf numFmtId="0" fontId="13" fillId="0" borderId="0" xfId="0" applyFont="1" applyAlignment="1" applyProtection="1">
      <alignment horizontal="center" vertical="center"/>
      <protection locked="0"/>
    </xf>
    <xf numFmtId="0" fontId="6" fillId="0" borderId="0" xfId="0" applyFont="1" applyAlignment="1" applyProtection="1">
      <alignment horizontal="center"/>
      <protection locked="0"/>
    </xf>
    <xf numFmtId="0" fontId="12" fillId="0" borderId="0" xfId="0" applyFont="1" applyProtection="1">
      <protection locked="0"/>
    </xf>
    <xf numFmtId="0" fontId="7" fillId="0" borderId="0" xfId="0" applyFont="1" applyAlignment="1" applyProtection="1">
      <alignment horizontal="center"/>
      <protection locked="0"/>
    </xf>
    <xf numFmtId="0" fontId="6" fillId="2" borderId="0" xfId="0" applyFont="1" applyFill="1" applyAlignment="1" applyProtection="1">
      <alignment horizontal="center" vertical="center"/>
      <protection locked="0"/>
    </xf>
    <xf numFmtId="0" fontId="6" fillId="0" borderId="9" xfId="0" applyFont="1" applyBorder="1" applyAlignment="1" applyProtection="1">
      <alignment horizontal="left" vertical="center" wrapText="1"/>
      <protection locked="0"/>
    </xf>
    <xf numFmtId="0" fontId="0" fillId="0" borderId="0" xfId="0" applyProtection="1">
      <protection locked="0"/>
    </xf>
    <xf numFmtId="0" fontId="5" fillId="0" borderId="0" xfId="0" applyFont="1" applyAlignment="1" applyProtection="1">
      <alignment horizontal="left" vertical="center"/>
      <protection locked="0"/>
    </xf>
    <xf numFmtId="0" fontId="4" fillId="0" borderId="0" xfId="0" applyFont="1" applyAlignment="1" applyProtection="1">
      <alignment vertical="center"/>
      <protection locked="0"/>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horizontal="left" vertical="center"/>
      <protection locked="0"/>
    </xf>
    <xf numFmtId="0" fontId="11" fillId="0" borderId="0" xfId="0" applyFont="1" applyAlignment="1" applyProtection="1">
      <alignment horizontal="center" vertical="center"/>
      <protection locked="0"/>
    </xf>
    <xf numFmtId="0" fontId="7" fillId="0" borderId="1" xfId="0" applyFont="1" applyBorder="1" applyAlignment="1" applyProtection="1">
      <alignment vertical="center"/>
      <protection locked="0"/>
    </xf>
    <xf numFmtId="0" fontId="11" fillId="0" borderId="0" xfId="0" applyFont="1" applyAlignment="1" applyProtection="1">
      <alignment vertical="center"/>
      <protection locked="0"/>
    </xf>
    <xf numFmtId="0" fontId="7" fillId="0" borderId="0" xfId="0" applyFont="1" applyProtection="1">
      <protection locked="0"/>
    </xf>
    <xf numFmtId="0" fontId="12" fillId="0" borderId="0" xfId="0" applyFont="1" applyAlignment="1" applyProtection="1">
      <alignment horizontal="center" vertical="center"/>
      <protection locked="0"/>
    </xf>
    <xf numFmtId="0" fontId="13" fillId="0" borderId="0" xfId="0" applyFont="1" applyAlignment="1" applyProtection="1">
      <alignment horizontal="left" vertical="center"/>
      <protection locked="0"/>
    </xf>
    <xf numFmtId="0" fontId="6" fillId="0" borderId="0" xfId="0" applyFont="1" applyAlignment="1" applyProtection="1">
      <alignment horizontal="left" vertical="center"/>
      <protection locked="0"/>
    </xf>
    <xf numFmtId="164" fontId="13" fillId="0" borderId="0" xfId="0" applyNumberFormat="1" applyFont="1" applyProtection="1">
      <protection locked="0"/>
    </xf>
    <xf numFmtId="0" fontId="6" fillId="0" borderId="0" xfId="0" applyFont="1" applyAlignment="1" applyProtection="1">
      <alignment vertical="center" wrapText="1"/>
      <protection locked="0"/>
    </xf>
    <xf numFmtId="0" fontId="18" fillId="0" borderId="0" xfId="0"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16" fillId="4" borderId="1" xfId="0" applyFont="1" applyFill="1" applyBorder="1" applyAlignment="1" applyProtection="1">
      <alignment horizontal="center" vertical="center"/>
      <protection locked="0"/>
    </xf>
    <xf numFmtId="0" fontId="5" fillId="0" borderId="4" xfId="0" applyFont="1" applyBorder="1" applyAlignment="1" applyProtection="1">
      <alignment horizontal="justify" vertical="top" wrapText="1"/>
      <protection locked="0"/>
    </xf>
    <xf numFmtId="0" fontId="5" fillId="0" borderId="5" xfId="0" applyFont="1" applyBorder="1" applyAlignment="1" applyProtection="1">
      <alignment horizontal="justify" vertical="top" wrapText="1"/>
      <protection locked="0"/>
    </xf>
    <xf numFmtId="0" fontId="5" fillId="0" borderId="5" xfId="0" applyFont="1" applyBorder="1" applyAlignment="1" applyProtection="1">
      <alignment vertical="top" wrapText="1"/>
      <protection locked="0"/>
    </xf>
    <xf numFmtId="0" fontId="5" fillId="0" borderId="6" xfId="0" applyFont="1" applyBorder="1" applyAlignment="1" applyProtection="1">
      <alignment vertical="top" wrapText="1"/>
      <protection locked="0"/>
    </xf>
    <xf numFmtId="0" fontId="16" fillId="4" borderId="1" xfId="0" applyFont="1" applyFill="1" applyBorder="1" applyAlignment="1" applyProtection="1">
      <alignment vertical="center"/>
      <protection locked="0"/>
    </xf>
    <xf numFmtId="0" fontId="26" fillId="4" borderId="0" xfId="0" applyFont="1" applyFill="1" applyAlignment="1" applyProtection="1">
      <alignment horizontal="center" vertical="center"/>
      <protection locked="0"/>
    </xf>
    <xf numFmtId="0" fontId="6" fillId="0" borderId="9" xfId="0" applyFont="1" applyBorder="1" applyAlignment="1" applyProtection="1">
      <alignment horizontal="left" vertical="center" wrapText="1"/>
      <protection hidden="1"/>
    </xf>
    <xf numFmtId="0" fontId="7" fillId="0" borderId="0" xfId="0" applyFont="1" applyAlignment="1" applyProtection="1">
      <alignment horizontal="center"/>
      <protection hidden="1"/>
    </xf>
    <xf numFmtId="0" fontId="6" fillId="0" borderId="0" xfId="0" applyFont="1" applyAlignment="1" applyProtection="1">
      <alignment horizontal="center" vertical="center"/>
      <protection hidden="1"/>
    </xf>
    <xf numFmtId="0" fontId="6" fillId="2" borderId="0" xfId="0" applyFont="1" applyFill="1" applyAlignment="1" applyProtection="1">
      <alignment horizontal="center" vertical="center"/>
      <protection hidden="1"/>
    </xf>
    <xf numFmtId="0" fontId="6" fillId="0" borderId="0" xfId="0" applyFont="1" applyProtection="1">
      <protection hidden="1"/>
    </xf>
    <xf numFmtId="0" fontId="6" fillId="5" borderId="9" xfId="0" applyFont="1" applyFill="1" applyBorder="1" applyAlignment="1" applyProtection="1">
      <alignment horizontal="left" vertical="center" wrapText="1"/>
      <protection hidden="1"/>
    </xf>
    <xf numFmtId="0" fontId="7" fillId="5" borderId="0" xfId="0" applyFont="1" applyFill="1" applyAlignment="1" applyProtection="1">
      <alignment horizontal="center"/>
      <protection hidden="1"/>
    </xf>
    <xf numFmtId="0" fontId="6" fillId="5" borderId="0" xfId="0" applyFont="1" applyFill="1" applyAlignment="1" applyProtection="1">
      <alignment horizontal="center" vertical="center"/>
      <protection hidden="1"/>
    </xf>
    <xf numFmtId="0" fontId="6" fillId="5" borderId="0" xfId="0" applyFont="1" applyFill="1" applyProtection="1">
      <protection hidden="1"/>
    </xf>
    <xf numFmtId="0" fontId="7" fillId="5" borderId="0" xfId="0" applyFont="1" applyFill="1" applyProtection="1">
      <protection hidden="1"/>
    </xf>
    <xf numFmtId="0" fontId="7" fillId="5" borderId="0" xfId="0" applyFont="1" applyFill="1" applyAlignment="1" applyProtection="1">
      <alignment vertical="center"/>
      <protection hidden="1"/>
    </xf>
    <xf numFmtId="0" fontId="7" fillId="5" borderId="0" xfId="0" applyFont="1" applyFill="1" applyAlignment="1" applyProtection="1">
      <alignment horizontal="left" vertical="center"/>
      <protection hidden="1"/>
    </xf>
    <xf numFmtId="0" fontId="6" fillId="5" borderId="0" xfId="0" applyFont="1" applyFill="1" applyAlignment="1" applyProtection="1">
      <alignment vertical="center"/>
      <protection hidden="1"/>
    </xf>
    <xf numFmtId="0" fontId="12" fillId="0" borderId="0" xfId="0" applyFont="1" applyProtection="1">
      <protection hidden="1"/>
    </xf>
    <xf numFmtId="0" fontId="12" fillId="0" borderId="0" xfId="0" applyFont="1" applyAlignment="1" applyProtection="1">
      <alignment horizontal="center" vertical="center"/>
      <protection hidden="1"/>
    </xf>
    <xf numFmtId="0" fontId="7" fillId="0" borderId="0" xfId="0" applyFont="1" applyAlignment="1" applyProtection="1">
      <alignment vertical="center" wrapText="1"/>
      <protection hidden="1"/>
    </xf>
    <xf numFmtId="0" fontId="7" fillId="0" borderId="0" xfId="0" applyFont="1" applyAlignment="1" applyProtection="1">
      <alignment horizontal="center" vertical="center"/>
      <protection hidden="1"/>
    </xf>
    <xf numFmtId="0" fontId="7" fillId="2" borderId="0" xfId="0" applyFont="1" applyFill="1" applyAlignment="1" applyProtection="1">
      <alignment horizontal="center" vertical="center"/>
      <protection hidden="1"/>
    </xf>
    <xf numFmtId="0" fontId="7" fillId="0" borderId="8" xfId="0" applyFont="1" applyBorder="1" applyAlignment="1" applyProtection="1">
      <alignment horizontal="left" vertical="center" wrapText="1"/>
      <protection hidden="1"/>
    </xf>
    <xf numFmtId="0" fontId="7" fillId="0" borderId="8" xfId="0" applyFont="1" applyBorder="1" applyAlignment="1" applyProtection="1">
      <alignment vertical="center" wrapText="1"/>
      <protection hidden="1"/>
    </xf>
    <xf numFmtId="0" fontId="7" fillId="0" borderId="8" xfId="0" applyFont="1" applyBorder="1" applyAlignment="1" applyProtection="1">
      <alignment horizontal="center" vertical="center"/>
      <protection hidden="1"/>
    </xf>
    <xf numFmtId="0" fontId="7" fillId="2" borderId="8" xfId="0" applyFont="1" applyFill="1" applyBorder="1" applyAlignment="1" applyProtection="1">
      <alignment horizontal="center" vertical="center"/>
      <protection hidden="1"/>
    </xf>
    <xf numFmtId="0" fontId="14" fillId="0" borderId="0" xfId="0" applyFont="1" applyAlignment="1" applyProtection="1">
      <alignment horizontal="left" vertical="center" wrapText="1"/>
      <protection hidden="1"/>
    </xf>
    <xf numFmtId="0" fontId="15" fillId="0" borderId="0" xfId="0" applyFont="1" applyAlignment="1" applyProtection="1">
      <alignment horizontal="center" vertical="center"/>
      <protection hidden="1"/>
    </xf>
    <xf numFmtId="0" fontId="6" fillId="6" borderId="0" xfId="0" applyFont="1" applyFill="1" applyAlignment="1" applyProtection="1">
      <alignment horizontal="center" vertical="center"/>
      <protection hidden="1"/>
    </xf>
    <xf numFmtId="0" fontId="14" fillId="0" borderId="7" xfId="0" applyFont="1" applyBorder="1" applyAlignment="1" applyProtection="1">
      <alignment horizontal="left" vertical="center" wrapText="1"/>
      <protection hidden="1"/>
    </xf>
    <xf numFmtId="0" fontId="15" fillId="0" borderId="7" xfId="0" applyFont="1" applyBorder="1" applyAlignment="1" applyProtection="1">
      <alignment horizontal="center" vertical="center"/>
      <protection hidden="1"/>
    </xf>
    <xf numFmtId="0" fontId="7" fillId="0" borderId="7" xfId="0" applyFont="1" applyBorder="1" applyAlignment="1" applyProtection="1">
      <alignment horizontal="center" vertical="center"/>
      <protection hidden="1"/>
    </xf>
    <xf numFmtId="0" fontId="6" fillId="0" borderId="7" xfId="0" applyFont="1" applyBorder="1" applyAlignment="1" applyProtection="1">
      <alignment horizontal="center" vertical="center"/>
      <protection hidden="1"/>
    </xf>
    <xf numFmtId="0" fontId="6" fillId="2" borderId="7" xfId="0" applyFont="1" applyFill="1" applyBorder="1" applyAlignment="1" applyProtection="1">
      <alignment horizontal="center" vertical="center"/>
      <protection hidden="1"/>
    </xf>
    <xf numFmtId="0" fontId="6" fillId="0" borderId="0" xfId="0" applyFont="1" applyAlignment="1" applyProtection="1">
      <alignment horizontal="left" vertical="center" wrapText="1"/>
      <protection hidden="1"/>
    </xf>
    <xf numFmtId="0" fontId="6" fillId="0" borderId="0" xfId="0" applyFont="1" applyAlignment="1" applyProtection="1">
      <alignment vertical="center"/>
      <protection hidden="1"/>
    </xf>
    <xf numFmtId="0" fontId="20" fillId="0" borderId="0" xfId="0" applyFont="1" applyAlignment="1" applyProtection="1">
      <alignment horizontal="left" vertical="top" readingOrder="1"/>
      <protection hidden="1"/>
    </xf>
    <xf numFmtId="0" fontId="6" fillId="0" borderId="0" xfId="0" applyFont="1" applyAlignment="1" applyProtection="1">
      <alignment horizontal="justify" vertical="top" wrapText="1" readingOrder="1"/>
      <protection hidden="1"/>
    </xf>
    <xf numFmtId="0" fontId="21" fillId="0" borderId="0" xfId="0" applyFont="1" applyAlignment="1" applyProtection="1">
      <alignment horizontal="left" vertical="top" readingOrder="1"/>
      <protection hidden="1"/>
    </xf>
    <xf numFmtId="0" fontId="7" fillId="0" borderId="0" xfId="0" applyFont="1" applyAlignment="1" applyProtection="1">
      <alignment horizontal="justify" vertical="top" readingOrder="1"/>
      <protection hidden="1"/>
    </xf>
    <xf numFmtId="0" fontId="6" fillId="0" borderId="0" xfId="0" applyFont="1" applyAlignment="1" applyProtection="1">
      <alignment horizontal="justify" vertical="top" readingOrder="1"/>
      <protection hidden="1"/>
    </xf>
    <xf numFmtId="0" fontId="22" fillId="0" borderId="0" xfId="0" applyFont="1" applyAlignment="1" applyProtection="1">
      <alignment horizontal="justify" vertical="top" wrapText="1" readingOrder="1"/>
      <protection hidden="1"/>
    </xf>
    <xf numFmtId="0" fontId="24" fillId="0" borderId="0" xfId="0" applyFont="1" applyAlignment="1" applyProtection="1">
      <alignment horizontal="left" vertical="top" readingOrder="1"/>
      <protection hidden="1"/>
    </xf>
    <xf numFmtId="0" fontId="14" fillId="0" borderId="0" xfId="0" applyFont="1" applyAlignment="1" applyProtection="1">
      <alignment horizontal="left" vertical="center" wrapText="1"/>
      <protection hidden="1"/>
    </xf>
    <xf numFmtId="0" fontId="6" fillId="2" borderId="0" xfId="0" applyFont="1" applyFill="1" applyAlignment="1" applyProtection="1">
      <alignment horizontal="left" vertical="center"/>
      <protection hidden="1"/>
    </xf>
    <xf numFmtId="0" fontId="7" fillId="0" borderId="0" xfId="0" applyFont="1" applyAlignment="1" applyProtection="1">
      <alignment horizontal="left" vertical="center" wrapText="1"/>
      <protection hidden="1"/>
    </xf>
    <xf numFmtId="0" fontId="7" fillId="5" borderId="0" xfId="0" applyFont="1" applyFill="1" applyAlignment="1" applyProtection="1">
      <alignment horizontal="left" vertical="center"/>
      <protection hidden="1"/>
    </xf>
    <xf numFmtId="0" fontId="6" fillId="2" borderId="0" xfId="0" applyFont="1" applyFill="1" applyAlignment="1" applyProtection="1">
      <alignment horizontal="left" vertical="center"/>
      <protection locked="0"/>
    </xf>
    <xf numFmtId="14" fontId="6" fillId="2" borderId="0" xfId="0" applyNumberFormat="1" applyFont="1" applyFill="1" applyAlignment="1" applyProtection="1">
      <alignment horizontal="left"/>
      <protection hidden="1"/>
    </xf>
    <xf numFmtId="165" fontId="6" fillId="2" borderId="0" xfId="0" applyNumberFormat="1" applyFont="1" applyFill="1" applyAlignment="1" applyProtection="1">
      <alignment horizontal="left" vertical="center"/>
      <protection hidden="1"/>
    </xf>
    <xf numFmtId="0" fontId="6" fillId="2" borderId="0" xfId="0" applyFont="1" applyFill="1" applyAlignment="1" applyProtection="1">
      <alignment horizontal="left"/>
      <protection hidden="1"/>
    </xf>
    <xf numFmtId="0" fontId="12" fillId="0" borderId="0" xfId="0" applyFont="1" applyAlignment="1" applyProtection="1">
      <alignment horizontal="center" vertical="center"/>
      <protection locked="0"/>
    </xf>
    <xf numFmtId="0" fontId="22" fillId="0" borderId="0" xfId="0" applyFont="1" applyAlignment="1" applyProtection="1">
      <alignment horizontal="justify" vertical="top" wrapText="1" readingOrder="1"/>
      <protection hidden="1"/>
    </xf>
    <xf numFmtId="0" fontId="23" fillId="0" borderId="0" xfId="0" applyFont="1" applyAlignment="1" applyProtection="1">
      <alignment horizontal="justify" vertical="top" wrapText="1" readingOrder="1"/>
      <protection hidden="1"/>
    </xf>
    <xf numFmtId="0" fontId="5" fillId="0" borderId="4" xfId="0" applyFont="1" applyBorder="1" applyAlignment="1" applyProtection="1">
      <alignment horizontal="justify" vertical="top" wrapText="1"/>
      <protection locked="0"/>
    </xf>
    <xf numFmtId="0" fontId="5" fillId="0" borderId="5" xfId="0" applyFont="1" applyBorder="1" applyAlignment="1" applyProtection="1">
      <alignment horizontal="justify" vertical="top" wrapText="1"/>
      <protection locked="0"/>
    </xf>
    <xf numFmtId="0" fontId="5" fillId="0" borderId="6" xfId="0" applyFont="1" applyBorder="1" applyAlignment="1" applyProtection="1">
      <alignment horizontal="justify" vertical="top" wrapText="1"/>
      <protection locked="0"/>
    </xf>
    <xf numFmtId="0" fontId="5" fillId="0" borderId="0" xfId="0" applyFont="1" applyAlignment="1" applyProtection="1">
      <alignment horizontal="justify" vertical="top" wrapText="1" readingOrder="1"/>
      <protection locked="0"/>
    </xf>
    <xf numFmtId="0" fontId="6" fillId="0" borderId="2" xfId="0" applyFont="1" applyBorder="1" applyAlignment="1" applyProtection="1">
      <alignment horizontal="left" vertical="center" wrapText="1"/>
      <protection locked="0"/>
    </xf>
    <xf numFmtId="0" fontId="6" fillId="0" borderId="3" xfId="0" applyFont="1" applyBorder="1" applyAlignment="1" applyProtection="1">
      <alignment horizontal="left" vertical="center" wrapText="1"/>
      <protection locked="0"/>
    </xf>
    <xf numFmtId="0" fontId="7" fillId="0" borderId="0" xfId="0" applyFont="1" applyAlignment="1" applyProtection="1">
      <alignment horizontal="center" vertical="center" wrapText="1"/>
      <protection locked="0"/>
    </xf>
    <xf numFmtId="0" fontId="6" fillId="0" borderId="0" xfId="0" applyFont="1" applyAlignment="1" applyProtection="1">
      <alignment horizontal="left" vertical="center" wrapText="1"/>
      <protection locked="0"/>
    </xf>
    <xf numFmtId="0" fontId="17" fillId="0" borderId="0" xfId="0" applyFont="1" applyAlignment="1" applyProtection="1">
      <alignment horizontal="center" vertical="center" wrapText="1"/>
      <protection locked="0"/>
    </xf>
    <xf numFmtId="0" fontId="19" fillId="7" borderId="0" xfId="0" applyFont="1" applyFill="1" applyAlignment="1" applyProtection="1">
      <alignment horizontal="left" vertical="center"/>
      <protection locked="0"/>
    </xf>
    <xf numFmtId="14" fontId="19" fillId="7" borderId="0" xfId="0" applyNumberFormat="1" applyFont="1" applyFill="1" applyAlignment="1" applyProtection="1">
      <alignment horizontal="left" vertical="center" wrapText="1"/>
      <protection locked="0"/>
    </xf>
    <xf numFmtId="0" fontId="19" fillId="7" borderId="0" xfId="0" applyFont="1" applyFill="1" applyAlignment="1" applyProtection="1">
      <alignment horizontal="left" vertical="center" wrapText="1"/>
      <protection locked="0"/>
    </xf>
    <xf numFmtId="165" fontId="19" fillId="7" borderId="0" xfId="0" applyNumberFormat="1" applyFont="1" applyFill="1" applyAlignment="1" applyProtection="1">
      <alignment horizontal="left" vertical="center"/>
      <protection locked="0"/>
    </xf>
    <xf numFmtId="0" fontId="1" fillId="3" borderId="1" xfId="0" applyFont="1" applyFill="1" applyBorder="1" applyAlignment="1">
      <alignment horizontal="center" vertical="center"/>
    </xf>
    <xf numFmtId="0" fontId="3" fillId="0" borderId="0" xfId="0" applyFont="1" applyAlignment="1">
      <alignment horizontal="center" vertical="center"/>
    </xf>
  </cellXfs>
  <cellStyles count="1">
    <cellStyle name="Normal" xfId="0" builtinId="0"/>
  </cellStyles>
  <dxfs count="0"/>
  <tableStyles count="1" defaultTableStyle="TableStyleMedium2" defaultPivotStyle="PivotStyleLight16">
    <tableStyle name="Invisible" pivot="0" table="0" count="0" xr9:uid="{FCD27BA2-35F5-444B-A56F-DFD1A4F3A9D5}"/>
  </tableStyles>
  <colors>
    <mruColors>
      <color rgb="FF5E763C"/>
      <color rgb="FFE16846"/>
      <color rgb="FFD3D3D3"/>
      <color rgb="FFFCD5BC"/>
      <color rgb="FF81A740"/>
      <color rgb="FFB4CD57"/>
      <color rgb="FFDCE386"/>
      <color rgb="FFF4F1A0"/>
      <color rgb="FFF1D085"/>
      <color rgb="FFF4F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17/10/relationships/person" Target="persons/person.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'!$AO$16:$AO$17</c:f>
              <c:numCache>
                <c:formatCode>General</c:formatCode>
                <c:ptCount val="2"/>
                <c:pt idx="0">
                  <c:v>10</c:v>
                </c:pt>
                <c:pt idx="1">
                  <c:v>15</c:v>
                </c:pt>
              </c:numCache>
            </c:numRef>
          </c:xVal>
          <c:yVal>
            <c:numRef>
              <c:f>'Perfil '!$AN$16:$AN$17</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3939393939393943"/>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'!$AO$18:$AO$19</c:f>
              <c:numCache>
                <c:formatCode>General</c:formatCode>
                <c:ptCount val="2"/>
                <c:pt idx="0">
                  <c:v>35</c:v>
                </c:pt>
                <c:pt idx="1">
                  <c:v>10</c:v>
                </c:pt>
              </c:numCache>
            </c:numRef>
          </c:xVal>
          <c:yVal>
            <c:numRef>
              <c:f>'Perfil '!$AN$18:$AN$19</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'!$AO$20:$AO$21</c:f>
              <c:numCache>
                <c:formatCode>General</c:formatCode>
                <c:ptCount val="2"/>
                <c:pt idx="0">
                  <c:v>15</c:v>
                </c:pt>
                <c:pt idx="1">
                  <c:v>30</c:v>
                </c:pt>
              </c:numCache>
            </c:numRef>
          </c:xVal>
          <c:yVal>
            <c:numRef>
              <c:f>'Perfil '!$AN$20:$AN$21</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'!$AO$22:$AO$23</c:f>
              <c:numCache>
                <c:formatCode>General</c:formatCode>
                <c:ptCount val="2"/>
                <c:pt idx="0">
                  <c:v>10</c:v>
                </c:pt>
                <c:pt idx="1">
                  <c:v>30</c:v>
                </c:pt>
              </c:numCache>
            </c:numRef>
          </c:xVal>
          <c:yVal>
            <c:numRef>
              <c:f>'Perfil '!$AN$22:$AN$23</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accent1"/>
              </a:solidFill>
              <a:ln w="34925">
                <a:solidFill>
                  <a:schemeClr val="tx1"/>
                </a:solidFill>
              </a:ln>
              <a:effectLst/>
            </c:spPr>
          </c:marker>
          <c:xVal>
            <c:numRef>
              <c:f>'Perfil '!$AO$24:$AO$25</c:f>
              <c:numCache>
                <c:formatCode>General</c:formatCode>
                <c:ptCount val="2"/>
                <c:pt idx="0">
                  <c:v>10</c:v>
                </c:pt>
                <c:pt idx="1">
                  <c:v>10</c:v>
                </c:pt>
              </c:numCache>
            </c:numRef>
          </c:xVal>
          <c:yVal>
            <c:numRef>
              <c:f>'Perfil '!$AN$24:$AN$25</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'!$AO$28:$AO$29</c:f>
              <c:numCache>
                <c:formatCode>General</c:formatCode>
                <c:ptCount val="2"/>
                <c:pt idx="0">
                  <c:v>20</c:v>
                </c:pt>
                <c:pt idx="1">
                  <c:v>10</c:v>
                </c:pt>
              </c:numCache>
            </c:numRef>
          </c:xVal>
          <c:yVal>
            <c:numRef>
              <c:f>'Perfil '!$AN$28:$AN$29</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'!$AO$30:$AO$31</c:f>
              <c:numCache>
                <c:formatCode>General</c:formatCode>
                <c:ptCount val="2"/>
                <c:pt idx="0">
                  <c:v>40</c:v>
                </c:pt>
                <c:pt idx="1">
                  <c:v>45</c:v>
                </c:pt>
              </c:numCache>
            </c:numRef>
          </c:xVal>
          <c:yVal>
            <c:numRef>
              <c:f>'Perfil '!$AN$30:$AN$31</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'!$AO$32:$AO$33</c:f>
              <c:numCache>
                <c:formatCode>General</c:formatCode>
                <c:ptCount val="2"/>
                <c:pt idx="0">
                  <c:v>30</c:v>
                </c:pt>
                <c:pt idx="1">
                  <c:v>15</c:v>
                </c:pt>
              </c:numCache>
            </c:numRef>
          </c:xVal>
          <c:yVal>
            <c:numRef>
              <c:f>'Perfil '!$AN$32:$AN$33</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'!$AO$34:$AO$35</c:f>
              <c:numCache>
                <c:formatCode>General</c:formatCode>
                <c:ptCount val="2"/>
                <c:pt idx="0">
                  <c:v>15</c:v>
                </c:pt>
                <c:pt idx="1">
                  <c:v>10</c:v>
                </c:pt>
              </c:numCache>
            </c:numRef>
          </c:xVal>
          <c:yVal>
            <c:numRef>
              <c:f>'Perfil '!$AN$34:$AN$35</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'!$AO$36:$AO$37</c:f>
              <c:numCache>
                <c:formatCode>General</c:formatCode>
                <c:ptCount val="2"/>
                <c:pt idx="0">
                  <c:v>30</c:v>
                </c:pt>
                <c:pt idx="1">
                  <c:v>10</c:v>
                </c:pt>
              </c:numCache>
            </c:numRef>
          </c:xVal>
          <c:yVal>
            <c:numRef>
              <c:f>'Perfil '!$AN$36:$AN$37</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'!$AO$38:$AO$39</c:f>
              <c:numCache>
                <c:formatCode>General</c:formatCode>
                <c:ptCount val="2"/>
                <c:pt idx="0">
                  <c:v>15</c:v>
                </c:pt>
                <c:pt idx="1">
                  <c:v>10</c:v>
                </c:pt>
              </c:numCache>
            </c:numRef>
          </c:xVal>
          <c:yVal>
            <c:numRef>
              <c:f>'Perfil '!$AN$38:$AN$39</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34925">
                <a:solidFill>
                  <a:schemeClr val="tx1"/>
                </a:solidFill>
              </a:ln>
              <a:effectLst/>
            </c:spPr>
          </c:marker>
          <c:xVal>
            <c:numRef>
              <c:f>'Perfil '!$AO$40:$AO$41</c:f>
              <c:numCache>
                <c:formatCode>General</c:formatCode>
                <c:ptCount val="2"/>
                <c:pt idx="0">
                  <c:v>5</c:v>
                </c:pt>
                <c:pt idx="1">
                  <c:v>45</c:v>
                </c:pt>
              </c:numCache>
            </c:numRef>
          </c:xVal>
          <c:yVal>
            <c:numRef>
              <c:f>'Perfil '!$AN$40:$AN$41</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'!$AO$42:$AO$43</c:f>
              <c:numCache>
                <c:formatCode>General</c:formatCode>
                <c:ptCount val="2"/>
                <c:pt idx="0">
                  <c:v>10</c:v>
                </c:pt>
                <c:pt idx="1">
                  <c:v>20</c:v>
                </c:pt>
              </c:numCache>
            </c:numRef>
          </c:xVal>
          <c:yVal>
            <c:numRef>
              <c:f>'Perfil '!$AN$42:$AN$43</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'!$AO$44:$AO$45</c:f>
              <c:numCache>
                <c:formatCode>General</c:formatCode>
                <c:ptCount val="2"/>
                <c:pt idx="0">
                  <c:v>30</c:v>
                </c:pt>
                <c:pt idx="1">
                  <c:v>15</c:v>
                </c:pt>
              </c:numCache>
            </c:numRef>
          </c:xVal>
          <c:yVal>
            <c:numRef>
              <c:f>'Perfil '!$AN$44:$AN$45</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712552539420663E-2"/>
          <c:y val="0.26666666666666666"/>
          <c:w val="0.92657489492115863"/>
          <c:h val="0.51515151515151514"/>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34925">
                <a:solidFill>
                  <a:schemeClr val="tx1"/>
                </a:solidFill>
              </a:ln>
              <a:effectLst/>
            </c:spPr>
          </c:marker>
          <c:xVal>
            <c:numRef>
              <c:f>'Perfil '!$AO$26:$AO$27</c:f>
              <c:numCache>
                <c:formatCode>General</c:formatCode>
                <c:ptCount val="2"/>
                <c:pt idx="0">
                  <c:v>25</c:v>
                </c:pt>
                <c:pt idx="1">
                  <c:v>10</c:v>
                </c:pt>
              </c:numCache>
            </c:numRef>
          </c:xVal>
          <c:yVal>
            <c:numRef>
              <c:f>'Perfil '!$AN$26:$AN$27</c:f>
              <c:numCache>
                <c:formatCode>General</c:formatCode>
                <c:ptCount val="2"/>
                <c:pt idx="0">
                  <c:v>1</c:v>
                </c:pt>
                <c:pt idx="1">
                  <c:v>2</c:v>
                </c:pt>
              </c:numCache>
            </c:numRef>
          </c:yVal>
          <c:smooth val="0"/>
          <c:extLst>
            <c:ext xmlns:c16="http://schemas.microsoft.com/office/drawing/2014/chart" uri="{C3380CC4-5D6E-409C-BE32-E72D297353CC}">
              <c16:uniqueId val="{00000000-1A78-4FF4-853D-070364414608}"/>
            </c:ext>
          </c:extLst>
        </c:ser>
        <c:dLbls>
          <c:showLegendKey val="0"/>
          <c:showVal val="0"/>
          <c:showCatName val="0"/>
          <c:showSerName val="0"/>
          <c:showPercent val="0"/>
          <c:showBubbleSize val="0"/>
        </c:dLbls>
        <c:axId val="1112326767"/>
        <c:axId val="1112326287"/>
      </c:scatterChart>
      <c:valAx>
        <c:axId val="1112326767"/>
        <c:scaling>
          <c:orientation val="minMax"/>
          <c:max val="100"/>
        </c:scaling>
        <c:delete val="1"/>
        <c:axPos val="t"/>
        <c:numFmt formatCode="General" sourceLinked="1"/>
        <c:majorTickMark val="none"/>
        <c:minorTickMark val="none"/>
        <c:tickLblPos val="nextTo"/>
        <c:crossAx val="1112326287"/>
        <c:crosses val="autoZero"/>
        <c:crossBetween val="midCat"/>
        <c:majorUnit val="5"/>
      </c:valAx>
      <c:valAx>
        <c:axId val="1112326287"/>
        <c:scaling>
          <c:orientation val="maxMin"/>
          <c:max val="2"/>
          <c:min val="1"/>
        </c:scaling>
        <c:delete val="1"/>
        <c:axPos val="l"/>
        <c:numFmt formatCode="General" sourceLinked="1"/>
        <c:majorTickMark val="none"/>
        <c:minorTickMark val="none"/>
        <c:tickLblPos val="nextTo"/>
        <c:crossAx val="1112326767"/>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6"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3</xdr:col>
      <xdr:colOff>409575</xdr:colOff>
      <xdr:row>0</xdr:row>
      <xdr:rowOff>0</xdr:rowOff>
    </xdr:from>
    <xdr:to>
      <xdr:col>21</xdr:col>
      <xdr:colOff>209550</xdr:colOff>
      <xdr:row>5</xdr:row>
      <xdr:rowOff>19050</xdr:rowOff>
    </xdr:to>
    <xdr:pic>
      <xdr:nvPicPr>
        <xdr:cNvPr id="5" name="Imagen 4">
          <a:extLst>
            <a:ext uri="{FF2B5EF4-FFF2-40B4-BE49-F238E27FC236}">
              <a16:creationId xmlns:a16="http://schemas.microsoft.com/office/drawing/2014/main" id="{EEFEE271-C526-F752-F9F6-BF8EAF92AC59}"/>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7392" t="17778" r="17039" b="34920"/>
        <a:stretch>
          <a:fillRect/>
        </a:stretch>
      </xdr:blipFill>
      <xdr:spPr bwMode="auto">
        <a:xfrm>
          <a:off x="2276475" y="0"/>
          <a:ext cx="6829425" cy="1581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685800</xdr:colOff>
      <xdr:row>5</xdr:row>
      <xdr:rowOff>19050</xdr:rowOff>
    </xdr:from>
    <xdr:to>
      <xdr:col>20</xdr:col>
      <xdr:colOff>66675</xdr:colOff>
      <xdr:row>22</xdr:row>
      <xdr:rowOff>123825</xdr:rowOff>
    </xdr:to>
    <xdr:sp macro="" textlink="">
      <xdr:nvSpPr>
        <xdr:cNvPr id="6" name="Rectángulo: esquinas redondeadas 5">
          <a:extLst>
            <a:ext uri="{FF2B5EF4-FFF2-40B4-BE49-F238E27FC236}">
              <a16:creationId xmlns:a16="http://schemas.microsoft.com/office/drawing/2014/main" id="{D5F21FF1-B1B2-9244-2E74-B670D6FCE103}"/>
            </a:ext>
          </a:extLst>
        </xdr:cNvPr>
        <xdr:cNvSpPr/>
      </xdr:nvSpPr>
      <xdr:spPr>
        <a:xfrm>
          <a:off x="1447800" y="1581150"/>
          <a:ext cx="7486650" cy="4676775"/>
        </a:xfrm>
        <a:prstGeom prst="roundRect">
          <a:avLst>
            <a:gd name="adj" fmla="val 5494"/>
          </a:avLst>
        </a:prstGeom>
        <a:noFill/>
        <a:ln w="19050">
          <a:solidFill>
            <a:srgbClr val="649AB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209550</xdr:colOff>
      <xdr:row>4</xdr:row>
      <xdr:rowOff>57150</xdr:rowOff>
    </xdr:from>
    <xdr:to>
      <xdr:col>12</xdr:col>
      <xdr:colOff>57150</xdr:colOff>
      <xdr:row>5</xdr:row>
      <xdr:rowOff>114300</xdr:rowOff>
    </xdr:to>
    <xdr:sp macro="" textlink="">
      <xdr:nvSpPr>
        <xdr:cNvPr id="7" name="Rectángulo: esquinas redondeadas 6">
          <a:extLst>
            <a:ext uri="{FF2B5EF4-FFF2-40B4-BE49-F238E27FC236}">
              <a16:creationId xmlns:a16="http://schemas.microsoft.com/office/drawing/2014/main" id="{5190DA9E-0819-256A-2F72-AFE306814CE4}"/>
            </a:ext>
          </a:extLst>
        </xdr:cNvPr>
        <xdr:cNvSpPr/>
      </xdr:nvSpPr>
      <xdr:spPr>
        <a:xfrm>
          <a:off x="3600450" y="1352550"/>
          <a:ext cx="1638300" cy="323850"/>
        </a:xfrm>
        <a:prstGeom prst="roundRect">
          <a:avLst/>
        </a:prstGeom>
        <a:solidFill>
          <a:srgbClr val="447B8D"/>
        </a:solidFill>
        <a:ln>
          <a:solidFill>
            <a:srgbClr val="447B8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BO" sz="1100" b="1">
              <a:latin typeface="Daytona" panose="020B0604030500040204" pitchFamily="34" charset="0"/>
            </a:rPr>
            <a:t>INSTRUCCIONES</a:t>
          </a:r>
        </a:p>
      </xdr:txBody>
    </xdr:sp>
    <xdr:clientData/>
  </xdr:twoCellAnchor>
  <xdr:twoCellAnchor>
    <xdr:from>
      <xdr:col>5</xdr:col>
      <xdr:colOff>291243</xdr:colOff>
      <xdr:row>36</xdr:row>
      <xdr:rowOff>123834</xdr:rowOff>
    </xdr:from>
    <xdr:to>
      <xdr:col>8</xdr:col>
      <xdr:colOff>143606</xdr:colOff>
      <xdr:row>39</xdr:row>
      <xdr:rowOff>66682</xdr:rowOff>
    </xdr:to>
    <xdr:sp macro="" textlink="">
      <xdr:nvSpPr>
        <xdr:cNvPr id="8" name="Triángulo isósceles 7">
          <a:extLst>
            <a:ext uri="{FF2B5EF4-FFF2-40B4-BE49-F238E27FC236}">
              <a16:creationId xmlns:a16="http://schemas.microsoft.com/office/drawing/2014/main" id="{020D9F0D-24E0-B24D-3A85-366089890D37}"/>
            </a:ext>
          </a:extLst>
        </xdr:cNvPr>
        <xdr:cNvSpPr/>
      </xdr:nvSpPr>
      <xdr:spPr>
        <a:xfrm rot="5400000">
          <a:off x="3389250" y="8367904"/>
          <a:ext cx="536329" cy="1193190"/>
        </a:xfrm>
        <a:prstGeom prst="triangle">
          <a:avLst/>
        </a:prstGeom>
        <a:solidFill>
          <a:srgbClr val="447B8D"/>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437417</xdr:colOff>
      <xdr:row>35</xdr:row>
      <xdr:rowOff>124558</xdr:rowOff>
    </xdr:from>
    <xdr:to>
      <xdr:col>19</xdr:col>
      <xdr:colOff>65942</xdr:colOff>
      <xdr:row>40</xdr:row>
      <xdr:rowOff>118696</xdr:rowOff>
    </xdr:to>
    <xdr:sp macro="" textlink="">
      <xdr:nvSpPr>
        <xdr:cNvPr id="9" name="Rectángulo: esquinas redondeadas 8">
          <a:extLst>
            <a:ext uri="{FF2B5EF4-FFF2-40B4-BE49-F238E27FC236}">
              <a16:creationId xmlns:a16="http://schemas.microsoft.com/office/drawing/2014/main" id="{C614F47E-5313-40AE-AE74-16AA9709BCE6}"/>
            </a:ext>
          </a:extLst>
        </xdr:cNvPr>
        <xdr:cNvSpPr/>
      </xdr:nvSpPr>
      <xdr:spPr>
        <a:xfrm>
          <a:off x="4547821" y="8499231"/>
          <a:ext cx="4083294" cy="983273"/>
        </a:xfrm>
        <a:prstGeom prst="roundRect">
          <a:avLst>
            <a:gd name="adj" fmla="val 9198"/>
          </a:avLst>
        </a:prstGeom>
        <a:noFill/>
        <a:ln w="19050">
          <a:solidFill>
            <a:srgbClr val="649AB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723900</xdr:colOff>
      <xdr:row>24</xdr:row>
      <xdr:rowOff>0</xdr:rowOff>
    </xdr:from>
    <xdr:to>
      <xdr:col>4</xdr:col>
      <xdr:colOff>0</xdr:colOff>
      <xdr:row>27</xdr:row>
      <xdr:rowOff>0</xdr:rowOff>
    </xdr:to>
    <xdr:sp macro="" textlink="">
      <xdr:nvSpPr>
        <xdr:cNvPr id="2" name="CuadroTexto 1">
          <a:extLst>
            <a:ext uri="{FF2B5EF4-FFF2-40B4-BE49-F238E27FC236}">
              <a16:creationId xmlns:a16="http://schemas.microsoft.com/office/drawing/2014/main" id="{9B9C147A-424E-97FE-AF0C-4DC5ECCAAF7C}"/>
            </a:ext>
          </a:extLst>
        </xdr:cNvPr>
        <xdr:cNvSpPr txBox="1"/>
      </xdr:nvSpPr>
      <xdr:spPr>
        <a:xfrm>
          <a:off x="1485900" y="7886700"/>
          <a:ext cx="838200" cy="476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BO" sz="900" b="1">
              <a:latin typeface="Daytona" panose="020B0604030500040204" pitchFamily="34" charset="0"/>
            </a:rPr>
            <a:t>Apellidos </a:t>
          </a:r>
        </a:p>
        <a:p>
          <a:pPr algn="ctr"/>
          <a:r>
            <a:rPr lang="es-BO" sz="900" b="1">
              <a:latin typeface="Daytona" panose="020B0604030500040204" pitchFamily="34" charset="0"/>
            </a:rPr>
            <a:t>y nombre </a:t>
          </a:r>
        </a:p>
      </xdr:txBody>
    </xdr:sp>
    <xdr:clientData/>
  </xdr:twoCellAnchor>
  <xdr:twoCellAnchor>
    <xdr:from>
      <xdr:col>1</xdr:col>
      <xdr:colOff>732692</xdr:colOff>
      <xdr:row>27</xdr:row>
      <xdr:rowOff>49824</xdr:rowOff>
    </xdr:from>
    <xdr:to>
      <xdr:col>20</xdr:col>
      <xdr:colOff>66675</xdr:colOff>
      <xdr:row>29</xdr:row>
      <xdr:rowOff>59348</xdr:rowOff>
    </xdr:to>
    <xdr:sp macro="" textlink="">
      <xdr:nvSpPr>
        <xdr:cNvPr id="3" name="Rectángulo 2">
          <a:extLst>
            <a:ext uri="{FF2B5EF4-FFF2-40B4-BE49-F238E27FC236}">
              <a16:creationId xmlns:a16="http://schemas.microsoft.com/office/drawing/2014/main" id="{7C701EE3-70AA-321A-CEF5-E0E78D1C3C1F}"/>
            </a:ext>
          </a:extLst>
        </xdr:cNvPr>
        <xdr:cNvSpPr/>
      </xdr:nvSpPr>
      <xdr:spPr>
        <a:xfrm>
          <a:off x="1494692" y="8329247"/>
          <a:ext cx="7430233" cy="324582"/>
        </a:xfrm>
        <a:prstGeom prst="rect">
          <a:avLst/>
        </a:prstGeom>
        <a:noFill/>
        <a:ln w="12700">
          <a:solidFill>
            <a:srgbClr val="FCD5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725365</xdr:colOff>
      <xdr:row>24</xdr:row>
      <xdr:rowOff>9526</xdr:rowOff>
    </xdr:from>
    <xdr:to>
      <xdr:col>20</xdr:col>
      <xdr:colOff>66675</xdr:colOff>
      <xdr:row>26</xdr:row>
      <xdr:rowOff>76200</xdr:rowOff>
    </xdr:to>
    <xdr:sp macro="" textlink="">
      <xdr:nvSpPr>
        <xdr:cNvPr id="4" name="Rectángulo 3">
          <a:extLst>
            <a:ext uri="{FF2B5EF4-FFF2-40B4-BE49-F238E27FC236}">
              <a16:creationId xmlns:a16="http://schemas.microsoft.com/office/drawing/2014/main" id="{FC03D196-22BC-4873-4882-6EC7C17A4AA4}"/>
            </a:ext>
          </a:extLst>
        </xdr:cNvPr>
        <xdr:cNvSpPr/>
      </xdr:nvSpPr>
      <xdr:spPr>
        <a:xfrm>
          <a:off x="1487365" y="7842007"/>
          <a:ext cx="7437560" cy="411039"/>
        </a:xfrm>
        <a:prstGeom prst="rect">
          <a:avLst/>
        </a:prstGeom>
        <a:noFill/>
        <a:ln w="12700">
          <a:solidFill>
            <a:srgbClr val="FCD5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740019</xdr:colOff>
      <xdr:row>30</xdr:row>
      <xdr:rowOff>161926</xdr:rowOff>
    </xdr:from>
    <xdr:to>
      <xdr:col>20</xdr:col>
      <xdr:colOff>66675</xdr:colOff>
      <xdr:row>32</xdr:row>
      <xdr:rowOff>66675</xdr:rowOff>
    </xdr:to>
    <xdr:sp macro="" textlink="">
      <xdr:nvSpPr>
        <xdr:cNvPr id="10" name="Rectángulo 9">
          <a:extLst>
            <a:ext uri="{FF2B5EF4-FFF2-40B4-BE49-F238E27FC236}">
              <a16:creationId xmlns:a16="http://schemas.microsoft.com/office/drawing/2014/main" id="{3D46ACA4-8FAA-7E49-6374-BEAD82127506}"/>
            </a:ext>
          </a:extLst>
        </xdr:cNvPr>
        <xdr:cNvSpPr/>
      </xdr:nvSpPr>
      <xdr:spPr>
        <a:xfrm>
          <a:off x="1502019" y="8858984"/>
          <a:ext cx="7422906" cy="329710"/>
        </a:xfrm>
        <a:prstGeom prst="rect">
          <a:avLst/>
        </a:prstGeom>
        <a:noFill/>
        <a:ln w="12700">
          <a:solidFill>
            <a:srgbClr val="FCD5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740019</xdr:colOff>
      <xdr:row>32</xdr:row>
      <xdr:rowOff>137747</xdr:rowOff>
    </xdr:from>
    <xdr:to>
      <xdr:col>20</xdr:col>
      <xdr:colOff>66675</xdr:colOff>
      <xdr:row>34</xdr:row>
      <xdr:rowOff>61546</xdr:rowOff>
    </xdr:to>
    <xdr:sp macro="" textlink="">
      <xdr:nvSpPr>
        <xdr:cNvPr id="11" name="Rectángulo 10">
          <a:extLst>
            <a:ext uri="{FF2B5EF4-FFF2-40B4-BE49-F238E27FC236}">
              <a16:creationId xmlns:a16="http://schemas.microsoft.com/office/drawing/2014/main" id="{4F910AAE-B70B-CD0A-9340-FFA6C2F175B8}"/>
            </a:ext>
          </a:extLst>
        </xdr:cNvPr>
        <xdr:cNvSpPr/>
      </xdr:nvSpPr>
      <xdr:spPr>
        <a:xfrm>
          <a:off x="1502019" y="9259766"/>
          <a:ext cx="7422906" cy="319453"/>
        </a:xfrm>
        <a:prstGeom prst="rect">
          <a:avLst/>
        </a:prstGeom>
        <a:noFill/>
        <a:ln w="12700">
          <a:solidFill>
            <a:srgbClr val="FCD5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mc:AlternateContent xmlns:mc="http://schemas.openxmlformats.org/markup-compatibility/2006">
    <mc:Choice xmlns:a14="http://schemas.microsoft.com/office/drawing/2010/main" Requires="a14">
      <xdr:twoCellAnchor>
        <xdr:from>
          <xdr:col>22</xdr:col>
          <xdr:colOff>47625</xdr:colOff>
          <xdr:row>40</xdr:row>
          <xdr:rowOff>152400</xdr:rowOff>
        </xdr:from>
        <xdr:to>
          <xdr:col>23</xdr:col>
          <xdr:colOff>257175</xdr:colOff>
          <xdr:row>41</xdr:row>
          <xdr:rowOff>228600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BO" sz="1100" b="0" i="0" u="none" strike="noStrike" baseline="0">
                  <a:solidFill>
                    <a:srgbClr val="000000"/>
                  </a:solidFill>
                  <a:latin typeface="Calibri"/>
                  <a:ea typeface="Calibri"/>
                  <a:cs typeface="Calibri"/>
                </a:rPr>
                <a:t>Borrar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18</xdr:col>
      <xdr:colOff>0</xdr:colOff>
      <xdr:row>14</xdr:row>
      <xdr:rowOff>54429</xdr:rowOff>
    </xdr:from>
    <xdr:to>
      <xdr:col>33</xdr:col>
      <xdr:colOff>0</xdr:colOff>
      <xdr:row>88</xdr:row>
      <xdr:rowOff>0</xdr:rowOff>
    </xdr:to>
    <xdr:grpSp>
      <xdr:nvGrpSpPr>
        <xdr:cNvPr id="10" name="Grupo 9">
          <a:extLst>
            <a:ext uri="{FF2B5EF4-FFF2-40B4-BE49-F238E27FC236}">
              <a16:creationId xmlns:a16="http://schemas.microsoft.com/office/drawing/2014/main" id="{2B28BFA8-35F4-599B-FC5F-E455AA0996E1}"/>
            </a:ext>
          </a:extLst>
        </xdr:cNvPr>
        <xdr:cNvGrpSpPr/>
      </xdr:nvGrpSpPr>
      <xdr:grpSpPr>
        <a:xfrm>
          <a:off x="5044109" y="2564059"/>
          <a:ext cx="3826565" cy="8592615"/>
          <a:chOff x="6096000" y="2149929"/>
          <a:chExt cx="3755571" cy="8477250"/>
        </a:xfrm>
      </xdr:grpSpPr>
      <xdr:grpSp>
        <xdr:nvGrpSpPr>
          <xdr:cNvPr id="9" name="Grupo 8">
            <a:extLst>
              <a:ext uri="{FF2B5EF4-FFF2-40B4-BE49-F238E27FC236}">
                <a16:creationId xmlns:a16="http://schemas.microsoft.com/office/drawing/2014/main" id="{04A95612-1EA9-91E2-9364-4FE22C48E8D9}"/>
              </a:ext>
            </a:extLst>
          </xdr:cNvPr>
          <xdr:cNvGrpSpPr/>
        </xdr:nvGrpSpPr>
        <xdr:grpSpPr>
          <a:xfrm>
            <a:off x="6096000" y="2149929"/>
            <a:ext cx="3524250" cy="8477250"/>
            <a:chOff x="6096000" y="2149929"/>
            <a:chExt cx="3524250" cy="8477250"/>
          </a:xfrm>
        </xdr:grpSpPr>
        <xdr:sp macro="" textlink="">
          <xdr:nvSpPr>
            <xdr:cNvPr id="2" name="Rectángulo 1">
              <a:extLst>
                <a:ext uri="{FF2B5EF4-FFF2-40B4-BE49-F238E27FC236}">
                  <a16:creationId xmlns:a16="http://schemas.microsoft.com/office/drawing/2014/main" id="{7957D491-4513-0464-2B17-636A3FA5D588}"/>
                </a:ext>
              </a:extLst>
            </xdr:cNvPr>
            <xdr:cNvSpPr/>
          </xdr:nvSpPr>
          <xdr:spPr>
            <a:xfrm>
              <a:off x="6096000" y="2149929"/>
              <a:ext cx="231321" cy="8477250"/>
            </a:xfrm>
            <a:prstGeom prst="rect">
              <a:avLst/>
            </a:prstGeom>
            <a:solidFill>
              <a:srgbClr val="E1684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3" name="Rectángulo 2">
              <a:extLst>
                <a:ext uri="{FF2B5EF4-FFF2-40B4-BE49-F238E27FC236}">
                  <a16:creationId xmlns:a16="http://schemas.microsoft.com/office/drawing/2014/main" id="{A960152C-E4E2-5325-FB73-59F2EEB8BACF}"/>
                </a:ext>
              </a:extLst>
            </xdr:cNvPr>
            <xdr:cNvSpPr/>
          </xdr:nvSpPr>
          <xdr:spPr>
            <a:xfrm>
              <a:off x="6327321" y="2149929"/>
              <a:ext cx="476250" cy="8477250"/>
            </a:xfrm>
            <a:prstGeom prst="rect">
              <a:avLst/>
            </a:prstGeom>
            <a:solidFill>
              <a:srgbClr val="F1D0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4" name="Rectángulo 3">
              <a:extLst>
                <a:ext uri="{FF2B5EF4-FFF2-40B4-BE49-F238E27FC236}">
                  <a16:creationId xmlns:a16="http://schemas.microsoft.com/office/drawing/2014/main" id="{E539D2F6-5030-D46F-7766-BCE4B7352B66}"/>
                </a:ext>
              </a:extLst>
            </xdr:cNvPr>
            <xdr:cNvSpPr/>
          </xdr:nvSpPr>
          <xdr:spPr>
            <a:xfrm>
              <a:off x="6789963" y="2149929"/>
              <a:ext cx="489857" cy="8477250"/>
            </a:xfrm>
            <a:prstGeom prst="rect">
              <a:avLst/>
            </a:prstGeom>
            <a:solidFill>
              <a:srgbClr val="F4F1A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5" name="Rectángulo 4">
              <a:extLst>
                <a:ext uri="{FF2B5EF4-FFF2-40B4-BE49-F238E27FC236}">
                  <a16:creationId xmlns:a16="http://schemas.microsoft.com/office/drawing/2014/main" id="{C4A6DEF0-48D8-1012-C72D-709CA462AB65}"/>
                </a:ext>
              </a:extLst>
            </xdr:cNvPr>
            <xdr:cNvSpPr/>
          </xdr:nvSpPr>
          <xdr:spPr>
            <a:xfrm>
              <a:off x="7279820" y="2149929"/>
              <a:ext cx="1387930" cy="8477250"/>
            </a:xfrm>
            <a:prstGeom prst="rect">
              <a:avLst/>
            </a:prstGeom>
            <a:solidFill>
              <a:srgbClr val="DCE38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6" name="Rectángulo 5">
              <a:extLst>
                <a:ext uri="{FF2B5EF4-FFF2-40B4-BE49-F238E27FC236}">
                  <a16:creationId xmlns:a16="http://schemas.microsoft.com/office/drawing/2014/main" id="{222EB0C5-3A5D-4F6E-F84A-AC7E00E6AB7E}"/>
                </a:ext>
              </a:extLst>
            </xdr:cNvPr>
            <xdr:cNvSpPr/>
          </xdr:nvSpPr>
          <xdr:spPr>
            <a:xfrm>
              <a:off x="8667749" y="2149929"/>
              <a:ext cx="503465" cy="8477250"/>
            </a:xfrm>
            <a:prstGeom prst="rect">
              <a:avLst/>
            </a:prstGeom>
            <a:solidFill>
              <a:srgbClr val="B4CD5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7" name="Rectángulo 6">
              <a:extLst>
                <a:ext uri="{FF2B5EF4-FFF2-40B4-BE49-F238E27FC236}">
                  <a16:creationId xmlns:a16="http://schemas.microsoft.com/office/drawing/2014/main" id="{8F704840-98ED-77E2-91B2-211B55C41E4A}"/>
                </a:ext>
              </a:extLst>
            </xdr:cNvPr>
            <xdr:cNvSpPr/>
          </xdr:nvSpPr>
          <xdr:spPr>
            <a:xfrm>
              <a:off x="9157607" y="2149929"/>
              <a:ext cx="462643" cy="8477250"/>
            </a:xfrm>
            <a:prstGeom prst="rect">
              <a:avLst/>
            </a:prstGeom>
            <a:solidFill>
              <a:srgbClr val="81A74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8" name="Rectángulo 7">
            <a:extLst>
              <a:ext uri="{FF2B5EF4-FFF2-40B4-BE49-F238E27FC236}">
                <a16:creationId xmlns:a16="http://schemas.microsoft.com/office/drawing/2014/main" id="{47B03DE5-E8C8-FC3E-D110-D634ACA49614}"/>
              </a:ext>
            </a:extLst>
          </xdr:cNvPr>
          <xdr:cNvSpPr/>
        </xdr:nvSpPr>
        <xdr:spPr>
          <a:xfrm>
            <a:off x="9593036" y="2149929"/>
            <a:ext cx="258535" cy="8477250"/>
          </a:xfrm>
          <a:prstGeom prst="rect">
            <a:avLst/>
          </a:prstGeom>
          <a:solidFill>
            <a:srgbClr val="5E76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13</xdr:col>
      <xdr:colOff>115311</xdr:colOff>
      <xdr:row>14</xdr:row>
      <xdr:rowOff>64206</xdr:rowOff>
    </xdr:from>
    <xdr:to>
      <xdr:col>15</xdr:col>
      <xdr:colOff>62758</xdr:colOff>
      <xdr:row>16</xdr:row>
      <xdr:rowOff>1</xdr:rowOff>
    </xdr:to>
    <xdr:sp macro="" textlink="">
      <xdr:nvSpPr>
        <xdr:cNvPr id="90" name="Rectángulo: esquinas redondeadas 89">
          <a:extLst>
            <a:ext uri="{FF2B5EF4-FFF2-40B4-BE49-F238E27FC236}">
              <a16:creationId xmlns:a16="http://schemas.microsoft.com/office/drawing/2014/main" id="{5C979793-4C72-800A-59BA-DAF890F2821B}"/>
            </a:ext>
          </a:extLst>
        </xdr:cNvPr>
        <xdr:cNvSpPr/>
      </xdr:nvSpPr>
      <xdr:spPr>
        <a:xfrm>
          <a:off x="4430136" y="24073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14</xdr:row>
      <xdr:rowOff>64206</xdr:rowOff>
    </xdr:from>
    <xdr:to>
      <xdr:col>17</xdr:col>
      <xdr:colOff>53233</xdr:colOff>
      <xdr:row>16</xdr:row>
      <xdr:rowOff>1</xdr:rowOff>
    </xdr:to>
    <xdr:sp macro="" textlink="">
      <xdr:nvSpPr>
        <xdr:cNvPr id="96" name="Rectángulo: esquinas redondeadas 95">
          <a:extLst>
            <a:ext uri="{FF2B5EF4-FFF2-40B4-BE49-F238E27FC236}">
              <a16:creationId xmlns:a16="http://schemas.microsoft.com/office/drawing/2014/main" id="{E6AF0D3F-B827-20C1-D9D4-A8419C66F019}"/>
            </a:ext>
          </a:extLst>
        </xdr:cNvPr>
        <xdr:cNvSpPr/>
      </xdr:nvSpPr>
      <xdr:spPr>
        <a:xfrm>
          <a:off x="4925436" y="24073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18</xdr:col>
      <xdr:colOff>0</xdr:colOff>
      <xdr:row>14</xdr:row>
      <xdr:rowOff>38099</xdr:rowOff>
    </xdr:from>
    <xdr:to>
      <xdr:col>33</xdr:col>
      <xdr:colOff>0</xdr:colOff>
      <xdr:row>18</xdr:row>
      <xdr:rowOff>28574</xdr:rowOff>
    </xdr:to>
    <xdr:graphicFrame macro="">
      <xdr:nvGraphicFramePr>
        <xdr:cNvPr id="98" name="Gráfico 97">
          <a:extLst>
            <a:ext uri="{FF2B5EF4-FFF2-40B4-BE49-F238E27FC236}">
              <a16:creationId xmlns:a16="http://schemas.microsoft.com/office/drawing/2014/main" id="{66F63639-0317-3BF0-6330-71FF2A8F6E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19</xdr:row>
      <xdr:rowOff>28574</xdr:rowOff>
    </xdr:from>
    <xdr:to>
      <xdr:col>33</xdr:col>
      <xdr:colOff>0</xdr:colOff>
      <xdr:row>23</xdr:row>
      <xdr:rowOff>28574</xdr:rowOff>
    </xdr:to>
    <xdr:graphicFrame macro="">
      <xdr:nvGraphicFramePr>
        <xdr:cNvPr id="99" name="Gráfico 98">
          <a:extLst>
            <a:ext uri="{FF2B5EF4-FFF2-40B4-BE49-F238E27FC236}">
              <a16:creationId xmlns:a16="http://schemas.microsoft.com/office/drawing/2014/main" id="{F7578F82-013B-717E-5C26-95F8D7B262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0</xdr:colOff>
      <xdr:row>23</xdr:row>
      <xdr:rowOff>57149</xdr:rowOff>
    </xdr:from>
    <xdr:to>
      <xdr:col>33</xdr:col>
      <xdr:colOff>0</xdr:colOff>
      <xdr:row>28</xdr:row>
      <xdr:rowOff>28575</xdr:rowOff>
    </xdr:to>
    <xdr:graphicFrame macro="">
      <xdr:nvGraphicFramePr>
        <xdr:cNvPr id="100" name="Gráfico 99">
          <a:extLst>
            <a:ext uri="{FF2B5EF4-FFF2-40B4-BE49-F238E27FC236}">
              <a16:creationId xmlns:a16="http://schemas.microsoft.com/office/drawing/2014/main" id="{884AEFA6-51B3-B170-25A4-3809E53C43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29</xdr:row>
      <xdr:rowOff>9524</xdr:rowOff>
    </xdr:from>
    <xdr:to>
      <xdr:col>33</xdr:col>
      <xdr:colOff>0</xdr:colOff>
      <xdr:row>33</xdr:row>
      <xdr:rowOff>38100</xdr:rowOff>
    </xdr:to>
    <xdr:graphicFrame macro="">
      <xdr:nvGraphicFramePr>
        <xdr:cNvPr id="101" name="Gráfico 100">
          <a:extLst>
            <a:ext uri="{FF2B5EF4-FFF2-40B4-BE49-F238E27FC236}">
              <a16:creationId xmlns:a16="http://schemas.microsoft.com/office/drawing/2014/main" id="{6BF48A44-5365-190B-99BD-2810280D8F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0</xdr:colOff>
      <xdr:row>34</xdr:row>
      <xdr:rowOff>9524</xdr:rowOff>
    </xdr:from>
    <xdr:to>
      <xdr:col>33</xdr:col>
      <xdr:colOff>0</xdr:colOff>
      <xdr:row>38</xdr:row>
      <xdr:rowOff>38100</xdr:rowOff>
    </xdr:to>
    <xdr:graphicFrame macro="">
      <xdr:nvGraphicFramePr>
        <xdr:cNvPr id="102" name="Gráfico 101">
          <a:extLst>
            <a:ext uri="{FF2B5EF4-FFF2-40B4-BE49-F238E27FC236}">
              <a16:creationId xmlns:a16="http://schemas.microsoft.com/office/drawing/2014/main" id="{A2DE235A-B449-DD38-4937-52DF5AE3E6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0</xdr:colOff>
      <xdr:row>44</xdr:row>
      <xdr:rowOff>26842</xdr:rowOff>
    </xdr:from>
    <xdr:to>
      <xdr:col>33</xdr:col>
      <xdr:colOff>0</xdr:colOff>
      <xdr:row>49</xdr:row>
      <xdr:rowOff>3464</xdr:rowOff>
    </xdr:to>
    <xdr:graphicFrame macro="">
      <xdr:nvGraphicFramePr>
        <xdr:cNvPr id="104" name="Gráfico 103">
          <a:extLst>
            <a:ext uri="{FF2B5EF4-FFF2-40B4-BE49-F238E27FC236}">
              <a16:creationId xmlns:a16="http://schemas.microsoft.com/office/drawing/2014/main" id="{AA5D837E-2C5C-72E2-6416-5C6E94D00B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0</xdr:colOff>
      <xdr:row>48</xdr:row>
      <xdr:rowOff>44160</xdr:rowOff>
    </xdr:from>
    <xdr:to>
      <xdr:col>33</xdr:col>
      <xdr:colOff>0</xdr:colOff>
      <xdr:row>53</xdr:row>
      <xdr:rowOff>20782</xdr:rowOff>
    </xdr:to>
    <xdr:graphicFrame macro="">
      <xdr:nvGraphicFramePr>
        <xdr:cNvPr id="105" name="Gráfico 104">
          <a:extLst>
            <a:ext uri="{FF2B5EF4-FFF2-40B4-BE49-F238E27FC236}">
              <a16:creationId xmlns:a16="http://schemas.microsoft.com/office/drawing/2014/main" id="{1AD742E7-2100-A7CE-9456-6D1C008898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0</xdr:colOff>
      <xdr:row>54</xdr:row>
      <xdr:rowOff>9524</xdr:rowOff>
    </xdr:from>
    <xdr:to>
      <xdr:col>33</xdr:col>
      <xdr:colOff>0</xdr:colOff>
      <xdr:row>58</xdr:row>
      <xdr:rowOff>38100</xdr:rowOff>
    </xdr:to>
    <xdr:graphicFrame macro="">
      <xdr:nvGraphicFramePr>
        <xdr:cNvPr id="106" name="Gráfico 105">
          <a:extLst>
            <a:ext uri="{FF2B5EF4-FFF2-40B4-BE49-F238E27FC236}">
              <a16:creationId xmlns:a16="http://schemas.microsoft.com/office/drawing/2014/main" id="{43D94B14-F99F-8747-A932-EF88A96EF4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0</xdr:colOff>
      <xdr:row>59</xdr:row>
      <xdr:rowOff>9524</xdr:rowOff>
    </xdr:from>
    <xdr:to>
      <xdr:col>33</xdr:col>
      <xdr:colOff>0</xdr:colOff>
      <xdr:row>63</xdr:row>
      <xdr:rowOff>38100</xdr:rowOff>
    </xdr:to>
    <xdr:graphicFrame macro="">
      <xdr:nvGraphicFramePr>
        <xdr:cNvPr id="107" name="Gráfico 106">
          <a:extLst>
            <a:ext uri="{FF2B5EF4-FFF2-40B4-BE49-F238E27FC236}">
              <a16:creationId xmlns:a16="http://schemas.microsoft.com/office/drawing/2014/main" id="{FAAB6A8F-A903-4888-D56D-E2EAE87683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0</xdr:colOff>
      <xdr:row>64</xdr:row>
      <xdr:rowOff>26842</xdr:rowOff>
    </xdr:from>
    <xdr:to>
      <xdr:col>33</xdr:col>
      <xdr:colOff>0</xdr:colOff>
      <xdr:row>69</xdr:row>
      <xdr:rowOff>3464</xdr:rowOff>
    </xdr:to>
    <xdr:graphicFrame macro="">
      <xdr:nvGraphicFramePr>
        <xdr:cNvPr id="108" name="Gráfico 107">
          <a:extLst>
            <a:ext uri="{FF2B5EF4-FFF2-40B4-BE49-F238E27FC236}">
              <a16:creationId xmlns:a16="http://schemas.microsoft.com/office/drawing/2014/main" id="{9C726161-FF87-561D-D126-BC84A2DBED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0</xdr:colOff>
      <xdr:row>69</xdr:row>
      <xdr:rowOff>26842</xdr:rowOff>
    </xdr:from>
    <xdr:to>
      <xdr:col>33</xdr:col>
      <xdr:colOff>0</xdr:colOff>
      <xdr:row>74</xdr:row>
      <xdr:rowOff>3464</xdr:rowOff>
    </xdr:to>
    <xdr:graphicFrame macro="">
      <xdr:nvGraphicFramePr>
        <xdr:cNvPr id="109" name="Gráfico 108">
          <a:extLst>
            <a:ext uri="{FF2B5EF4-FFF2-40B4-BE49-F238E27FC236}">
              <a16:creationId xmlns:a16="http://schemas.microsoft.com/office/drawing/2014/main" id="{231081D3-7FD3-31B3-4EC6-A067AC6CD1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0</xdr:colOff>
      <xdr:row>74</xdr:row>
      <xdr:rowOff>26842</xdr:rowOff>
    </xdr:from>
    <xdr:to>
      <xdr:col>33</xdr:col>
      <xdr:colOff>0</xdr:colOff>
      <xdr:row>79</xdr:row>
      <xdr:rowOff>3464</xdr:rowOff>
    </xdr:to>
    <xdr:graphicFrame macro="">
      <xdr:nvGraphicFramePr>
        <xdr:cNvPr id="110" name="Gráfico 109">
          <a:extLst>
            <a:ext uri="{FF2B5EF4-FFF2-40B4-BE49-F238E27FC236}">
              <a16:creationId xmlns:a16="http://schemas.microsoft.com/office/drawing/2014/main" id="{16735CF5-7C76-1EDC-7B8E-52213DC652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0</xdr:colOff>
      <xdr:row>79</xdr:row>
      <xdr:rowOff>9524</xdr:rowOff>
    </xdr:from>
    <xdr:to>
      <xdr:col>33</xdr:col>
      <xdr:colOff>0</xdr:colOff>
      <xdr:row>83</xdr:row>
      <xdr:rowOff>38100</xdr:rowOff>
    </xdr:to>
    <xdr:graphicFrame macro="">
      <xdr:nvGraphicFramePr>
        <xdr:cNvPr id="111" name="Gráfico 110">
          <a:extLst>
            <a:ext uri="{FF2B5EF4-FFF2-40B4-BE49-F238E27FC236}">
              <a16:creationId xmlns:a16="http://schemas.microsoft.com/office/drawing/2014/main" id="{56E59C36-916A-F7D1-E8EA-C04D48FA7E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0</xdr:colOff>
      <xdr:row>83</xdr:row>
      <xdr:rowOff>44159</xdr:rowOff>
    </xdr:from>
    <xdr:to>
      <xdr:col>33</xdr:col>
      <xdr:colOff>0</xdr:colOff>
      <xdr:row>88</xdr:row>
      <xdr:rowOff>20781</xdr:rowOff>
    </xdr:to>
    <xdr:graphicFrame macro="">
      <xdr:nvGraphicFramePr>
        <xdr:cNvPr id="112" name="Gráfico 111">
          <a:extLst>
            <a:ext uri="{FF2B5EF4-FFF2-40B4-BE49-F238E27FC236}">
              <a16:creationId xmlns:a16="http://schemas.microsoft.com/office/drawing/2014/main" id="{C9787227-DCD0-C2A5-09E8-5F69FDCF0A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115311</xdr:colOff>
      <xdr:row>16</xdr:row>
      <xdr:rowOff>83256</xdr:rowOff>
    </xdr:from>
    <xdr:to>
      <xdr:col>15</xdr:col>
      <xdr:colOff>62758</xdr:colOff>
      <xdr:row>18</xdr:row>
      <xdr:rowOff>1</xdr:rowOff>
    </xdr:to>
    <xdr:sp macro="" textlink="">
      <xdr:nvSpPr>
        <xdr:cNvPr id="113" name="Rectángulo: esquinas redondeadas 112">
          <a:extLst>
            <a:ext uri="{FF2B5EF4-FFF2-40B4-BE49-F238E27FC236}">
              <a16:creationId xmlns:a16="http://schemas.microsoft.com/office/drawing/2014/main" id="{85CC0C6F-C8CA-9EE6-470A-25AE4D869DAE}"/>
            </a:ext>
          </a:extLst>
        </xdr:cNvPr>
        <xdr:cNvSpPr/>
      </xdr:nvSpPr>
      <xdr:spPr>
        <a:xfrm>
          <a:off x="4430136" y="26835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16</xdr:row>
      <xdr:rowOff>83256</xdr:rowOff>
    </xdr:from>
    <xdr:to>
      <xdr:col>17</xdr:col>
      <xdr:colOff>53233</xdr:colOff>
      <xdr:row>18</xdr:row>
      <xdr:rowOff>1</xdr:rowOff>
    </xdr:to>
    <xdr:sp macro="" textlink="">
      <xdr:nvSpPr>
        <xdr:cNvPr id="114" name="Rectángulo: esquinas redondeadas 113">
          <a:extLst>
            <a:ext uri="{FF2B5EF4-FFF2-40B4-BE49-F238E27FC236}">
              <a16:creationId xmlns:a16="http://schemas.microsoft.com/office/drawing/2014/main" id="{64115CA4-D7D4-9661-8168-DF28E0CADB47}"/>
            </a:ext>
          </a:extLst>
        </xdr:cNvPr>
        <xdr:cNvSpPr/>
      </xdr:nvSpPr>
      <xdr:spPr>
        <a:xfrm>
          <a:off x="4925436" y="26835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19</xdr:row>
      <xdr:rowOff>54681</xdr:rowOff>
    </xdr:from>
    <xdr:to>
      <xdr:col>15</xdr:col>
      <xdr:colOff>62758</xdr:colOff>
      <xdr:row>21</xdr:row>
      <xdr:rowOff>1</xdr:rowOff>
    </xdr:to>
    <xdr:sp macro="" textlink="">
      <xdr:nvSpPr>
        <xdr:cNvPr id="116" name="Rectángulo: esquinas redondeadas 115">
          <a:extLst>
            <a:ext uri="{FF2B5EF4-FFF2-40B4-BE49-F238E27FC236}">
              <a16:creationId xmlns:a16="http://schemas.microsoft.com/office/drawing/2014/main" id="{C386B7C7-826C-6685-C4D8-21445FF1DD2E}"/>
            </a:ext>
          </a:extLst>
        </xdr:cNvPr>
        <xdr:cNvSpPr/>
      </xdr:nvSpPr>
      <xdr:spPr>
        <a:xfrm>
          <a:off x="4430136" y="29883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19</xdr:row>
      <xdr:rowOff>54681</xdr:rowOff>
    </xdr:from>
    <xdr:to>
      <xdr:col>17</xdr:col>
      <xdr:colOff>53233</xdr:colOff>
      <xdr:row>21</xdr:row>
      <xdr:rowOff>1</xdr:rowOff>
    </xdr:to>
    <xdr:sp macro="" textlink="">
      <xdr:nvSpPr>
        <xdr:cNvPr id="117" name="Rectángulo: esquinas redondeadas 116">
          <a:extLst>
            <a:ext uri="{FF2B5EF4-FFF2-40B4-BE49-F238E27FC236}">
              <a16:creationId xmlns:a16="http://schemas.microsoft.com/office/drawing/2014/main" id="{53451BAF-F669-2BBD-4647-739E21003144}"/>
            </a:ext>
          </a:extLst>
        </xdr:cNvPr>
        <xdr:cNvSpPr/>
      </xdr:nvSpPr>
      <xdr:spPr>
        <a:xfrm>
          <a:off x="4925436" y="29883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21</xdr:row>
      <xdr:rowOff>83256</xdr:rowOff>
    </xdr:from>
    <xdr:to>
      <xdr:col>15</xdr:col>
      <xdr:colOff>62758</xdr:colOff>
      <xdr:row>23</xdr:row>
      <xdr:rowOff>1</xdr:rowOff>
    </xdr:to>
    <xdr:sp macro="" textlink="">
      <xdr:nvSpPr>
        <xdr:cNvPr id="119" name="Rectángulo: esquinas redondeadas 118">
          <a:extLst>
            <a:ext uri="{FF2B5EF4-FFF2-40B4-BE49-F238E27FC236}">
              <a16:creationId xmlns:a16="http://schemas.microsoft.com/office/drawing/2014/main" id="{F50446B1-7F62-8DD6-3369-8702F2D894DF}"/>
            </a:ext>
          </a:extLst>
        </xdr:cNvPr>
        <xdr:cNvSpPr/>
      </xdr:nvSpPr>
      <xdr:spPr>
        <a:xfrm>
          <a:off x="4430136" y="32646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21</xdr:row>
      <xdr:rowOff>83256</xdr:rowOff>
    </xdr:from>
    <xdr:to>
      <xdr:col>17</xdr:col>
      <xdr:colOff>53233</xdr:colOff>
      <xdr:row>23</xdr:row>
      <xdr:rowOff>1</xdr:rowOff>
    </xdr:to>
    <xdr:sp macro="" textlink="">
      <xdr:nvSpPr>
        <xdr:cNvPr id="120" name="Rectángulo: esquinas redondeadas 119">
          <a:extLst>
            <a:ext uri="{FF2B5EF4-FFF2-40B4-BE49-F238E27FC236}">
              <a16:creationId xmlns:a16="http://schemas.microsoft.com/office/drawing/2014/main" id="{D4DC2501-F236-A790-6BBB-9B9A5F8B45CF}"/>
            </a:ext>
          </a:extLst>
        </xdr:cNvPr>
        <xdr:cNvSpPr/>
      </xdr:nvSpPr>
      <xdr:spPr>
        <a:xfrm>
          <a:off x="4925436" y="32646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24</xdr:row>
      <xdr:rowOff>54681</xdr:rowOff>
    </xdr:from>
    <xdr:to>
      <xdr:col>15</xdr:col>
      <xdr:colOff>62758</xdr:colOff>
      <xdr:row>26</xdr:row>
      <xdr:rowOff>1</xdr:rowOff>
    </xdr:to>
    <xdr:sp macro="" textlink="">
      <xdr:nvSpPr>
        <xdr:cNvPr id="122" name="Rectángulo: esquinas redondeadas 121">
          <a:extLst>
            <a:ext uri="{FF2B5EF4-FFF2-40B4-BE49-F238E27FC236}">
              <a16:creationId xmlns:a16="http://schemas.microsoft.com/office/drawing/2014/main" id="{C4B86BAD-5AD0-590D-91CC-0C00D00D2442}"/>
            </a:ext>
          </a:extLst>
        </xdr:cNvPr>
        <xdr:cNvSpPr/>
      </xdr:nvSpPr>
      <xdr:spPr>
        <a:xfrm>
          <a:off x="4430136" y="35694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24</xdr:row>
      <xdr:rowOff>54681</xdr:rowOff>
    </xdr:from>
    <xdr:to>
      <xdr:col>17</xdr:col>
      <xdr:colOff>53233</xdr:colOff>
      <xdr:row>26</xdr:row>
      <xdr:rowOff>1</xdr:rowOff>
    </xdr:to>
    <xdr:sp macro="" textlink="">
      <xdr:nvSpPr>
        <xdr:cNvPr id="123" name="Rectángulo: esquinas redondeadas 122">
          <a:extLst>
            <a:ext uri="{FF2B5EF4-FFF2-40B4-BE49-F238E27FC236}">
              <a16:creationId xmlns:a16="http://schemas.microsoft.com/office/drawing/2014/main" id="{92E651B2-BC25-2EA0-B363-5474BCA6353B}"/>
            </a:ext>
          </a:extLst>
        </xdr:cNvPr>
        <xdr:cNvSpPr/>
      </xdr:nvSpPr>
      <xdr:spPr>
        <a:xfrm>
          <a:off x="4925436" y="35694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26</xdr:row>
      <xdr:rowOff>83256</xdr:rowOff>
    </xdr:from>
    <xdr:to>
      <xdr:col>15</xdr:col>
      <xdr:colOff>62758</xdr:colOff>
      <xdr:row>28</xdr:row>
      <xdr:rowOff>1</xdr:rowOff>
    </xdr:to>
    <xdr:sp macro="" textlink="">
      <xdr:nvSpPr>
        <xdr:cNvPr id="125" name="Rectángulo: esquinas redondeadas 124">
          <a:extLst>
            <a:ext uri="{FF2B5EF4-FFF2-40B4-BE49-F238E27FC236}">
              <a16:creationId xmlns:a16="http://schemas.microsoft.com/office/drawing/2014/main" id="{90688586-BACC-2C8B-787E-6CACFAD3C332}"/>
            </a:ext>
          </a:extLst>
        </xdr:cNvPr>
        <xdr:cNvSpPr/>
      </xdr:nvSpPr>
      <xdr:spPr>
        <a:xfrm>
          <a:off x="4430136" y="384563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26</xdr:row>
      <xdr:rowOff>83256</xdr:rowOff>
    </xdr:from>
    <xdr:to>
      <xdr:col>17</xdr:col>
      <xdr:colOff>53233</xdr:colOff>
      <xdr:row>28</xdr:row>
      <xdr:rowOff>1</xdr:rowOff>
    </xdr:to>
    <xdr:sp macro="" textlink="">
      <xdr:nvSpPr>
        <xdr:cNvPr id="126" name="Rectángulo: esquinas redondeadas 125">
          <a:extLst>
            <a:ext uri="{FF2B5EF4-FFF2-40B4-BE49-F238E27FC236}">
              <a16:creationId xmlns:a16="http://schemas.microsoft.com/office/drawing/2014/main" id="{939A816C-0B65-BF96-07D4-798B046F73AB}"/>
            </a:ext>
          </a:extLst>
        </xdr:cNvPr>
        <xdr:cNvSpPr/>
      </xdr:nvSpPr>
      <xdr:spPr>
        <a:xfrm>
          <a:off x="4925436" y="384563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29</xdr:row>
      <xdr:rowOff>54681</xdr:rowOff>
    </xdr:from>
    <xdr:to>
      <xdr:col>15</xdr:col>
      <xdr:colOff>62758</xdr:colOff>
      <xdr:row>31</xdr:row>
      <xdr:rowOff>1</xdr:rowOff>
    </xdr:to>
    <xdr:sp macro="" textlink="">
      <xdr:nvSpPr>
        <xdr:cNvPr id="128" name="Rectángulo: esquinas redondeadas 127">
          <a:extLst>
            <a:ext uri="{FF2B5EF4-FFF2-40B4-BE49-F238E27FC236}">
              <a16:creationId xmlns:a16="http://schemas.microsoft.com/office/drawing/2014/main" id="{ED249BEB-2989-E79B-3A1C-B147C30C8394}"/>
            </a:ext>
          </a:extLst>
        </xdr:cNvPr>
        <xdr:cNvSpPr/>
      </xdr:nvSpPr>
      <xdr:spPr>
        <a:xfrm>
          <a:off x="4430136" y="415043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29</xdr:row>
      <xdr:rowOff>54681</xdr:rowOff>
    </xdr:from>
    <xdr:to>
      <xdr:col>17</xdr:col>
      <xdr:colOff>53233</xdr:colOff>
      <xdr:row>31</xdr:row>
      <xdr:rowOff>1</xdr:rowOff>
    </xdr:to>
    <xdr:sp macro="" textlink="">
      <xdr:nvSpPr>
        <xdr:cNvPr id="129" name="Rectángulo: esquinas redondeadas 128">
          <a:extLst>
            <a:ext uri="{FF2B5EF4-FFF2-40B4-BE49-F238E27FC236}">
              <a16:creationId xmlns:a16="http://schemas.microsoft.com/office/drawing/2014/main" id="{AB241D32-AB0B-A96E-97A8-027B45F0BA49}"/>
            </a:ext>
          </a:extLst>
        </xdr:cNvPr>
        <xdr:cNvSpPr/>
      </xdr:nvSpPr>
      <xdr:spPr>
        <a:xfrm>
          <a:off x="4925436" y="415043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31</xdr:row>
      <xdr:rowOff>83256</xdr:rowOff>
    </xdr:from>
    <xdr:to>
      <xdr:col>15</xdr:col>
      <xdr:colOff>62758</xdr:colOff>
      <xdr:row>33</xdr:row>
      <xdr:rowOff>1</xdr:rowOff>
    </xdr:to>
    <xdr:sp macro="" textlink="">
      <xdr:nvSpPr>
        <xdr:cNvPr id="131" name="Rectángulo: esquinas redondeadas 130">
          <a:extLst>
            <a:ext uri="{FF2B5EF4-FFF2-40B4-BE49-F238E27FC236}">
              <a16:creationId xmlns:a16="http://schemas.microsoft.com/office/drawing/2014/main" id="{51C1D28E-429F-DACF-1C3E-7B6D1B028824}"/>
            </a:ext>
          </a:extLst>
        </xdr:cNvPr>
        <xdr:cNvSpPr/>
      </xdr:nvSpPr>
      <xdr:spPr>
        <a:xfrm>
          <a:off x="4430136" y="44266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31</xdr:row>
      <xdr:rowOff>83256</xdr:rowOff>
    </xdr:from>
    <xdr:to>
      <xdr:col>17</xdr:col>
      <xdr:colOff>53233</xdr:colOff>
      <xdr:row>33</xdr:row>
      <xdr:rowOff>1</xdr:rowOff>
    </xdr:to>
    <xdr:sp macro="" textlink="">
      <xdr:nvSpPr>
        <xdr:cNvPr id="132" name="Rectángulo: esquinas redondeadas 131">
          <a:extLst>
            <a:ext uri="{FF2B5EF4-FFF2-40B4-BE49-F238E27FC236}">
              <a16:creationId xmlns:a16="http://schemas.microsoft.com/office/drawing/2014/main" id="{214F6441-3C0F-9C53-3D51-E7A7BBFD70B9}"/>
            </a:ext>
          </a:extLst>
        </xdr:cNvPr>
        <xdr:cNvSpPr/>
      </xdr:nvSpPr>
      <xdr:spPr>
        <a:xfrm>
          <a:off x="4925436" y="44266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35</xdr:row>
      <xdr:rowOff>7056</xdr:rowOff>
    </xdr:from>
    <xdr:to>
      <xdr:col>15</xdr:col>
      <xdr:colOff>62758</xdr:colOff>
      <xdr:row>36</xdr:row>
      <xdr:rowOff>9526</xdr:rowOff>
    </xdr:to>
    <xdr:sp macro="" textlink="">
      <xdr:nvSpPr>
        <xdr:cNvPr id="134" name="Rectángulo: esquinas redondeadas 133">
          <a:extLst>
            <a:ext uri="{FF2B5EF4-FFF2-40B4-BE49-F238E27FC236}">
              <a16:creationId xmlns:a16="http://schemas.microsoft.com/office/drawing/2014/main" id="{FBA6CC85-6D1B-62CB-F5FC-BA06A671AA7E}"/>
            </a:ext>
          </a:extLst>
        </xdr:cNvPr>
        <xdr:cNvSpPr/>
      </xdr:nvSpPr>
      <xdr:spPr>
        <a:xfrm>
          <a:off x="4430136" y="47409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35</xdr:row>
      <xdr:rowOff>7056</xdr:rowOff>
    </xdr:from>
    <xdr:to>
      <xdr:col>17</xdr:col>
      <xdr:colOff>53233</xdr:colOff>
      <xdr:row>36</xdr:row>
      <xdr:rowOff>9526</xdr:rowOff>
    </xdr:to>
    <xdr:sp macro="" textlink="">
      <xdr:nvSpPr>
        <xdr:cNvPr id="135" name="Rectángulo: esquinas redondeadas 134">
          <a:extLst>
            <a:ext uri="{FF2B5EF4-FFF2-40B4-BE49-F238E27FC236}">
              <a16:creationId xmlns:a16="http://schemas.microsoft.com/office/drawing/2014/main" id="{A83A1F8B-E33B-DA33-2D03-9C6B3EBC29D1}"/>
            </a:ext>
          </a:extLst>
        </xdr:cNvPr>
        <xdr:cNvSpPr/>
      </xdr:nvSpPr>
      <xdr:spPr>
        <a:xfrm>
          <a:off x="4925436" y="47409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37</xdr:row>
      <xdr:rowOff>7056</xdr:rowOff>
    </xdr:from>
    <xdr:to>
      <xdr:col>15</xdr:col>
      <xdr:colOff>62758</xdr:colOff>
      <xdr:row>38</xdr:row>
      <xdr:rowOff>9526</xdr:rowOff>
    </xdr:to>
    <xdr:sp macro="" textlink="">
      <xdr:nvSpPr>
        <xdr:cNvPr id="137" name="Rectángulo: esquinas redondeadas 136">
          <a:extLst>
            <a:ext uri="{FF2B5EF4-FFF2-40B4-BE49-F238E27FC236}">
              <a16:creationId xmlns:a16="http://schemas.microsoft.com/office/drawing/2014/main" id="{AB829ED5-EEEF-AC27-93A6-F27154E8F335}"/>
            </a:ext>
          </a:extLst>
        </xdr:cNvPr>
        <xdr:cNvSpPr/>
      </xdr:nvSpPr>
      <xdr:spPr>
        <a:xfrm>
          <a:off x="4430136" y="50172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37</xdr:row>
      <xdr:rowOff>7056</xdr:rowOff>
    </xdr:from>
    <xdr:to>
      <xdr:col>17</xdr:col>
      <xdr:colOff>53233</xdr:colOff>
      <xdr:row>38</xdr:row>
      <xdr:rowOff>9526</xdr:rowOff>
    </xdr:to>
    <xdr:sp macro="" textlink="">
      <xdr:nvSpPr>
        <xdr:cNvPr id="138" name="Rectángulo: esquinas redondeadas 137">
          <a:extLst>
            <a:ext uri="{FF2B5EF4-FFF2-40B4-BE49-F238E27FC236}">
              <a16:creationId xmlns:a16="http://schemas.microsoft.com/office/drawing/2014/main" id="{5E5F9664-131E-A63A-E0BF-1DFAD4A5F567}"/>
            </a:ext>
          </a:extLst>
        </xdr:cNvPr>
        <xdr:cNvSpPr/>
      </xdr:nvSpPr>
      <xdr:spPr>
        <a:xfrm>
          <a:off x="4925436" y="50172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39</xdr:row>
      <xdr:rowOff>54681</xdr:rowOff>
    </xdr:from>
    <xdr:to>
      <xdr:col>15</xdr:col>
      <xdr:colOff>62758</xdr:colOff>
      <xdr:row>41</xdr:row>
      <xdr:rowOff>1</xdr:rowOff>
    </xdr:to>
    <xdr:sp macro="" textlink="">
      <xdr:nvSpPr>
        <xdr:cNvPr id="140" name="Rectángulo: esquinas redondeadas 139">
          <a:extLst>
            <a:ext uri="{FF2B5EF4-FFF2-40B4-BE49-F238E27FC236}">
              <a16:creationId xmlns:a16="http://schemas.microsoft.com/office/drawing/2014/main" id="{6231C6E1-F782-CFE2-6039-9501CE0EC183}"/>
            </a:ext>
          </a:extLst>
        </xdr:cNvPr>
        <xdr:cNvSpPr/>
      </xdr:nvSpPr>
      <xdr:spPr>
        <a:xfrm>
          <a:off x="4430136" y="53124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39</xdr:row>
      <xdr:rowOff>54681</xdr:rowOff>
    </xdr:from>
    <xdr:to>
      <xdr:col>17</xdr:col>
      <xdr:colOff>53233</xdr:colOff>
      <xdr:row>41</xdr:row>
      <xdr:rowOff>1</xdr:rowOff>
    </xdr:to>
    <xdr:sp macro="" textlink="">
      <xdr:nvSpPr>
        <xdr:cNvPr id="141" name="Rectángulo: esquinas redondeadas 140">
          <a:extLst>
            <a:ext uri="{FF2B5EF4-FFF2-40B4-BE49-F238E27FC236}">
              <a16:creationId xmlns:a16="http://schemas.microsoft.com/office/drawing/2014/main" id="{31645092-DB47-A3CF-B312-4D8151571052}"/>
            </a:ext>
          </a:extLst>
        </xdr:cNvPr>
        <xdr:cNvSpPr/>
      </xdr:nvSpPr>
      <xdr:spPr>
        <a:xfrm>
          <a:off x="4925436" y="53124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41</xdr:row>
      <xdr:rowOff>83256</xdr:rowOff>
    </xdr:from>
    <xdr:to>
      <xdr:col>15</xdr:col>
      <xdr:colOff>62758</xdr:colOff>
      <xdr:row>43</xdr:row>
      <xdr:rowOff>1</xdr:rowOff>
    </xdr:to>
    <xdr:sp macro="" textlink="">
      <xdr:nvSpPr>
        <xdr:cNvPr id="143" name="Rectángulo: esquinas redondeadas 142">
          <a:extLst>
            <a:ext uri="{FF2B5EF4-FFF2-40B4-BE49-F238E27FC236}">
              <a16:creationId xmlns:a16="http://schemas.microsoft.com/office/drawing/2014/main" id="{2CF34CE3-7DD0-A80D-A948-6BE86D51C030}"/>
            </a:ext>
          </a:extLst>
        </xdr:cNvPr>
        <xdr:cNvSpPr/>
      </xdr:nvSpPr>
      <xdr:spPr>
        <a:xfrm>
          <a:off x="4430136" y="55887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41</xdr:row>
      <xdr:rowOff>83256</xdr:rowOff>
    </xdr:from>
    <xdr:to>
      <xdr:col>17</xdr:col>
      <xdr:colOff>53233</xdr:colOff>
      <xdr:row>43</xdr:row>
      <xdr:rowOff>1</xdr:rowOff>
    </xdr:to>
    <xdr:sp macro="" textlink="">
      <xdr:nvSpPr>
        <xdr:cNvPr id="144" name="Rectángulo: esquinas redondeadas 143">
          <a:extLst>
            <a:ext uri="{FF2B5EF4-FFF2-40B4-BE49-F238E27FC236}">
              <a16:creationId xmlns:a16="http://schemas.microsoft.com/office/drawing/2014/main" id="{9C08B349-B048-B350-5FB9-4E8369D6A25D}"/>
            </a:ext>
          </a:extLst>
        </xdr:cNvPr>
        <xdr:cNvSpPr/>
      </xdr:nvSpPr>
      <xdr:spPr>
        <a:xfrm>
          <a:off x="4925436" y="55887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44</xdr:row>
      <xdr:rowOff>54681</xdr:rowOff>
    </xdr:from>
    <xdr:to>
      <xdr:col>15</xdr:col>
      <xdr:colOff>62758</xdr:colOff>
      <xdr:row>46</xdr:row>
      <xdr:rowOff>1</xdr:rowOff>
    </xdr:to>
    <xdr:sp macro="" textlink="">
      <xdr:nvSpPr>
        <xdr:cNvPr id="146" name="Rectángulo: esquinas redondeadas 145">
          <a:extLst>
            <a:ext uri="{FF2B5EF4-FFF2-40B4-BE49-F238E27FC236}">
              <a16:creationId xmlns:a16="http://schemas.microsoft.com/office/drawing/2014/main" id="{8871DD86-18A7-537D-6219-5E39B3891167}"/>
            </a:ext>
          </a:extLst>
        </xdr:cNvPr>
        <xdr:cNvSpPr/>
      </xdr:nvSpPr>
      <xdr:spPr>
        <a:xfrm>
          <a:off x="4430136" y="58935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44</xdr:row>
      <xdr:rowOff>54681</xdr:rowOff>
    </xdr:from>
    <xdr:to>
      <xdr:col>17</xdr:col>
      <xdr:colOff>53233</xdr:colOff>
      <xdr:row>46</xdr:row>
      <xdr:rowOff>1</xdr:rowOff>
    </xdr:to>
    <xdr:sp macro="" textlink="">
      <xdr:nvSpPr>
        <xdr:cNvPr id="147" name="Rectángulo: esquinas redondeadas 146">
          <a:extLst>
            <a:ext uri="{FF2B5EF4-FFF2-40B4-BE49-F238E27FC236}">
              <a16:creationId xmlns:a16="http://schemas.microsoft.com/office/drawing/2014/main" id="{BD97EE87-3327-062F-6E5D-D66C32727351}"/>
            </a:ext>
          </a:extLst>
        </xdr:cNvPr>
        <xdr:cNvSpPr/>
      </xdr:nvSpPr>
      <xdr:spPr>
        <a:xfrm>
          <a:off x="4925436" y="58935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46</xdr:row>
      <xdr:rowOff>73731</xdr:rowOff>
    </xdr:from>
    <xdr:to>
      <xdr:col>15</xdr:col>
      <xdr:colOff>62758</xdr:colOff>
      <xdr:row>47</xdr:row>
      <xdr:rowOff>180976</xdr:rowOff>
    </xdr:to>
    <xdr:sp macro="" textlink="">
      <xdr:nvSpPr>
        <xdr:cNvPr id="149" name="Rectángulo: esquinas redondeadas 148">
          <a:extLst>
            <a:ext uri="{FF2B5EF4-FFF2-40B4-BE49-F238E27FC236}">
              <a16:creationId xmlns:a16="http://schemas.microsoft.com/office/drawing/2014/main" id="{0BAB1013-D7C2-AB8C-AE0D-BE67540BBA50}"/>
            </a:ext>
          </a:extLst>
        </xdr:cNvPr>
        <xdr:cNvSpPr/>
      </xdr:nvSpPr>
      <xdr:spPr>
        <a:xfrm>
          <a:off x="4430136" y="61602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46</xdr:row>
      <xdr:rowOff>73731</xdr:rowOff>
    </xdr:from>
    <xdr:to>
      <xdr:col>17</xdr:col>
      <xdr:colOff>53233</xdr:colOff>
      <xdr:row>47</xdr:row>
      <xdr:rowOff>180976</xdr:rowOff>
    </xdr:to>
    <xdr:sp macro="" textlink="">
      <xdr:nvSpPr>
        <xdr:cNvPr id="150" name="Rectángulo: esquinas redondeadas 149">
          <a:extLst>
            <a:ext uri="{FF2B5EF4-FFF2-40B4-BE49-F238E27FC236}">
              <a16:creationId xmlns:a16="http://schemas.microsoft.com/office/drawing/2014/main" id="{49B2A646-18B9-B5D3-2C99-CAC5CF9267E6}"/>
            </a:ext>
          </a:extLst>
        </xdr:cNvPr>
        <xdr:cNvSpPr/>
      </xdr:nvSpPr>
      <xdr:spPr>
        <a:xfrm>
          <a:off x="4925436" y="61602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49</xdr:row>
      <xdr:rowOff>45156</xdr:rowOff>
    </xdr:from>
    <xdr:to>
      <xdr:col>15</xdr:col>
      <xdr:colOff>62758</xdr:colOff>
      <xdr:row>50</xdr:row>
      <xdr:rowOff>180976</xdr:rowOff>
    </xdr:to>
    <xdr:sp macro="" textlink="">
      <xdr:nvSpPr>
        <xdr:cNvPr id="152" name="Rectángulo: esquinas redondeadas 151">
          <a:extLst>
            <a:ext uri="{FF2B5EF4-FFF2-40B4-BE49-F238E27FC236}">
              <a16:creationId xmlns:a16="http://schemas.microsoft.com/office/drawing/2014/main" id="{0BBD9FAA-59B2-4E81-6490-D77C6A5FDEB8}"/>
            </a:ext>
          </a:extLst>
        </xdr:cNvPr>
        <xdr:cNvSpPr/>
      </xdr:nvSpPr>
      <xdr:spPr>
        <a:xfrm>
          <a:off x="4430136" y="64650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49</xdr:row>
      <xdr:rowOff>45156</xdr:rowOff>
    </xdr:from>
    <xdr:to>
      <xdr:col>17</xdr:col>
      <xdr:colOff>53233</xdr:colOff>
      <xdr:row>50</xdr:row>
      <xdr:rowOff>180976</xdr:rowOff>
    </xdr:to>
    <xdr:sp macro="" textlink="">
      <xdr:nvSpPr>
        <xdr:cNvPr id="153" name="Rectángulo: esquinas redondeadas 152">
          <a:extLst>
            <a:ext uri="{FF2B5EF4-FFF2-40B4-BE49-F238E27FC236}">
              <a16:creationId xmlns:a16="http://schemas.microsoft.com/office/drawing/2014/main" id="{AEEF99B6-CB2E-0447-5815-2A3001A6A195}"/>
            </a:ext>
          </a:extLst>
        </xdr:cNvPr>
        <xdr:cNvSpPr/>
      </xdr:nvSpPr>
      <xdr:spPr>
        <a:xfrm>
          <a:off x="4925436" y="64650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51</xdr:row>
      <xdr:rowOff>73731</xdr:rowOff>
    </xdr:from>
    <xdr:to>
      <xdr:col>15</xdr:col>
      <xdr:colOff>62758</xdr:colOff>
      <xdr:row>52</xdr:row>
      <xdr:rowOff>180976</xdr:rowOff>
    </xdr:to>
    <xdr:sp macro="" textlink="">
      <xdr:nvSpPr>
        <xdr:cNvPr id="155" name="Rectángulo: esquinas redondeadas 154">
          <a:extLst>
            <a:ext uri="{FF2B5EF4-FFF2-40B4-BE49-F238E27FC236}">
              <a16:creationId xmlns:a16="http://schemas.microsoft.com/office/drawing/2014/main" id="{7045334F-DDAF-14A2-CA55-FBA4BF50E7A0}"/>
            </a:ext>
          </a:extLst>
        </xdr:cNvPr>
        <xdr:cNvSpPr/>
      </xdr:nvSpPr>
      <xdr:spPr>
        <a:xfrm>
          <a:off x="4430136" y="674123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51</xdr:row>
      <xdr:rowOff>73731</xdr:rowOff>
    </xdr:from>
    <xdr:to>
      <xdr:col>17</xdr:col>
      <xdr:colOff>53233</xdr:colOff>
      <xdr:row>52</xdr:row>
      <xdr:rowOff>180976</xdr:rowOff>
    </xdr:to>
    <xdr:sp macro="" textlink="">
      <xdr:nvSpPr>
        <xdr:cNvPr id="156" name="Rectángulo: esquinas redondeadas 155">
          <a:extLst>
            <a:ext uri="{FF2B5EF4-FFF2-40B4-BE49-F238E27FC236}">
              <a16:creationId xmlns:a16="http://schemas.microsoft.com/office/drawing/2014/main" id="{C2532C64-A033-7FB1-46FA-4A9929F7DB93}"/>
            </a:ext>
          </a:extLst>
        </xdr:cNvPr>
        <xdr:cNvSpPr/>
      </xdr:nvSpPr>
      <xdr:spPr>
        <a:xfrm>
          <a:off x="4925436" y="674123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54</xdr:row>
      <xdr:rowOff>45156</xdr:rowOff>
    </xdr:from>
    <xdr:to>
      <xdr:col>15</xdr:col>
      <xdr:colOff>62758</xdr:colOff>
      <xdr:row>55</xdr:row>
      <xdr:rowOff>180976</xdr:rowOff>
    </xdr:to>
    <xdr:sp macro="" textlink="">
      <xdr:nvSpPr>
        <xdr:cNvPr id="158" name="Rectángulo: esquinas redondeadas 157">
          <a:extLst>
            <a:ext uri="{FF2B5EF4-FFF2-40B4-BE49-F238E27FC236}">
              <a16:creationId xmlns:a16="http://schemas.microsoft.com/office/drawing/2014/main" id="{FD39F37C-1EF9-30F7-2762-936672F5CA11}"/>
            </a:ext>
          </a:extLst>
        </xdr:cNvPr>
        <xdr:cNvSpPr/>
      </xdr:nvSpPr>
      <xdr:spPr>
        <a:xfrm>
          <a:off x="4430136" y="704603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54</xdr:row>
      <xdr:rowOff>45156</xdr:rowOff>
    </xdr:from>
    <xdr:to>
      <xdr:col>17</xdr:col>
      <xdr:colOff>53233</xdr:colOff>
      <xdr:row>55</xdr:row>
      <xdr:rowOff>180976</xdr:rowOff>
    </xdr:to>
    <xdr:sp macro="" textlink="">
      <xdr:nvSpPr>
        <xdr:cNvPr id="159" name="Rectángulo: esquinas redondeadas 158">
          <a:extLst>
            <a:ext uri="{FF2B5EF4-FFF2-40B4-BE49-F238E27FC236}">
              <a16:creationId xmlns:a16="http://schemas.microsoft.com/office/drawing/2014/main" id="{23ACED8C-C794-6FBD-2FB6-9871765B4886}"/>
            </a:ext>
          </a:extLst>
        </xdr:cNvPr>
        <xdr:cNvSpPr/>
      </xdr:nvSpPr>
      <xdr:spPr>
        <a:xfrm>
          <a:off x="4925436" y="704603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56</xdr:row>
      <xdr:rowOff>73731</xdr:rowOff>
    </xdr:from>
    <xdr:to>
      <xdr:col>15</xdr:col>
      <xdr:colOff>62758</xdr:colOff>
      <xdr:row>57</xdr:row>
      <xdr:rowOff>180976</xdr:rowOff>
    </xdr:to>
    <xdr:sp macro="" textlink="">
      <xdr:nvSpPr>
        <xdr:cNvPr id="161" name="Rectángulo: esquinas redondeadas 160">
          <a:extLst>
            <a:ext uri="{FF2B5EF4-FFF2-40B4-BE49-F238E27FC236}">
              <a16:creationId xmlns:a16="http://schemas.microsoft.com/office/drawing/2014/main" id="{CEA0198A-C32C-4E0A-388D-8A70FCA474F4}"/>
            </a:ext>
          </a:extLst>
        </xdr:cNvPr>
        <xdr:cNvSpPr/>
      </xdr:nvSpPr>
      <xdr:spPr>
        <a:xfrm>
          <a:off x="4430136" y="73222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56</xdr:row>
      <xdr:rowOff>73731</xdr:rowOff>
    </xdr:from>
    <xdr:to>
      <xdr:col>17</xdr:col>
      <xdr:colOff>53233</xdr:colOff>
      <xdr:row>57</xdr:row>
      <xdr:rowOff>180976</xdr:rowOff>
    </xdr:to>
    <xdr:sp macro="" textlink="">
      <xdr:nvSpPr>
        <xdr:cNvPr id="162" name="Rectángulo: esquinas redondeadas 161">
          <a:extLst>
            <a:ext uri="{FF2B5EF4-FFF2-40B4-BE49-F238E27FC236}">
              <a16:creationId xmlns:a16="http://schemas.microsoft.com/office/drawing/2014/main" id="{DAA88C77-D408-0851-27E8-BE59BEAB4E70}"/>
            </a:ext>
          </a:extLst>
        </xdr:cNvPr>
        <xdr:cNvSpPr/>
      </xdr:nvSpPr>
      <xdr:spPr>
        <a:xfrm>
          <a:off x="4925436" y="73222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59</xdr:row>
      <xdr:rowOff>54681</xdr:rowOff>
    </xdr:from>
    <xdr:to>
      <xdr:col>15</xdr:col>
      <xdr:colOff>62758</xdr:colOff>
      <xdr:row>61</xdr:row>
      <xdr:rowOff>1</xdr:rowOff>
    </xdr:to>
    <xdr:sp macro="" textlink="">
      <xdr:nvSpPr>
        <xdr:cNvPr id="164" name="Rectángulo: esquinas redondeadas 163">
          <a:extLst>
            <a:ext uri="{FF2B5EF4-FFF2-40B4-BE49-F238E27FC236}">
              <a16:creationId xmlns:a16="http://schemas.microsoft.com/office/drawing/2014/main" id="{5C4FFA12-4BF3-E054-5FBD-D8DA64338905}"/>
            </a:ext>
          </a:extLst>
        </xdr:cNvPr>
        <xdr:cNvSpPr/>
      </xdr:nvSpPr>
      <xdr:spPr>
        <a:xfrm>
          <a:off x="4430136" y="76365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59</xdr:row>
      <xdr:rowOff>54681</xdr:rowOff>
    </xdr:from>
    <xdr:to>
      <xdr:col>17</xdr:col>
      <xdr:colOff>53233</xdr:colOff>
      <xdr:row>61</xdr:row>
      <xdr:rowOff>1</xdr:rowOff>
    </xdr:to>
    <xdr:sp macro="" textlink="">
      <xdr:nvSpPr>
        <xdr:cNvPr id="165" name="Rectángulo: esquinas redondeadas 164">
          <a:extLst>
            <a:ext uri="{FF2B5EF4-FFF2-40B4-BE49-F238E27FC236}">
              <a16:creationId xmlns:a16="http://schemas.microsoft.com/office/drawing/2014/main" id="{63F01643-CBA4-16A9-D71C-B549E8E14B8A}"/>
            </a:ext>
          </a:extLst>
        </xdr:cNvPr>
        <xdr:cNvSpPr/>
      </xdr:nvSpPr>
      <xdr:spPr>
        <a:xfrm>
          <a:off x="4925436" y="76365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61</xdr:row>
      <xdr:rowOff>73731</xdr:rowOff>
    </xdr:from>
    <xdr:to>
      <xdr:col>15</xdr:col>
      <xdr:colOff>62758</xdr:colOff>
      <xdr:row>62</xdr:row>
      <xdr:rowOff>180976</xdr:rowOff>
    </xdr:to>
    <xdr:sp macro="" textlink="">
      <xdr:nvSpPr>
        <xdr:cNvPr id="167" name="Rectángulo: esquinas redondeadas 166">
          <a:extLst>
            <a:ext uri="{FF2B5EF4-FFF2-40B4-BE49-F238E27FC236}">
              <a16:creationId xmlns:a16="http://schemas.microsoft.com/office/drawing/2014/main" id="{7C2A8464-671E-3EEC-6801-559DC1826BFE}"/>
            </a:ext>
          </a:extLst>
        </xdr:cNvPr>
        <xdr:cNvSpPr/>
      </xdr:nvSpPr>
      <xdr:spPr>
        <a:xfrm>
          <a:off x="4430136" y="79032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61</xdr:row>
      <xdr:rowOff>73731</xdr:rowOff>
    </xdr:from>
    <xdr:to>
      <xdr:col>17</xdr:col>
      <xdr:colOff>53233</xdr:colOff>
      <xdr:row>62</xdr:row>
      <xdr:rowOff>180976</xdr:rowOff>
    </xdr:to>
    <xdr:sp macro="" textlink="">
      <xdr:nvSpPr>
        <xdr:cNvPr id="168" name="Rectángulo: esquinas redondeadas 167">
          <a:extLst>
            <a:ext uri="{FF2B5EF4-FFF2-40B4-BE49-F238E27FC236}">
              <a16:creationId xmlns:a16="http://schemas.microsoft.com/office/drawing/2014/main" id="{E88869DF-50E2-E08A-13AC-844779F987E0}"/>
            </a:ext>
          </a:extLst>
        </xdr:cNvPr>
        <xdr:cNvSpPr/>
      </xdr:nvSpPr>
      <xdr:spPr>
        <a:xfrm>
          <a:off x="4925436" y="79032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64</xdr:row>
      <xdr:rowOff>54681</xdr:rowOff>
    </xdr:from>
    <xdr:to>
      <xdr:col>15</xdr:col>
      <xdr:colOff>62758</xdr:colOff>
      <xdr:row>66</xdr:row>
      <xdr:rowOff>1</xdr:rowOff>
    </xdr:to>
    <xdr:sp macro="" textlink="">
      <xdr:nvSpPr>
        <xdr:cNvPr id="170" name="Rectángulo: esquinas redondeadas 169">
          <a:extLst>
            <a:ext uri="{FF2B5EF4-FFF2-40B4-BE49-F238E27FC236}">
              <a16:creationId xmlns:a16="http://schemas.microsoft.com/office/drawing/2014/main" id="{231C65DA-3DC5-D481-BFC0-C36542F17F14}"/>
            </a:ext>
          </a:extLst>
        </xdr:cNvPr>
        <xdr:cNvSpPr/>
      </xdr:nvSpPr>
      <xdr:spPr>
        <a:xfrm>
          <a:off x="4430136" y="82176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64</xdr:row>
      <xdr:rowOff>54681</xdr:rowOff>
    </xdr:from>
    <xdr:to>
      <xdr:col>17</xdr:col>
      <xdr:colOff>53233</xdr:colOff>
      <xdr:row>66</xdr:row>
      <xdr:rowOff>1</xdr:rowOff>
    </xdr:to>
    <xdr:sp macro="" textlink="">
      <xdr:nvSpPr>
        <xdr:cNvPr id="171" name="Rectángulo: esquinas redondeadas 170">
          <a:extLst>
            <a:ext uri="{FF2B5EF4-FFF2-40B4-BE49-F238E27FC236}">
              <a16:creationId xmlns:a16="http://schemas.microsoft.com/office/drawing/2014/main" id="{1BDF8280-43A3-27A2-C366-A7DF05D9BE1E}"/>
            </a:ext>
          </a:extLst>
        </xdr:cNvPr>
        <xdr:cNvSpPr/>
      </xdr:nvSpPr>
      <xdr:spPr>
        <a:xfrm>
          <a:off x="4925436" y="82176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66</xdr:row>
      <xdr:rowOff>73731</xdr:rowOff>
    </xdr:from>
    <xdr:to>
      <xdr:col>15</xdr:col>
      <xdr:colOff>62758</xdr:colOff>
      <xdr:row>67</xdr:row>
      <xdr:rowOff>180976</xdr:rowOff>
    </xdr:to>
    <xdr:sp macro="" textlink="">
      <xdr:nvSpPr>
        <xdr:cNvPr id="173" name="Rectángulo: esquinas redondeadas 172">
          <a:extLst>
            <a:ext uri="{FF2B5EF4-FFF2-40B4-BE49-F238E27FC236}">
              <a16:creationId xmlns:a16="http://schemas.microsoft.com/office/drawing/2014/main" id="{9924D23E-389F-317C-6375-48237E9E0E28}"/>
            </a:ext>
          </a:extLst>
        </xdr:cNvPr>
        <xdr:cNvSpPr/>
      </xdr:nvSpPr>
      <xdr:spPr>
        <a:xfrm>
          <a:off x="4430136" y="84843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66</xdr:row>
      <xdr:rowOff>73731</xdr:rowOff>
    </xdr:from>
    <xdr:to>
      <xdr:col>17</xdr:col>
      <xdr:colOff>53233</xdr:colOff>
      <xdr:row>67</xdr:row>
      <xdr:rowOff>180976</xdr:rowOff>
    </xdr:to>
    <xdr:sp macro="" textlink="">
      <xdr:nvSpPr>
        <xdr:cNvPr id="174" name="Rectángulo: esquinas redondeadas 173">
          <a:extLst>
            <a:ext uri="{FF2B5EF4-FFF2-40B4-BE49-F238E27FC236}">
              <a16:creationId xmlns:a16="http://schemas.microsoft.com/office/drawing/2014/main" id="{F3B4D1E6-B62D-497F-3C55-8B56776DBB25}"/>
            </a:ext>
          </a:extLst>
        </xdr:cNvPr>
        <xdr:cNvSpPr/>
      </xdr:nvSpPr>
      <xdr:spPr>
        <a:xfrm>
          <a:off x="4925436" y="84843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69</xdr:row>
      <xdr:rowOff>45156</xdr:rowOff>
    </xdr:from>
    <xdr:to>
      <xdr:col>15</xdr:col>
      <xdr:colOff>62758</xdr:colOff>
      <xdr:row>70</xdr:row>
      <xdr:rowOff>180976</xdr:rowOff>
    </xdr:to>
    <xdr:sp macro="" textlink="">
      <xdr:nvSpPr>
        <xdr:cNvPr id="176" name="Rectángulo: esquinas redondeadas 175">
          <a:extLst>
            <a:ext uri="{FF2B5EF4-FFF2-40B4-BE49-F238E27FC236}">
              <a16:creationId xmlns:a16="http://schemas.microsoft.com/office/drawing/2014/main" id="{D6D50F9E-FD39-D3AE-DD86-B7B320238B0E}"/>
            </a:ext>
          </a:extLst>
        </xdr:cNvPr>
        <xdr:cNvSpPr/>
      </xdr:nvSpPr>
      <xdr:spPr>
        <a:xfrm>
          <a:off x="4430136" y="87891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69</xdr:row>
      <xdr:rowOff>45156</xdr:rowOff>
    </xdr:from>
    <xdr:to>
      <xdr:col>17</xdr:col>
      <xdr:colOff>53233</xdr:colOff>
      <xdr:row>70</xdr:row>
      <xdr:rowOff>180976</xdr:rowOff>
    </xdr:to>
    <xdr:sp macro="" textlink="">
      <xdr:nvSpPr>
        <xdr:cNvPr id="177" name="Rectángulo: esquinas redondeadas 176">
          <a:extLst>
            <a:ext uri="{FF2B5EF4-FFF2-40B4-BE49-F238E27FC236}">
              <a16:creationId xmlns:a16="http://schemas.microsoft.com/office/drawing/2014/main" id="{316FE9D2-0743-097B-96F7-A383DFB3FCDD}"/>
            </a:ext>
          </a:extLst>
        </xdr:cNvPr>
        <xdr:cNvSpPr/>
      </xdr:nvSpPr>
      <xdr:spPr>
        <a:xfrm>
          <a:off x="4925436" y="87891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71</xdr:row>
      <xdr:rowOff>83256</xdr:rowOff>
    </xdr:from>
    <xdr:to>
      <xdr:col>15</xdr:col>
      <xdr:colOff>62758</xdr:colOff>
      <xdr:row>73</xdr:row>
      <xdr:rowOff>1</xdr:rowOff>
    </xdr:to>
    <xdr:sp macro="" textlink="">
      <xdr:nvSpPr>
        <xdr:cNvPr id="179" name="Rectángulo: esquinas redondeadas 178">
          <a:extLst>
            <a:ext uri="{FF2B5EF4-FFF2-40B4-BE49-F238E27FC236}">
              <a16:creationId xmlns:a16="http://schemas.microsoft.com/office/drawing/2014/main" id="{24E3A283-3747-E938-FB13-CA4D273AF74A}"/>
            </a:ext>
          </a:extLst>
        </xdr:cNvPr>
        <xdr:cNvSpPr/>
      </xdr:nvSpPr>
      <xdr:spPr>
        <a:xfrm>
          <a:off x="4430136" y="90748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71</xdr:row>
      <xdr:rowOff>83256</xdr:rowOff>
    </xdr:from>
    <xdr:to>
      <xdr:col>17</xdr:col>
      <xdr:colOff>53233</xdr:colOff>
      <xdr:row>73</xdr:row>
      <xdr:rowOff>1</xdr:rowOff>
    </xdr:to>
    <xdr:sp macro="" textlink="">
      <xdr:nvSpPr>
        <xdr:cNvPr id="180" name="Rectángulo: esquinas redondeadas 179">
          <a:extLst>
            <a:ext uri="{FF2B5EF4-FFF2-40B4-BE49-F238E27FC236}">
              <a16:creationId xmlns:a16="http://schemas.microsoft.com/office/drawing/2014/main" id="{4AD328AA-971D-FF10-4D42-3D0F3C37034D}"/>
            </a:ext>
          </a:extLst>
        </xdr:cNvPr>
        <xdr:cNvSpPr/>
      </xdr:nvSpPr>
      <xdr:spPr>
        <a:xfrm>
          <a:off x="4925436" y="90748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74</xdr:row>
      <xdr:rowOff>45156</xdr:rowOff>
    </xdr:from>
    <xdr:to>
      <xdr:col>15</xdr:col>
      <xdr:colOff>62758</xdr:colOff>
      <xdr:row>75</xdr:row>
      <xdr:rowOff>180976</xdr:rowOff>
    </xdr:to>
    <xdr:sp macro="" textlink="">
      <xdr:nvSpPr>
        <xdr:cNvPr id="185" name="Rectángulo: esquinas redondeadas 184">
          <a:extLst>
            <a:ext uri="{FF2B5EF4-FFF2-40B4-BE49-F238E27FC236}">
              <a16:creationId xmlns:a16="http://schemas.microsoft.com/office/drawing/2014/main" id="{1C28042B-96C6-3D29-AB68-926CD7733F85}"/>
            </a:ext>
          </a:extLst>
        </xdr:cNvPr>
        <xdr:cNvSpPr/>
      </xdr:nvSpPr>
      <xdr:spPr>
        <a:xfrm>
          <a:off x="4430136" y="937013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74</xdr:row>
      <xdr:rowOff>45156</xdr:rowOff>
    </xdr:from>
    <xdr:to>
      <xdr:col>17</xdr:col>
      <xdr:colOff>53233</xdr:colOff>
      <xdr:row>75</xdr:row>
      <xdr:rowOff>180976</xdr:rowOff>
    </xdr:to>
    <xdr:sp macro="" textlink="">
      <xdr:nvSpPr>
        <xdr:cNvPr id="186" name="Rectángulo: esquinas redondeadas 185">
          <a:extLst>
            <a:ext uri="{FF2B5EF4-FFF2-40B4-BE49-F238E27FC236}">
              <a16:creationId xmlns:a16="http://schemas.microsoft.com/office/drawing/2014/main" id="{BD101B92-E496-F007-760C-E6837A5D7226}"/>
            </a:ext>
          </a:extLst>
        </xdr:cNvPr>
        <xdr:cNvSpPr/>
      </xdr:nvSpPr>
      <xdr:spPr>
        <a:xfrm>
          <a:off x="4925436" y="937013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76</xdr:row>
      <xdr:rowOff>73731</xdr:rowOff>
    </xdr:from>
    <xdr:to>
      <xdr:col>15</xdr:col>
      <xdr:colOff>62758</xdr:colOff>
      <xdr:row>77</xdr:row>
      <xdr:rowOff>180976</xdr:rowOff>
    </xdr:to>
    <xdr:sp macro="" textlink="">
      <xdr:nvSpPr>
        <xdr:cNvPr id="188" name="Rectángulo: esquinas redondeadas 187">
          <a:extLst>
            <a:ext uri="{FF2B5EF4-FFF2-40B4-BE49-F238E27FC236}">
              <a16:creationId xmlns:a16="http://schemas.microsoft.com/office/drawing/2014/main" id="{F6AA04C7-8DD1-4C85-20BD-24D2C249D618}"/>
            </a:ext>
          </a:extLst>
        </xdr:cNvPr>
        <xdr:cNvSpPr/>
      </xdr:nvSpPr>
      <xdr:spPr>
        <a:xfrm>
          <a:off x="4430136" y="96463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76</xdr:row>
      <xdr:rowOff>73731</xdr:rowOff>
    </xdr:from>
    <xdr:to>
      <xdr:col>17</xdr:col>
      <xdr:colOff>53233</xdr:colOff>
      <xdr:row>77</xdr:row>
      <xdr:rowOff>180976</xdr:rowOff>
    </xdr:to>
    <xdr:sp macro="" textlink="">
      <xdr:nvSpPr>
        <xdr:cNvPr id="189" name="Rectángulo: esquinas redondeadas 188">
          <a:extLst>
            <a:ext uri="{FF2B5EF4-FFF2-40B4-BE49-F238E27FC236}">
              <a16:creationId xmlns:a16="http://schemas.microsoft.com/office/drawing/2014/main" id="{6A0805E8-70B7-B928-ABAE-534631828C61}"/>
            </a:ext>
          </a:extLst>
        </xdr:cNvPr>
        <xdr:cNvSpPr/>
      </xdr:nvSpPr>
      <xdr:spPr>
        <a:xfrm>
          <a:off x="4925436" y="96463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79</xdr:row>
      <xdr:rowOff>45156</xdr:rowOff>
    </xdr:from>
    <xdr:to>
      <xdr:col>15</xdr:col>
      <xdr:colOff>62758</xdr:colOff>
      <xdr:row>80</xdr:row>
      <xdr:rowOff>180976</xdr:rowOff>
    </xdr:to>
    <xdr:sp macro="" textlink="">
      <xdr:nvSpPr>
        <xdr:cNvPr id="191" name="Rectángulo: esquinas redondeadas 190">
          <a:extLst>
            <a:ext uri="{FF2B5EF4-FFF2-40B4-BE49-F238E27FC236}">
              <a16:creationId xmlns:a16="http://schemas.microsoft.com/office/drawing/2014/main" id="{D63899B2-1D33-B052-2EE3-CA5BEF83FFE2}"/>
            </a:ext>
          </a:extLst>
        </xdr:cNvPr>
        <xdr:cNvSpPr/>
      </xdr:nvSpPr>
      <xdr:spPr>
        <a:xfrm>
          <a:off x="4430136" y="99511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79</xdr:row>
      <xdr:rowOff>45156</xdr:rowOff>
    </xdr:from>
    <xdr:to>
      <xdr:col>17</xdr:col>
      <xdr:colOff>53233</xdr:colOff>
      <xdr:row>80</xdr:row>
      <xdr:rowOff>180976</xdr:rowOff>
    </xdr:to>
    <xdr:sp macro="" textlink="">
      <xdr:nvSpPr>
        <xdr:cNvPr id="192" name="Rectángulo: esquinas redondeadas 191">
          <a:extLst>
            <a:ext uri="{FF2B5EF4-FFF2-40B4-BE49-F238E27FC236}">
              <a16:creationId xmlns:a16="http://schemas.microsoft.com/office/drawing/2014/main" id="{1CCD746C-1B15-B21D-AC17-5A6B55316BB5}"/>
            </a:ext>
          </a:extLst>
        </xdr:cNvPr>
        <xdr:cNvSpPr/>
      </xdr:nvSpPr>
      <xdr:spPr>
        <a:xfrm>
          <a:off x="4925436" y="995115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81</xdr:row>
      <xdr:rowOff>83256</xdr:rowOff>
    </xdr:from>
    <xdr:to>
      <xdr:col>15</xdr:col>
      <xdr:colOff>62758</xdr:colOff>
      <xdr:row>83</xdr:row>
      <xdr:rowOff>1</xdr:rowOff>
    </xdr:to>
    <xdr:sp macro="" textlink="">
      <xdr:nvSpPr>
        <xdr:cNvPr id="194" name="Rectángulo: esquinas redondeadas 193">
          <a:extLst>
            <a:ext uri="{FF2B5EF4-FFF2-40B4-BE49-F238E27FC236}">
              <a16:creationId xmlns:a16="http://schemas.microsoft.com/office/drawing/2014/main" id="{2AB04ABC-406C-2B2D-AB67-C68EC7846A41}"/>
            </a:ext>
          </a:extLst>
        </xdr:cNvPr>
        <xdr:cNvSpPr/>
      </xdr:nvSpPr>
      <xdr:spPr>
        <a:xfrm>
          <a:off x="4430136" y="102369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81</xdr:row>
      <xdr:rowOff>83256</xdr:rowOff>
    </xdr:from>
    <xdr:to>
      <xdr:col>17</xdr:col>
      <xdr:colOff>53233</xdr:colOff>
      <xdr:row>83</xdr:row>
      <xdr:rowOff>1</xdr:rowOff>
    </xdr:to>
    <xdr:sp macro="" textlink="">
      <xdr:nvSpPr>
        <xdr:cNvPr id="195" name="Rectángulo: esquinas redondeadas 194">
          <a:extLst>
            <a:ext uri="{FF2B5EF4-FFF2-40B4-BE49-F238E27FC236}">
              <a16:creationId xmlns:a16="http://schemas.microsoft.com/office/drawing/2014/main" id="{0843A4B6-1B46-2D80-A744-BF7D7F7CB57B}"/>
            </a:ext>
          </a:extLst>
        </xdr:cNvPr>
        <xdr:cNvSpPr/>
      </xdr:nvSpPr>
      <xdr:spPr>
        <a:xfrm>
          <a:off x="4925436" y="102369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84</xdr:row>
      <xdr:rowOff>45156</xdr:rowOff>
    </xdr:from>
    <xdr:to>
      <xdr:col>15</xdr:col>
      <xdr:colOff>62758</xdr:colOff>
      <xdr:row>85</xdr:row>
      <xdr:rowOff>180976</xdr:rowOff>
    </xdr:to>
    <xdr:sp macro="" textlink="">
      <xdr:nvSpPr>
        <xdr:cNvPr id="197" name="Rectángulo: esquinas redondeadas 196">
          <a:extLst>
            <a:ext uri="{FF2B5EF4-FFF2-40B4-BE49-F238E27FC236}">
              <a16:creationId xmlns:a16="http://schemas.microsoft.com/office/drawing/2014/main" id="{9FC7592E-8C5E-52A7-2521-F2C8103142AC}"/>
            </a:ext>
          </a:extLst>
        </xdr:cNvPr>
        <xdr:cNvSpPr/>
      </xdr:nvSpPr>
      <xdr:spPr>
        <a:xfrm>
          <a:off x="4430136" y="105321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84</xdr:row>
      <xdr:rowOff>45156</xdr:rowOff>
    </xdr:from>
    <xdr:to>
      <xdr:col>17</xdr:col>
      <xdr:colOff>53233</xdr:colOff>
      <xdr:row>85</xdr:row>
      <xdr:rowOff>180976</xdr:rowOff>
    </xdr:to>
    <xdr:sp macro="" textlink="">
      <xdr:nvSpPr>
        <xdr:cNvPr id="198" name="Rectángulo: esquinas redondeadas 197">
          <a:extLst>
            <a:ext uri="{FF2B5EF4-FFF2-40B4-BE49-F238E27FC236}">
              <a16:creationId xmlns:a16="http://schemas.microsoft.com/office/drawing/2014/main" id="{B0BF0D21-7124-89E9-641A-35E2A3B1A950}"/>
            </a:ext>
          </a:extLst>
        </xdr:cNvPr>
        <xdr:cNvSpPr/>
      </xdr:nvSpPr>
      <xdr:spPr>
        <a:xfrm>
          <a:off x="4925436" y="10532181"/>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13</xdr:col>
      <xdr:colOff>115311</xdr:colOff>
      <xdr:row>86</xdr:row>
      <xdr:rowOff>73731</xdr:rowOff>
    </xdr:from>
    <xdr:to>
      <xdr:col>15</xdr:col>
      <xdr:colOff>62758</xdr:colOff>
      <xdr:row>87</xdr:row>
      <xdr:rowOff>180976</xdr:rowOff>
    </xdr:to>
    <xdr:sp macro="" textlink="">
      <xdr:nvSpPr>
        <xdr:cNvPr id="200" name="Rectángulo: esquinas redondeadas 199">
          <a:extLst>
            <a:ext uri="{FF2B5EF4-FFF2-40B4-BE49-F238E27FC236}">
              <a16:creationId xmlns:a16="http://schemas.microsoft.com/office/drawing/2014/main" id="{2742718D-8E0C-B706-7687-EDCE17A7F906}"/>
            </a:ext>
          </a:extLst>
        </xdr:cNvPr>
        <xdr:cNvSpPr/>
      </xdr:nvSpPr>
      <xdr:spPr>
        <a:xfrm>
          <a:off x="4430136" y="108084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15</xdr:col>
      <xdr:colOff>105786</xdr:colOff>
      <xdr:row>86</xdr:row>
      <xdr:rowOff>73731</xdr:rowOff>
    </xdr:from>
    <xdr:to>
      <xdr:col>17</xdr:col>
      <xdr:colOff>53233</xdr:colOff>
      <xdr:row>87</xdr:row>
      <xdr:rowOff>180976</xdr:rowOff>
    </xdr:to>
    <xdr:sp macro="" textlink="">
      <xdr:nvSpPr>
        <xdr:cNvPr id="201" name="Rectángulo: esquinas redondeadas 200">
          <a:extLst>
            <a:ext uri="{FF2B5EF4-FFF2-40B4-BE49-F238E27FC236}">
              <a16:creationId xmlns:a16="http://schemas.microsoft.com/office/drawing/2014/main" id="{2591C8D3-606A-F47E-8C7C-DD815004871C}"/>
            </a:ext>
          </a:extLst>
        </xdr:cNvPr>
        <xdr:cNvSpPr/>
      </xdr:nvSpPr>
      <xdr:spPr>
        <a:xfrm>
          <a:off x="4925436" y="10808406"/>
          <a:ext cx="452272" cy="192970"/>
        </a:xfrm>
        <a:prstGeom prst="roundRect">
          <a:avLst>
            <a:gd name="adj" fmla="val 43104"/>
          </a:avLst>
        </a:prstGeom>
        <a:no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18</xdr:col>
      <xdr:colOff>0</xdr:colOff>
      <xdr:row>39</xdr:row>
      <xdr:rowOff>45892</xdr:rowOff>
    </xdr:from>
    <xdr:to>
      <xdr:col>33</xdr:col>
      <xdr:colOff>0</xdr:colOff>
      <xdr:row>44</xdr:row>
      <xdr:rowOff>22514</xdr:rowOff>
    </xdr:to>
    <xdr:graphicFrame macro="">
      <xdr:nvGraphicFramePr>
        <xdr:cNvPr id="203" name="Gráfico 202">
          <a:extLst>
            <a:ext uri="{FF2B5EF4-FFF2-40B4-BE49-F238E27FC236}">
              <a16:creationId xmlns:a16="http://schemas.microsoft.com/office/drawing/2014/main" id="{E8DF1637-97A1-B18E-7A35-8790C5F635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6</xdr:col>
      <xdr:colOff>136281</xdr:colOff>
      <xdr:row>0</xdr:row>
      <xdr:rowOff>209550</xdr:rowOff>
    </xdr:from>
    <xdr:to>
      <xdr:col>8</xdr:col>
      <xdr:colOff>304979</xdr:colOff>
      <xdr:row>10</xdr:row>
      <xdr:rowOff>19050</xdr:rowOff>
    </xdr:to>
    <xdr:pic>
      <xdr:nvPicPr>
        <xdr:cNvPr id="11" name="Imagen 10">
          <a:extLst>
            <a:ext uri="{FF2B5EF4-FFF2-40B4-BE49-F238E27FC236}">
              <a16:creationId xmlns:a16="http://schemas.microsoft.com/office/drawing/2014/main" id="{3A6E2B12-1727-F537-77E6-8CFB55D85705}"/>
            </a:ext>
          </a:extLst>
        </xdr:cNvPr>
        <xdr:cNvPicPr>
          <a:picLocks noChangeAspect="1"/>
        </xdr:cNvPicPr>
      </xdr:nvPicPr>
      <xdr:blipFill>
        <a:blip xmlns:r="http://schemas.openxmlformats.org/officeDocument/2006/relationships" r:embed="rId16"/>
        <a:stretch>
          <a:fillRect/>
        </a:stretch>
      </xdr:blipFill>
      <xdr:spPr>
        <a:xfrm>
          <a:off x="1831731" y="209550"/>
          <a:ext cx="949748" cy="1447800"/>
        </a:xfrm>
        <a:prstGeom prst="rect">
          <a:avLst/>
        </a:prstGeom>
      </xdr:spPr>
    </xdr:pic>
    <xdr:clientData/>
  </xdr:twoCellAnchor>
  <xdr:twoCellAnchor>
    <xdr:from>
      <xdr:col>5</xdr:col>
      <xdr:colOff>38100</xdr:colOff>
      <xdr:row>1</xdr:row>
      <xdr:rowOff>19051</xdr:rowOff>
    </xdr:from>
    <xdr:to>
      <xdr:col>6</xdr:col>
      <xdr:colOff>9525</xdr:colOff>
      <xdr:row>9</xdr:row>
      <xdr:rowOff>66676</xdr:rowOff>
    </xdr:to>
    <xdr:sp macro="" textlink="">
      <xdr:nvSpPr>
        <xdr:cNvPr id="12" name="CuadroTexto 11">
          <a:extLst>
            <a:ext uri="{FF2B5EF4-FFF2-40B4-BE49-F238E27FC236}">
              <a16:creationId xmlns:a16="http://schemas.microsoft.com/office/drawing/2014/main" id="{C6481F2E-19CB-8E7A-8BFA-0F623BF6F67E}"/>
            </a:ext>
          </a:extLst>
        </xdr:cNvPr>
        <xdr:cNvSpPr txBox="1"/>
      </xdr:nvSpPr>
      <xdr:spPr>
        <a:xfrm>
          <a:off x="1314450" y="238126"/>
          <a:ext cx="390525" cy="1352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ctr"/>
          <a:r>
            <a:rPr lang="es-BO" sz="2400" b="1">
              <a:latin typeface="Daytona" panose="020B0604030500040204" pitchFamily="34" charset="0"/>
            </a:rPr>
            <a:t>PERFIL</a:t>
          </a:r>
        </a:p>
      </xdr:txBody>
    </xdr:sp>
    <xdr:clientData/>
  </xdr:twoCellAnchor>
  <xdr:twoCellAnchor>
    <xdr:from>
      <xdr:col>18</xdr:col>
      <xdr:colOff>0</xdr:colOff>
      <xdr:row>13</xdr:row>
      <xdr:rowOff>107320</xdr:rowOff>
    </xdr:from>
    <xdr:to>
      <xdr:col>18</xdr:col>
      <xdr:colOff>96544</xdr:colOff>
      <xdr:row>15</xdr:row>
      <xdr:rowOff>7759</xdr:rowOff>
    </xdr:to>
    <xdr:sp macro="" textlink="">
      <xdr:nvSpPr>
        <xdr:cNvPr id="13" name="CuadroTexto 12">
          <a:extLst>
            <a:ext uri="{FF2B5EF4-FFF2-40B4-BE49-F238E27FC236}">
              <a16:creationId xmlns:a16="http://schemas.microsoft.com/office/drawing/2014/main" id="{3B6A7197-D36E-B481-3AB9-1661035ED841}"/>
            </a:ext>
          </a:extLst>
        </xdr:cNvPr>
        <xdr:cNvSpPr txBox="1"/>
      </xdr:nvSpPr>
      <xdr:spPr>
        <a:xfrm>
          <a:off x="5981355" y="1983012"/>
          <a:ext cx="181881" cy="2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1</a:t>
          </a:r>
        </a:p>
      </xdr:txBody>
    </xdr:sp>
    <xdr:clientData/>
  </xdr:twoCellAnchor>
  <xdr:twoCellAnchor>
    <xdr:from>
      <xdr:col>18</xdr:col>
      <xdr:colOff>134471</xdr:colOff>
      <xdr:row>13</xdr:row>
      <xdr:rowOff>107319</xdr:rowOff>
    </xdr:from>
    <xdr:to>
      <xdr:col>19</xdr:col>
      <xdr:colOff>67236</xdr:colOff>
      <xdr:row>15</xdr:row>
      <xdr:rowOff>7758</xdr:rowOff>
    </xdr:to>
    <xdr:sp macro="" textlink="">
      <xdr:nvSpPr>
        <xdr:cNvPr id="14" name="CuadroTexto 13">
          <a:extLst>
            <a:ext uri="{FF2B5EF4-FFF2-40B4-BE49-F238E27FC236}">
              <a16:creationId xmlns:a16="http://schemas.microsoft.com/office/drawing/2014/main" id="{AE9E6031-F67E-60E1-087F-6107E1D7A98E}"/>
            </a:ext>
          </a:extLst>
        </xdr:cNvPr>
        <xdr:cNvSpPr txBox="1"/>
      </xdr:nvSpPr>
      <xdr:spPr>
        <a:xfrm>
          <a:off x="6201163" y="1983011"/>
          <a:ext cx="181881" cy="2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3</a:t>
          </a:r>
        </a:p>
      </xdr:txBody>
    </xdr:sp>
    <xdr:clientData/>
  </xdr:twoCellAnchor>
  <xdr:twoCellAnchor>
    <xdr:from>
      <xdr:col>20</xdr:col>
      <xdr:colOff>14655</xdr:colOff>
      <xdr:row>13</xdr:row>
      <xdr:rowOff>114646</xdr:rowOff>
    </xdr:from>
    <xdr:to>
      <xdr:col>21</xdr:col>
      <xdr:colOff>140507</xdr:colOff>
      <xdr:row>15</xdr:row>
      <xdr:rowOff>15085</xdr:rowOff>
    </xdr:to>
    <xdr:sp macro="" textlink="">
      <xdr:nvSpPr>
        <xdr:cNvPr id="15" name="CuadroTexto 14">
          <a:extLst>
            <a:ext uri="{FF2B5EF4-FFF2-40B4-BE49-F238E27FC236}">
              <a16:creationId xmlns:a16="http://schemas.microsoft.com/office/drawing/2014/main" id="{51F211DA-6C2E-E465-6340-0CD60C2A6A46}"/>
            </a:ext>
          </a:extLst>
        </xdr:cNvPr>
        <xdr:cNvSpPr txBox="1"/>
      </xdr:nvSpPr>
      <xdr:spPr>
        <a:xfrm>
          <a:off x="6579578" y="1990338"/>
          <a:ext cx="374967" cy="2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16</a:t>
          </a:r>
        </a:p>
      </xdr:txBody>
    </xdr:sp>
    <xdr:clientData/>
  </xdr:twoCellAnchor>
  <xdr:twoCellAnchor>
    <xdr:from>
      <xdr:col>21</xdr:col>
      <xdr:colOff>234463</xdr:colOff>
      <xdr:row>13</xdr:row>
      <xdr:rowOff>114646</xdr:rowOff>
    </xdr:from>
    <xdr:to>
      <xdr:col>23</xdr:col>
      <xdr:colOff>111199</xdr:colOff>
      <xdr:row>15</xdr:row>
      <xdr:rowOff>15085</xdr:rowOff>
    </xdr:to>
    <xdr:sp macro="" textlink="">
      <xdr:nvSpPr>
        <xdr:cNvPr id="16" name="CuadroTexto 15">
          <a:extLst>
            <a:ext uri="{FF2B5EF4-FFF2-40B4-BE49-F238E27FC236}">
              <a16:creationId xmlns:a16="http://schemas.microsoft.com/office/drawing/2014/main" id="{35CF8456-9CEF-1990-5410-6C23E3E46690}"/>
            </a:ext>
          </a:extLst>
        </xdr:cNvPr>
        <xdr:cNvSpPr txBox="1"/>
      </xdr:nvSpPr>
      <xdr:spPr>
        <a:xfrm>
          <a:off x="7048501" y="1990338"/>
          <a:ext cx="374967" cy="2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30</a:t>
          </a:r>
        </a:p>
      </xdr:txBody>
    </xdr:sp>
    <xdr:clientData/>
  </xdr:twoCellAnchor>
  <xdr:twoCellAnchor>
    <xdr:from>
      <xdr:col>24</xdr:col>
      <xdr:colOff>139212</xdr:colOff>
      <xdr:row>13</xdr:row>
      <xdr:rowOff>107319</xdr:rowOff>
    </xdr:from>
    <xdr:to>
      <xdr:col>26</xdr:col>
      <xdr:colOff>15948</xdr:colOff>
      <xdr:row>15</xdr:row>
      <xdr:rowOff>7758</xdr:rowOff>
    </xdr:to>
    <xdr:sp macro="" textlink="">
      <xdr:nvSpPr>
        <xdr:cNvPr id="17" name="CuadroTexto 16">
          <a:extLst>
            <a:ext uri="{FF2B5EF4-FFF2-40B4-BE49-F238E27FC236}">
              <a16:creationId xmlns:a16="http://schemas.microsoft.com/office/drawing/2014/main" id="{161EB19B-A5F6-0EDE-FEF3-CB629E34DF05}"/>
            </a:ext>
          </a:extLst>
        </xdr:cNvPr>
        <xdr:cNvSpPr txBox="1"/>
      </xdr:nvSpPr>
      <xdr:spPr>
        <a:xfrm>
          <a:off x="7773866" y="1983011"/>
          <a:ext cx="374967" cy="2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50</a:t>
          </a:r>
        </a:p>
      </xdr:txBody>
    </xdr:sp>
    <xdr:clientData/>
  </xdr:twoCellAnchor>
  <xdr:twoCellAnchor>
    <xdr:from>
      <xdr:col>27</xdr:col>
      <xdr:colOff>87924</xdr:colOff>
      <xdr:row>13</xdr:row>
      <xdr:rowOff>107319</xdr:rowOff>
    </xdr:from>
    <xdr:to>
      <xdr:col>28</xdr:col>
      <xdr:colOff>213776</xdr:colOff>
      <xdr:row>15</xdr:row>
      <xdr:rowOff>7758</xdr:rowOff>
    </xdr:to>
    <xdr:sp macro="" textlink="">
      <xdr:nvSpPr>
        <xdr:cNvPr id="18" name="CuadroTexto 17">
          <a:extLst>
            <a:ext uri="{FF2B5EF4-FFF2-40B4-BE49-F238E27FC236}">
              <a16:creationId xmlns:a16="http://schemas.microsoft.com/office/drawing/2014/main" id="{AA021AEE-28D9-5EA9-839A-866F8437EB61}"/>
            </a:ext>
          </a:extLst>
        </xdr:cNvPr>
        <xdr:cNvSpPr txBox="1"/>
      </xdr:nvSpPr>
      <xdr:spPr>
        <a:xfrm>
          <a:off x="8469924" y="1983011"/>
          <a:ext cx="374967" cy="2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70</a:t>
          </a:r>
        </a:p>
      </xdr:txBody>
    </xdr:sp>
    <xdr:clientData/>
  </xdr:twoCellAnchor>
  <xdr:twoCellAnchor>
    <xdr:from>
      <xdr:col>29</xdr:col>
      <xdr:colOff>102578</xdr:colOff>
      <xdr:row>13</xdr:row>
      <xdr:rowOff>107319</xdr:rowOff>
    </xdr:from>
    <xdr:to>
      <xdr:col>30</xdr:col>
      <xdr:colOff>228430</xdr:colOff>
      <xdr:row>15</xdr:row>
      <xdr:rowOff>7758</xdr:rowOff>
    </xdr:to>
    <xdr:sp macro="" textlink="">
      <xdr:nvSpPr>
        <xdr:cNvPr id="19" name="CuadroTexto 18">
          <a:extLst>
            <a:ext uri="{FF2B5EF4-FFF2-40B4-BE49-F238E27FC236}">
              <a16:creationId xmlns:a16="http://schemas.microsoft.com/office/drawing/2014/main" id="{3E91D0A5-7C0B-3F8B-9752-A4BD7F18FB5F}"/>
            </a:ext>
          </a:extLst>
        </xdr:cNvPr>
        <xdr:cNvSpPr txBox="1"/>
      </xdr:nvSpPr>
      <xdr:spPr>
        <a:xfrm>
          <a:off x="8982809" y="1983011"/>
          <a:ext cx="374967" cy="2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84</a:t>
          </a:r>
        </a:p>
      </xdr:txBody>
    </xdr:sp>
    <xdr:clientData/>
  </xdr:twoCellAnchor>
  <xdr:twoCellAnchor>
    <xdr:from>
      <xdr:col>31</xdr:col>
      <xdr:colOff>36636</xdr:colOff>
      <xdr:row>13</xdr:row>
      <xdr:rowOff>107319</xdr:rowOff>
    </xdr:from>
    <xdr:to>
      <xdr:col>32</xdr:col>
      <xdr:colOff>162488</xdr:colOff>
      <xdr:row>15</xdr:row>
      <xdr:rowOff>7758</xdr:rowOff>
    </xdr:to>
    <xdr:sp macro="" textlink="">
      <xdr:nvSpPr>
        <xdr:cNvPr id="20" name="CuadroTexto 19">
          <a:extLst>
            <a:ext uri="{FF2B5EF4-FFF2-40B4-BE49-F238E27FC236}">
              <a16:creationId xmlns:a16="http://schemas.microsoft.com/office/drawing/2014/main" id="{6F90C3DD-BCDA-3D64-5C94-58C5D9DE98B2}"/>
            </a:ext>
          </a:extLst>
        </xdr:cNvPr>
        <xdr:cNvSpPr txBox="1"/>
      </xdr:nvSpPr>
      <xdr:spPr>
        <a:xfrm>
          <a:off x="9415098" y="1983011"/>
          <a:ext cx="374967" cy="2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97</a:t>
          </a:r>
        </a:p>
      </xdr:txBody>
    </xdr:sp>
    <xdr:clientData/>
  </xdr:twoCellAnchor>
  <xdr:twoCellAnchor>
    <xdr:from>
      <xdr:col>32</xdr:col>
      <xdr:colOff>65944</xdr:colOff>
      <xdr:row>13</xdr:row>
      <xdr:rowOff>107319</xdr:rowOff>
    </xdr:from>
    <xdr:to>
      <xdr:col>33</xdr:col>
      <xdr:colOff>191796</xdr:colOff>
      <xdr:row>15</xdr:row>
      <xdr:rowOff>7758</xdr:rowOff>
    </xdr:to>
    <xdr:sp macro="" textlink="">
      <xdr:nvSpPr>
        <xdr:cNvPr id="21" name="CuadroTexto 20">
          <a:extLst>
            <a:ext uri="{FF2B5EF4-FFF2-40B4-BE49-F238E27FC236}">
              <a16:creationId xmlns:a16="http://schemas.microsoft.com/office/drawing/2014/main" id="{F4937577-2697-8C90-1DC1-5AC9D3684834}"/>
            </a:ext>
          </a:extLst>
        </xdr:cNvPr>
        <xdr:cNvSpPr txBox="1"/>
      </xdr:nvSpPr>
      <xdr:spPr>
        <a:xfrm>
          <a:off x="9693521" y="1983011"/>
          <a:ext cx="374967" cy="2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99</a:t>
          </a:r>
        </a:p>
      </xdr:txBody>
    </xdr:sp>
    <xdr:clientData/>
  </xdr:twoCellAnchor>
  <xdr:twoCellAnchor>
    <xdr:from>
      <xdr:col>18</xdr:col>
      <xdr:colOff>0</xdr:colOff>
      <xdr:row>87</xdr:row>
      <xdr:rowOff>161748</xdr:rowOff>
    </xdr:from>
    <xdr:to>
      <xdr:col>18</xdr:col>
      <xdr:colOff>123758</xdr:colOff>
      <xdr:row>88</xdr:row>
      <xdr:rowOff>211866</xdr:rowOff>
    </xdr:to>
    <xdr:sp macro="" textlink="">
      <xdr:nvSpPr>
        <xdr:cNvPr id="31" name="CuadroTexto 30">
          <a:extLst>
            <a:ext uri="{FF2B5EF4-FFF2-40B4-BE49-F238E27FC236}">
              <a16:creationId xmlns:a16="http://schemas.microsoft.com/office/drawing/2014/main" id="{9E89F1F7-7E76-D2C7-6859-2F88E20D7623}"/>
            </a:ext>
          </a:extLst>
        </xdr:cNvPr>
        <xdr:cNvSpPr txBox="1"/>
      </xdr:nvSpPr>
      <xdr:spPr>
        <a:xfrm>
          <a:off x="6042063" y="10598427"/>
          <a:ext cx="177695" cy="240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1</a:t>
          </a:r>
        </a:p>
      </xdr:txBody>
    </xdr:sp>
    <xdr:clientData/>
  </xdr:twoCellAnchor>
  <xdr:twoCellAnchor>
    <xdr:from>
      <xdr:col>18</xdr:col>
      <xdr:colOff>152160</xdr:colOff>
      <xdr:row>87</xdr:row>
      <xdr:rowOff>161747</xdr:rowOff>
    </xdr:from>
    <xdr:to>
      <xdr:col>19</xdr:col>
      <xdr:colOff>84925</xdr:colOff>
      <xdr:row>88</xdr:row>
      <xdr:rowOff>211865</xdr:rowOff>
    </xdr:to>
    <xdr:sp macro="" textlink="">
      <xdr:nvSpPr>
        <xdr:cNvPr id="32" name="CuadroTexto 31">
          <a:extLst>
            <a:ext uri="{FF2B5EF4-FFF2-40B4-BE49-F238E27FC236}">
              <a16:creationId xmlns:a16="http://schemas.microsoft.com/office/drawing/2014/main" id="{3A06455B-2F2F-65C4-94C4-5AFD79FD6F58}"/>
            </a:ext>
          </a:extLst>
        </xdr:cNvPr>
        <xdr:cNvSpPr txBox="1"/>
      </xdr:nvSpPr>
      <xdr:spPr>
        <a:xfrm>
          <a:off x="6029085" y="11163122"/>
          <a:ext cx="180415" cy="240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3</a:t>
          </a:r>
        </a:p>
      </xdr:txBody>
    </xdr:sp>
    <xdr:clientData/>
  </xdr:twoCellAnchor>
  <xdr:twoCellAnchor>
    <xdr:from>
      <xdr:col>19</xdr:col>
      <xdr:colOff>270469</xdr:colOff>
      <xdr:row>87</xdr:row>
      <xdr:rowOff>169074</xdr:rowOff>
    </xdr:from>
    <xdr:to>
      <xdr:col>21</xdr:col>
      <xdr:colOff>120096</xdr:colOff>
      <xdr:row>89</xdr:row>
      <xdr:rowOff>1478</xdr:rowOff>
    </xdr:to>
    <xdr:sp macro="" textlink="">
      <xdr:nvSpPr>
        <xdr:cNvPr id="33" name="CuadroTexto 32">
          <a:extLst>
            <a:ext uri="{FF2B5EF4-FFF2-40B4-BE49-F238E27FC236}">
              <a16:creationId xmlns:a16="http://schemas.microsoft.com/office/drawing/2014/main" id="{43D947C8-68DC-A015-50B8-56D7C7C57900}"/>
            </a:ext>
          </a:extLst>
        </xdr:cNvPr>
        <xdr:cNvSpPr txBox="1"/>
      </xdr:nvSpPr>
      <xdr:spPr>
        <a:xfrm>
          <a:off x="6395044" y="11170449"/>
          <a:ext cx="373502" cy="241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16</a:t>
          </a:r>
        </a:p>
      </xdr:txBody>
    </xdr:sp>
    <xdr:clientData/>
  </xdr:twoCellAnchor>
  <xdr:twoCellAnchor>
    <xdr:from>
      <xdr:col>21</xdr:col>
      <xdr:colOff>235824</xdr:colOff>
      <xdr:row>87</xdr:row>
      <xdr:rowOff>169074</xdr:rowOff>
    </xdr:from>
    <xdr:to>
      <xdr:col>23</xdr:col>
      <xdr:colOff>109838</xdr:colOff>
      <xdr:row>89</xdr:row>
      <xdr:rowOff>1478</xdr:rowOff>
    </xdr:to>
    <xdr:sp macro="" textlink="">
      <xdr:nvSpPr>
        <xdr:cNvPr id="34" name="CuadroTexto 33">
          <a:extLst>
            <a:ext uri="{FF2B5EF4-FFF2-40B4-BE49-F238E27FC236}">
              <a16:creationId xmlns:a16="http://schemas.microsoft.com/office/drawing/2014/main" id="{DCB97AD8-922E-4E3A-A57B-66328218A157}"/>
            </a:ext>
          </a:extLst>
        </xdr:cNvPr>
        <xdr:cNvSpPr txBox="1"/>
      </xdr:nvSpPr>
      <xdr:spPr>
        <a:xfrm>
          <a:off x="6884274" y="11170449"/>
          <a:ext cx="369314" cy="241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30</a:t>
          </a:r>
        </a:p>
      </xdr:txBody>
    </xdr:sp>
    <xdr:clientData/>
  </xdr:twoCellAnchor>
  <xdr:twoCellAnchor>
    <xdr:from>
      <xdr:col>24</xdr:col>
      <xdr:colOff>137851</xdr:colOff>
      <xdr:row>87</xdr:row>
      <xdr:rowOff>161747</xdr:rowOff>
    </xdr:from>
    <xdr:to>
      <xdr:col>26</xdr:col>
      <xdr:colOff>14587</xdr:colOff>
      <xdr:row>88</xdr:row>
      <xdr:rowOff>211865</xdr:rowOff>
    </xdr:to>
    <xdr:sp macro="" textlink="">
      <xdr:nvSpPr>
        <xdr:cNvPr id="35" name="CuadroTexto 34">
          <a:extLst>
            <a:ext uri="{FF2B5EF4-FFF2-40B4-BE49-F238E27FC236}">
              <a16:creationId xmlns:a16="http://schemas.microsoft.com/office/drawing/2014/main" id="{2891D6FB-77D3-2465-F533-1271FBD4566E}"/>
            </a:ext>
          </a:extLst>
        </xdr:cNvPr>
        <xdr:cNvSpPr txBox="1"/>
      </xdr:nvSpPr>
      <xdr:spPr>
        <a:xfrm>
          <a:off x="7605451" y="11163122"/>
          <a:ext cx="372036" cy="240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50</a:t>
          </a:r>
        </a:p>
      </xdr:txBody>
    </xdr:sp>
    <xdr:clientData/>
  </xdr:twoCellAnchor>
  <xdr:twoCellAnchor>
    <xdr:from>
      <xdr:col>27</xdr:col>
      <xdr:colOff>115138</xdr:colOff>
      <xdr:row>87</xdr:row>
      <xdr:rowOff>161747</xdr:rowOff>
    </xdr:from>
    <xdr:to>
      <xdr:col>28</xdr:col>
      <xdr:colOff>240990</xdr:colOff>
      <xdr:row>88</xdr:row>
      <xdr:rowOff>211865</xdr:rowOff>
    </xdr:to>
    <xdr:sp macro="" textlink="">
      <xdr:nvSpPr>
        <xdr:cNvPr id="36" name="CuadroTexto 35">
          <a:extLst>
            <a:ext uri="{FF2B5EF4-FFF2-40B4-BE49-F238E27FC236}">
              <a16:creationId xmlns:a16="http://schemas.microsoft.com/office/drawing/2014/main" id="{9FE1A11E-D5CF-59CD-B5A8-A28DDCE27A4F}"/>
            </a:ext>
          </a:extLst>
        </xdr:cNvPr>
        <xdr:cNvSpPr txBox="1"/>
      </xdr:nvSpPr>
      <xdr:spPr>
        <a:xfrm>
          <a:off x="8497138" y="10598426"/>
          <a:ext cx="370781" cy="240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70</a:t>
          </a:r>
        </a:p>
      </xdr:txBody>
    </xdr:sp>
    <xdr:clientData/>
  </xdr:twoCellAnchor>
  <xdr:twoCellAnchor>
    <xdr:from>
      <xdr:col>29</xdr:col>
      <xdr:colOff>91692</xdr:colOff>
      <xdr:row>87</xdr:row>
      <xdr:rowOff>161747</xdr:rowOff>
    </xdr:from>
    <xdr:to>
      <xdr:col>30</xdr:col>
      <xdr:colOff>220266</xdr:colOff>
      <xdr:row>88</xdr:row>
      <xdr:rowOff>211865</xdr:rowOff>
    </xdr:to>
    <xdr:sp macro="" textlink="">
      <xdr:nvSpPr>
        <xdr:cNvPr id="37" name="CuadroTexto 36">
          <a:extLst>
            <a:ext uri="{FF2B5EF4-FFF2-40B4-BE49-F238E27FC236}">
              <a16:creationId xmlns:a16="http://schemas.microsoft.com/office/drawing/2014/main" id="{24408573-A69F-B0BA-23D7-526A5C08425E}"/>
            </a:ext>
          </a:extLst>
        </xdr:cNvPr>
        <xdr:cNvSpPr txBox="1"/>
      </xdr:nvSpPr>
      <xdr:spPr>
        <a:xfrm>
          <a:off x="8797542" y="11163122"/>
          <a:ext cx="376224" cy="240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84</a:t>
          </a:r>
        </a:p>
      </xdr:txBody>
    </xdr:sp>
    <xdr:clientData/>
  </xdr:twoCellAnchor>
  <xdr:twoCellAnchor>
    <xdr:from>
      <xdr:col>31</xdr:col>
      <xdr:colOff>63850</xdr:colOff>
      <xdr:row>87</xdr:row>
      <xdr:rowOff>161747</xdr:rowOff>
    </xdr:from>
    <xdr:to>
      <xdr:col>32</xdr:col>
      <xdr:colOff>189702</xdr:colOff>
      <xdr:row>88</xdr:row>
      <xdr:rowOff>211865</xdr:rowOff>
    </xdr:to>
    <xdr:sp macro="" textlink="">
      <xdr:nvSpPr>
        <xdr:cNvPr id="38" name="CuadroTexto 37">
          <a:extLst>
            <a:ext uri="{FF2B5EF4-FFF2-40B4-BE49-F238E27FC236}">
              <a16:creationId xmlns:a16="http://schemas.microsoft.com/office/drawing/2014/main" id="{CD1F00A4-6C71-06C0-EA94-1E6D089B5E8E}"/>
            </a:ext>
          </a:extLst>
        </xdr:cNvPr>
        <xdr:cNvSpPr txBox="1"/>
      </xdr:nvSpPr>
      <xdr:spPr>
        <a:xfrm>
          <a:off x="9425564" y="10598426"/>
          <a:ext cx="370781" cy="240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97</a:t>
          </a:r>
        </a:p>
      </xdr:txBody>
    </xdr:sp>
    <xdr:clientData/>
  </xdr:twoCellAnchor>
  <xdr:twoCellAnchor>
    <xdr:from>
      <xdr:col>32</xdr:col>
      <xdr:colOff>83633</xdr:colOff>
      <xdr:row>87</xdr:row>
      <xdr:rowOff>161747</xdr:rowOff>
    </xdr:from>
    <xdr:to>
      <xdr:col>33</xdr:col>
      <xdr:colOff>209485</xdr:colOff>
      <xdr:row>88</xdr:row>
      <xdr:rowOff>211865</xdr:rowOff>
    </xdr:to>
    <xdr:sp macro="" textlink="">
      <xdr:nvSpPr>
        <xdr:cNvPr id="39" name="CuadroTexto 38">
          <a:extLst>
            <a:ext uri="{FF2B5EF4-FFF2-40B4-BE49-F238E27FC236}">
              <a16:creationId xmlns:a16="http://schemas.microsoft.com/office/drawing/2014/main" id="{D5C3EBEF-DC24-B89E-7D31-ACC6EB1C44A0}"/>
            </a:ext>
          </a:extLst>
        </xdr:cNvPr>
        <xdr:cNvSpPr txBox="1"/>
      </xdr:nvSpPr>
      <xdr:spPr>
        <a:xfrm>
          <a:off x="9532433" y="11163122"/>
          <a:ext cx="373502" cy="240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a:latin typeface="Daytona" panose="020B0604030500040204" pitchFamily="34" charset="0"/>
            </a:rPr>
            <a:t>99</a:t>
          </a:r>
        </a:p>
      </xdr:txBody>
    </xdr:sp>
    <xdr:clientData/>
  </xdr:twoCellAnchor>
  <xdr:twoCellAnchor>
    <xdr:from>
      <xdr:col>25</xdr:col>
      <xdr:colOff>54428</xdr:colOff>
      <xdr:row>15</xdr:row>
      <xdr:rowOff>0</xdr:rowOff>
    </xdr:from>
    <xdr:to>
      <xdr:col>25</xdr:col>
      <xdr:colOff>68035</xdr:colOff>
      <xdr:row>88</xdr:row>
      <xdr:rowOff>-1</xdr:rowOff>
    </xdr:to>
    <xdr:cxnSp macro="">
      <xdr:nvCxnSpPr>
        <xdr:cNvPr id="41" name="Conector recto 40">
          <a:extLst>
            <a:ext uri="{FF2B5EF4-FFF2-40B4-BE49-F238E27FC236}">
              <a16:creationId xmlns:a16="http://schemas.microsoft.com/office/drawing/2014/main" id="{2C9385C9-F337-4CA1-1DDB-E664CCE83486}"/>
            </a:ext>
          </a:extLst>
        </xdr:cNvPr>
        <xdr:cNvCxnSpPr/>
      </xdr:nvCxnSpPr>
      <xdr:spPr>
        <a:xfrm flipH="1">
          <a:off x="7946571" y="2163536"/>
          <a:ext cx="13607" cy="846364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19</xdr:row>
      <xdr:rowOff>0</xdr:rowOff>
    </xdr:from>
    <xdr:to>
      <xdr:col>33</xdr:col>
      <xdr:colOff>8287</xdr:colOff>
      <xdr:row>19</xdr:row>
      <xdr:rowOff>0</xdr:rowOff>
    </xdr:to>
    <xdr:cxnSp macro="">
      <xdr:nvCxnSpPr>
        <xdr:cNvPr id="43" name="Conector recto 42">
          <a:extLst>
            <a:ext uri="{FF2B5EF4-FFF2-40B4-BE49-F238E27FC236}">
              <a16:creationId xmlns:a16="http://schemas.microsoft.com/office/drawing/2014/main" id="{F94A82C0-3079-1FDF-A6A2-3312F0F81A87}"/>
            </a:ext>
          </a:extLst>
        </xdr:cNvPr>
        <xdr:cNvCxnSpPr/>
      </xdr:nvCxnSpPr>
      <xdr:spPr>
        <a:xfrm>
          <a:off x="6054591" y="2708413"/>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23</xdr:row>
      <xdr:rowOff>57978</xdr:rowOff>
    </xdr:from>
    <xdr:to>
      <xdr:col>33</xdr:col>
      <xdr:colOff>8287</xdr:colOff>
      <xdr:row>23</xdr:row>
      <xdr:rowOff>57978</xdr:rowOff>
    </xdr:to>
    <xdr:cxnSp macro="">
      <xdr:nvCxnSpPr>
        <xdr:cNvPr id="44" name="Conector recto 43">
          <a:extLst>
            <a:ext uri="{FF2B5EF4-FFF2-40B4-BE49-F238E27FC236}">
              <a16:creationId xmlns:a16="http://schemas.microsoft.com/office/drawing/2014/main" id="{D5FED0D0-C495-459B-FA22-7038AAAC7E5B}"/>
            </a:ext>
          </a:extLst>
        </xdr:cNvPr>
        <xdr:cNvCxnSpPr/>
      </xdr:nvCxnSpPr>
      <xdr:spPr>
        <a:xfrm>
          <a:off x="6054591" y="3288195"/>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29</xdr:row>
      <xdr:rowOff>0</xdr:rowOff>
    </xdr:from>
    <xdr:to>
      <xdr:col>33</xdr:col>
      <xdr:colOff>8287</xdr:colOff>
      <xdr:row>29</xdr:row>
      <xdr:rowOff>0</xdr:rowOff>
    </xdr:to>
    <xdr:cxnSp macro="">
      <xdr:nvCxnSpPr>
        <xdr:cNvPr id="45" name="Conector recto 44">
          <a:extLst>
            <a:ext uri="{FF2B5EF4-FFF2-40B4-BE49-F238E27FC236}">
              <a16:creationId xmlns:a16="http://schemas.microsoft.com/office/drawing/2014/main" id="{CE3A8739-DE8E-963B-7810-05B948175F39}"/>
            </a:ext>
          </a:extLst>
        </xdr:cNvPr>
        <xdr:cNvCxnSpPr/>
      </xdr:nvCxnSpPr>
      <xdr:spPr>
        <a:xfrm>
          <a:off x="6054591" y="3867978"/>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33</xdr:row>
      <xdr:rowOff>57977</xdr:rowOff>
    </xdr:from>
    <xdr:to>
      <xdr:col>33</xdr:col>
      <xdr:colOff>8287</xdr:colOff>
      <xdr:row>33</xdr:row>
      <xdr:rowOff>57977</xdr:rowOff>
    </xdr:to>
    <xdr:cxnSp macro="">
      <xdr:nvCxnSpPr>
        <xdr:cNvPr id="46" name="Conector recto 45">
          <a:extLst>
            <a:ext uri="{FF2B5EF4-FFF2-40B4-BE49-F238E27FC236}">
              <a16:creationId xmlns:a16="http://schemas.microsoft.com/office/drawing/2014/main" id="{D00241B5-2971-EAD3-BA88-E00E2E7D6BB7}"/>
            </a:ext>
          </a:extLst>
        </xdr:cNvPr>
        <xdr:cNvCxnSpPr/>
      </xdr:nvCxnSpPr>
      <xdr:spPr>
        <a:xfrm>
          <a:off x="6054591" y="4447760"/>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38</xdr:row>
      <xdr:rowOff>49694</xdr:rowOff>
    </xdr:from>
    <xdr:to>
      <xdr:col>33</xdr:col>
      <xdr:colOff>8287</xdr:colOff>
      <xdr:row>38</xdr:row>
      <xdr:rowOff>49694</xdr:rowOff>
    </xdr:to>
    <xdr:cxnSp macro="">
      <xdr:nvCxnSpPr>
        <xdr:cNvPr id="47" name="Conector recto 46">
          <a:extLst>
            <a:ext uri="{FF2B5EF4-FFF2-40B4-BE49-F238E27FC236}">
              <a16:creationId xmlns:a16="http://schemas.microsoft.com/office/drawing/2014/main" id="{8F25A211-19DB-3708-72B7-5F8E40CEEB5F}"/>
            </a:ext>
          </a:extLst>
        </xdr:cNvPr>
        <xdr:cNvCxnSpPr/>
      </xdr:nvCxnSpPr>
      <xdr:spPr>
        <a:xfrm>
          <a:off x="6054591" y="5019259"/>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43</xdr:row>
      <xdr:rowOff>57976</xdr:rowOff>
    </xdr:from>
    <xdr:to>
      <xdr:col>33</xdr:col>
      <xdr:colOff>8287</xdr:colOff>
      <xdr:row>43</xdr:row>
      <xdr:rowOff>57976</xdr:rowOff>
    </xdr:to>
    <xdr:cxnSp macro="">
      <xdr:nvCxnSpPr>
        <xdr:cNvPr id="48" name="Conector recto 47">
          <a:extLst>
            <a:ext uri="{FF2B5EF4-FFF2-40B4-BE49-F238E27FC236}">
              <a16:creationId xmlns:a16="http://schemas.microsoft.com/office/drawing/2014/main" id="{441F4334-6489-BC06-E279-34FE5E4DCF61}"/>
            </a:ext>
          </a:extLst>
        </xdr:cNvPr>
        <xdr:cNvCxnSpPr/>
      </xdr:nvCxnSpPr>
      <xdr:spPr>
        <a:xfrm>
          <a:off x="6054591" y="5607324"/>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48</xdr:row>
      <xdr:rowOff>57976</xdr:rowOff>
    </xdr:from>
    <xdr:to>
      <xdr:col>33</xdr:col>
      <xdr:colOff>8287</xdr:colOff>
      <xdr:row>48</xdr:row>
      <xdr:rowOff>57976</xdr:rowOff>
    </xdr:to>
    <xdr:cxnSp macro="">
      <xdr:nvCxnSpPr>
        <xdr:cNvPr id="49" name="Conector recto 48">
          <a:extLst>
            <a:ext uri="{FF2B5EF4-FFF2-40B4-BE49-F238E27FC236}">
              <a16:creationId xmlns:a16="http://schemas.microsoft.com/office/drawing/2014/main" id="{47F6A741-7CDB-E01A-66EA-BA5396A35EFA}"/>
            </a:ext>
          </a:extLst>
        </xdr:cNvPr>
        <xdr:cNvCxnSpPr/>
      </xdr:nvCxnSpPr>
      <xdr:spPr>
        <a:xfrm>
          <a:off x="6054591" y="6187106"/>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53</xdr:row>
      <xdr:rowOff>57975</xdr:rowOff>
    </xdr:from>
    <xdr:to>
      <xdr:col>33</xdr:col>
      <xdr:colOff>8287</xdr:colOff>
      <xdr:row>53</xdr:row>
      <xdr:rowOff>57975</xdr:rowOff>
    </xdr:to>
    <xdr:cxnSp macro="">
      <xdr:nvCxnSpPr>
        <xdr:cNvPr id="50" name="Conector recto 49">
          <a:extLst>
            <a:ext uri="{FF2B5EF4-FFF2-40B4-BE49-F238E27FC236}">
              <a16:creationId xmlns:a16="http://schemas.microsoft.com/office/drawing/2014/main" id="{ED09DD11-30E3-7DBC-630E-48DC895E076E}"/>
            </a:ext>
          </a:extLst>
        </xdr:cNvPr>
        <xdr:cNvCxnSpPr/>
      </xdr:nvCxnSpPr>
      <xdr:spPr>
        <a:xfrm>
          <a:off x="6054591" y="6766888"/>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58</xdr:row>
      <xdr:rowOff>57975</xdr:rowOff>
    </xdr:from>
    <xdr:to>
      <xdr:col>33</xdr:col>
      <xdr:colOff>8287</xdr:colOff>
      <xdr:row>58</xdr:row>
      <xdr:rowOff>57975</xdr:rowOff>
    </xdr:to>
    <xdr:cxnSp macro="">
      <xdr:nvCxnSpPr>
        <xdr:cNvPr id="51" name="Conector recto 50">
          <a:extLst>
            <a:ext uri="{FF2B5EF4-FFF2-40B4-BE49-F238E27FC236}">
              <a16:creationId xmlns:a16="http://schemas.microsoft.com/office/drawing/2014/main" id="{10AC1D57-8FC5-9430-E8B6-51D97B953805}"/>
            </a:ext>
          </a:extLst>
        </xdr:cNvPr>
        <xdr:cNvCxnSpPr/>
      </xdr:nvCxnSpPr>
      <xdr:spPr>
        <a:xfrm>
          <a:off x="6054591" y="7346671"/>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64</xdr:row>
      <xdr:rowOff>8279</xdr:rowOff>
    </xdr:from>
    <xdr:to>
      <xdr:col>33</xdr:col>
      <xdr:colOff>8287</xdr:colOff>
      <xdr:row>64</xdr:row>
      <xdr:rowOff>8279</xdr:rowOff>
    </xdr:to>
    <xdr:cxnSp macro="">
      <xdr:nvCxnSpPr>
        <xdr:cNvPr id="52" name="Conector recto 51">
          <a:extLst>
            <a:ext uri="{FF2B5EF4-FFF2-40B4-BE49-F238E27FC236}">
              <a16:creationId xmlns:a16="http://schemas.microsoft.com/office/drawing/2014/main" id="{2B3A842D-032A-2C48-57BC-09E14F893EDF}"/>
            </a:ext>
          </a:extLst>
        </xdr:cNvPr>
        <xdr:cNvCxnSpPr/>
      </xdr:nvCxnSpPr>
      <xdr:spPr>
        <a:xfrm>
          <a:off x="6054591" y="7934736"/>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68</xdr:row>
      <xdr:rowOff>57975</xdr:rowOff>
    </xdr:from>
    <xdr:to>
      <xdr:col>33</xdr:col>
      <xdr:colOff>8287</xdr:colOff>
      <xdr:row>68</xdr:row>
      <xdr:rowOff>57975</xdr:rowOff>
    </xdr:to>
    <xdr:cxnSp macro="">
      <xdr:nvCxnSpPr>
        <xdr:cNvPr id="53" name="Conector recto 52">
          <a:extLst>
            <a:ext uri="{FF2B5EF4-FFF2-40B4-BE49-F238E27FC236}">
              <a16:creationId xmlns:a16="http://schemas.microsoft.com/office/drawing/2014/main" id="{66E64357-A642-B3F8-8583-9D1C8AB1E49B}"/>
            </a:ext>
          </a:extLst>
        </xdr:cNvPr>
        <xdr:cNvCxnSpPr/>
      </xdr:nvCxnSpPr>
      <xdr:spPr>
        <a:xfrm>
          <a:off x="6054591" y="8506236"/>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73</xdr:row>
      <xdr:rowOff>57975</xdr:rowOff>
    </xdr:from>
    <xdr:to>
      <xdr:col>33</xdr:col>
      <xdr:colOff>8287</xdr:colOff>
      <xdr:row>73</xdr:row>
      <xdr:rowOff>57975</xdr:rowOff>
    </xdr:to>
    <xdr:cxnSp macro="">
      <xdr:nvCxnSpPr>
        <xdr:cNvPr id="54" name="Conector recto 53">
          <a:extLst>
            <a:ext uri="{FF2B5EF4-FFF2-40B4-BE49-F238E27FC236}">
              <a16:creationId xmlns:a16="http://schemas.microsoft.com/office/drawing/2014/main" id="{3E27235D-CF29-4EBE-B6CB-A8CFF7A32E1F}"/>
            </a:ext>
          </a:extLst>
        </xdr:cNvPr>
        <xdr:cNvCxnSpPr/>
      </xdr:nvCxnSpPr>
      <xdr:spPr>
        <a:xfrm>
          <a:off x="6054591" y="9086018"/>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78</xdr:row>
      <xdr:rowOff>57975</xdr:rowOff>
    </xdr:from>
    <xdr:to>
      <xdr:col>33</xdr:col>
      <xdr:colOff>8287</xdr:colOff>
      <xdr:row>78</xdr:row>
      <xdr:rowOff>57975</xdr:rowOff>
    </xdr:to>
    <xdr:cxnSp macro="">
      <xdr:nvCxnSpPr>
        <xdr:cNvPr id="55" name="Conector recto 54">
          <a:extLst>
            <a:ext uri="{FF2B5EF4-FFF2-40B4-BE49-F238E27FC236}">
              <a16:creationId xmlns:a16="http://schemas.microsoft.com/office/drawing/2014/main" id="{AE17089C-283B-E58F-54CF-AA084EC1D501}"/>
            </a:ext>
          </a:extLst>
        </xdr:cNvPr>
        <xdr:cNvCxnSpPr/>
      </xdr:nvCxnSpPr>
      <xdr:spPr>
        <a:xfrm>
          <a:off x="6054591" y="9665801"/>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83</xdr:row>
      <xdr:rowOff>57975</xdr:rowOff>
    </xdr:from>
    <xdr:to>
      <xdr:col>33</xdr:col>
      <xdr:colOff>8287</xdr:colOff>
      <xdr:row>83</xdr:row>
      <xdr:rowOff>57975</xdr:rowOff>
    </xdr:to>
    <xdr:cxnSp macro="">
      <xdr:nvCxnSpPr>
        <xdr:cNvPr id="56" name="Conector recto 55">
          <a:extLst>
            <a:ext uri="{FF2B5EF4-FFF2-40B4-BE49-F238E27FC236}">
              <a16:creationId xmlns:a16="http://schemas.microsoft.com/office/drawing/2014/main" id="{73A34EFD-45A1-2571-2318-0EA5C8F28545}"/>
            </a:ext>
          </a:extLst>
        </xdr:cNvPr>
        <xdr:cNvCxnSpPr/>
      </xdr:nvCxnSpPr>
      <xdr:spPr>
        <a:xfrm>
          <a:off x="6054591" y="10245584"/>
          <a:ext cx="383484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11</xdr:row>
      <xdr:rowOff>19050</xdr:rowOff>
    </xdr:from>
    <xdr:to>
      <xdr:col>33</xdr:col>
      <xdr:colOff>9525</xdr:colOff>
      <xdr:row>11</xdr:row>
      <xdr:rowOff>190500</xdr:rowOff>
    </xdr:to>
    <xdr:sp macro="" textlink="">
      <xdr:nvSpPr>
        <xdr:cNvPr id="57" name="Rectángulo: esquinas redondeadas 56">
          <a:extLst>
            <a:ext uri="{FF2B5EF4-FFF2-40B4-BE49-F238E27FC236}">
              <a16:creationId xmlns:a16="http://schemas.microsoft.com/office/drawing/2014/main" id="{CDB7CA0E-29F0-0F24-82A9-638E3DDEF51C}"/>
            </a:ext>
          </a:extLst>
        </xdr:cNvPr>
        <xdr:cNvSpPr/>
      </xdr:nvSpPr>
      <xdr:spPr>
        <a:xfrm>
          <a:off x="5874297" y="1871498"/>
          <a:ext cx="3863866" cy="171450"/>
        </a:xfrm>
        <a:prstGeom prst="roundRect">
          <a:avLst>
            <a:gd name="adj" fmla="val 39656"/>
          </a:avLst>
        </a:prstGeom>
        <a:solidFill>
          <a:srgbClr val="D3D3D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00">
              <a:solidFill>
                <a:sysClr val="windowText" lastClr="000000"/>
              </a:solidFill>
              <a:latin typeface="Daytona" panose="020B0604030500040204" pitchFamily="34" charset="0"/>
            </a:rPr>
            <a:t>Interés</a:t>
          </a:r>
          <a:endParaRPr lang="es-BO" sz="1100">
            <a:solidFill>
              <a:sysClr val="windowText" lastClr="000000"/>
            </a:solidFill>
            <a:latin typeface="Daytona" panose="020B0604030500040204" pitchFamily="34" charset="0"/>
          </a:endParaRPr>
        </a:p>
      </xdr:txBody>
    </xdr:sp>
    <xdr:clientData/>
  </xdr:twoCellAnchor>
  <xdr:twoCellAnchor>
    <xdr:from>
      <xdr:col>18</xdr:col>
      <xdr:colOff>0</xdr:colOff>
      <xdr:row>12</xdr:row>
      <xdr:rowOff>19709</xdr:rowOff>
    </xdr:from>
    <xdr:to>
      <xdr:col>33</xdr:col>
      <xdr:colOff>0</xdr:colOff>
      <xdr:row>12</xdr:row>
      <xdr:rowOff>214313</xdr:rowOff>
    </xdr:to>
    <xdr:grpSp>
      <xdr:nvGrpSpPr>
        <xdr:cNvPr id="58" name="Grupo 57">
          <a:extLst>
            <a:ext uri="{FF2B5EF4-FFF2-40B4-BE49-F238E27FC236}">
              <a16:creationId xmlns:a16="http://schemas.microsoft.com/office/drawing/2014/main" id="{C1AEDA6E-F092-4F63-92DE-1213F6012143}"/>
            </a:ext>
          </a:extLst>
        </xdr:cNvPr>
        <xdr:cNvGrpSpPr/>
      </xdr:nvGrpSpPr>
      <xdr:grpSpPr>
        <a:xfrm>
          <a:off x="5044109" y="2040666"/>
          <a:ext cx="3826565" cy="194604"/>
          <a:chOff x="6095999" y="2149929"/>
          <a:chExt cx="3755572" cy="8477250"/>
        </a:xfrm>
      </xdr:grpSpPr>
      <xdr:grpSp>
        <xdr:nvGrpSpPr>
          <xdr:cNvPr id="59" name="Grupo 58">
            <a:extLst>
              <a:ext uri="{FF2B5EF4-FFF2-40B4-BE49-F238E27FC236}">
                <a16:creationId xmlns:a16="http://schemas.microsoft.com/office/drawing/2014/main" id="{38C31B72-563E-5862-7A05-5C5725E115F2}"/>
              </a:ext>
            </a:extLst>
          </xdr:cNvPr>
          <xdr:cNvGrpSpPr/>
        </xdr:nvGrpSpPr>
        <xdr:grpSpPr>
          <a:xfrm>
            <a:off x="6095999" y="2149929"/>
            <a:ext cx="3524251" cy="8477250"/>
            <a:chOff x="6095999" y="2149929"/>
            <a:chExt cx="3524251" cy="8477250"/>
          </a:xfrm>
        </xdr:grpSpPr>
        <xdr:sp macro="" textlink="">
          <xdr:nvSpPr>
            <xdr:cNvPr id="61" name="Rectángulo 60">
              <a:extLst>
                <a:ext uri="{FF2B5EF4-FFF2-40B4-BE49-F238E27FC236}">
                  <a16:creationId xmlns:a16="http://schemas.microsoft.com/office/drawing/2014/main" id="{FB97E376-47C8-0B54-5234-4DAF922884DE}"/>
                </a:ext>
              </a:extLst>
            </xdr:cNvPr>
            <xdr:cNvSpPr/>
          </xdr:nvSpPr>
          <xdr:spPr>
            <a:xfrm>
              <a:off x="6095999" y="2149929"/>
              <a:ext cx="231321" cy="8477250"/>
            </a:xfrm>
            <a:prstGeom prst="rect">
              <a:avLst/>
            </a:prstGeom>
            <a:solidFill>
              <a:srgbClr val="E1684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62" name="Rectángulo 61">
              <a:extLst>
                <a:ext uri="{FF2B5EF4-FFF2-40B4-BE49-F238E27FC236}">
                  <a16:creationId xmlns:a16="http://schemas.microsoft.com/office/drawing/2014/main" id="{C754ACB5-DDCE-0F7F-E416-4C8D964D910D}"/>
                </a:ext>
              </a:extLst>
            </xdr:cNvPr>
            <xdr:cNvSpPr/>
          </xdr:nvSpPr>
          <xdr:spPr>
            <a:xfrm>
              <a:off x="6327321" y="2149929"/>
              <a:ext cx="476250" cy="8477250"/>
            </a:xfrm>
            <a:prstGeom prst="rect">
              <a:avLst/>
            </a:prstGeom>
            <a:solidFill>
              <a:srgbClr val="F1D0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63" name="Rectángulo 62">
              <a:extLst>
                <a:ext uri="{FF2B5EF4-FFF2-40B4-BE49-F238E27FC236}">
                  <a16:creationId xmlns:a16="http://schemas.microsoft.com/office/drawing/2014/main" id="{310A4CEA-DBE2-DB9F-3C21-47A40CDD5BB9}"/>
                </a:ext>
              </a:extLst>
            </xdr:cNvPr>
            <xdr:cNvSpPr/>
          </xdr:nvSpPr>
          <xdr:spPr>
            <a:xfrm>
              <a:off x="6789963" y="2149929"/>
              <a:ext cx="489857" cy="8477250"/>
            </a:xfrm>
            <a:prstGeom prst="rect">
              <a:avLst/>
            </a:prstGeom>
            <a:solidFill>
              <a:srgbClr val="F4F1A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64" name="Rectángulo 63">
              <a:extLst>
                <a:ext uri="{FF2B5EF4-FFF2-40B4-BE49-F238E27FC236}">
                  <a16:creationId xmlns:a16="http://schemas.microsoft.com/office/drawing/2014/main" id="{601F6433-CCEB-5566-86FD-DD900872BCDF}"/>
                </a:ext>
              </a:extLst>
            </xdr:cNvPr>
            <xdr:cNvSpPr/>
          </xdr:nvSpPr>
          <xdr:spPr>
            <a:xfrm>
              <a:off x="7279820" y="2149929"/>
              <a:ext cx="1387930" cy="8477250"/>
            </a:xfrm>
            <a:prstGeom prst="rect">
              <a:avLst/>
            </a:prstGeom>
            <a:solidFill>
              <a:srgbClr val="DCE38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65" name="Rectángulo 64">
              <a:extLst>
                <a:ext uri="{FF2B5EF4-FFF2-40B4-BE49-F238E27FC236}">
                  <a16:creationId xmlns:a16="http://schemas.microsoft.com/office/drawing/2014/main" id="{2A8B48DA-1DF3-9181-BC5D-CE316C236B7B}"/>
                </a:ext>
              </a:extLst>
            </xdr:cNvPr>
            <xdr:cNvSpPr/>
          </xdr:nvSpPr>
          <xdr:spPr>
            <a:xfrm>
              <a:off x="8667749" y="2149929"/>
              <a:ext cx="503465" cy="8477250"/>
            </a:xfrm>
            <a:prstGeom prst="rect">
              <a:avLst/>
            </a:prstGeom>
            <a:solidFill>
              <a:srgbClr val="B4CD5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66" name="Rectángulo 65">
              <a:extLst>
                <a:ext uri="{FF2B5EF4-FFF2-40B4-BE49-F238E27FC236}">
                  <a16:creationId xmlns:a16="http://schemas.microsoft.com/office/drawing/2014/main" id="{81E40979-A784-8457-4BF2-EC282B2F1D77}"/>
                </a:ext>
              </a:extLst>
            </xdr:cNvPr>
            <xdr:cNvSpPr/>
          </xdr:nvSpPr>
          <xdr:spPr>
            <a:xfrm>
              <a:off x="9157607" y="2149929"/>
              <a:ext cx="462643" cy="8477250"/>
            </a:xfrm>
            <a:prstGeom prst="rect">
              <a:avLst/>
            </a:prstGeom>
            <a:solidFill>
              <a:srgbClr val="81A74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60" name="Rectángulo 59">
            <a:extLst>
              <a:ext uri="{FF2B5EF4-FFF2-40B4-BE49-F238E27FC236}">
                <a16:creationId xmlns:a16="http://schemas.microsoft.com/office/drawing/2014/main" id="{620E4EB8-A792-EA01-2FA2-18CB8F925449}"/>
              </a:ext>
            </a:extLst>
          </xdr:cNvPr>
          <xdr:cNvSpPr/>
        </xdr:nvSpPr>
        <xdr:spPr>
          <a:xfrm>
            <a:off x="9593036" y="2149929"/>
            <a:ext cx="258535" cy="8477250"/>
          </a:xfrm>
          <a:prstGeom prst="rect">
            <a:avLst/>
          </a:prstGeom>
          <a:solidFill>
            <a:srgbClr val="5E76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18</xdr:col>
      <xdr:colOff>0</xdr:colOff>
      <xdr:row>12</xdr:row>
      <xdr:rowOff>17860</xdr:rowOff>
    </xdr:from>
    <xdr:to>
      <xdr:col>18</xdr:col>
      <xdr:colOff>162028</xdr:colOff>
      <xdr:row>12</xdr:row>
      <xdr:rowOff>214313</xdr:rowOff>
    </xdr:to>
    <xdr:sp macro="" textlink="">
      <xdr:nvSpPr>
        <xdr:cNvPr id="68" name="Rectángulo: esquinas redondeadas 67">
          <a:extLst>
            <a:ext uri="{FF2B5EF4-FFF2-40B4-BE49-F238E27FC236}">
              <a16:creationId xmlns:a16="http://schemas.microsoft.com/office/drawing/2014/main" id="{EBAB2C38-D809-5341-3D08-0AD8630864E7}"/>
            </a:ext>
          </a:extLst>
        </xdr:cNvPr>
        <xdr:cNvSpPr/>
      </xdr:nvSpPr>
      <xdr:spPr>
        <a:xfrm>
          <a:off x="5863827" y="2131219"/>
          <a:ext cx="179889" cy="196453"/>
        </a:xfrm>
        <a:prstGeom prst="roundRect">
          <a:avLst>
            <a:gd name="adj" fmla="val 18771"/>
          </a:avLst>
        </a:prstGeom>
        <a:solidFill>
          <a:srgbClr val="E1684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32</xdr:col>
      <xdr:colOff>93453</xdr:colOff>
      <xdr:row>12</xdr:row>
      <xdr:rowOff>17860</xdr:rowOff>
    </xdr:from>
    <xdr:to>
      <xdr:col>33</xdr:col>
      <xdr:colOff>29766</xdr:colOff>
      <xdr:row>12</xdr:row>
      <xdr:rowOff>214313</xdr:rowOff>
    </xdr:to>
    <xdr:sp macro="" textlink="">
      <xdr:nvSpPr>
        <xdr:cNvPr id="69" name="Rectángulo: esquinas redondeadas 68">
          <a:extLst>
            <a:ext uri="{FF2B5EF4-FFF2-40B4-BE49-F238E27FC236}">
              <a16:creationId xmlns:a16="http://schemas.microsoft.com/office/drawing/2014/main" id="{9BDC2282-8C14-41C3-9BDB-D48E88A7F4DE}"/>
            </a:ext>
          </a:extLst>
        </xdr:cNvPr>
        <xdr:cNvSpPr/>
      </xdr:nvSpPr>
      <xdr:spPr>
        <a:xfrm>
          <a:off x="9570828" y="2131219"/>
          <a:ext cx="186344" cy="196453"/>
        </a:xfrm>
        <a:prstGeom prst="roundRect">
          <a:avLst>
            <a:gd name="adj" fmla="val 18771"/>
          </a:avLst>
        </a:prstGeom>
        <a:solidFill>
          <a:srgbClr val="5E76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17</xdr:col>
      <xdr:colOff>125016</xdr:colOff>
      <xdr:row>11</xdr:row>
      <xdr:rowOff>196452</xdr:rowOff>
    </xdr:from>
    <xdr:to>
      <xdr:col>19</xdr:col>
      <xdr:colOff>77392</xdr:colOff>
      <xdr:row>13</xdr:row>
      <xdr:rowOff>101202</xdr:rowOff>
    </xdr:to>
    <xdr:sp macro="" textlink="">
      <xdr:nvSpPr>
        <xdr:cNvPr id="70" name="CuadroTexto 69">
          <a:extLst>
            <a:ext uri="{FF2B5EF4-FFF2-40B4-BE49-F238E27FC236}">
              <a16:creationId xmlns:a16="http://schemas.microsoft.com/office/drawing/2014/main" id="{BE40B89C-9A04-752C-EFE3-8754B4FEA1FF}"/>
            </a:ext>
          </a:extLst>
        </xdr:cNvPr>
        <xdr:cNvSpPr txBox="1"/>
      </xdr:nvSpPr>
      <xdr:spPr>
        <a:xfrm>
          <a:off x="5191125" y="1988343"/>
          <a:ext cx="381001" cy="363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600">
              <a:latin typeface="Daytona" panose="020B0604030500040204" pitchFamily="34" charset="0"/>
            </a:rPr>
            <a:t>Muy bajo</a:t>
          </a:r>
        </a:p>
      </xdr:txBody>
    </xdr:sp>
    <xdr:clientData/>
  </xdr:twoCellAnchor>
  <xdr:twoCellAnchor>
    <xdr:from>
      <xdr:col>19</xdr:col>
      <xdr:colOff>23812</xdr:colOff>
      <xdr:row>12</xdr:row>
      <xdr:rowOff>11905</xdr:rowOff>
    </xdr:from>
    <xdr:to>
      <xdr:col>20</xdr:col>
      <xdr:colOff>101204</xdr:colOff>
      <xdr:row>13</xdr:row>
      <xdr:rowOff>0</xdr:rowOff>
    </xdr:to>
    <xdr:sp macro="" textlink="">
      <xdr:nvSpPr>
        <xdr:cNvPr id="71" name="CuadroTexto 70">
          <a:extLst>
            <a:ext uri="{FF2B5EF4-FFF2-40B4-BE49-F238E27FC236}">
              <a16:creationId xmlns:a16="http://schemas.microsoft.com/office/drawing/2014/main" id="{2A166D10-4BE8-E39D-66BD-BEE7034397F9}"/>
            </a:ext>
          </a:extLst>
        </xdr:cNvPr>
        <xdr:cNvSpPr txBox="1"/>
      </xdr:nvSpPr>
      <xdr:spPr>
        <a:xfrm>
          <a:off x="6155531" y="2125264"/>
          <a:ext cx="351236" cy="208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600">
              <a:latin typeface="Daytona" panose="020B0604030500040204" pitchFamily="34" charset="0"/>
            </a:rPr>
            <a:t>Bajo</a:t>
          </a:r>
        </a:p>
      </xdr:txBody>
    </xdr:sp>
    <xdr:clientData/>
  </xdr:twoCellAnchor>
  <xdr:twoCellAnchor>
    <xdr:from>
      <xdr:col>20</xdr:col>
      <xdr:colOff>136921</xdr:colOff>
      <xdr:row>12</xdr:row>
      <xdr:rowOff>17858</xdr:rowOff>
    </xdr:from>
    <xdr:to>
      <xdr:col>23</xdr:col>
      <xdr:colOff>77391</xdr:colOff>
      <xdr:row>13</xdr:row>
      <xdr:rowOff>5953</xdr:rowOff>
    </xdr:to>
    <xdr:sp macro="" textlink="">
      <xdr:nvSpPr>
        <xdr:cNvPr id="72" name="CuadroTexto 71">
          <a:extLst>
            <a:ext uri="{FF2B5EF4-FFF2-40B4-BE49-F238E27FC236}">
              <a16:creationId xmlns:a16="http://schemas.microsoft.com/office/drawing/2014/main" id="{95A5E94F-45B7-1EAA-F858-D96D8B599949}"/>
            </a:ext>
          </a:extLst>
        </xdr:cNvPr>
        <xdr:cNvSpPr txBox="1"/>
      </xdr:nvSpPr>
      <xdr:spPr>
        <a:xfrm>
          <a:off x="6542484" y="2131217"/>
          <a:ext cx="690563" cy="208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600">
              <a:latin typeface="Daytona" panose="020B0604030500040204" pitchFamily="34" charset="0"/>
            </a:rPr>
            <a:t>Medio bajo</a:t>
          </a:r>
        </a:p>
      </xdr:txBody>
    </xdr:sp>
    <xdr:clientData/>
  </xdr:twoCellAnchor>
  <xdr:twoCellAnchor>
    <xdr:from>
      <xdr:col>24</xdr:col>
      <xdr:colOff>29765</xdr:colOff>
      <xdr:row>12</xdr:row>
      <xdr:rowOff>17858</xdr:rowOff>
    </xdr:from>
    <xdr:to>
      <xdr:col>26</xdr:col>
      <xdr:colOff>220265</xdr:colOff>
      <xdr:row>13</xdr:row>
      <xdr:rowOff>5953</xdr:rowOff>
    </xdr:to>
    <xdr:sp macro="" textlink="">
      <xdr:nvSpPr>
        <xdr:cNvPr id="73" name="CuadroTexto 72">
          <a:extLst>
            <a:ext uri="{FF2B5EF4-FFF2-40B4-BE49-F238E27FC236}">
              <a16:creationId xmlns:a16="http://schemas.microsoft.com/office/drawing/2014/main" id="{1FF692AC-99B2-A52D-66C8-B2E16B7E5231}"/>
            </a:ext>
          </a:extLst>
        </xdr:cNvPr>
        <xdr:cNvSpPr txBox="1"/>
      </xdr:nvSpPr>
      <xdr:spPr>
        <a:xfrm>
          <a:off x="7506890" y="2131217"/>
          <a:ext cx="690563" cy="208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600">
              <a:latin typeface="Daytona" panose="020B0604030500040204" pitchFamily="34" charset="0"/>
            </a:rPr>
            <a:t>Medio</a:t>
          </a:r>
        </a:p>
      </xdr:txBody>
    </xdr:sp>
    <xdr:clientData/>
  </xdr:twoCellAnchor>
  <xdr:twoCellAnchor>
    <xdr:from>
      <xdr:col>28</xdr:col>
      <xdr:colOff>35718</xdr:colOff>
      <xdr:row>12</xdr:row>
      <xdr:rowOff>17858</xdr:rowOff>
    </xdr:from>
    <xdr:to>
      <xdr:col>30</xdr:col>
      <xdr:colOff>226218</xdr:colOff>
      <xdr:row>13</xdr:row>
      <xdr:rowOff>5953</xdr:rowOff>
    </xdr:to>
    <xdr:sp macro="" textlink="">
      <xdr:nvSpPr>
        <xdr:cNvPr id="74" name="CuadroTexto 73">
          <a:extLst>
            <a:ext uri="{FF2B5EF4-FFF2-40B4-BE49-F238E27FC236}">
              <a16:creationId xmlns:a16="http://schemas.microsoft.com/office/drawing/2014/main" id="{A5AB83C1-D85F-0C4D-E21F-ABF334CBA669}"/>
            </a:ext>
          </a:extLst>
        </xdr:cNvPr>
        <xdr:cNvSpPr txBox="1"/>
      </xdr:nvSpPr>
      <xdr:spPr>
        <a:xfrm>
          <a:off x="8512968" y="2131217"/>
          <a:ext cx="690563" cy="208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600">
              <a:latin typeface="Daytona" panose="020B0604030500040204" pitchFamily="34" charset="0"/>
            </a:rPr>
            <a:t>Medio alto</a:t>
          </a:r>
        </a:p>
      </xdr:txBody>
    </xdr:sp>
    <xdr:clientData/>
  </xdr:twoCellAnchor>
  <xdr:twoCellAnchor>
    <xdr:from>
      <xdr:col>30</xdr:col>
      <xdr:colOff>89296</xdr:colOff>
      <xdr:row>12</xdr:row>
      <xdr:rowOff>17858</xdr:rowOff>
    </xdr:from>
    <xdr:to>
      <xdr:col>32</xdr:col>
      <xdr:colOff>89298</xdr:colOff>
      <xdr:row>13</xdr:row>
      <xdr:rowOff>5953</xdr:rowOff>
    </xdr:to>
    <xdr:sp macro="" textlink="">
      <xdr:nvSpPr>
        <xdr:cNvPr id="75" name="CuadroTexto 74">
          <a:extLst>
            <a:ext uri="{FF2B5EF4-FFF2-40B4-BE49-F238E27FC236}">
              <a16:creationId xmlns:a16="http://schemas.microsoft.com/office/drawing/2014/main" id="{B64C178D-A7CB-6016-F9E5-12EA1B9E9472}"/>
            </a:ext>
          </a:extLst>
        </xdr:cNvPr>
        <xdr:cNvSpPr txBox="1"/>
      </xdr:nvSpPr>
      <xdr:spPr>
        <a:xfrm>
          <a:off x="9066609" y="2131217"/>
          <a:ext cx="500064" cy="208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600">
              <a:latin typeface="Daytona" panose="020B0604030500040204" pitchFamily="34" charset="0"/>
            </a:rPr>
            <a:t>Alto</a:t>
          </a:r>
        </a:p>
      </xdr:txBody>
    </xdr:sp>
    <xdr:clientData/>
  </xdr:twoCellAnchor>
  <xdr:twoCellAnchor>
    <xdr:from>
      <xdr:col>31</xdr:col>
      <xdr:colOff>220266</xdr:colOff>
      <xdr:row>11</xdr:row>
      <xdr:rowOff>196452</xdr:rowOff>
    </xdr:from>
    <xdr:to>
      <xdr:col>33</xdr:col>
      <xdr:colOff>65486</xdr:colOff>
      <xdr:row>13</xdr:row>
      <xdr:rowOff>71438</xdr:rowOff>
    </xdr:to>
    <xdr:sp macro="" textlink="">
      <xdr:nvSpPr>
        <xdr:cNvPr id="76" name="CuadroTexto 75">
          <a:extLst>
            <a:ext uri="{FF2B5EF4-FFF2-40B4-BE49-F238E27FC236}">
              <a16:creationId xmlns:a16="http://schemas.microsoft.com/office/drawing/2014/main" id="{04102E4C-62C6-081F-5947-6A3A8689C515}"/>
            </a:ext>
          </a:extLst>
        </xdr:cNvPr>
        <xdr:cNvSpPr txBox="1"/>
      </xdr:nvSpPr>
      <xdr:spPr>
        <a:xfrm>
          <a:off x="9447610" y="2071686"/>
          <a:ext cx="345282" cy="333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600">
              <a:latin typeface="Daytona" panose="020B0604030500040204" pitchFamily="34" charset="0"/>
            </a:rPr>
            <a:t>Muy </a:t>
          </a:r>
        </a:p>
        <a:p>
          <a:r>
            <a:rPr lang="es-BO" sz="600">
              <a:latin typeface="Daytona" panose="020B0604030500040204" pitchFamily="34" charset="0"/>
            </a:rPr>
            <a:t>Alto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1DDD2C6-B06F-4749-A5BD-DAEF73F80478}">
  <we:reference id="wa200004580" version="1.0.0.0" store="es-ES" storeType="OMEX"/>
  <we:alternateReferences>
    <we:reference id="WA200004580" version="1.0.0.0" store=""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97FCEA97-A936-4609-BE00-6C502478CA64}">
  <we:reference id="wa200009404" version="1.0.0.5" store="es-ES" storeType="OMEX"/>
  <we:alternateReferences>
    <we:reference id="WA200009404" version="1.0.0.5" store="" storeType="OMEX"/>
  </we:alternateReferences>
  <we:properties>
    <we:property name="Office.AutoShowTaskpaneWithDocument" value="true"/>
    <we:property name="claude.fileId" value="&quot;8d6eba6e-339b-44d2-9509-2f714d48393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9DB73-3D0B-4206-850E-793DC6464436}">
  <sheetPr codeName="Hoja1">
    <tabColor rgb="FF7CA6E4"/>
  </sheetPr>
  <dimension ref="A1:AA222"/>
  <sheetViews>
    <sheetView showGridLines="0" tabSelected="1" zoomScaleNormal="100" workbookViewId="0">
      <selection activeCell="Y221" sqref="Y221"/>
    </sheetView>
  </sheetViews>
  <sheetFormatPr baseColWidth="10" defaultColWidth="11.42578125" defaultRowHeight="21" customHeight="1" x14ac:dyDescent="0.35"/>
  <cols>
    <col min="1" max="2" width="6" style="5" customWidth="1"/>
    <col min="3" max="3" width="5.28515625" style="10" customWidth="1"/>
    <col min="4" max="15" width="6.7109375" style="10" customWidth="1"/>
    <col min="16" max="16" width="1.85546875" style="11" customWidth="1"/>
    <col min="17" max="17" width="4.42578125" style="9" customWidth="1"/>
    <col min="18" max="20" width="4.42578125" style="5" customWidth="1"/>
    <col min="21" max="21" width="5.28515625" style="5" customWidth="1"/>
    <col min="22" max="24" width="5.140625" style="5" customWidth="1"/>
    <col min="25" max="25" width="35" style="5" customWidth="1"/>
    <col min="26" max="26" width="10.5703125" style="5" customWidth="1"/>
    <col min="27" max="16384" width="11.42578125" style="5"/>
  </cols>
  <sheetData>
    <row r="1" spans="3:25" ht="27" customHeight="1" x14ac:dyDescent="0.35"/>
    <row r="2" spans="3:25" ht="27" customHeight="1" x14ac:dyDescent="0.35"/>
    <row r="3" spans="3:25" ht="27" customHeight="1" x14ac:dyDescent="0.35"/>
    <row r="7" spans="3:25" ht="21" customHeight="1" x14ac:dyDescent="0.35">
      <c r="C7" s="100" t="s">
        <v>267</v>
      </c>
      <c r="D7" s="100"/>
      <c r="E7" s="100"/>
      <c r="F7" s="100"/>
      <c r="G7" s="100"/>
      <c r="H7" s="100"/>
      <c r="I7" s="100"/>
      <c r="J7" s="100"/>
      <c r="K7" s="100"/>
      <c r="L7" s="100"/>
      <c r="M7" s="100"/>
      <c r="N7" s="100"/>
      <c r="O7" s="100"/>
      <c r="P7" s="100"/>
      <c r="Q7" s="100"/>
      <c r="R7" s="100"/>
      <c r="S7" s="100"/>
      <c r="T7" s="100"/>
    </row>
    <row r="8" spans="3:25" ht="21" customHeight="1" x14ac:dyDescent="0.35">
      <c r="C8" s="100"/>
      <c r="D8" s="100"/>
      <c r="E8" s="100"/>
      <c r="F8" s="100"/>
      <c r="G8" s="100"/>
      <c r="H8" s="100"/>
      <c r="I8" s="100"/>
      <c r="J8" s="100"/>
      <c r="K8" s="100"/>
      <c r="L8" s="100"/>
      <c r="M8" s="100"/>
      <c r="N8" s="100"/>
      <c r="O8" s="100"/>
      <c r="P8" s="100"/>
      <c r="Q8" s="100"/>
      <c r="R8" s="100"/>
      <c r="S8" s="100"/>
      <c r="T8" s="100"/>
    </row>
    <row r="9" spans="3:25" ht="21" customHeight="1" x14ac:dyDescent="0.35">
      <c r="C9" s="100"/>
      <c r="D9" s="100"/>
      <c r="E9" s="100"/>
      <c r="F9" s="100"/>
      <c r="G9" s="100"/>
      <c r="H9" s="100"/>
      <c r="I9" s="100"/>
      <c r="J9" s="100"/>
      <c r="K9" s="100"/>
      <c r="L9" s="100"/>
      <c r="M9" s="100"/>
      <c r="N9" s="100"/>
      <c r="O9" s="100"/>
      <c r="P9" s="100"/>
      <c r="Q9" s="100"/>
      <c r="R9" s="100"/>
      <c r="S9" s="100"/>
      <c r="T9" s="100"/>
    </row>
    <row r="10" spans="3:25" ht="21" customHeight="1" x14ac:dyDescent="0.35">
      <c r="C10" s="100"/>
      <c r="D10" s="100"/>
      <c r="E10" s="100"/>
      <c r="F10" s="100"/>
      <c r="G10" s="100"/>
      <c r="H10" s="100"/>
      <c r="I10" s="100"/>
      <c r="J10" s="100"/>
      <c r="K10" s="100"/>
      <c r="L10" s="100"/>
      <c r="M10" s="100"/>
      <c r="N10" s="100"/>
      <c r="O10" s="100"/>
      <c r="P10" s="100"/>
      <c r="Q10" s="100"/>
      <c r="R10" s="100"/>
      <c r="S10" s="100"/>
      <c r="T10" s="100"/>
    </row>
    <row r="11" spans="3:25" ht="21" customHeight="1" x14ac:dyDescent="0.35">
      <c r="C11" s="100"/>
      <c r="D11" s="100"/>
      <c r="E11" s="100"/>
      <c r="F11" s="100"/>
      <c r="G11" s="100"/>
      <c r="H11" s="100"/>
      <c r="I11" s="100"/>
      <c r="J11" s="100"/>
      <c r="K11" s="100"/>
      <c r="L11" s="100"/>
      <c r="M11" s="100"/>
      <c r="N11" s="100"/>
      <c r="O11" s="100"/>
      <c r="P11" s="100"/>
      <c r="Q11" s="100"/>
      <c r="R11" s="100"/>
      <c r="S11" s="100"/>
      <c r="T11" s="100"/>
    </row>
    <row r="12" spans="3:25" ht="21" customHeight="1" x14ac:dyDescent="0.35">
      <c r="C12" s="100"/>
      <c r="D12" s="100"/>
      <c r="E12" s="100"/>
      <c r="F12" s="100"/>
      <c r="G12" s="100"/>
      <c r="H12" s="100"/>
      <c r="I12" s="100"/>
      <c r="J12" s="100"/>
      <c r="K12" s="100"/>
      <c r="L12" s="100"/>
      <c r="M12" s="100"/>
      <c r="N12" s="100"/>
      <c r="O12" s="100"/>
      <c r="P12" s="100"/>
      <c r="Q12" s="100"/>
      <c r="R12" s="100"/>
      <c r="S12" s="100"/>
      <c r="T12" s="100"/>
    </row>
    <row r="13" spans="3:25" ht="21" customHeight="1" x14ac:dyDescent="0.35">
      <c r="C13" s="100"/>
      <c r="D13" s="100"/>
      <c r="E13" s="100"/>
      <c r="F13" s="100"/>
      <c r="G13" s="100"/>
      <c r="H13" s="100"/>
      <c r="I13" s="100"/>
      <c r="J13" s="100"/>
      <c r="K13" s="100"/>
      <c r="L13" s="100"/>
      <c r="M13" s="100"/>
      <c r="N13" s="100"/>
      <c r="O13" s="100"/>
      <c r="P13" s="100"/>
      <c r="Q13" s="100"/>
      <c r="R13" s="100"/>
      <c r="S13" s="100"/>
      <c r="T13" s="100"/>
      <c r="Y13" s="23"/>
    </row>
    <row r="14" spans="3:25" ht="21" customHeight="1" x14ac:dyDescent="0.35">
      <c r="C14" s="100"/>
      <c r="D14" s="100"/>
      <c r="E14" s="100"/>
      <c r="F14" s="100"/>
      <c r="G14" s="100"/>
      <c r="H14" s="100"/>
      <c r="I14" s="100"/>
      <c r="J14" s="100"/>
      <c r="K14" s="100"/>
      <c r="L14" s="100"/>
      <c r="M14" s="100"/>
      <c r="N14" s="100"/>
      <c r="O14" s="100"/>
      <c r="P14" s="100"/>
      <c r="Q14" s="100"/>
      <c r="R14" s="100"/>
      <c r="S14" s="100"/>
      <c r="T14" s="100"/>
    </row>
    <row r="15" spans="3:25" ht="24" customHeight="1" x14ac:dyDescent="0.35">
      <c r="C15" s="100"/>
      <c r="D15" s="100"/>
      <c r="E15" s="100"/>
      <c r="F15" s="100"/>
      <c r="G15" s="100"/>
      <c r="H15" s="100"/>
      <c r="I15" s="100"/>
      <c r="J15" s="100"/>
      <c r="K15" s="100"/>
      <c r="L15" s="100"/>
      <c r="M15" s="100"/>
      <c r="N15" s="100"/>
      <c r="O15" s="100"/>
      <c r="P15" s="100"/>
      <c r="Q15" s="100"/>
      <c r="R15" s="100"/>
      <c r="S15" s="100"/>
      <c r="T15" s="100"/>
    </row>
    <row r="16" spans="3:25" ht="21" customHeight="1" x14ac:dyDescent="0.35">
      <c r="C16" s="100"/>
      <c r="D16" s="100"/>
      <c r="E16" s="100"/>
      <c r="F16" s="100"/>
      <c r="G16" s="100"/>
      <c r="H16" s="100"/>
      <c r="I16" s="100"/>
      <c r="J16" s="100"/>
      <c r="K16" s="100"/>
      <c r="L16" s="100"/>
      <c r="M16" s="100"/>
      <c r="N16" s="100"/>
      <c r="O16" s="100"/>
      <c r="P16" s="100"/>
      <c r="Q16" s="100"/>
      <c r="R16" s="100"/>
      <c r="S16" s="100"/>
      <c r="T16" s="100"/>
    </row>
    <row r="17" spans="3:21" ht="21" customHeight="1" x14ac:dyDescent="0.35">
      <c r="C17" s="100"/>
      <c r="D17" s="100"/>
      <c r="E17" s="100"/>
      <c r="F17" s="100"/>
      <c r="G17" s="100"/>
      <c r="H17" s="100"/>
      <c r="I17" s="100"/>
      <c r="J17" s="100"/>
      <c r="K17" s="100"/>
      <c r="L17" s="100"/>
      <c r="M17" s="100"/>
      <c r="N17" s="100"/>
      <c r="O17" s="100"/>
      <c r="P17" s="100"/>
      <c r="Q17" s="100"/>
      <c r="R17" s="100"/>
      <c r="S17" s="100"/>
      <c r="T17" s="100"/>
    </row>
    <row r="18" spans="3:21" ht="21" customHeight="1" x14ac:dyDescent="0.35">
      <c r="C18" s="100"/>
      <c r="D18" s="100"/>
      <c r="E18" s="100"/>
      <c r="F18" s="100"/>
      <c r="G18" s="100"/>
      <c r="H18" s="100"/>
      <c r="I18" s="100"/>
      <c r="J18" s="100"/>
      <c r="K18" s="100"/>
      <c r="L18" s="100"/>
      <c r="M18" s="100"/>
      <c r="N18" s="100"/>
      <c r="O18" s="100"/>
      <c r="P18" s="100"/>
      <c r="Q18" s="100"/>
      <c r="R18" s="100"/>
      <c r="S18" s="100"/>
      <c r="T18" s="100"/>
    </row>
    <row r="19" spans="3:21" ht="21" customHeight="1" x14ac:dyDescent="0.35">
      <c r="C19" s="100"/>
      <c r="D19" s="100"/>
      <c r="E19" s="100"/>
      <c r="F19" s="100"/>
      <c r="G19" s="100"/>
      <c r="H19" s="100"/>
      <c r="I19" s="100"/>
      <c r="J19" s="100"/>
      <c r="K19" s="100"/>
      <c r="L19" s="100"/>
      <c r="M19" s="100"/>
      <c r="N19" s="100"/>
      <c r="O19" s="100"/>
      <c r="P19" s="100"/>
      <c r="Q19" s="100"/>
      <c r="R19" s="100"/>
      <c r="S19" s="100"/>
      <c r="T19" s="100"/>
    </row>
    <row r="20" spans="3:21" ht="21" customHeight="1" x14ac:dyDescent="0.35">
      <c r="C20" s="100"/>
      <c r="D20" s="100"/>
      <c r="E20" s="100"/>
      <c r="F20" s="100"/>
      <c r="G20" s="100"/>
      <c r="H20" s="100"/>
      <c r="I20" s="100"/>
      <c r="J20" s="100"/>
      <c r="K20" s="100"/>
      <c r="L20" s="100"/>
      <c r="M20" s="100"/>
      <c r="N20" s="100"/>
      <c r="O20" s="100"/>
      <c r="P20" s="100"/>
      <c r="Q20" s="100"/>
      <c r="R20" s="100"/>
      <c r="S20" s="100"/>
      <c r="T20" s="100"/>
    </row>
    <row r="21" spans="3:21" ht="21" customHeight="1" x14ac:dyDescent="0.35">
      <c r="C21" s="100"/>
      <c r="D21" s="100"/>
      <c r="E21" s="100"/>
      <c r="F21" s="100"/>
      <c r="G21" s="100"/>
      <c r="H21" s="100"/>
      <c r="I21" s="100"/>
      <c r="J21" s="100"/>
      <c r="K21" s="100"/>
      <c r="L21" s="100"/>
      <c r="M21" s="100"/>
      <c r="N21" s="100"/>
      <c r="O21" s="100"/>
      <c r="P21" s="100"/>
      <c r="Q21" s="100"/>
      <c r="R21" s="100"/>
      <c r="S21" s="100"/>
      <c r="T21" s="100"/>
    </row>
    <row r="22" spans="3:21" ht="21" customHeight="1" x14ac:dyDescent="0.35">
      <c r="C22" s="100"/>
      <c r="D22" s="100"/>
      <c r="E22" s="100"/>
      <c r="F22" s="100"/>
      <c r="G22" s="100"/>
      <c r="H22" s="100"/>
      <c r="I22" s="100"/>
      <c r="J22" s="100"/>
      <c r="K22" s="100"/>
      <c r="L22" s="100"/>
      <c r="M22" s="100"/>
      <c r="N22" s="100"/>
      <c r="O22" s="100"/>
      <c r="P22" s="100"/>
      <c r="Q22" s="100"/>
      <c r="R22" s="100"/>
      <c r="S22" s="100"/>
      <c r="T22" s="100"/>
    </row>
    <row r="24" spans="3:21" ht="16.5" customHeight="1" x14ac:dyDescent="0.35">
      <c r="K24" s="24"/>
    </row>
    <row r="25" spans="3:21" ht="7.5" customHeight="1" x14ac:dyDescent="0.35">
      <c r="K25" s="24"/>
    </row>
    <row r="26" spans="3:21" ht="19.5" customHeight="1" x14ac:dyDescent="0.35">
      <c r="C26" s="105"/>
      <c r="D26" s="105"/>
      <c r="E26" s="106"/>
      <c r="F26" s="106"/>
      <c r="G26" s="106"/>
      <c r="H26" s="106"/>
      <c r="I26" s="106"/>
      <c r="J26" s="106"/>
      <c r="K26" s="106"/>
      <c r="L26" s="106"/>
      <c r="M26" s="106"/>
      <c r="N26" s="106"/>
      <c r="O26" s="106"/>
      <c r="P26" s="106"/>
      <c r="Q26" s="106"/>
      <c r="R26" s="106"/>
      <c r="S26" s="106"/>
      <c r="T26" s="106"/>
      <c r="U26" s="25"/>
    </row>
    <row r="27" spans="3:21" ht="8.25" customHeight="1" x14ac:dyDescent="0.35">
      <c r="C27" s="26"/>
      <c r="D27" s="26"/>
      <c r="E27" s="25"/>
      <c r="F27" s="25"/>
      <c r="G27" s="25"/>
      <c r="H27" s="25"/>
      <c r="I27" s="25"/>
      <c r="J27" s="25"/>
      <c r="K27" s="25"/>
      <c r="L27" s="25"/>
      <c r="M27" s="25"/>
      <c r="N27" s="25"/>
      <c r="O27" s="25"/>
      <c r="P27" s="25"/>
      <c r="Q27" s="25"/>
      <c r="R27" s="25"/>
      <c r="S27" s="25"/>
      <c r="T27" s="25"/>
      <c r="U27" s="25"/>
    </row>
    <row r="28" spans="3:21" ht="8.25" customHeight="1" x14ac:dyDescent="0.35">
      <c r="C28" s="27"/>
      <c r="D28" s="27"/>
      <c r="K28" s="24"/>
    </row>
    <row r="29" spans="3:21" ht="16.5" customHeight="1" x14ac:dyDescent="0.35">
      <c r="C29" s="28" t="s">
        <v>297</v>
      </c>
      <c r="E29" s="106"/>
      <c r="F29" s="106"/>
      <c r="G29" s="106"/>
      <c r="H29" s="106"/>
      <c r="I29" s="106"/>
      <c r="J29" s="106"/>
      <c r="K29" s="106"/>
      <c r="L29" s="106"/>
      <c r="M29" s="106"/>
      <c r="N29" s="106"/>
      <c r="O29" s="106"/>
      <c r="P29" s="106"/>
      <c r="Q29" s="106"/>
      <c r="R29" s="106"/>
      <c r="S29" s="106"/>
      <c r="T29" s="106"/>
    </row>
    <row r="30" spans="3:21" ht="6" customHeight="1" x14ac:dyDescent="0.35">
      <c r="C30" s="28"/>
      <c r="K30" s="24"/>
    </row>
    <row r="31" spans="3:21" ht="13.5" customHeight="1" x14ac:dyDescent="0.35">
      <c r="C31" s="28"/>
      <c r="K31" s="24"/>
    </row>
    <row r="32" spans="3:21" ht="16.5" customHeight="1" x14ac:dyDescent="0.35">
      <c r="C32" s="38" t="s">
        <v>298</v>
      </c>
      <c r="F32" s="106"/>
      <c r="G32" s="106"/>
      <c r="H32" s="25"/>
      <c r="I32" s="39" t="s">
        <v>264</v>
      </c>
      <c r="J32" s="109"/>
      <c r="K32" s="109"/>
      <c r="L32" s="25"/>
      <c r="M32" s="39" t="s">
        <v>299</v>
      </c>
      <c r="N32" s="106"/>
      <c r="O32" s="106"/>
      <c r="P32" s="106"/>
      <c r="Q32" s="106"/>
      <c r="R32" s="106"/>
      <c r="S32" s="106"/>
      <c r="T32" s="106"/>
    </row>
    <row r="33" spans="3:27" ht="15.75" customHeight="1" x14ac:dyDescent="0.35">
      <c r="C33" s="28"/>
      <c r="K33" s="24"/>
    </row>
    <row r="34" spans="3:27" ht="15.75" customHeight="1" x14ac:dyDescent="0.35">
      <c r="C34" s="38" t="s">
        <v>277</v>
      </c>
      <c r="G34" s="107"/>
      <c r="H34" s="108"/>
      <c r="I34" s="108"/>
      <c r="J34" s="108"/>
      <c r="L34" s="25"/>
      <c r="M34" s="38" t="s">
        <v>300</v>
      </c>
      <c r="N34" s="106"/>
      <c r="O34" s="106"/>
      <c r="P34" s="106"/>
      <c r="Q34" s="106"/>
    </row>
    <row r="35" spans="3:27" ht="15.75" customHeight="1" x14ac:dyDescent="0.35">
      <c r="K35" s="24"/>
    </row>
    <row r="36" spans="3:27" ht="15.75" customHeight="1" x14ac:dyDescent="0.35">
      <c r="K36" s="24"/>
    </row>
    <row r="37" spans="3:27" ht="15.75" customHeight="1" x14ac:dyDescent="0.35">
      <c r="J37" s="10" t="s">
        <v>1</v>
      </c>
      <c r="K37" s="24" t="s">
        <v>270</v>
      </c>
    </row>
    <row r="38" spans="3:27" ht="15.75" customHeight="1" x14ac:dyDescent="0.35">
      <c r="J38" s="10" t="s">
        <v>2</v>
      </c>
      <c r="K38" s="24" t="s">
        <v>271</v>
      </c>
    </row>
    <row r="39" spans="3:27" ht="15.75" customHeight="1" x14ac:dyDescent="0.35">
      <c r="J39" s="10" t="s">
        <v>3</v>
      </c>
      <c r="K39" s="24" t="s">
        <v>272</v>
      </c>
    </row>
    <row r="40" spans="3:27" ht="15.75" customHeight="1" x14ac:dyDescent="0.35">
      <c r="J40" s="10" t="s">
        <v>4</v>
      </c>
      <c r="K40" s="24" t="s">
        <v>273</v>
      </c>
    </row>
    <row r="41" spans="3:27" ht="15.75" customHeight="1" x14ac:dyDescent="0.35">
      <c r="K41" s="24"/>
    </row>
    <row r="42" spans="3:27" ht="20.25" customHeight="1" x14ac:dyDescent="0.35">
      <c r="K42" s="28"/>
      <c r="P42" s="23"/>
      <c r="Q42" s="46" t="s">
        <v>1</v>
      </c>
      <c r="R42" s="46" t="s">
        <v>2</v>
      </c>
      <c r="S42" s="46" t="s">
        <v>3</v>
      </c>
      <c r="T42" s="46" t="s">
        <v>4</v>
      </c>
      <c r="V42" s="5" t="s">
        <v>274</v>
      </c>
    </row>
    <row r="43" spans="3:27" ht="21" customHeight="1" x14ac:dyDescent="0.35">
      <c r="C43" s="40">
        <v>1</v>
      </c>
      <c r="D43" s="97" t="s">
        <v>27</v>
      </c>
      <c r="E43" s="98"/>
      <c r="F43" s="98"/>
      <c r="G43" s="98"/>
      <c r="H43" s="98"/>
      <c r="I43" s="98"/>
      <c r="J43" s="98"/>
      <c r="K43" s="98"/>
      <c r="L43" s="98"/>
      <c r="M43" s="98"/>
      <c r="N43" s="98"/>
      <c r="O43" s="98"/>
      <c r="P43" s="99"/>
      <c r="Q43" s="6"/>
      <c r="R43" s="6"/>
      <c r="S43" s="6" t="s">
        <v>5</v>
      </c>
      <c r="T43" s="6"/>
      <c r="U43" s="40">
        <v>1</v>
      </c>
      <c r="V43" s="29">
        <f>IF(Q43="x",2,IF(R43="x",1,IF(S43="x",0,IF(T43="x",0,0))))</f>
        <v>0</v>
      </c>
      <c r="W43" s="29"/>
      <c r="Y43" s="103" t="s">
        <v>25</v>
      </c>
      <c r="Z43" s="103"/>
      <c r="AA43" s="5" t="s">
        <v>10</v>
      </c>
    </row>
    <row r="44" spans="3:27" ht="21" customHeight="1" x14ac:dyDescent="0.35">
      <c r="C44" s="40">
        <v>2</v>
      </c>
      <c r="D44" s="97" t="s">
        <v>28</v>
      </c>
      <c r="E44" s="98"/>
      <c r="F44" s="98"/>
      <c r="G44" s="98"/>
      <c r="H44" s="98"/>
      <c r="I44" s="98"/>
      <c r="J44" s="98"/>
      <c r="K44" s="98"/>
      <c r="L44" s="98"/>
      <c r="M44" s="98"/>
      <c r="N44" s="98"/>
      <c r="O44" s="98"/>
      <c r="P44" s="99"/>
      <c r="Q44" s="6"/>
      <c r="R44" s="6"/>
      <c r="S44" s="6" t="s">
        <v>5</v>
      </c>
      <c r="T44" s="6"/>
      <c r="U44" s="40">
        <v>2</v>
      </c>
      <c r="V44" s="29">
        <f>IF(Q44="x",2,IF(R44="x",1,IF(S44="x",0,IF(T44="x",0,0))))</f>
        <v>0</v>
      </c>
      <c r="W44" s="29"/>
      <c r="Y44" s="101" t="s">
        <v>7</v>
      </c>
      <c r="Z44" s="7" t="s">
        <v>8</v>
      </c>
      <c r="AA44" s="5">
        <f>V87+V101+V107+V113+V123+V165</f>
        <v>0</v>
      </c>
    </row>
    <row r="45" spans="3:27" ht="32.25" customHeight="1" x14ac:dyDescent="0.35">
      <c r="C45" s="40">
        <v>3</v>
      </c>
      <c r="D45" s="97" t="s">
        <v>29</v>
      </c>
      <c r="E45" s="98"/>
      <c r="F45" s="98"/>
      <c r="G45" s="98"/>
      <c r="H45" s="98"/>
      <c r="I45" s="98"/>
      <c r="J45" s="98"/>
      <c r="K45" s="98"/>
      <c r="L45" s="98"/>
      <c r="M45" s="98"/>
      <c r="N45" s="98"/>
      <c r="O45" s="98"/>
      <c r="P45" s="99"/>
      <c r="Q45" s="6"/>
      <c r="R45" s="6"/>
      <c r="S45" s="6" t="s">
        <v>5</v>
      </c>
      <c r="T45" s="6"/>
      <c r="U45" s="40">
        <v>3</v>
      </c>
      <c r="V45" s="29">
        <f t="shared" ref="V43:V74" si="0">IF(Q45="x",2,IF(R45="x",1,IF(S45="x",0,IF(T45="x",0,0))))</f>
        <v>0</v>
      </c>
      <c r="W45" s="29"/>
      <c r="Y45" s="102"/>
      <c r="Z45" s="8" t="s">
        <v>9</v>
      </c>
      <c r="AA45" s="5">
        <f>V104+V116+V118+V172+V184+V190</f>
        <v>0</v>
      </c>
    </row>
    <row r="46" spans="3:27" ht="21" customHeight="1" x14ac:dyDescent="0.35">
      <c r="C46" s="40">
        <v>4</v>
      </c>
      <c r="D46" s="97" t="s">
        <v>30</v>
      </c>
      <c r="E46" s="98"/>
      <c r="F46" s="98"/>
      <c r="G46" s="98"/>
      <c r="H46" s="98"/>
      <c r="I46" s="98"/>
      <c r="J46" s="98"/>
      <c r="K46" s="98"/>
      <c r="L46" s="98"/>
      <c r="M46" s="98"/>
      <c r="N46" s="98"/>
      <c r="O46" s="98"/>
      <c r="P46" s="99"/>
      <c r="Q46" s="6"/>
      <c r="R46" s="6"/>
      <c r="S46" s="6" t="s">
        <v>5</v>
      </c>
      <c r="T46" s="6"/>
      <c r="U46" s="40">
        <v>4</v>
      </c>
      <c r="V46" s="29">
        <f t="shared" si="0"/>
        <v>0</v>
      </c>
      <c r="W46" s="29"/>
      <c r="Y46" s="101" t="s">
        <v>12</v>
      </c>
      <c r="Z46" s="7" t="s">
        <v>8</v>
      </c>
      <c r="AA46" s="5">
        <f>V49+V77+V119+V129+V147+V149</f>
        <v>1</v>
      </c>
    </row>
    <row r="47" spans="3:27" ht="32.25" customHeight="1" x14ac:dyDescent="0.35">
      <c r="C47" s="40">
        <v>5</v>
      </c>
      <c r="D47" s="97" t="s">
        <v>31</v>
      </c>
      <c r="E47" s="98"/>
      <c r="F47" s="98"/>
      <c r="G47" s="98"/>
      <c r="H47" s="98"/>
      <c r="I47" s="98"/>
      <c r="J47" s="98"/>
      <c r="K47" s="98"/>
      <c r="L47" s="98"/>
      <c r="M47" s="98"/>
      <c r="N47" s="98"/>
      <c r="O47" s="98"/>
      <c r="P47" s="99"/>
      <c r="Q47" s="6"/>
      <c r="R47" s="6"/>
      <c r="S47" s="6"/>
      <c r="T47" s="6" t="s">
        <v>5</v>
      </c>
      <c r="U47" s="40">
        <v>5</v>
      </c>
      <c r="V47" s="29">
        <f>IF(Q47="x",2,IF(R47="x",1,IF(S47="x",0,IF(T47="x",0,0))))</f>
        <v>0</v>
      </c>
      <c r="W47" s="29"/>
      <c r="Y47" s="102"/>
      <c r="Z47" s="8" t="s">
        <v>9</v>
      </c>
      <c r="AA47" s="5">
        <f>V44+V98+V152+V162+V170+V194</f>
        <v>0</v>
      </c>
    </row>
    <row r="48" spans="3:27" ht="21" customHeight="1" x14ac:dyDescent="0.35">
      <c r="C48" s="40">
        <v>6</v>
      </c>
      <c r="D48" s="97" t="s">
        <v>32</v>
      </c>
      <c r="E48" s="98"/>
      <c r="F48" s="98"/>
      <c r="G48" s="98"/>
      <c r="H48" s="98"/>
      <c r="I48" s="98"/>
      <c r="J48" s="98"/>
      <c r="K48" s="98"/>
      <c r="L48" s="98"/>
      <c r="M48" s="98"/>
      <c r="N48" s="98"/>
      <c r="O48" s="98"/>
      <c r="P48" s="99"/>
      <c r="Q48" s="6"/>
      <c r="R48" s="6"/>
      <c r="S48" s="6" t="s">
        <v>5</v>
      </c>
      <c r="T48" s="6"/>
      <c r="U48" s="40">
        <v>6</v>
      </c>
      <c r="V48" s="29">
        <f t="shared" si="0"/>
        <v>0</v>
      </c>
      <c r="W48" s="29"/>
      <c r="Y48" s="104" t="s">
        <v>13</v>
      </c>
      <c r="Z48" s="9" t="s">
        <v>8</v>
      </c>
      <c r="AA48" s="5">
        <f>V47+V79+V115+V177+V185+V209</f>
        <v>0</v>
      </c>
    </row>
    <row r="49" spans="3:27" ht="32.25" customHeight="1" x14ac:dyDescent="0.35">
      <c r="C49" s="40">
        <v>7</v>
      </c>
      <c r="D49" s="97" t="s">
        <v>33</v>
      </c>
      <c r="E49" s="98"/>
      <c r="F49" s="98"/>
      <c r="G49" s="98"/>
      <c r="H49" s="98"/>
      <c r="I49" s="98"/>
      <c r="J49" s="98"/>
      <c r="K49" s="98"/>
      <c r="L49" s="98"/>
      <c r="M49" s="98"/>
      <c r="N49" s="98"/>
      <c r="O49" s="98"/>
      <c r="P49" s="99"/>
      <c r="Q49" s="6"/>
      <c r="R49" s="6" t="s">
        <v>5</v>
      </c>
      <c r="S49" s="6"/>
      <c r="T49" s="6"/>
      <c r="U49" s="40">
        <v>7</v>
      </c>
      <c r="V49" s="29">
        <f t="shared" si="0"/>
        <v>1</v>
      </c>
      <c r="W49" s="29"/>
      <c r="Y49" s="104"/>
      <c r="Z49" s="9" t="s">
        <v>9</v>
      </c>
      <c r="AA49" s="5">
        <f>V60+V146+V154+V174+V200+V220</f>
        <v>1</v>
      </c>
    </row>
    <row r="50" spans="3:27" ht="21" customHeight="1" x14ac:dyDescent="0.35">
      <c r="C50" s="40">
        <v>8</v>
      </c>
      <c r="D50" s="97" t="s">
        <v>34</v>
      </c>
      <c r="E50" s="98"/>
      <c r="F50" s="98"/>
      <c r="G50" s="98"/>
      <c r="H50" s="98"/>
      <c r="I50" s="98"/>
      <c r="J50" s="98"/>
      <c r="K50" s="98"/>
      <c r="L50" s="98"/>
      <c r="M50" s="98"/>
      <c r="N50" s="98"/>
      <c r="O50" s="98"/>
      <c r="P50" s="99"/>
      <c r="Q50" s="6"/>
      <c r="R50" s="6" t="s">
        <v>5</v>
      </c>
      <c r="S50" s="6"/>
      <c r="T50" s="6"/>
      <c r="U50" s="40">
        <v>8</v>
      </c>
      <c r="V50" s="29">
        <f t="shared" si="0"/>
        <v>1</v>
      </c>
      <c r="W50" s="29"/>
      <c r="Y50" s="101" t="s">
        <v>14</v>
      </c>
      <c r="Z50" s="7" t="s">
        <v>8</v>
      </c>
      <c r="AA50" s="5">
        <f>V59+V133+V135+V155+V157+V201</f>
        <v>0</v>
      </c>
    </row>
    <row r="51" spans="3:27" ht="32.25" customHeight="1" x14ac:dyDescent="0.35">
      <c r="C51" s="40">
        <v>9</v>
      </c>
      <c r="D51" s="97" t="s">
        <v>35</v>
      </c>
      <c r="E51" s="98"/>
      <c r="F51" s="98"/>
      <c r="G51" s="98"/>
      <c r="H51" s="98"/>
      <c r="I51" s="98"/>
      <c r="J51" s="98"/>
      <c r="K51" s="98"/>
      <c r="L51" s="98"/>
      <c r="M51" s="98"/>
      <c r="N51" s="98"/>
      <c r="O51" s="98"/>
      <c r="P51" s="99"/>
      <c r="Q51" s="6"/>
      <c r="R51" s="6"/>
      <c r="S51" s="6" t="s">
        <v>5</v>
      </c>
      <c r="T51" s="6"/>
      <c r="U51" s="40">
        <v>9</v>
      </c>
      <c r="V51" s="29">
        <f t="shared" si="0"/>
        <v>0</v>
      </c>
      <c r="W51" s="29"/>
      <c r="Y51" s="102"/>
      <c r="Z51" s="8" t="s">
        <v>9</v>
      </c>
      <c r="AA51" s="5">
        <f>V90+V137+V168+V188+V214+V216</f>
        <v>1</v>
      </c>
    </row>
    <row r="52" spans="3:27" ht="21" customHeight="1" x14ac:dyDescent="0.35">
      <c r="C52" s="40">
        <v>10</v>
      </c>
      <c r="D52" s="97" t="s">
        <v>36</v>
      </c>
      <c r="E52" s="98"/>
      <c r="F52" s="98"/>
      <c r="G52" s="98"/>
      <c r="H52" s="98"/>
      <c r="I52" s="98"/>
      <c r="J52" s="98"/>
      <c r="K52" s="98"/>
      <c r="L52" s="98"/>
      <c r="M52" s="98"/>
      <c r="N52" s="98"/>
      <c r="O52" s="98"/>
      <c r="P52" s="99"/>
      <c r="Q52" s="6"/>
      <c r="R52" s="6"/>
      <c r="S52" s="6"/>
      <c r="T52" s="6" t="s">
        <v>5</v>
      </c>
      <c r="U52" s="40">
        <v>10</v>
      </c>
      <c r="V52" s="29">
        <f t="shared" si="0"/>
        <v>0</v>
      </c>
      <c r="W52" s="29"/>
      <c r="Y52" s="104" t="s">
        <v>15</v>
      </c>
      <c r="Z52" s="9" t="s">
        <v>8</v>
      </c>
      <c r="AA52" s="5">
        <f>V65+V71+V131+V161+V179+V187</f>
        <v>0</v>
      </c>
    </row>
    <row r="53" spans="3:27" ht="32.25" customHeight="1" x14ac:dyDescent="0.35">
      <c r="C53" s="40">
        <v>11</v>
      </c>
      <c r="D53" s="97" t="s">
        <v>37</v>
      </c>
      <c r="E53" s="98"/>
      <c r="F53" s="98"/>
      <c r="G53" s="98"/>
      <c r="H53" s="98"/>
      <c r="I53" s="98"/>
      <c r="J53" s="98"/>
      <c r="K53" s="98"/>
      <c r="L53" s="98"/>
      <c r="M53" s="98"/>
      <c r="N53" s="98"/>
      <c r="O53" s="98"/>
      <c r="P53" s="99"/>
      <c r="Q53" s="6"/>
      <c r="R53" s="6"/>
      <c r="S53" s="6"/>
      <c r="T53" s="6"/>
      <c r="U53" s="40">
        <v>11</v>
      </c>
      <c r="V53" s="29">
        <f t="shared" si="0"/>
        <v>0</v>
      </c>
      <c r="W53" s="29"/>
      <c r="Y53" s="104"/>
      <c r="Z53" s="9" t="s">
        <v>9</v>
      </c>
      <c r="AA53" s="5">
        <f>V48+V74+V141+V144+V150+V212</f>
        <v>0</v>
      </c>
    </row>
    <row r="54" spans="3:27" ht="21" customHeight="1" x14ac:dyDescent="0.35">
      <c r="C54" s="40">
        <v>12</v>
      </c>
      <c r="D54" s="97" t="s">
        <v>38</v>
      </c>
      <c r="E54" s="98"/>
      <c r="F54" s="98"/>
      <c r="G54" s="98"/>
      <c r="H54" s="98"/>
      <c r="I54" s="98"/>
      <c r="J54" s="98"/>
      <c r="K54" s="98"/>
      <c r="L54" s="98"/>
      <c r="M54" s="98"/>
      <c r="N54" s="98"/>
      <c r="O54" s="98"/>
      <c r="P54" s="99"/>
      <c r="Q54" s="6"/>
      <c r="R54" s="6"/>
      <c r="S54" s="6"/>
      <c r="T54" s="6"/>
      <c r="U54" s="40">
        <v>12</v>
      </c>
      <c r="V54" s="29">
        <f t="shared" si="0"/>
        <v>0</v>
      </c>
      <c r="W54" s="29"/>
      <c r="Y54" s="101" t="s">
        <v>16</v>
      </c>
      <c r="Z54" s="7" t="s">
        <v>8</v>
      </c>
      <c r="AA54" s="5">
        <f>V55+V93+V117+V145+V175+V199</f>
        <v>1</v>
      </c>
    </row>
    <row r="55" spans="3:27" ht="32.25" customHeight="1" x14ac:dyDescent="0.35">
      <c r="C55" s="40">
        <v>13</v>
      </c>
      <c r="D55" s="97" t="s">
        <v>39</v>
      </c>
      <c r="E55" s="98"/>
      <c r="F55" s="98"/>
      <c r="G55" s="98"/>
      <c r="H55" s="98"/>
      <c r="I55" s="98"/>
      <c r="J55" s="98"/>
      <c r="K55" s="98"/>
      <c r="L55" s="98"/>
      <c r="M55" s="98"/>
      <c r="N55" s="98"/>
      <c r="O55" s="98"/>
      <c r="P55" s="99"/>
      <c r="Q55" s="6"/>
      <c r="R55" s="6"/>
      <c r="S55" s="6"/>
      <c r="T55" s="6"/>
      <c r="U55" s="40">
        <v>13</v>
      </c>
      <c r="V55" s="29">
        <f t="shared" si="0"/>
        <v>0</v>
      </c>
      <c r="W55" s="29"/>
      <c r="Y55" s="102"/>
      <c r="Z55" s="8" t="s">
        <v>9</v>
      </c>
      <c r="AA55" s="5">
        <f>V46+V64+V134+V186+V192+V202</f>
        <v>1</v>
      </c>
    </row>
    <row r="56" spans="3:27" ht="21" customHeight="1" x14ac:dyDescent="0.35">
      <c r="C56" s="40">
        <v>14</v>
      </c>
      <c r="D56" s="97" t="s">
        <v>40</v>
      </c>
      <c r="E56" s="98"/>
      <c r="F56" s="98"/>
      <c r="G56" s="98"/>
      <c r="H56" s="98"/>
      <c r="I56" s="98"/>
      <c r="J56" s="98"/>
      <c r="K56" s="98"/>
      <c r="L56" s="98"/>
      <c r="M56" s="98"/>
      <c r="N56" s="98"/>
      <c r="O56" s="98"/>
      <c r="P56" s="99"/>
      <c r="Q56" s="6"/>
      <c r="R56" s="6"/>
      <c r="S56" s="6"/>
      <c r="T56" s="6"/>
      <c r="U56" s="40">
        <v>14</v>
      </c>
      <c r="V56" s="29">
        <f t="shared" si="0"/>
        <v>0</v>
      </c>
      <c r="W56" s="29"/>
      <c r="Y56" s="101" t="s">
        <v>17</v>
      </c>
      <c r="Z56" s="7" t="s">
        <v>8</v>
      </c>
      <c r="AA56" s="5">
        <f>V85+V99+V109+V142+V151+V219</f>
        <v>1</v>
      </c>
    </row>
    <row r="57" spans="3:27" ht="32.25" customHeight="1" x14ac:dyDescent="0.35">
      <c r="C57" s="40">
        <v>15</v>
      </c>
      <c r="D57" s="97" t="s">
        <v>41</v>
      </c>
      <c r="E57" s="98"/>
      <c r="F57" s="98"/>
      <c r="G57" s="98"/>
      <c r="H57" s="98"/>
      <c r="I57" s="98"/>
      <c r="J57" s="98"/>
      <c r="K57" s="98"/>
      <c r="L57" s="98"/>
      <c r="M57" s="98"/>
      <c r="N57" s="98"/>
      <c r="O57" s="98"/>
      <c r="P57" s="99"/>
      <c r="Q57" s="6"/>
      <c r="R57" s="6"/>
      <c r="S57" s="6"/>
      <c r="T57" s="6"/>
      <c r="U57" s="40">
        <v>15</v>
      </c>
      <c r="V57" s="29">
        <f t="shared" si="0"/>
        <v>0</v>
      </c>
      <c r="W57" s="29"/>
      <c r="Y57" s="102"/>
      <c r="Z57" s="8" t="s">
        <v>9</v>
      </c>
      <c r="AA57" s="5">
        <f>V108+V130+V176+V182+V204+V206</f>
        <v>0</v>
      </c>
    </row>
    <row r="58" spans="3:27" ht="21" customHeight="1" x14ac:dyDescent="0.35">
      <c r="C58" s="40">
        <v>16</v>
      </c>
      <c r="D58" s="97" t="s">
        <v>42</v>
      </c>
      <c r="E58" s="98"/>
      <c r="F58" s="98"/>
      <c r="G58" s="98"/>
      <c r="H58" s="98"/>
      <c r="I58" s="98"/>
      <c r="J58" s="98"/>
      <c r="K58" s="98"/>
      <c r="L58" s="98"/>
      <c r="M58" s="98"/>
      <c r="N58" s="98"/>
      <c r="O58" s="98"/>
      <c r="P58" s="99"/>
      <c r="Q58" s="6"/>
      <c r="R58" s="6"/>
      <c r="S58" s="6"/>
      <c r="T58" s="6"/>
      <c r="U58" s="40">
        <v>16</v>
      </c>
      <c r="V58" s="29">
        <f t="shared" si="0"/>
        <v>0</v>
      </c>
      <c r="W58" s="29"/>
      <c r="Y58" s="101" t="s">
        <v>18</v>
      </c>
      <c r="Z58" s="7" t="s">
        <v>8</v>
      </c>
      <c r="AA58" s="5">
        <f>V75+V95+V125+V195+V211+V217</f>
        <v>1</v>
      </c>
    </row>
    <row r="59" spans="3:27" ht="32.25" customHeight="1" x14ac:dyDescent="0.35">
      <c r="C59" s="40">
        <v>17</v>
      </c>
      <c r="D59" s="97" t="s">
        <v>43</v>
      </c>
      <c r="E59" s="98"/>
      <c r="F59" s="98"/>
      <c r="G59" s="98"/>
      <c r="H59" s="98"/>
      <c r="I59" s="98"/>
      <c r="J59" s="98"/>
      <c r="K59" s="98"/>
      <c r="L59" s="98"/>
      <c r="M59" s="98"/>
      <c r="N59" s="98"/>
      <c r="O59" s="98"/>
      <c r="P59" s="99"/>
      <c r="Q59" s="6"/>
      <c r="R59" s="6"/>
      <c r="S59" s="6"/>
      <c r="T59" s="6"/>
      <c r="U59" s="40">
        <v>17</v>
      </c>
      <c r="V59" s="29">
        <f t="shared" si="0"/>
        <v>0</v>
      </c>
      <c r="W59" s="29"/>
      <c r="Y59" s="102"/>
      <c r="Z59" s="8" t="s">
        <v>9</v>
      </c>
      <c r="AA59" s="5">
        <f>V50+V82+V88+V114+V160+V208</f>
        <v>2</v>
      </c>
    </row>
    <row r="60" spans="3:27" ht="21" customHeight="1" x14ac:dyDescent="0.35">
      <c r="C60" s="40">
        <v>18</v>
      </c>
      <c r="D60" s="97" t="s">
        <v>196</v>
      </c>
      <c r="E60" s="98"/>
      <c r="F60" s="98"/>
      <c r="G60" s="98"/>
      <c r="H60" s="98"/>
      <c r="I60" s="98"/>
      <c r="J60" s="98"/>
      <c r="K60" s="98"/>
      <c r="L60" s="98"/>
      <c r="M60" s="98"/>
      <c r="N60" s="98"/>
      <c r="O60" s="98"/>
      <c r="P60" s="99"/>
      <c r="Q60" s="6"/>
      <c r="R60" s="6"/>
      <c r="S60" s="6"/>
      <c r="T60" s="6"/>
      <c r="U60" s="40">
        <v>18</v>
      </c>
      <c r="V60" s="29">
        <f t="shared" si="0"/>
        <v>0</v>
      </c>
      <c r="W60" s="29"/>
      <c r="Y60" s="104" t="s">
        <v>19</v>
      </c>
      <c r="Z60" s="9" t="s">
        <v>8</v>
      </c>
      <c r="AA60" s="5">
        <f>V45+V67+V97+V105+V183+V191</f>
        <v>1</v>
      </c>
    </row>
    <row r="61" spans="3:27" ht="32.25" customHeight="1" x14ac:dyDescent="0.35">
      <c r="C61" s="40">
        <v>19</v>
      </c>
      <c r="D61" s="97" t="s">
        <v>197</v>
      </c>
      <c r="E61" s="98"/>
      <c r="F61" s="98"/>
      <c r="G61" s="98"/>
      <c r="H61" s="98"/>
      <c r="I61" s="98"/>
      <c r="J61" s="98"/>
      <c r="K61" s="98"/>
      <c r="L61" s="98"/>
      <c r="M61" s="98"/>
      <c r="N61" s="98"/>
      <c r="O61" s="98"/>
      <c r="P61" s="99"/>
      <c r="Q61" s="6"/>
      <c r="R61" s="6"/>
      <c r="S61" s="6"/>
      <c r="T61" s="6"/>
      <c r="U61" s="40">
        <v>19</v>
      </c>
      <c r="V61" s="29">
        <f t="shared" si="0"/>
        <v>0</v>
      </c>
      <c r="W61" s="29"/>
      <c r="Y61" s="104"/>
      <c r="Z61" s="9" t="s">
        <v>9</v>
      </c>
      <c r="AA61" s="5">
        <f>V62+V86+V92+V122+V180+V196</f>
        <v>0</v>
      </c>
    </row>
    <row r="62" spans="3:27" ht="21" customHeight="1" x14ac:dyDescent="0.35">
      <c r="C62" s="40">
        <v>20</v>
      </c>
      <c r="D62" s="97" t="s">
        <v>44</v>
      </c>
      <c r="E62" s="98"/>
      <c r="F62" s="98"/>
      <c r="G62" s="98"/>
      <c r="H62" s="98"/>
      <c r="I62" s="98"/>
      <c r="J62" s="98"/>
      <c r="K62" s="98"/>
      <c r="L62" s="98"/>
      <c r="M62" s="98"/>
      <c r="N62" s="98"/>
      <c r="O62" s="98"/>
      <c r="P62" s="99"/>
      <c r="Q62" s="6"/>
      <c r="R62" s="6"/>
      <c r="S62" s="6"/>
      <c r="T62" s="6"/>
      <c r="U62" s="40">
        <v>20</v>
      </c>
      <c r="V62" s="29">
        <f t="shared" si="0"/>
        <v>0</v>
      </c>
      <c r="W62" s="29"/>
      <c r="Y62" s="101" t="s">
        <v>20</v>
      </c>
      <c r="Z62" s="7" t="s">
        <v>8</v>
      </c>
      <c r="AA62" s="5">
        <f>V73+V89+V121+V138+V143+V167</f>
        <v>0</v>
      </c>
    </row>
    <row r="63" spans="3:27" ht="32.25" customHeight="1" x14ac:dyDescent="0.35">
      <c r="C63" s="40">
        <v>21</v>
      </c>
      <c r="D63" s="97" t="s">
        <v>45</v>
      </c>
      <c r="E63" s="98"/>
      <c r="F63" s="98"/>
      <c r="G63" s="98"/>
      <c r="H63" s="98"/>
      <c r="I63" s="98"/>
      <c r="J63" s="98"/>
      <c r="K63" s="98"/>
      <c r="L63" s="98"/>
      <c r="M63" s="98"/>
      <c r="N63" s="98"/>
      <c r="O63" s="98"/>
      <c r="P63" s="99"/>
      <c r="Q63" s="6"/>
      <c r="R63" s="6"/>
      <c r="S63" s="6"/>
      <c r="T63" s="6"/>
      <c r="U63" s="40">
        <v>21</v>
      </c>
      <c r="V63" s="29">
        <f t="shared" si="0"/>
        <v>0</v>
      </c>
      <c r="W63" s="29"/>
      <c r="Y63" s="102"/>
      <c r="Z63" s="8" t="s">
        <v>9</v>
      </c>
      <c r="AA63" s="5">
        <f>V54+V96+V106+V136+V158+V218</f>
        <v>0</v>
      </c>
    </row>
    <row r="64" spans="3:27" ht="21" customHeight="1" x14ac:dyDescent="0.35">
      <c r="C64" s="40">
        <v>22</v>
      </c>
      <c r="D64" s="97" t="s">
        <v>46</v>
      </c>
      <c r="E64" s="98"/>
      <c r="F64" s="98"/>
      <c r="G64" s="98"/>
      <c r="H64" s="98"/>
      <c r="I64" s="98"/>
      <c r="J64" s="98"/>
      <c r="K64" s="98"/>
      <c r="L64" s="98"/>
      <c r="M64" s="98"/>
      <c r="N64" s="98"/>
      <c r="O64" s="98"/>
      <c r="P64" s="99"/>
      <c r="Q64" s="6"/>
      <c r="R64" s="6"/>
      <c r="S64" s="6"/>
      <c r="T64" s="6"/>
      <c r="U64" s="40">
        <v>22</v>
      </c>
      <c r="V64" s="29">
        <f t="shared" si="0"/>
        <v>0</v>
      </c>
      <c r="W64" s="29"/>
      <c r="Y64" s="104" t="s">
        <v>21</v>
      </c>
      <c r="Z64" s="9" t="s">
        <v>8</v>
      </c>
      <c r="AA64" s="5">
        <f>V51+V127+V159+V173+V207+V221</f>
        <v>2</v>
      </c>
    </row>
    <row r="65" spans="3:27" ht="46.5" customHeight="1" x14ac:dyDescent="0.35">
      <c r="C65" s="40">
        <v>23</v>
      </c>
      <c r="D65" s="97" t="s">
        <v>47</v>
      </c>
      <c r="E65" s="98"/>
      <c r="F65" s="98"/>
      <c r="G65" s="98"/>
      <c r="H65" s="98"/>
      <c r="I65" s="98"/>
      <c r="J65" s="98"/>
      <c r="K65" s="98"/>
      <c r="L65" s="98"/>
      <c r="M65" s="98"/>
      <c r="N65" s="98"/>
      <c r="O65" s="98"/>
      <c r="P65" s="99"/>
      <c r="Q65" s="6"/>
      <c r="R65" s="6"/>
      <c r="S65" s="6"/>
      <c r="T65" s="6"/>
      <c r="U65" s="40">
        <v>23</v>
      </c>
      <c r="V65" s="29">
        <f t="shared" si="0"/>
        <v>0</v>
      </c>
      <c r="W65" s="29"/>
      <c r="Y65" s="104"/>
      <c r="Z65" s="9" t="s">
        <v>9</v>
      </c>
      <c r="AA65" s="5">
        <f>V56+V102+V120+V132+V148+V166</f>
        <v>0</v>
      </c>
    </row>
    <row r="66" spans="3:27" ht="21" customHeight="1" x14ac:dyDescent="0.35">
      <c r="C66" s="40">
        <v>24</v>
      </c>
      <c r="D66" s="97" t="s">
        <v>48</v>
      </c>
      <c r="E66" s="98"/>
      <c r="F66" s="98"/>
      <c r="G66" s="98"/>
      <c r="H66" s="98"/>
      <c r="I66" s="98"/>
      <c r="J66" s="98"/>
      <c r="K66" s="98"/>
      <c r="L66" s="98"/>
      <c r="M66" s="98"/>
      <c r="N66" s="98"/>
      <c r="O66" s="98"/>
      <c r="P66" s="99"/>
      <c r="Q66" s="6"/>
      <c r="R66" s="6"/>
      <c r="S66" s="6"/>
      <c r="T66" s="6"/>
      <c r="U66" s="40">
        <v>24</v>
      </c>
      <c r="V66" s="29">
        <f t="shared" si="0"/>
        <v>0</v>
      </c>
      <c r="W66" s="29"/>
      <c r="Y66" s="101" t="s">
        <v>22</v>
      </c>
      <c r="Z66" s="7" t="s">
        <v>8</v>
      </c>
      <c r="AA66" s="5">
        <f>V57+V63+V103+V124+V197+V205</f>
        <v>0</v>
      </c>
    </row>
    <row r="67" spans="3:27" ht="50.25" customHeight="1" x14ac:dyDescent="0.35">
      <c r="C67" s="40">
        <v>25</v>
      </c>
      <c r="D67" s="97" t="s">
        <v>49</v>
      </c>
      <c r="E67" s="98"/>
      <c r="F67" s="98"/>
      <c r="G67" s="98"/>
      <c r="H67" s="98"/>
      <c r="I67" s="98"/>
      <c r="J67" s="98"/>
      <c r="K67" s="98"/>
      <c r="L67" s="98"/>
      <c r="M67" s="98"/>
      <c r="N67" s="98"/>
      <c r="O67" s="98"/>
      <c r="P67" s="99"/>
      <c r="Q67" s="6"/>
      <c r="R67" s="6"/>
      <c r="S67" s="6"/>
      <c r="T67" s="6"/>
      <c r="U67" s="40">
        <v>25</v>
      </c>
      <c r="V67" s="29">
        <f t="shared" si="0"/>
        <v>0</v>
      </c>
      <c r="W67" s="29"/>
      <c r="Y67" s="102"/>
      <c r="Z67" s="8" t="s">
        <v>9</v>
      </c>
      <c r="AA67" s="5">
        <f>V68+V84+V94+V124+V164+V210</f>
        <v>0</v>
      </c>
    </row>
    <row r="68" spans="3:27" ht="21" customHeight="1" x14ac:dyDescent="0.35">
      <c r="C68" s="40">
        <v>26</v>
      </c>
      <c r="D68" s="97" t="s">
        <v>50</v>
      </c>
      <c r="E68" s="98"/>
      <c r="F68" s="98"/>
      <c r="G68" s="98"/>
      <c r="H68" s="98"/>
      <c r="I68" s="98"/>
      <c r="J68" s="98"/>
      <c r="K68" s="98"/>
      <c r="L68" s="98"/>
      <c r="M68" s="98"/>
      <c r="N68" s="98"/>
      <c r="O68" s="98"/>
      <c r="P68" s="99"/>
      <c r="Q68" s="6"/>
      <c r="R68" s="6"/>
      <c r="S68" s="6"/>
      <c r="T68" s="6"/>
      <c r="U68" s="40">
        <v>26</v>
      </c>
      <c r="V68" s="29">
        <f t="shared" si="0"/>
        <v>0</v>
      </c>
      <c r="W68" s="29"/>
      <c r="Y68" s="101" t="s">
        <v>26</v>
      </c>
      <c r="Z68" s="7" t="s">
        <v>8</v>
      </c>
      <c r="AA68" s="5">
        <f>V43+V53+V61+V69+V91+V215</f>
        <v>0</v>
      </c>
    </row>
    <row r="69" spans="3:27" ht="32.25" customHeight="1" x14ac:dyDescent="0.35">
      <c r="C69" s="40">
        <v>27</v>
      </c>
      <c r="D69" s="97" t="s">
        <v>198</v>
      </c>
      <c r="E69" s="98"/>
      <c r="F69" s="98"/>
      <c r="G69" s="98"/>
      <c r="H69" s="98"/>
      <c r="I69" s="98"/>
      <c r="J69" s="98"/>
      <c r="K69" s="98"/>
      <c r="L69" s="98"/>
      <c r="M69" s="98"/>
      <c r="N69" s="98"/>
      <c r="O69" s="98"/>
      <c r="P69" s="99"/>
      <c r="Q69" s="6"/>
      <c r="R69" s="6"/>
      <c r="S69" s="6"/>
      <c r="T69" s="6"/>
      <c r="U69" s="40">
        <v>27</v>
      </c>
      <c r="V69" s="29">
        <f t="shared" si="0"/>
        <v>0</v>
      </c>
      <c r="W69" s="29"/>
      <c r="Y69" s="102"/>
      <c r="Z69" s="8" t="s">
        <v>9</v>
      </c>
      <c r="AA69" s="5">
        <f>V58+V111+V112+V128+V156+V222</f>
        <v>2</v>
      </c>
    </row>
    <row r="70" spans="3:27" ht="21" customHeight="1" x14ac:dyDescent="0.35">
      <c r="C70" s="40">
        <v>28</v>
      </c>
      <c r="D70" s="97" t="s">
        <v>51</v>
      </c>
      <c r="E70" s="98"/>
      <c r="F70" s="98"/>
      <c r="G70" s="98"/>
      <c r="H70" s="98"/>
      <c r="I70" s="98"/>
      <c r="J70" s="98"/>
      <c r="K70" s="98"/>
      <c r="L70" s="98"/>
      <c r="M70" s="98"/>
      <c r="N70" s="98"/>
      <c r="O70" s="98"/>
      <c r="P70" s="99"/>
      <c r="Q70" s="6"/>
      <c r="R70" s="6"/>
      <c r="S70" s="6"/>
      <c r="T70" s="6"/>
      <c r="U70" s="40">
        <v>28</v>
      </c>
      <c r="V70" s="29">
        <f t="shared" si="0"/>
        <v>0</v>
      </c>
      <c r="W70" s="29"/>
      <c r="Y70" s="101" t="s">
        <v>23</v>
      </c>
      <c r="Z70" s="7" t="s">
        <v>8</v>
      </c>
      <c r="AA70" s="5">
        <f>V83+V110+V163+V171+V189+V193</f>
        <v>0</v>
      </c>
    </row>
    <row r="71" spans="3:27" ht="48.75" customHeight="1" x14ac:dyDescent="0.35">
      <c r="C71" s="40">
        <v>29</v>
      </c>
      <c r="D71" s="97" t="s">
        <v>52</v>
      </c>
      <c r="E71" s="98"/>
      <c r="F71" s="98"/>
      <c r="G71" s="98"/>
      <c r="H71" s="98"/>
      <c r="I71" s="98"/>
      <c r="J71" s="98"/>
      <c r="K71" s="98"/>
      <c r="L71" s="98"/>
      <c r="M71" s="98"/>
      <c r="N71" s="98"/>
      <c r="O71" s="98"/>
      <c r="P71" s="99"/>
      <c r="Q71" s="6"/>
      <c r="R71" s="6"/>
      <c r="S71" s="6"/>
      <c r="T71" s="6"/>
      <c r="U71" s="40">
        <v>29</v>
      </c>
      <c r="V71" s="29">
        <f t="shared" si="0"/>
        <v>0</v>
      </c>
      <c r="W71" s="29"/>
      <c r="Y71" s="102"/>
      <c r="Z71" s="8" t="s">
        <v>9</v>
      </c>
      <c r="AA71" s="5">
        <f>V70+V78+V80+V126+V139+V198</f>
        <v>1</v>
      </c>
    </row>
    <row r="72" spans="3:27" ht="21" customHeight="1" x14ac:dyDescent="0.35">
      <c r="C72" s="40">
        <v>30</v>
      </c>
      <c r="D72" s="97" t="s">
        <v>53</v>
      </c>
      <c r="E72" s="98"/>
      <c r="F72" s="98"/>
      <c r="G72" s="98"/>
      <c r="H72" s="98"/>
      <c r="I72" s="98"/>
      <c r="J72" s="98"/>
      <c r="K72" s="98"/>
      <c r="L72" s="98"/>
      <c r="M72" s="98"/>
      <c r="N72" s="98"/>
      <c r="O72" s="98"/>
      <c r="P72" s="99"/>
      <c r="Q72" s="6"/>
      <c r="R72" s="6"/>
      <c r="S72" s="6"/>
      <c r="T72" s="6"/>
      <c r="U72" s="40">
        <v>30</v>
      </c>
      <c r="V72" s="29">
        <f t="shared" si="0"/>
        <v>0</v>
      </c>
      <c r="W72" s="29"/>
      <c r="Y72" s="104" t="s">
        <v>24</v>
      </c>
      <c r="Z72" s="9" t="s">
        <v>8</v>
      </c>
      <c r="AA72" s="5">
        <f>V81+V153+V169+V181+V203+V213</f>
        <v>2</v>
      </c>
    </row>
    <row r="73" spans="3:27" ht="32.25" customHeight="1" x14ac:dyDescent="0.35">
      <c r="C73" s="40">
        <v>31</v>
      </c>
      <c r="D73" s="97" t="s">
        <v>54</v>
      </c>
      <c r="E73" s="98"/>
      <c r="F73" s="98"/>
      <c r="G73" s="98"/>
      <c r="H73" s="98"/>
      <c r="I73" s="98"/>
      <c r="J73" s="98"/>
      <c r="K73" s="98"/>
      <c r="L73" s="98"/>
      <c r="M73" s="98"/>
      <c r="N73" s="98"/>
      <c r="O73" s="98"/>
      <c r="P73" s="99"/>
      <c r="Q73" s="6"/>
      <c r="R73" s="6"/>
      <c r="S73" s="6"/>
      <c r="T73" s="6"/>
      <c r="U73" s="40">
        <v>31</v>
      </c>
      <c r="V73" s="29">
        <f t="shared" si="0"/>
        <v>0</v>
      </c>
      <c r="W73" s="29"/>
      <c r="Y73" s="102"/>
      <c r="Z73" s="8" t="s">
        <v>9</v>
      </c>
      <c r="AA73" s="5">
        <f>V52+V66+V72+V76+V100+V178</f>
        <v>0</v>
      </c>
    </row>
    <row r="74" spans="3:27" ht="21" customHeight="1" x14ac:dyDescent="0.35">
      <c r="C74" s="40">
        <v>32</v>
      </c>
      <c r="D74" s="97" t="s">
        <v>55</v>
      </c>
      <c r="E74" s="98"/>
      <c r="F74" s="98"/>
      <c r="G74" s="98"/>
      <c r="H74" s="98"/>
      <c r="I74" s="98"/>
      <c r="J74" s="98"/>
      <c r="K74" s="98"/>
      <c r="L74" s="98"/>
      <c r="M74" s="98"/>
      <c r="N74" s="98"/>
      <c r="O74" s="98"/>
      <c r="P74" s="99"/>
      <c r="Q74" s="6"/>
      <c r="R74" s="6"/>
      <c r="S74" s="6"/>
      <c r="T74" s="6"/>
      <c r="U74" s="40">
        <v>32</v>
      </c>
      <c r="V74" s="29">
        <f t="shared" si="0"/>
        <v>0</v>
      </c>
      <c r="W74" s="29"/>
    </row>
    <row r="75" spans="3:27" ht="32.25" customHeight="1" x14ac:dyDescent="0.35">
      <c r="C75" s="40">
        <v>33</v>
      </c>
      <c r="D75" s="97" t="s">
        <v>56</v>
      </c>
      <c r="E75" s="98"/>
      <c r="F75" s="98"/>
      <c r="G75" s="98"/>
      <c r="H75" s="98"/>
      <c r="I75" s="98"/>
      <c r="J75" s="98"/>
      <c r="K75" s="98"/>
      <c r="L75" s="98"/>
      <c r="M75" s="98"/>
      <c r="N75" s="98"/>
      <c r="O75" s="98"/>
      <c r="P75" s="99"/>
      <c r="Q75" s="6"/>
      <c r="R75" s="6"/>
      <c r="S75" s="6"/>
      <c r="T75" s="6"/>
      <c r="U75" s="40">
        <v>33</v>
      </c>
      <c r="V75" s="29">
        <f t="shared" ref="V75:V106" si="1">IF(Q75="x",2,IF(R75="x",1,IF(S75="x",0,IF(T75="x",0,0))))</f>
        <v>0</v>
      </c>
      <c r="W75" s="29"/>
    </row>
    <row r="76" spans="3:27" ht="21" customHeight="1" x14ac:dyDescent="0.35">
      <c r="C76" s="40">
        <v>34</v>
      </c>
      <c r="D76" s="97" t="s">
        <v>57</v>
      </c>
      <c r="E76" s="98"/>
      <c r="F76" s="98"/>
      <c r="G76" s="98"/>
      <c r="H76" s="98"/>
      <c r="I76" s="98"/>
      <c r="J76" s="98"/>
      <c r="K76" s="98"/>
      <c r="L76" s="98"/>
      <c r="M76" s="98"/>
      <c r="N76" s="98"/>
      <c r="O76" s="98"/>
      <c r="P76" s="99"/>
      <c r="Q76" s="6"/>
      <c r="R76" s="6"/>
      <c r="S76" s="6"/>
      <c r="T76" s="6"/>
      <c r="U76" s="40">
        <v>34</v>
      </c>
      <c r="V76" s="29">
        <f t="shared" si="1"/>
        <v>0</v>
      </c>
      <c r="W76" s="29"/>
    </row>
    <row r="77" spans="3:27" ht="32.25" customHeight="1" x14ac:dyDescent="0.35">
      <c r="C77" s="40">
        <v>35</v>
      </c>
      <c r="D77" s="97" t="s">
        <v>58</v>
      </c>
      <c r="E77" s="98"/>
      <c r="F77" s="98"/>
      <c r="G77" s="98"/>
      <c r="H77" s="98"/>
      <c r="I77" s="98"/>
      <c r="J77" s="98"/>
      <c r="K77" s="98"/>
      <c r="L77" s="98"/>
      <c r="M77" s="98"/>
      <c r="N77" s="98"/>
      <c r="O77" s="98"/>
      <c r="P77" s="99"/>
      <c r="Q77" s="6"/>
      <c r="R77" s="6"/>
      <c r="S77" s="6"/>
      <c r="T77" s="6"/>
      <c r="U77" s="40">
        <v>35</v>
      </c>
      <c r="V77" s="29">
        <f t="shared" si="1"/>
        <v>0</v>
      </c>
      <c r="W77" s="29"/>
    </row>
    <row r="78" spans="3:27" ht="21" customHeight="1" x14ac:dyDescent="0.35">
      <c r="C78" s="40">
        <v>36</v>
      </c>
      <c r="D78" s="97" t="s">
        <v>199</v>
      </c>
      <c r="E78" s="98"/>
      <c r="F78" s="98"/>
      <c r="G78" s="98"/>
      <c r="H78" s="98"/>
      <c r="I78" s="98"/>
      <c r="J78" s="98"/>
      <c r="K78" s="98"/>
      <c r="L78" s="98"/>
      <c r="M78" s="98"/>
      <c r="N78" s="98"/>
      <c r="O78" s="98"/>
      <c r="P78" s="99"/>
      <c r="Q78" s="6"/>
      <c r="R78" s="6"/>
      <c r="S78" s="6"/>
      <c r="T78" s="6"/>
      <c r="U78" s="40">
        <v>36</v>
      </c>
      <c r="V78" s="29">
        <f t="shared" si="1"/>
        <v>0</v>
      </c>
      <c r="W78" s="29"/>
    </row>
    <row r="79" spans="3:27" ht="32.25" customHeight="1" x14ac:dyDescent="0.35">
      <c r="C79" s="40">
        <v>37</v>
      </c>
      <c r="D79" s="97" t="s">
        <v>200</v>
      </c>
      <c r="E79" s="98"/>
      <c r="F79" s="98"/>
      <c r="G79" s="98"/>
      <c r="H79" s="98"/>
      <c r="I79" s="98"/>
      <c r="J79" s="98"/>
      <c r="K79" s="98"/>
      <c r="L79" s="98"/>
      <c r="M79" s="98"/>
      <c r="N79" s="98"/>
      <c r="O79" s="98"/>
      <c r="P79" s="99"/>
      <c r="Q79" s="6"/>
      <c r="R79" s="6"/>
      <c r="S79" s="6"/>
      <c r="T79" s="6"/>
      <c r="U79" s="40">
        <v>37</v>
      </c>
      <c r="V79" s="29">
        <f t="shared" si="1"/>
        <v>0</v>
      </c>
      <c r="W79" s="29"/>
    </row>
    <row r="80" spans="3:27" ht="21" customHeight="1" x14ac:dyDescent="0.35">
      <c r="C80" s="40">
        <v>38</v>
      </c>
      <c r="D80" s="97" t="s">
        <v>59</v>
      </c>
      <c r="E80" s="98"/>
      <c r="F80" s="98"/>
      <c r="G80" s="98"/>
      <c r="H80" s="98"/>
      <c r="I80" s="98"/>
      <c r="J80" s="98"/>
      <c r="K80" s="98"/>
      <c r="L80" s="98"/>
      <c r="M80" s="98"/>
      <c r="N80" s="98"/>
      <c r="O80" s="98"/>
      <c r="P80" s="99"/>
      <c r="Q80" s="6"/>
      <c r="R80" s="6"/>
      <c r="S80" s="6"/>
      <c r="T80" s="6"/>
      <c r="U80" s="40">
        <v>38</v>
      </c>
      <c r="V80" s="29">
        <f t="shared" si="1"/>
        <v>0</v>
      </c>
      <c r="W80" s="29"/>
    </row>
    <row r="81" spans="3:23" ht="36.75" customHeight="1" x14ac:dyDescent="0.35">
      <c r="C81" s="40">
        <v>39</v>
      </c>
      <c r="D81" s="97" t="s">
        <v>269</v>
      </c>
      <c r="E81" s="98"/>
      <c r="F81" s="98"/>
      <c r="G81" s="98"/>
      <c r="H81" s="98"/>
      <c r="I81" s="98"/>
      <c r="J81" s="98"/>
      <c r="K81" s="98"/>
      <c r="L81" s="98"/>
      <c r="M81" s="98"/>
      <c r="N81" s="98"/>
      <c r="O81" s="98"/>
      <c r="P81" s="99"/>
      <c r="Q81" s="6"/>
      <c r="R81" s="6"/>
      <c r="S81" s="6"/>
      <c r="T81" s="6"/>
      <c r="U81" s="40">
        <v>39</v>
      </c>
      <c r="V81" s="29">
        <f t="shared" si="1"/>
        <v>0</v>
      </c>
      <c r="W81" s="29"/>
    </row>
    <row r="82" spans="3:23" ht="21" customHeight="1" x14ac:dyDescent="0.35">
      <c r="C82" s="40">
        <v>40</v>
      </c>
      <c r="D82" s="97" t="s">
        <v>60</v>
      </c>
      <c r="E82" s="98"/>
      <c r="F82" s="98"/>
      <c r="G82" s="98"/>
      <c r="H82" s="98"/>
      <c r="I82" s="98"/>
      <c r="J82" s="98"/>
      <c r="K82" s="98"/>
      <c r="L82" s="98"/>
      <c r="M82" s="98"/>
      <c r="N82" s="98"/>
      <c r="O82" s="98"/>
      <c r="P82" s="99"/>
      <c r="Q82" s="6"/>
      <c r="R82" s="6"/>
      <c r="S82" s="6"/>
      <c r="T82" s="6"/>
      <c r="U82" s="40">
        <v>40</v>
      </c>
      <c r="V82" s="29">
        <f t="shared" si="1"/>
        <v>0</v>
      </c>
      <c r="W82" s="29"/>
    </row>
    <row r="83" spans="3:23" ht="36.75" customHeight="1" x14ac:dyDescent="0.35">
      <c r="C83" s="40">
        <v>41</v>
      </c>
      <c r="D83" s="97" t="s">
        <v>61</v>
      </c>
      <c r="E83" s="98"/>
      <c r="F83" s="98"/>
      <c r="G83" s="98"/>
      <c r="H83" s="98"/>
      <c r="I83" s="98"/>
      <c r="J83" s="98"/>
      <c r="K83" s="98"/>
      <c r="L83" s="98"/>
      <c r="M83" s="98"/>
      <c r="N83" s="98"/>
      <c r="O83" s="98"/>
      <c r="P83" s="99"/>
      <c r="Q83" s="6"/>
      <c r="R83" s="6"/>
      <c r="S83" s="6"/>
      <c r="T83" s="6"/>
      <c r="U83" s="40">
        <v>41</v>
      </c>
      <c r="V83" s="29">
        <f t="shared" si="1"/>
        <v>0</v>
      </c>
      <c r="W83" s="29"/>
    </row>
    <row r="84" spans="3:23" ht="21" customHeight="1" x14ac:dyDescent="0.35">
      <c r="C84" s="40">
        <v>42</v>
      </c>
      <c r="D84" s="97" t="s">
        <v>62</v>
      </c>
      <c r="E84" s="98"/>
      <c r="F84" s="98"/>
      <c r="G84" s="98"/>
      <c r="H84" s="98"/>
      <c r="I84" s="98"/>
      <c r="J84" s="98"/>
      <c r="K84" s="98"/>
      <c r="L84" s="98"/>
      <c r="M84" s="98"/>
      <c r="N84" s="98"/>
      <c r="O84" s="98"/>
      <c r="P84" s="99"/>
      <c r="Q84" s="6"/>
      <c r="R84" s="6"/>
      <c r="S84" s="6"/>
      <c r="T84" s="6"/>
      <c r="U84" s="40">
        <v>42</v>
      </c>
      <c r="V84" s="29">
        <f t="shared" si="1"/>
        <v>0</v>
      </c>
      <c r="W84" s="29"/>
    </row>
    <row r="85" spans="3:23" ht="32.25" customHeight="1" x14ac:dyDescent="0.35">
      <c r="C85" s="40">
        <v>43</v>
      </c>
      <c r="D85" s="97" t="s">
        <v>63</v>
      </c>
      <c r="E85" s="98"/>
      <c r="F85" s="98"/>
      <c r="G85" s="98"/>
      <c r="H85" s="98"/>
      <c r="I85" s="98"/>
      <c r="J85" s="98"/>
      <c r="K85" s="98"/>
      <c r="L85" s="98"/>
      <c r="M85" s="98"/>
      <c r="N85" s="98"/>
      <c r="O85" s="98"/>
      <c r="P85" s="99"/>
      <c r="Q85" s="6"/>
      <c r="R85" s="6"/>
      <c r="S85" s="6"/>
      <c r="T85" s="6"/>
      <c r="U85" s="40">
        <v>43</v>
      </c>
      <c r="V85" s="29">
        <f t="shared" si="1"/>
        <v>0</v>
      </c>
      <c r="W85" s="29"/>
    </row>
    <row r="86" spans="3:23" ht="21" customHeight="1" x14ac:dyDescent="0.35">
      <c r="C86" s="40">
        <v>44</v>
      </c>
      <c r="D86" s="97" t="s">
        <v>64</v>
      </c>
      <c r="E86" s="98"/>
      <c r="F86" s="98"/>
      <c r="G86" s="98"/>
      <c r="H86" s="98"/>
      <c r="I86" s="98"/>
      <c r="J86" s="98"/>
      <c r="K86" s="98"/>
      <c r="L86" s="98"/>
      <c r="M86" s="98"/>
      <c r="N86" s="98"/>
      <c r="O86" s="98"/>
      <c r="P86" s="99"/>
      <c r="Q86" s="6"/>
      <c r="R86" s="6"/>
      <c r="S86" s="6"/>
      <c r="T86" s="6"/>
      <c r="U86" s="40">
        <v>44</v>
      </c>
      <c r="V86" s="29">
        <f t="shared" si="1"/>
        <v>0</v>
      </c>
      <c r="W86" s="29"/>
    </row>
    <row r="87" spans="3:23" ht="48" customHeight="1" x14ac:dyDescent="0.35">
      <c r="C87" s="40">
        <v>45</v>
      </c>
      <c r="D87" s="97" t="s">
        <v>65</v>
      </c>
      <c r="E87" s="98"/>
      <c r="F87" s="98"/>
      <c r="G87" s="98"/>
      <c r="H87" s="98"/>
      <c r="I87" s="98"/>
      <c r="J87" s="98"/>
      <c r="K87" s="98"/>
      <c r="L87" s="98"/>
      <c r="M87" s="98"/>
      <c r="N87" s="98"/>
      <c r="O87" s="98"/>
      <c r="P87" s="99"/>
      <c r="Q87" s="6"/>
      <c r="R87" s="6"/>
      <c r="S87" s="6"/>
      <c r="T87" s="6"/>
      <c r="U87" s="40">
        <v>45</v>
      </c>
      <c r="V87" s="29">
        <f t="shared" si="1"/>
        <v>0</v>
      </c>
      <c r="W87" s="29"/>
    </row>
    <row r="88" spans="3:23" ht="21" customHeight="1" x14ac:dyDescent="0.35">
      <c r="C88" s="40">
        <v>46</v>
      </c>
      <c r="D88" s="97" t="s">
        <v>66</v>
      </c>
      <c r="E88" s="98"/>
      <c r="F88" s="98"/>
      <c r="G88" s="98"/>
      <c r="H88" s="98"/>
      <c r="I88" s="98"/>
      <c r="J88" s="98"/>
      <c r="K88" s="98"/>
      <c r="L88" s="98"/>
      <c r="M88" s="98"/>
      <c r="N88" s="98"/>
      <c r="O88" s="98"/>
      <c r="P88" s="99"/>
      <c r="Q88" s="6"/>
      <c r="R88" s="6"/>
      <c r="S88" s="6"/>
      <c r="T88" s="6"/>
      <c r="U88" s="40">
        <v>46</v>
      </c>
      <c r="V88" s="29">
        <f t="shared" si="1"/>
        <v>0</v>
      </c>
      <c r="W88" s="29"/>
    </row>
    <row r="89" spans="3:23" ht="36" customHeight="1" x14ac:dyDescent="0.35">
      <c r="C89" s="40">
        <v>47</v>
      </c>
      <c r="D89" s="97" t="s">
        <v>67</v>
      </c>
      <c r="E89" s="98"/>
      <c r="F89" s="98"/>
      <c r="G89" s="98"/>
      <c r="H89" s="98"/>
      <c r="I89" s="98"/>
      <c r="J89" s="98"/>
      <c r="K89" s="98"/>
      <c r="L89" s="98"/>
      <c r="M89" s="98"/>
      <c r="N89" s="98"/>
      <c r="O89" s="98"/>
      <c r="P89" s="99"/>
      <c r="Q89" s="6"/>
      <c r="R89" s="6"/>
      <c r="S89" s="6"/>
      <c r="T89" s="6"/>
      <c r="U89" s="40">
        <v>47</v>
      </c>
      <c r="V89" s="29">
        <f t="shared" si="1"/>
        <v>0</v>
      </c>
      <c r="W89" s="29"/>
    </row>
    <row r="90" spans="3:23" ht="21" customHeight="1" x14ac:dyDescent="0.35">
      <c r="C90" s="40">
        <v>48</v>
      </c>
      <c r="D90" s="97" t="s">
        <v>68</v>
      </c>
      <c r="E90" s="98"/>
      <c r="F90" s="98"/>
      <c r="G90" s="98"/>
      <c r="H90" s="98"/>
      <c r="I90" s="98"/>
      <c r="J90" s="98"/>
      <c r="K90" s="98"/>
      <c r="L90" s="98"/>
      <c r="M90" s="98"/>
      <c r="N90" s="98"/>
      <c r="O90" s="98"/>
      <c r="P90" s="99"/>
      <c r="Q90" s="6"/>
      <c r="R90" s="6"/>
      <c r="S90" s="6"/>
      <c r="T90" s="6"/>
      <c r="U90" s="40">
        <v>48</v>
      </c>
      <c r="V90" s="29">
        <f t="shared" si="1"/>
        <v>0</v>
      </c>
      <c r="W90" s="29"/>
    </row>
    <row r="91" spans="3:23" ht="32.25" customHeight="1" x14ac:dyDescent="0.35">
      <c r="C91" s="40">
        <v>49</v>
      </c>
      <c r="D91" s="97" t="s">
        <v>69</v>
      </c>
      <c r="E91" s="98"/>
      <c r="F91" s="98"/>
      <c r="G91" s="98"/>
      <c r="H91" s="98"/>
      <c r="I91" s="98"/>
      <c r="J91" s="98"/>
      <c r="K91" s="98"/>
      <c r="L91" s="98"/>
      <c r="M91" s="98"/>
      <c r="N91" s="98"/>
      <c r="O91" s="98"/>
      <c r="P91" s="99"/>
      <c r="Q91" s="6"/>
      <c r="R91" s="6"/>
      <c r="S91" s="6"/>
      <c r="T91" s="6"/>
      <c r="U91" s="40">
        <v>49</v>
      </c>
      <c r="V91" s="29">
        <f t="shared" si="1"/>
        <v>0</v>
      </c>
      <c r="W91" s="29"/>
    </row>
    <row r="92" spans="3:23" ht="21" customHeight="1" x14ac:dyDescent="0.35">
      <c r="C92" s="40">
        <v>50</v>
      </c>
      <c r="D92" s="97" t="s">
        <v>70</v>
      </c>
      <c r="E92" s="98"/>
      <c r="F92" s="98"/>
      <c r="G92" s="98"/>
      <c r="H92" s="98"/>
      <c r="I92" s="98"/>
      <c r="J92" s="98"/>
      <c r="K92" s="98"/>
      <c r="L92" s="98"/>
      <c r="M92" s="98"/>
      <c r="N92" s="98"/>
      <c r="O92" s="98"/>
      <c r="P92" s="99"/>
      <c r="Q92" s="6"/>
      <c r="R92" s="6"/>
      <c r="S92" s="6"/>
      <c r="T92" s="6"/>
      <c r="U92" s="40">
        <v>50</v>
      </c>
      <c r="V92" s="29">
        <f t="shared" si="1"/>
        <v>0</v>
      </c>
      <c r="W92" s="29"/>
    </row>
    <row r="93" spans="3:23" ht="46.5" customHeight="1" x14ac:dyDescent="0.35">
      <c r="C93" s="40">
        <v>51</v>
      </c>
      <c r="D93" s="97" t="s">
        <v>71</v>
      </c>
      <c r="E93" s="98"/>
      <c r="F93" s="98"/>
      <c r="G93" s="98"/>
      <c r="H93" s="98"/>
      <c r="I93" s="98"/>
      <c r="J93" s="98"/>
      <c r="K93" s="98"/>
      <c r="L93" s="98"/>
      <c r="M93" s="98"/>
      <c r="N93" s="98"/>
      <c r="O93" s="98"/>
      <c r="P93" s="99"/>
      <c r="Q93" s="6"/>
      <c r="R93" s="6"/>
      <c r="S93" s="6"/>
      <c r="T93" s="6"/>
      <c r="U93" s="40">
        <v>51</v>
      </c>
      <c r="V93" s="29">
        <f t="shared" si="1"/>
        <v>0</v>
      </c>
      <c r="W93" s="29"/>
    </row>
    <row r="94" spans="3:23" ht="21" customHeight="1" x14ac:dyDescent="0.35">
      <c r="C94" s="40">
        <v>52</v>
      </c>
      <c r="D94" s="97" t="s">
        <v>72</v>
      </c>
      <c r="E94" s="98"/>
      <c r="F94" s="98"/>
      <c r="G94" s="98"/>
      <c r="H94" s="98"/>
      <c r="I94" s="98"/>
      <c r="J94" s="98"/>
      <c r="K94" s="98"/>
      <c r="L94" s="98"/>
      <c r="M94" s="98"/>
      <c r="N94" s="98"/>
      <c r="O94" s="98"/>
      <c r="P94" s="99"/>
      <c r="Q94" s="6"/>
      <c r="R94" s="6"/>
      <c r="S94" s="6"/>
      <c r="T94" s="6"/>
      <c r="U94" s="40">
        <v>52</v>
      </c>
      <c r="V94" s="29">
        <f t="shared" si="1"/>
        <v>0</v>
      </c>
      <c r="W94" s="29"/>
    </row>
    <row r="95" spans="3:23" ht="21" customHeight="1" x14ac:dyDescent="0.35">
      <c r="C95" s="40">
        <v>53</v>
      </c>
      <c r="D95" s="97" t="s">
        <v>73</v>
      </c>
      <c r="E95" s="98"/>
      <c r="F95" s="98"/>
      <c r="G95" s="98"/>
      <c r="H95" s="98"/>
      <c r="I95" s="98"/>
      <c r="J95" s="98"/>
      <c r="K95" s="98"/>
      <c r="L95" s="98"/>
      <c r="M95" s="98"/>
      <c r="N95" s="98"/>
      <c r="O95" s="98"/>
      <c r="P95" s="99"/>
      <c r="Q95" s="6"/>
      <c r="R95" s="6"/>
      <c r="S95" s="6"/>
      <c r="T95" s="6"/>
      <c r="U95" s="40">
        <v>53</v>
      </c>
      <c r="V95" s="29">
        <f t="shared" si="1"/>
        <v>0</v>
      </c>
      <c r="W95" s="29"/>
    </row>
    <row r="96" spans="3:23" ht="21" customHeight="1" x14ac:dyDescent="0.35">
      <c r="C96" s="40">
        <v>54</v>
      </c>
      <c r="D96" s="97" t="s">
        <v>74</v>
      </c>
      <c r="E96" s="98"/>
      <c r="F96" s="98"/>
      <c r="G96" s="98"/>
      <c r="H96" s="98"/>
      <c r="I96" s="98"/>
      <c r="J96" s="98"/>
      <c r="K96" s="98"/>
      <c r="L96" s="98"/>
      <c r="M96" s="98"/>
      <c r="N96" s="98"/>
      <c r="O96" s="98"/>
      <c r="P96" s="99"/>
      <c r="Q96" s="6"/>
      <c r="R96" s="6"/>
      <c r="S96" s="6"/>
      <c r="T96" s="6"/>
      <c r="U96" s="40">
        <v>54</v>
      </c>
      <c r="V96" s="29">
        <f t="shared" si="1"/>
        <v>0</v>
      </c>
      <c r="W96" s="29"/>
    </row>
    <row r="97" spans="3:23" ht="32.25" customHeight="1" x14ac:dyDescent="0.35">
      <c r="C97" s="40">
        <v>55</v>
      </c>
      <c r="D97" s="97" t="s">
        <v>75</v>
      </c>
      <c r="E97" s="98"/>
      <c r="F97" s="98"/>
      <c r="G97" s="98"/>
      <c r="H97" s="98"/>
      <c r="I97" s="98"/>
      <c r="J97" s="98"/>
      <c r="K97" s="98"/>
      <c r="L97" s="98"/>
      <c r="M97" s="98"/>
      <c r="N97" s="98"/>
      <c r="O97" s="98"/>
      <c r="P97" s="99"/>
      <c r="Q97" s="6"/>
      <c r="R97" s="6"/>
      <c r="S97" s="6"/>
      <c r="T97" s="6"/>
      <c r="U97" s="40">
        <v>55</v>
      </c>
      <c r="V97" s="29">
        <f t="shared" si="1"/>
        <v>0</v>
      </c>
      <c r="W97" s="29"/>
    </row>
    <row r="98" spans="3:23" ht="21" customHeight="1" x14ac:dyDescent="0.35">
      <c r="C98" s="40">
        <v>56</v>
      </c>
      <c r="D98" s="97" t="s">
        <v>76</v>
      </c>
      <c r="E98" s="98"/>
      <c r="F98" s="98"/>
      <c r="G98" s="98"/>
      <c r="H98" s="98"/>
      <c r="I98" s="98"/>
      <c r="J98" s="98"/>
      <c r="K98" s="98"/>
      <c r="L98" s="98"/>
      <c r="M98" s="98"/>
      <c r="N98" s="98"/>
      <c r="O98" s="98"/>
      <c r="P98" s="99"/>
      <c r="Q98" s="6"/>
      <c r="R98" s="6"/>
      <c r="S98" s="6"/>
      <c r="T98" s="6"/>
      <c r="U98" s="40">
        <v>56</v>
      </c>
      <c r="V98" s="29">
        <f t="shared" si="1"/>
        <v>0</v>
      </c>
      <c r="W98" s="29"/>
    </row>
    <row r="99" spans="3:23" ht="32.25" customHeight="1" x14ac:dyDescent="0.35">
      <c r="C99" s="40">
        <v>57</v>
      </c>
      <c r="D99" s="97" t="s">
        <v>77</v>
      </c>
      <c r="E99" s="98"/>
      <c r="F99" s="98"/>
      <c r="G99" s="98"/>
      <c r="H99" s="98"/>
      <c r="I99" s="98"/>
      <c r="J99" s="98"/>
      <c r="K99" s="98"/>
      <c r="L99" s="98"/>
      <c r="M99" s="98"/>
      <c r="N99" s="98"/>
      <c r="O99" s="98"/>
      <c r="P99" s="99"/>
      <c r="Q99" s="6"/>
      <c r="R99" s="6"/>
      <c r="S99" s="6"/>
      <c r="T99" s="6"/>
      <c r="U99" s="40">
        <v>57</v>
      </c>
      <c r="V99" s="29">
        <f t="shared" si="1"/>
        <v>0</v>
      </c>
      <c r="W99" s="29"/>
    </row>
    <row r="100" spans="3:23" ht="21" customHeight="1" x14ac:dyDescent="0.35">
      <c r="C100" s="40">
        <v>58</v>
      </c>
      <c r="D100" s="97" t="s">
        <v>78</v>
      </c>
      <c r="E100" s="98"/>
      <c r="F100" s="98"/>
      <c r="G100" s="98"/>
      <c r="H100" s="98"/>
      <c r="I100" s="98"/>
      <c r="J100" s="98"/>
      <c r="K100" s="98"/>
      <c r="L100" s="98"/>
      <c r="M100" s="98"/>
      <c r="N100" s="98"/>
      <c r="O100" s="98"/>
      <c r="P100" s="99"/>
      <c r="Q100" s="6"/>
      <c r="R100" s="6"/>
      <c r="S100" s="6"/>
      <c r="T100" s="6"/>
      <c r="U100" s="40">
        <v>58</v>
      </c>
      <c r="V100" s="29">
        <f t="shared" si="1"/>
        <v>0</v>
      </c>
      <c r="W100" s="29"/>
    </row>
    <row r="101" spans="3:23" ht="47.25" customHeight="1" x14ac:dyDescent="0.35">
      <c r="C101" s="40">
        <v>59</v>
      </c>
      <c r="D101" s="97" t="s">
        <v>79</v>
      </c>
      <c r="E101" s="98"/>
      <c r="F101" s="98"/>
      <c r="G101" s="98"/>
      <c r="H101" s="98"/>
      <c r="I101" s="98"/>
      <c r="J101" s="98"/>
      <c r="K101" s="98"/>
      <c r="L101" s="98"/>
      <c r="M101" s="98"/>
      <c r="N101" s="98"/>
      <c r="O101" s="98"/>
      <c r="P101" s="99"/>
      <c r="Q101" s="6"/>
      <c r="R101" s="6"/>
      <c r="S101" s="6"/>
      <c r="T101" s="6"/>
      <c r="U101" s="40">
        <v>59</v>
      </c>
      <c r="V101" s="29">
        <f t="shared" si="1"/>
        <v>0</v>
      </c>
      <c r="W101" s="29"/>
    </row>
    <row r="102" spans="3:23" ht="20.25" customHeight="1" x14ac:dyDescent="0.35">
      <c r="C102" s="40">
        <v>60</v>
      </c>
      <c r="D102" s="97" t="s">
        <v>80</v>
      </c>
      <c r="E102" s="98"/>
      <c r="F102" s="98" t="str" cm="1">
        <f t="array" ref="F102">"Antes de proceder a la interpretación, se realizan algunas comprobaciones para determinar el cuidado o la atención que "&amp;K3&amp;" ha puesto al responder al inventario."&amp;CHAR(10)&amp;CHAR(10)&amp;"Número de respuestas anotadas: "&amp;SUMPRODUCT(SIGN((Cuadernillo!Q43:Q222="X")+(Cuadernillo!Q43:Q222="x")+(Cuadernillo!R43:R222="X")+(Cuadernillo!R43:R222="x")+(Cuadernillo!S43:S222="X")+(Cuadernillo!S43:S222="x")+(Cuadernillo!T43:T222="X")+(Cuadernillo!T43:T222="x")))&amp;" de 180 elementos ("&amp;ROUND(SUMPRODUCT(SIGN((Cuadernillo!Q43:Q222="X")+(Cuadernillo!Q43:Q222="x")+(Cuadernillo!R43:R222="X")+(Cuadernillo!R43:R222="x")+(Cuadernillo!S43:S222="X")+(Cuadernillo!S43:S222="x")+(Cuadernillo!T43:T222="X")+(Cuadernillo!T43:T222="x")))/180*100,1)&amp;"%)."&amp;CHAR(10)&amp;"Distribución de respuestas: A="&amp;(COUNTIF(Cuadernillo!Q43:Q222,"X")+COUNTIF(Cuadernillo!Q43:Q222,"x"))&amp;" | B="&amp;(COUNTIF(Cuadernillo!R43:R222,"X")+COUNTIF(Cuadernillo!R43:R222,"x"))&amp;" | C="&amp;(COUNTIF(Cuadernillo!S43:S222,"X")+COUNTIF(Cuadernillo!S43:S222,"x"))&amp;" | D="&amp;(COUNTIF(Cuadernillo!T43:T222,"X")+COUNTIF(Cuadernillo!T43:T222,"x"))&amp;CHAR(10)&amp;CHAR(10)&amp;IF(SUMPRODUCT(SIGN((Cuadernillo!Q43:Q222="X")+(Cuadernillo!Q43:Q222="x")+(Cuadernillo!R43:R222="X")+(Cuadernillo!R43:R222="x")+(Cuadernillo!S43:S222="X")+(Cuadernillo!S43:S222="x")+(Cuadernillo!T43:T222="X")+(Cuadernillo!T43:T222="x")))&lt;90,"⚠️ ATENCIÓN: El porcentaje de respuestas es inferior al 50%. Se considera que el resultado NO es adecuado para una interpretación. Se recomienda repetir la aplicación.",IF(SUMPRODUCT(SIGN((Cuadernillo!Q43:Q222="X")+(Cuadernillo!Q43:Q222="x")+(Cuadernillo!R43:R222="X")+(Cuadernillo!R43:R222="x")+(Cuadernillo!S43:S222="X")+(Cuadernillo!S43:S222="x")+(Cuadernillo!T43:T222="X")+(Cuadernillo!T43:T222="x")))&lt;126,"⚠️ PRECAUCIÓN: El porcentaje de respuestas es inferior al 70% (126 elementos). La interpretación debe hacerse con cautela.","✅ El número de respuestas es adecuado para una interpretación válida (≥70%)."))</f>
        <v>Antes de proceder a la interpretación, se realizan algunas comprobaciones para determinar el cuidado o la atención que  ha puesto al responder al inventario.
Número de respuestas anotadas: 44 de 180 elementos (24.4%).
Distribución de respuestas: A=2 | B=30 | C=42 | D=14
⚠️ ATENCIÓN: El porcentaje de respuestas es inferior al 50%. Se considera que el resultado NO es adecuado para una interpretación. Se recomienda repetir la aplicación.</v>
      </c>
      <c r="G102" s="98"/>
      <c r="H102" s="98"/>
      <c r="I102" s="98"/>
      <c r="J102" s="98"/>
      <c r="K102" s="98"/>
      <c r="L102" s="98"/>
      <c r="M102" s="98"/>
      <c r="N102" s="98"/>
      <c r="O102" s="98"/>
      <c r="P102" s="99"/>
      <c r="Q102" s="6"/>
      <c r="R102" s="6"/>
      <c r="S102" s="6"/>
      <c r="T102" s="6"/>
      <c r="U102" s="40">
        <v>60</v>
      </c>
      <c r="V102" s="29">
        <f t="shared" si="1"/>
        <v>0</v>
      </c>
      <c r="W102" s="29"/>
    </row>
    <row r="103" spans="3:23" ht="32.25" customHeight="1" x14ac:dyDescent="0.35">
      <c r="C103" s="40">
        <v>61</v>
      </c>
      <c r="D103" s="97" t="s">
        <v>81</v>
      </c>
      <c r="E103" s="98"/>
      <c r="F103" s="98"/>
      <c r="G103" s="98"/>
      <c r="H103" s="98"/>
      <c r="I103" s="98"/>
      <c r="J103" s="98"/>
      <c r="K103" s="98"/>
      <c r="L103" s="98"/>
      <c r="M103" s="98"/>
      <c r="N103" s="98"/>
      <c r="O103" s="98"/>
      <c r="P103" s="99"/>
      <c r="Q103" s="6"/>
      <c r="R103" s="6"/>
      <c r="S103" s="6"/>
      <c r="T103" s="6"/>
      <c r="U103" s="40">
        <v>61</v>
      </c>
      <c r="V103" s="29">
        <f t="shared" si="1"/>
        <v>0</v>
      </c>
      <c r="W103" s="29"/>
    </row>
    <row r="104" spans="3:23" ht="21" customHeight="1" x14ac:dyDescent="0.35">
      <c r="C104" s="40">
        <v>62</v>
      </c>
      <c r="D104" s="97" t="s">
        <v>6</v>
      </c>
      <c r="E104" s="98"/>
      <c r="F104" s="98"/>
      <c r="G104" s="98"/>
      <c r="H104" s="98"/>
      <c r="I104" s="98"/>
      <c r="J104" s="98"/>
      <c r="K104" s="98"/>
      <c r="L104" s="98"/>
      <c r="M104" s="98"/>
      <c r="N104" s="98"/>
      <c r="O104" s="98"/>
      <c r="P104" s="99"/>
      <c r="Q104" s="6"/>
      <c r="R104" s="6"/>
      <c r="S104" s="6"/>
      <c r="T104" s="6"/>
      <c r="U104" s="40">
        <v>62</v>
      </c>
      <c r="V104" s="29">
        <f t="shared" si="1"/>
        <v>0</v>
      </c>
      <c r="W104" s="29"/>
    </row>
    <row r="105" spans="3:23" ht="21" customHeight="1" x14ac:dyDescent="0.35">
      <c r="C105" s="40">
        <v>63</v>
      </c>
      <c r="D105" s="97" t="s">
        <v>82</v>
      </c>
      <c r="E105" s="98"/>
      <c r="F105" s="98"/>
      <c r="G105" s="98"/>
      <c r="H105" s="98"/>
      <c r="I105" s="98"/>
      <c r="J105" s="98"/>
      <c r="K105" s="98"/>
      <c r="L105" s="98"/>
      <c r="M105" s="98"/>
      <c r="N105" s="98"/>
      <c r="O105" s="98"/>
      <c r="P105" s="99"/>
      <c r="Q105" s="6"/>
      <c r="R105" s="6"/>
      <c r="S105" s="6"/>
      <c r="T105" s="6"/>
      <c r="U105" s="40">
        <v>63</v>
      </c>
      <c r="V105" s="29">
        <f t="shared" si="1"/>
        <v>0</v>
      </c>
      <c r="W105" s="29"/>
    </row>
    <row r="106" spans="3:23" ht="21" customHeight="1" x14ac:dyDescent="0.35">
      <c r="C106" s="40">
        <v>64</v>
      </c>
      <c r="D106" s="97" t="s">
        <v>83</v>
      </c>
      <c r="E106" s="98"/>
      <c r="F106" s="98"/>
      <c r="G106" s="98"/>
      <c r="H106" s="98"/>
      <c r="I106" s="98"/>
      <c r="J106" s="98"/>
      <c r="K106" s="98"/>
      <c r="L106" s="98"/>
      <c r="M106" s="98"/>
      <c r="N106" s="98"/>
      <c r="O106" s="98"/>
      <c r="P106" s="99"/>
      <c r="Q106" s="6"/>
      <c r="R106" s="6"/>
      <c r="S106" s="6"/>
      <c r="T106" s="6"/>
      <c r="U106" s="40">
        <v>64</v>
      </c>
      <c r="V106" s="29">
        <f t="shared" si="1"/>
        <v>0</v>
      </c>
      <c r="W106" s="29"/>
    </row>
    <row r="107" spans="3:23" ht="32.25" customHeight="1" x14ac:dyDescent="0.35">
      <c r="C107" s="40">
        <v>65</v>
      </c>
      <c r="D107" s="97" t="s">
        <v>84</v>
      </c>
      <c r="E107" s="98"/>
      <c r="F107" s="98"/>
      <c r="G107" s="98"/>
      <c r="H107" s="98"/>
      <c r="I107" s="98"/>
      <c r="J107" s="98"/>
      <c r="K107" s="98"/>
      <c r="L107" s="98"/>
      <c r="M107" s="98"/>
      <c r="N107" s="98"/>
      <c r="O107" s="98"/>
      <c r="P107" s="99"/>
      <c r="Q107" s="6"/>
      <c r="R107" s="6"/>
      <c r="S107" s="6"/>
      <c r="T107" s="6"/>
      <c r="U107" s="40">
        <v>65</v>
      </c>
      <c r="V107" s="29">
        <f t="shared" ref="V107:V138" si="2">IF(Q107="x",2,IF(R107="x",1,IF(S107="x",0,IF(T107="x",0,0))))</f>
        <v>0</v>
      </c>
      <c r="W107" s="29"/>
    </row>
    <row r="108" spans="3:23" ht="21" customHeight="1" x14ac:dyDescent="0.35">
      <c r="C108" s="40">
        <v>66</v>
      </c>
      <c r="D108" s="97" t="s">
        <v>85</v>
      </c>
      <c r="E108" s="98"/>
      <c r="F108" s="98"/>
      <c r="G108" s="98"/>
      <c r="H108" s="98"/>
      <c r="I108" s="98"/>
      <c r="J108" s="98"/>
      <c r="K108" s="98"/>
      <c r="L108" s="98"/>
      <c r="M108" s="98"/>
      <c r="N108" s="98"/>
      <c r="O108" s="98"/>
      <c r="P108" s="99"/>
      <c r="Q108" s="6"/>
      <c r="R108" s="6"/>
      <c r="S108" s="6"/>
      <c r="T108" s="6"/>
      <c r="U108" s="40">
        <v>66</v>
      </c>
      <c r="V108" s="29">
        <f t="shared" si="2"/>
        <v>0</v>
      </c>
      <c r="W108" s="29"/>
    </row>
    <row r="109" spans="3:23" ht="36" customHeight="1" x14ac:dyDescent="0.35">
      <c r="C109" s="40">
        <v>67</v>
      </c>
      <c r="D109" s="97" t="s">
        <v>86</v>
      </c>
      <c r="E109" s="98"/>
      <c r="F109" s="98"/>
      <c r="G109" s="98"/>
      <c r="H109" s="98"/>
      <c r="I109" s="98"/>
      <c r="J109" s="98"/>
      <c r="K109" s="98"/>
      <c r="L109" s="98"/>
      <c r="M109" s="98"/>
      <c r="N109" s="98"/>
      <c r="O109" s="98"/>
      <c r="P109" s="99"/>
      <c r="Q109" s="6"/>
      <c r="R109" s="6"/>
      <c r="S109" s="6"/>
      <c r="T109" s="6"/>
      <c r="U109" s="40">
        <v>67</v>
      </c>
      <c r="V109" s="29">
        <f t="shared" si="2"/>
        <v>0</v>
      </c>
      <c r="W109" s="29"/>
    </row>
    <row r="110" spans="3:23" ht="21" customHeight="1" x14ac:dyDescent="0.35">
      <c r="C110" s="40">
        <v>68</v>
      </c>
      <c r="D110" s="97" t="s">
        <v>87</v>
      </c>
      <c r="E110" s="98"/>
      <c r="F110" s="98"/>
      <c r="G110" s="98"/>
      <c r="H110" s="98"/>
      <c r="I110" s="98"/>
      <c r="J110" s="98"/>
      <c r="K110" s="98"/>
      <c r="L110" s="98"/>
      <c r="M110" s="98"/>
      <c r="N110" s="98"/>
      <c r="O110" s="98"/>
      <c r="P110" s="99"/>
      <c r="Q110" s="6"/>
      <c r="R110" s="6"/>
      <c r="S110" s="6"/>
      <c r="T110" s="6"/>
      <c r="U110" s="40">
        <v>68</v>
      </c>
      <c r="V110" s="29">
        <f t="shared" si="2"/>
        <v>0</v>
      </c>
      <c r="W110" s="29"/>
    </row>
    <row r="111" spans="3:23" ht="32.25" customHeight="1" x14ac:dyDescent="0.35">
      <c r="C111" s="40">
        <v>69</v>
      </c>
      <c r="D111" s="97" t="s">
        <v>88</v>
      </c>
      <c r="E111" s="98"/>
      <c r="F111" s="98"/>
      <c r="G111" s="98"/>
      <c r="H111" s="98"/>
      <c r="I111" s="98"/>
      <c r="J111" s="98"/>
      <c r="K111" s="98"/>
      <c r="L111" s="98"/>
      <c r="M111" s="98"/>
      <c r="N111" s="98"/>
      <c r="O111" s="98"/>
      <c r="P111" s="99"/>
      <c r="Q111" s="6"/>
      <c r="R111" s="6"/>
      <c r="S111" s="6"/>
      <c r="T111" s="6"/>
      <c r="U111" s="40">
        <v>69</v>
      </c>
      <c r="V111" s="29">
        <f t="shared" si="2"/>
        <v>0</v>
      </c>
      <c r="W111" s="29"/>
    </row>
    <row r="112" spans="3:23" ht="21" customHeight="1" x14ac:dyDescent="0.35">
      <c r="C112" s="40">
        <v>70</v>
      </c>
      <c r="D112" s="97" t="s">
        <v>89</v>
      </c>
      <c r="E112" s="98"/>
      <c r="F112" s="98"/>
      <c r="G112" s="98"/>
      <c r="H112" s="98"/>
      <c r="I112" s="98"/>
      <c r="J112" s="98"/>
      <c r="K112" s="98"/>
      <c r="L112" s="98"/>
      <c r="M112" s="98"/>
      <c r="N112" s="98"/>
      <c r="O112" s="98"/>
      <c r="P112" s="99"/>
      <c r="Q112" s="6"/>
      <c r="R112" s="6"/>
      <c r="S112" s="6"/>
      <c r="T112" s="6"/>
      <c r="U112" s="40">
        <v>70</v>
      </c>
      <c r="V112" s="29">
        <f t="shared" si="2"/>
        <v>0</v>
      </c>
      <c r="W112" s="29"/>
    </row>
    <row r="113" spans="3:25" ht="32.25" customHeight="1" x14ac:dyDescent="0.35">
      <c r="C113" s="40">
        <v>71</v>
      </c>
      <c r="D113" s="97" t="s">
        <v>90</v>
      </c>
      <c r="E113" s="98"/>
      <c r="F113" s="98"/>
      <c r="G113" s="98"/>
      <c r="H113" s="98"/>
      <c r="I113" s="98"/>
      <c r="J113" s="98"/>
      <c r="K113" s="98"/>
      <c r="L113" s="98"/>
      <c r="M113" s="98"/>
      <c r="N113" s="98"/>
      <c r="O113" s="98"/>
      <c r="P113" s="99"/>
      <c r="Q113" s="6"/>
      <c r="R113" s="6"/>
      <c r="S113" s="6"/>
      <c r="T113" s="6"/>
      <c r="U113" s="40">
        <v>71</v>
      </c>
      <c r="V113" s="29">
        <f t="shared" si="2"/>
        <v>0</v>
      </c>
      <c r="W113" s="29"/>
    </row>
    <row r="114" spans="3:25" ht="21" customHeight="1" x14ac:dyDescent="0.35">
      <c r="C114" s="40">
        <v>72</v>
      </c>
      <c r="D114" s="97" t="s">
        <v>91</v>
      </c>
      <c r="E114" s="98"/>
      <c r="F114" s="98"/>
      <c r="G114" s="98"/>
      <c r="H114" s="98"/>
      <c r="I114" s="98"/>
      <c r="J114" s="98"/>
      <c r="K114" s="98"/>
      <c r="L114" s="98"/>
      <c r="M114" s="98"/>
      <c r="N114" s="98"/>
      <c r="O114" s="98"/>
      <c r="P114" s="99"/>
      <c r="Q114" s="6"/>
      <c r="R114" s="6"/>
      <c r="S114" s="6"/>
      <c r="T114" s="6"/>
      <c r="U114" s="40">
        <v>72</v>
      </c>
      <c r="V114" s="29">
        <f t="shared" si="2"/>
        <v>0</v>
      </c>
      <c r="W114" s="29"/>
    </row>
    <row r="115" spans="3:25" ht="48.75" customHeight="1" x14ac:dyDescent="0.35">
      <c r="C115" s="40">
        <v>73</v>
      </c>
      <c r="D115" s="97" t="s">
        <v>92</v>
      </c>
      <c r="E115" s="98"/>
      <c r="F115" s="98"/>
      <c r="G115" s="98"/>
      <c r="H115" s="98"/>
      <c r="I115" s="98"/>
      <c r="J115" s="98"/>
      <c r="K115" s="98"/>
      <c r="L115" s="98"/>
      <c r="M115" s="98"/>
      <c r="N115" s="98"/>
      <c r="O115" s="98"/>
      <c r="P115" s="99"/>
      <c r="Q115" s="6"/>
      <c r="R115" s="6"/>
      <c r="S115" s="6"/>
      <c r="T115" s="6"/>
      <c r="U115" s="40">
        <v>73</v>
      </c>
      <c r="V115" s="29">
        <f t="shared" si="2"/>
        <v>0</v>
      </c>
      <c r="W115" s="29"/>
      <c r="Y115" s="5" t="s">
        <v>339</v>
      </c>
    </row>
    <row r="116" spans="3:25" ht="21" customHeight="1" x14ac:dyDescent="0.35">
      <c r="C116" s="40">
        <v>74</v>
      </c>
      <c r="D116" s="97" t="s">
        <v>93</v>
      </c>
      <c r="E116" s="98"/>
      <c r="F116" s="98"/>
      <c r="G116" s="98"/>
      <c r="H116" s="98"/>
      <c r="I116" s="98"/>
      <c r="J116" s="98"/>
      <c r="K116" s="98"/>
      <c r="L116" s="98"/>
      <c r="M116" s="98"/>
      <c r="N116" s="98"/>
      <c r="O116" s="98"/>
      <c r="P116" s="99"/>
      <c r="Q116" s="6"/>
      <c r="R116" s="6"/>
      <c r="S116" s="6"/>
      <c r="T116" s="6"/>
      <c r="U116" s="40">
        <v>74</v>
      </c>
      <c r="V116" s="29">
        <f t="shared" si="2"/>
        <v>0</v>
      </c>
      <c r="W116" s="29"/>
    </row>
    <row r="117" spans="3:25" ht="21" customHeight="1" x14ac:dyDescent="0.35">
      <c r="C117" s="40">
        <v>75</v>
      </c>
      <c r="D117" s="41" t="s">
        <v>94</v>
      </c>
      <c r="E117" s="42"/>
      <c r="F117" s="43"/>
      <c r="G117" s="43"/>
      <c r="H117" s="43"/>
      <c r="I117" s="43"/>
      <c r="J117" s="43"/>
      <c r="K117" s="43"/>
      <c r="L117" s="43"/>
      <c r="M117" s="43"/>
      <c r="N117" s="43"/>
      <c r="O117" s="43"/>
      <c r="P117" s="44"/>
      <c r="Q117" s="30"/>
      <c r="R117" s="30"/>
      <c r="S117" s="30"/>
      <c r="T117" s="30"/>
      <c r="U117" s="45">
        <v>75</v>
      </c>
      <c r="V117" s="31">
        <f t="shared" si="2"/>
        <v>0</v>
      </c>
      <c r="W117" s="31"/>
    </row>
    <row r="118" spans="3:25" ht="21" customHeight="1" x14ac:dyDescent="0.35">
      <c r="C118" s="40">
        <v>76</v>
      </c>
      <c r="D118" s="97" t="s">
        <v>95</v>
      </c>
      <c r="E118" s="98"/>
      <c r="F118" s="98"/>
      <c r="G118" s="98"/>
      <c r="H118" s="98"/>
      <c r="I118" s="98"/>
      <c r="J118" s="98"/>
      <c r="K118" s="98"/>
      <c r="L118" s="98"/>
      <c r="M118" s="98"/>
      <c r="N118" s="98"/>
      <c r="O118" s="98"/>
      <c r="P118" s="99"/>
      <c r="Q118" s="6"/>
      <c r="R118" s="6"/>
      <c r="S118" s="6"/>
      <c r="T118" s="6"/>
      <c r="U118" s="40">
        <v>76</v>
      </c>
      <c r="V118" s="29">
        <f t="shared" si="2"/>
        <v>0</v>
      </c>
      <c r="W118" s="29"/>
    </row>
    <row r="119" spans="3:25" ht="32.25" customHeight="1" x14ac:dyDescent="0.35">
      <c r="C119" s="40">
        <v>77</v>
      </c>
      <c r="D119" s="97" t="s">
        <v>96</v>
      </c>
      <c r="E119" s="98"/>
      <c r="F119" s="98"/>
      <c r="G119" s="98"/>
      <c r="H119" s="98"/>
      <c r="I119" s="98"/>
      <c r="J119" s="98"/>
      <c r="K119" s="98"/>
      <c r="L119" s="98"/>
      <c r="M119" s="98"/>
      <c r="N119" s="98"/>
      <c r="O119" s="98"/>
      <c r="P119" s="99"/>
      <c r="Q119" s="6"/>
      <c r="R119" s="6"/>
      <c r="S119" s="6"/>
      <c r="T119" s="6"/>
      <c r="U119" s="40">
        <v>77</v>
      </c>
      <c r="V119" s="29">
        <f t="shared" si="2"/>
        <v>0</v>
      </c>
      <c r="W119" s="29"/>
    </row>
    <row r="120" spans="3:25" ht="21" customHeight="1" x14ac:dyDescent="0.35">
      <c r="C120" s="40">
        <v>78</v>
      </c>
      <c r="D120" s="97" t="s">
        <v>97</v>
      </c>
      <c r="E120" s="98"/>
      <c r="F120" s="98"/>
      <c r="G120" s="98"/>
      <c r="H120" s="98"/>
      <c r="I120" s="98"/>
      <c r="J120" s="98"/>
      <c r="K120" s="98"/>
      <c r="L120" s="98"/>
      <c r="M120" s="98"/>
      <c r="N120" s="98"/>
      <c r="O120" s="98"/>
      <c r="P120" s="99"/>
      <c r="Q120" s="6"/>
      <c r="R120" s="6"/>
      <c r="S120" s="6"/>
      <c r="T120" s="6"/>
      <c r="U120" s="40">
        <v>78</v>
      </c>
      <c r="V120" s="29">
        <f t="shared" si="2"/>
        <v>0</v>
      </c>
      <c r="W120" s="29"/>
    </row>
    <row r="121" spans="3:25" ht="32.25" customHeight="1" x14ac:dyDescent="0.35">
      <c r="C121" s="40">
        <v>79</v>
      </c>
      <c r="D121" s="97" t="s">
        <v>98</v>
      </c>
      <c r="E121" s="98"/>
      <c r="F121" s="98"/>
      <c r="G121" s="98"/>
      <c r="H121" s="98"/>
      <c r="I121" s="98"/>
      <c r="J121" s="98"/>
      <c r="K121" s="98"/>
      <c r="L121" s="98"/>
      <c r="M121" s="98"/>
      <c r="N121" s="98"/>
      <c r="O121" s="98"/>
      <c r="P121" s="99"/>
      <c r="Q121" s="6"/>
      <c r="R121" s="6"/>
      <c r="S121" s="6"/>
      <c r="T121" s="6"/>
      <c r="U121" s="40">
        <v>79</v>
      </c>
      <c r="V121" s="29">
        <f t="shared" si="2"/>
        <v>0</v>
      </c>
      <c r="W121" s="29"/>
    </row>
    <row r="122" spans="3:25" ht="21" customHeight="1" x14ac:dyDescent="0.35">
      <c r="C122" s="40">
        <v>80</v>
      </c>
      <c r="D122" s="97" t="s">
        <v>99</v>
      </c>
      <c r="E122" s="98"/>
      <c r="F122" s="98"/>
      <c r="G122" s="98"/>
      <c r="H122" s="98"/>
      <c r="I122" s="98"/>
      <c r="J122" s="98"/>
      <c r="K122" s="98"/>
      <c r="L122" s="98"/>
      <c r="M122" s="98"/>
      <c r="N122" s="98"/>
      <c r="O122" s="98"/>
      <c r="P122" s="99"/>
      <c r="Q122" s="6"/>
      <c r="R122" s="6"/>
      <c r="S122" s="6"/>
      <c r="T122" s="6"/>
      <c r="U122" s="40">
        <v>80</v>
      </c>
      <c r="V122" s="29">
        <f t="shared" si="2"/>
        <v>0</v>
      </c>
      <c r="W122" s="29"/>
    </row>
    <row r="123" spans="3:25" ht="32.25" customHeight="1" x14ac:dyDescent="0.35">
      <c r="C123" s="40">
        <v>81</v>
      </c>
      <c r="D123" s="97" t="s">
        <v>100</v>
      </c>
      <c r="E123" s="98"/>
      <c r="F123" s="98"/>
      <c r="G123" s="98"/>
      <c r="H123" s="98"/>
      <c r="I123" s="98"/>
      <c r="J123" s="98"/>
      <c r="K123" s="98"/>
      <c r="L123" s="98"/>
      <c r="M123" s="98"/>
      <c r="N123" s="98"/>
      <c r="O123" s="98"/>
      <c r="P123" s="99"/>
      <c r="Q123" s="6"/>
      <c r="R123" s="6"/>
      <c r="S123" s="6"/>
      <c r="T123" s="6"/>
      <c r="U123" s="40">
        <v>81</v>
      </c>
      <c r="V123" s="29">
        <f t="shared" si="2"/>
        <v>0</v>
      </c>
      <c r="W123" s="29"/>
    </row>
    <row r="124" spans="3:25" ht="21" customHeight="1" x14ac:dyDescent="0.35">
      <c r="C124" s="40">
        <v>82</v>
      </c>
      <c r="D124" s="97" t="s">
        <v>101</v>
      </c>
      <c r="E124" s="98"/>
      <c r="F124" s="98"/>
      <c r="G124" s="98"/>
      <c r="H124" s="98"/>
      <c r="I124" s="98"/>
      <c r="J124" s="98"/>
      <c r="K124" s="98"/>
      <c r="L124" s="98"/>
      <c r="M124" s="98"/>
      <c r="N124" s="98"/>
      <c r="O124" s="98"/>
      <c r="P124" s="99"/>
      <c r="Q124" s="6"/>
      <c r="R124" s="6"/>
      <c r="S124" s="6"/>
      <c r="T124" s="6"/>
      <c r="U124" s="40">
        <v>82</v>
      </c>
      <c r="V124" s="29">
        <f t="shared" si="2"/>
        <v>0</v>
      </c>
      <c r="W124" s="29"/>
    </row>
    <row r="125" spans="3:25" ht="32.25" customHeight="1" x14ac:dyDescent="0.35">
      <c r="C125" s="40">
        <v>83</v>
      </c>
      <c r="D125" s="97" t="s">
        <v>102</v>
      </c>
      <c r="E125" s="98"/>
      <c r="F125" s="98"/>
      <c r="G125" s="98"/>
      <c r="H125" s="98"/>
      <c r="I125" s="98"/>
      <c r="J125" s="98"/>
      <c r="K125" s="98"/>
      <c r="L125" s="98"/>
      <c r="M125" s="98"/>
      <c r="N125" s="98"/>
      <c r="O125" s="98"/>
      <c r="P125" s="99"/>
      <c r="Q125" s="6"/>
      <c r="R125" s="6"/>
      <c r="S125" s="6"/>
      <c r="T125" s="6"/>
      <c r="U125" s="40">
        <v>83</v>
      </c>
      <c r="V125" s="29">
        <f t="shared" si="2"/>
        <v>0</v>
      </c>
      <c r="W125" s="29"/>
    </row>
    <row r="126" spans="3:25" ht="24.75" customHeight="1" x14ac:dyDescent="0.35">
      <c r="C126" s="40">
        <v>84</v>
      </c>
      <c r="D126" s="97" t="s">
        <v>201</v>
      </c>
      <c r="E126" s="98"/>
      <c r="F126" s="98"/>
      <c r="G126" s="98"/>
      <c r="H126" s="98"/>
      <c r="I126" s="98"/>
      <c r="J126" s="98"/>
      <c r="K126" s="98"/>
      <c r="L126" s="98"/>
      <c r="M126" s="98"/>
      <c r="N126" s="98"/>
      <c r="O126" s="98"/>
      <c r="P126" s="99"/>
      <c r="Q126" s="6"/>
      <c r="R126" s="6"/>
      <c r="S126" s="6"/>
      <c r="T126" s="6"/>
      <c r="U126" s="40">
        <v>84</v>
      </c>
      <c r="V126" s="29">
        <f t="shared" si="2"/>
        <v>0</v>
      </c>
      <c r="W126" s="29"/>
    </row>
    <row r="127" spans="3:25" ht="24.75" customHeight="1" x14ac:dyDescent="0.35">
      <c r="C127" s="40">
        <v>85</v>
      </c>
      <c r="D127" s="97" t="s">
        <v>103</v>
      </c>
      <c r="E127" s="98"/>
      <c r="F127" s="98"/>
      <c r="G127" s="98"/>
      <c r="H127" s="98"/>
      <c r="I127" s="98"/>
      <c r="J127" s="98"/>
      <c r="K127" s="98"/>
      <c r="L127" s="98"/>
      <c r="M127" s="98"/>
      <c r="N127" s="98"/>
      <c r="O127" s="98"/>
      <c r="P127" s="99"/>
      <c r="Q127" s="6"/>
      <c r="R127" s="6"/>
      <c r="S127" s="6"/>
      <c r="T127" s="6"/>
      <c r="U127" s="40">
        <v>85</v>
      </c>
      <c r="V127" s="29">
        <f t="shared" si="2"/>
        <v>0</v>
      </c>
      <c r="W127" s="29"/>
    </row>
    <row r="128" spans="3:25" ht="21" customHeight="1" x14ac:dyDescent="0.35">
      <c r="C128" s="40">
        <v>86</v>
      </c>
      <c r="D128" s="97" t="s">
        <v>202</v>
      </c>
      <c r="E128" s="98"/>
      <c r="F128" s="98"/>
      <c r="G128" s="98"/>
      <c r="H128" s="98"/>
      <c r="I128" s="98"/>
      <c r="J128" s="98"/>
      <c r="K128" s="98"/>
      <c r="L128" s="98"/>
      <c r="M128" s="98"/>
      <c r="N128" s="98"/>
      <c r="O128" s="98"/>
      <c r="P128" s="99"/>
      <c r="Q128" s="6"/>
      <c r="R128" s="6"/>
      <c r="S128" s="6"/>
      <c r="T128" s="6"/>
      <c r="U128" s="40">
        <v>86</v>
      </c>
      <c r="V128" s="29">
        <f t="shared" si="2"/>
        <v>0</v>
      </c>
      <c r="W128" s="29"/>
    </row>
    <row r="129" spans="3:23" ht="32.25" customHeight="1" x14ac:dyDescent="0.35">
      <c r="C129" s="40">
        <v>87</v>
      </c>
      <c r="D129" s="97" t="s">
        <v>104</v>
      </c>
      <c r="E129" s="98"/>
      <c r="F129" s="98"/>
      <c r="G129" s="98"/>
      <c r="H129" s="98"/>
      <c r="I129" s="98"/>
      <c r="J129" s="98"/>
      <c r="K129" s="98"/>
      <c r="L129" s="98"/>
      <c r="M129" s="98"/>
      <c r="N129" s="98"/>
      <c r="O129" s="98"/>
      <c r="P129" s="99"/>
      <c r="Q129" s="6"/>
      <c r="R129" s="6"/>
      <c r="S129" s="6"/>
      <c r="T129" s="6"/>
      <c r="U129" s="40">
        <v>87</v>
      </c>
      <c r="V129" s="29">
        <f t="shared" si="2"/>
        <v>0</v>
      </c>
      <c r="W129" s="29"/>
    </row>
    <row r="130" spans="3:23" ht="21" customHeight="1" x14ac:dyDescent="0.35">
      <c r="C130" s="40">
        <v>88</v>
      </c>
      <c r="D130" s="97" t="s">
        <v>105</v>
      </c>
      <c r="E130" s="98"/>
      <c r="F130" s="98"/>
      <c r="G130" s="98"/>
      <c r="H130" s="98"/>
      <c r="I130" s="98"/>
      <c r="J130" s="98"/>
      <c r="K130" s="98"/>
      <c r="L130" s="98"/>
      <c r="M130" s="98"/>
      <c r="N130" s="98"/>
      <c r="O130" s="98"/>
      <c r="P130" s="99"/>
      <c r="Q130" s="6"/>
      <c r="R130" s="6"/>
      <c r="S130" s="6"/>
      <c r="T130" s="6"/>
      <c r="U130" s="40">
        <v>88</v>
      </c>
      <c r="V130" s="29">
        <f t="shared" si="2"/>
        <v>0</v>
      </c>
      <c r="W130" s="29"/>
    </row>
    <row r="131" spans="3:23" ht="32.25" customHeight="1" x14ac:dyDescent="0.35">
      <c r="C131" s="40">
        <v>89</v>
      </c>
      <c r="D131" s="97" t="s">
        <v>106</v>
      </c>
      <c r="E131" s="98"/>
      <c r="F131" s="98"/>
      <c r="G131" s="98"/>
      <c r="H131" s="98"/>
      <c r="I131" s="98"/>
      <c r="J131" s="98"/>
      <c r="K131" s="98"/>
      <c r="L131" s="98"/>
      <c r="M131" s="98"/>
      <c r="N131" s="98"/>
      <c r="O131" s="98"/>
      <c r="P131" s="99"/>
      <c r="Q131" s="6"/>
      <c r="R131" s="6"/>
      <c r="S131" s="6"/>
      <c r="T131" s="6"/>
      <c r="U131" s="40">
        <v>89</v>
      </c>
      <c r="V131" s="29">
        <f t="shared" si="2"/>
        <v>0</v>
      </c>
      <c r="W131" s="29"/>
    </row>
    <row r="132" spans="3:23" ht="20.25" customHeight="1" x14ac:dyDescent="0.35">
      <c r="C132" s="40">
        <v>90</v>
      </c>
      <c r="D132" s="97" t="s">
        <v>203</v>
      </c>
      <c r="E132" s="98"/>
      <c r="F132" s="98"/>
      <c r="G132" s="98"/>
      <c r="H132" s="98"/>
      <c r="I132" s="98"/>
      <c r="J132" s="98"/>
      <c r="K132" s="98"/>
      <c r="L132" s="98"/>
      <c r="M132" s="98"/>
      <c r="N132" s="98"/>
      <c r="O132" s="98"/>
      <c r="P132" s="99"/>
      <c r="Q132" s="6"/>
      <c r="R132" s="6"/>
      <c r="S132" s="6"/>
      <c r="T132" s="6"/>
      <c r="U132" s="40">
        <v>90</v>
      </c>
      <c r="V132" s="29">
        <f t="shared" si="2"/>
        <v>0</v>
      </c>
      <c r="W132" s="29"/>
    </row>
    <row r="133" spans="3:23" ht="48.75" customHeight="1" x14ac:dyDescent="0.35">
      <c r="C133" s="40">
        <v>91</v>
      </c>
      <c r="D133" s="97" t="s">
        <v>107</v>
      </c>
      <c r="E133" s="98"/>
      <c r="F133" s="98"/>
      <c r="G133" s="98"/>
      <c r="H133" s="98"/>
      <c r="I133" s="98"/>
      <c r="J133" s="98"/>
      <c r="K133" s="98"/>
      <c r="L133" s="98"/>
      <c r="M133" s="98"/>
      <c r="N133" s="98"/>
      <c r="O133" s="98"/>
      <c r="P133" s="99"/>
      <c r="Q133" s="6"/>
      <c r="R133" s="6"/>
      <c r="S133" s="6"/>
      <c r="T133" s="6"/>
      <c r="U133" s="40">
        <v>91</v>
      </c>
      <c r="V133" s="29">
        <f t="shared" si="2"/>
        <v>0</v>
      </c>
      <c r="W133" s="29"/>
    </row>
    <row r="134" spans="3:23" ht="18.75" customHeight="1" x14ac:dyDescent="0.35">
      <c r="C134" s="40">
        <v>92</v>
      </c>
      <c r="D134" s="97" t="s">
        <v>108</v>
      </c>
      <c r="E134" s="98"/>
      <c r="F134" s="98"/>
      <c r="G134" s="98"/>
      <c r="H134" s="98"/>
      <c r="I134" s="98"/>
      <c r="J134" s="98"/>
      <c r="K134" s="98"/>
      <c r="L134" s="98"/>
      <c r="M134" s="98"/>
      <c r="N134" s="98"/>
      <c r="O134" s="98"/>
      <c r="P134" s="99"/>
      <c r="Q134" s="6"/>
      <c r="R134" s="6"/>
      <c r="S134" s="6"/>
      <c r="T134" s="6"/>
      <c r="U134" s="40">
        <v>92</v>
      </c>
      <c r="V134" s="29">
        <f t="shared" si="2"/>
        <v>0</v>
      </c>
      <c r="W134" s="29"/>
    </row>
    <row r="135" spans="3:23" ht="23.25" customHeight="1" x14ac:dyDescent="0.35">
      <c r="C135" s="40">
        <v>93</v>
      </c>
      <c r="D135" s="97" t="s">
        <v>109</v>
      </c>
      <c r="E135" s="98"/>
      <c r="F135" s="98"/>
      <c r="G135" s="98"/>
      <c r="H135" s="98"/>
      <c r="I135" s="98"/>
      <c r="J135" s="98"/>
      <c r="K135" s="98"/>
      <c r="L135" s="98"/>
      <c r="M135" s="98"/>
      <c r="N135" s="98"/>
      <c r="O135" s="98"/>
      <c r="P135" s="99"/>
      <c r="Q135" s="6"/>
      <c r="R135" s="6"/>
      <c r="S135" s="6"/>
      <c r="T135" s="6"/>
      <c r="U135" s="40">
        <v>93</v>
      </c>
      <c r="V135" s="29">
        <f t="shared" si="2"/>
        <v>0</v>
      </c>
      <c r="W135" s="29"/>
    </row>
    <row r="136" spans="3:23" ht="32.25" customHeight="1" x14ac:dyDescent="0.35">
      <c r="C136" s="40">
        <v>94</v>
      </c>
      <c r="D136" s="97" t="s">
        <v>110</v>
      </c>
      <c r="E136" s="98"/>
      <c r="F136" s="98"/>
      <c r="G136" s="98"/>
      <c r="H136" s="98"/>
      <c r="I136" s="98"/>
      <c r="J136" s="98"/>
      <c r="K136" s="98"/>
      <c r="L136" s="98"/>
      <c r="M136" s="98"/>
      <c r="N136" s="98"/>
      <c r="O136" s="98"/>
      <c r="P136" s="99"/>
      <c r="Q136" s="6"/>
      <c r="R136" s="6"/>
      <c r="S136" s="6"/>
      <c r="T136" s="6"/>
      <c r="U136" s="40">
        <v>94</v>
      </c>
      <c r="V136" s="29">
        <f t="shared" si="2"/>
        <v>0</v>
      </c>
      <c r="W136" s="29"/>
    </row>
    <row r="137" spans="3:23" ht="21" customHeight="1" x14ac:dyDescent="0.35">
      <c r="C137" s="40">
        <v>95</v>
      </c>
      <c r="D137" s="97" t="s">
        <v>111</v>
      </c>
      <c r="E137" s="98"/>
      <c r="F137" s="98"/>
      <c r="G137" s="98"/>
      <c r="H137" s="98"/>
      <c r="I137" s="98"/>
      <c r="J137" s="98"/>
      <c r="K137" s="98"/>
      <c r="L137" s="98"/>
      <c r="M137" s="98"/>
      <c r="N137" s="98"/>
      <c r="O137" s="98"/>
      <c r="P137" s="99"/>
      <c r="Q137" s="6"/>
      <c r="R137" s="6"/>
      <c r="S137" s="6"/>
      <c r="T137" s="6"/>
      <c r="U137" s="40">
        <v>95</v>
      </c>
      <c r="V137" s="29">
        <f t="shared" si="2"/>
        <v>0</v>
      </c>
      <c r="W137" s="29"/>
    </row>
    <row r="138" spans="3:23" ht="21" customHeight="1" x14ac:dyDescent="0.35">
      <c r="C138" s="40">
        <v>96</v>
      </c>
      <c r="D138" s="97" t="s">
        <v>112</v>
      </c>
      <c r="E138" s="98"/>
      <c r="F138" s="98"/>
      <c r="G138" s="98"/>
      <c r="H138" s="98"/>
      <c r="I138" s="98"/>
      <c r="J138" s="98"/>
      <c r="K138" s="98"/>
      <c r="L138" s="98"/>
      <c r="M138" s="98"/>
      <c r="N138" s="98"/>
      <c r="O138" s="98"/>
      <c r="P138" s="99"/>
      <c r="Q138" s="6"/>
      <c r="R138" s="6"/>
      <c r="S138" s="6"/>
      <c r="T138" s="6"/>
      <c r="U138" s="40">
        <v>96</v>
      </c>
      <c r="V138" s="29">
        <f t="shared" si="2"/>
        <v>0</v>
      </c>
      <c r="W138" s="29"/>
    </row>
    <row r="139" spans="3:23" ht="32.25" customHeight="1" x14ac:dyDescent="0.35">
      <c r="C139" s="40">
        <v>97</v>
      </c>
      <c r="D139" s="97" t="s">
        <v>113</v>
      </c>
      <c r="E139" s="98"/>
      <c r="F139" s="98"/>
      <c r="G139" s="98"/>
      <c r="H139" s="98"/>
      <c r="I139" s="98"/>
      <c r="J139" s="98"/>
      <c r="K139" s="98"/>
      <c r="L139" s="98"/>
      <c r="M139" s="98"/>
      <c r="N139" s="98"/>
      <c r="O139" s="98"/>
      <c r="P139" s="99"/>
      <c r="Q139" s="6"/>
      <c r="R139" s="6"/>
      <c r="S139" s="6"/>
      <c r="T139" s="6"/>
      <c r="U139" s="40">
        <v>97</v>
      </c>
      <c r="V139" s="29">
        <f t="shared" ref="V139:V170" si="3">IF(Q139="x",2,IF(R139="x",1,IF(S139="x",0,IF(T139="x",0,0))))</f>
        <v>0</v>
      </c>
      <c r="W139" s="29"/>
    </row>
    <row r="140" spans="3:23" ht="21" customHeight="1" x14ac:dyDescent="0.35">
      <c r="C140" s="40">
        <v>98</v>
      </c>
      <c r="D140" s="97" t="s">
        <v>114</v>
      </c>
      <c r="E140" s="98"/>
      <c r="F140" s="98"/>
      <c r="G140" s="98"/>
      <c r="H140" s="98"/>
      <c r="I140" s="98"/>
      <c r="J140" s="98"/>
      <c r="K140" s="98"/>
      <c r="L140" s="98"/>
      <c r="M140" s="98"/>
      <c r="N140" s="98"/>
      <c r="O140" s="98"/>
      <c r="P140" s="99"/>
      <c r="Q140" s="6"/>
      <c r="R140" s="6"/>
      <c r="S140" s="6"/>
      <c r="T140" s="6"/>
      <c r="U140" s="40">
        <v>98</v>
      </c>
      <c r="V140" s="29">
        <f t="shared" si="3"/>
        <v>0</v>
      </c>
      <c r="W140" s="29"/>
    </row>
    <row r="141" spans="3:23" ht="32.25" customHeight="1" x14ac:dyDescent="0.35">
      <c r="C141" s="40">
        <v>99</v>
      </c>
      <c r="D141" s="97" t="s">
        <v>115</v>
      </c>
      <c r="E141" s="98"/>
      <c r="F141" s="98"/>
      <c r="G141" s="98"/>
      <c r="H141" s="98"/>
      <c r="I141" s="98"/>
      <c r="J141" s="98"/>
      <c r="K141" s="98"/>
      <c r="L141" s="98"/>
      <c r="M141" s="98"/>
      <c r="N141" s="98"/>
      <c r="O141" s="98"/>
      <c r="P141" s="99"/>
      <c r="Q141" s="6"/>
      <c r="R141" s="6"/>
      <c r="S141" s="6"/>
      <c r="T141" s="6"/>
      <c r="U141" s="40">
        <v>99</v>
      </c>
      <c r="V141" s="29">
        <f t="shared" si="3"/>
        <v>0</v>
      </c>
      <c r="W141" s="29"/>
    </row>
    <row r="142" spans="3:23" ht="21" customHeight="1" x14ac:dyDescent="0.35">
      <c r="C142" s="40">
        <v>100</v>
      </c>
      <c r="D142" s="97" t="s">
        <v>116</v>
      </c>
      <c r="E142" s="98"/>
      <c r="F142" s="98"/>
      <c r="G142" s="98"/>
      <c r="H142" s="98"/>
      <c r="I142" s="98"/>
      <c r="J142" s="98"/>
      <c r="K142" s="98"/>
      <c r="L142" s="98"/>
      <c r="M142" s="98"/>
      <c r="N142" s="98"/>
      <c r="O142" s="98"/>
      <c r="P142" s="99"/>
      <c r="Q142" s="6"/>
      <c r="R142" s="6"/>
      <c r="S142" s="6"/>
      <c r="T142" s="6"/>
      <c r="U142" s="40">
        <v>100</v>
      </c>
      <c r="V142" s="29">
        <f t="shared" si="3"/>
        <v>0</v>
      </c>
      <c r="W142" s="29"/>
    </row>
    <row r="143" spans="3:23" ht="32.25" customHeight="1" x14ac:dyDescent="0.35">
      <c r="C143" s="40">
        <v>101</v>
      </c>
      <c r="D143" s="97" t="s">
        <v>117</v>
      </c>
      <c r="E143" s="98"/>
      <c r="F143" s="98"/>
      <c r="G143" s="98"/>
      <c r="H143" s="98"/>
      <c r="I143" s="98"/>
      <c r="J143" s="98"/>
      <c r="K143" s="98"/>
      <c r="L143" s="98"/>
      <c r="M143" s="98"/>
      <c r="N143" s="98"/>
      <c r="O143" s="98"/>
      <c r="P143" s="99"/>
      <c r="Q143" s="6"/>
      <c r="R143" s="6"/>
      <c r="S143" s="6"/>
      <c r="T143" s="6"/>
      <c r="U143" s="40">
        <v>101</v>
      </c>
      <c r="V143" s="29">
        <f t="shared" si="3"/>
        <v>0</v>
      </c>
      <c r="W143" s="29"/>
    </row>
    <row r="144" spans="3:23" ht="21" customHeight="1" x14ac:dyDescent="0.35">
      <c r="C144" s="40">
        <v>102</v>
      </c>
      <c r="D144" s="97" t="s">
        <v>118</v>
      </c>
      <c r="E144" s="98"/>
      <c r="F144" s="98"/>
      <c r="G144" s="98"/>
      <c r="H144" s="98"/>
      <c r="I144" s="98"/>
      <c r="J144" s="98"/>
      <c r="K144" s="98"/>
      <c r="L144" s="98"/>
      <c r="M144" s="98"/>
      <c r="N144" s="98"/>
      <c r="O144" s="98"/>
      <c r="P144" s="99"/>
      <c r="Q144" s="6"/>
      <c r="R144" s="6"/>
      <c r="S144" s="6"/>
      <c r="T144" s="6"/>
      <c r="U144" s="40">
        <v>102</v>
      </c>
      <c r="V144" s="29">
        <f t="shared" si="3"/>
        <v>0</v>
      </c>
      <c r="W144" s="29"/>
    </row>
    <row r="145" spans="3:23" ht="36" customHeight="1" x14ac:dyDescent="0.35">
      <c r="C145" s="40">
        <v>103</v>
      </c>
      <c r="D145" s="97" t="s">
        <v>119</v>
      </c>
      <c r="E145" s="98"/>
      <c r="F145" s="98"/>
      <c r="G145" s="98"/>
      <c r="H145" s="98"/>
      <c r="I145" s="98"/>
      <c r="J145" s="98"/>
      <c r="K145" s="98"/>
      <c r="L145" s="98"/>
      <c r="M145" s="98"/>
      <c r="N145" s="98"/>
      <c r="O145" s="98"/>
      <c r="P145" s="99"/>
      <c r="Q145" s="6"/>
      <c r="R145" s="6"/>
      <c r="S145" s="6"/>
      <c r="T145" s="6"/>
      <c r="U145" s="40">
        <v>103</v>
      </c>
      <c r="V145" s="29">
        <f t="shared" si="3"/>
        <v>0</v>
      </c>
      <c r="W145" s="29"/>
    </row>
    <row r="146" spans="3:23" ht="21" customHeight="1" x14ac:dyDescent="0.35">
      <c r="C146" s="40">
        <v>104</v>
      </c>
      <c r="D146" s="97" t="s">
        <v>120</v>
      </c>
      <c r="E146" s="98"/>
      <c r="F146" s="98"/>
      <c r="G146" s="98"/>
      <c r="H146" s="98"/>
      <c r="I146" s="98"/>
      <c r="J146" s="98"/>
      <c r="K146" s="98"/>
      <c r="L146" s="98"/>
      <c r="M146" s="98"/>
      <c r="N146" s="98"/>
      <c r="O146" s="98"/>
      <c r="P146" s="99"/>
      <c r="Q146" s="6"/>
      <c r="R146" s="6"/>
      <c r="S146" s="6"/>
      <c r="T146" s="6"/>
      <c r="U146" s="40">
        <v>104</v>
      </c>
      <c r="V146" s="29">
        <f t="shared" si="3"/>
        <v>0</v>
      </c>
      <c r="W146" s="29"/>
    </row>
    <row r="147" spans="3:23" ht="21" customHeight="1" x14ac:dyDescent="0.35">
      <c r="C147" s="40">
        <v>105</v>
      </c>
      <c r="D147" s="97" t="s">
        <v>121</v>
      </c>
      <c r="E147" s="98"/>
      <c r="F147" s="98"/>
      <c r="G147" s="98"/>
      <c r="H147" s="98"/>
      <c r="I147" s="98"/>
      <c r="J147" s="98"/>
      <c r="K147" s="98"/>
      <c r="L147" s="98"/>
      <c r="M147" s="98"/>
      <c r="N147" s="98"/>
      <c r="O147" s="98"/>
      <c r="P147" s="99"/>
      <c r="Q147" s="6"/>
      <c r="R147" s="6"/>
      <c r="S147" s="6"/>
      <c r="T147" s="6"/>
      <c r="U147" s="40">
        <v>105</v>
      </c>
      <c r="V147" s="29">
        <f t="shared" si="3"/>
        <v>0</v>
      </c>
      <c r="W147" s="29"/>
    </row>
    <row r="148" spans="3:23" ht="21" customHeight="1" x14ac:dyDescent="0.35">
      <c r="C148" s="40">
        <v>106</v>
      </c>
      <c r="D148" s="97" t="s">
        <v>122</v>
      </c>
      <c r="E148" s="98"/>
      <c r="F148" s="98"/>
      <c r="G148" s="98"/>
      <c r="H148" s="98"/>
      <c r="I148" s="98"/>
      <c r="J148" s="98"/>
      <c r="K148" s="98"/>
      <c r="L148" s="98"/>
      <c r="M148" s="98"/>
      <c r="N148" s="98"/>
      <c r="O148" s="98"/>
      <c r="P148" s="99"/>
      <c r="Q148" s="6"/>
      <c r="R148" s="6"/>
      <c r="S148" s="6"/>
      <c r="T148" s="6"/>
      <c r="U148" s="40">
        <v>106</v>
      </c>
      <c r="V148" s="29">
        <f t="shared" si="3"/>
        <v>0</v>
      </c>
      <c r="W148" s="29"/>
    </row>
    <row r="149" spans="3:23" ht="32.25" customHeight="1" x14ac:dyDescent="0.35">
      <c r="C149" s="40">
        <v>107</v>
      </c>
      <c r="D149" s="97" t="s">
        <v>123</v>
      </c>
      <c r="E149" s="98"/>
      <c r="F149" s="98"/>
      <c r="G149" s="98"/>
      <c r="H149" s="98"/>
      <c r="I149" s="98"/>
      <c r="J149" s="98"/>
      <c r="K149" s="98"/>
      <c r="L149" s="98"/>
      <c r="M149" s="98"/>
      <c r="N149" s="98"/>
      <c r="O149" s="98"/>
      <c r="P149" s="99"/>
      <c r="Q149" s="6"/>
      <c r="R149" s="6"/>
      <c r="S149" s="6"/>
      <c r="T149" s="6"/>
      <c r="U149" s="40">
        <v>107</v>
      </c>
      <c r="V149" s="29">
        <f t="shared" si="3"/>
        <v>0</v>
      </c>
      <c r="W149" s="29"/>
    </row>
    <row r="150" spans="3:23" ht="21" customHeight="1" x14ac:dyDescent="0.35">
      <c r="C150" s="40">
        <v>108</v>
      </c>
      <c r="D150" s="97" t="s">
        <v>124</v>
      </c>
      <c r="E150" s="98"/>
      <c r="F150" s="98"/>
      <c r="G150" s="98"/>
      <c r="H150" s="98"/>
      <c r="I150" s="98"/>
      <c r="J150" s="98"/>
      <c r="K150" s="98"/>
      <c r="L150" s="98"/>
      <c r="M150" s="98"/>
      <c r="N150" s="98"/>
      <c r="O150" s="98"/>
      <c r="P150" s="99"/>
      <c r="Q150" s="6"/>
      <c r="R150" s="6"/>
      <c r="S150" s="6"/>
      <c r="T150" s="6"/>
      <c r="U150" s="40">
        <v>108</v>
      </c>
      <c r="V150" s="29">
        <f t="shared" si="3"/>
        <v>0</v>
      </c>
      <c r="W150" s="29"/>
    </row>
    <row r="151" spans="3:23" ht="49.5" customHeight="1" x14ac:dyDescent="0.35">
      <c r="C151" s="40">
        <v>109</v>
      </c>
      <c r="D151" s="97" t="s">
        <v>125</v>
      </c>
      <c r="E151" s="98"/>
      <c r="F151" s="98"/>
      <c r="G151" s="98"/>
      <c r="H151" s="98"/>
      <c r="I151" s="98"/>
      <c r="J151" s="98"/>
      <c r="K151" s="98"/>
      <c r="L151" s="98"/>
      <c r="M151" s="98"/>
      <c r="N151" s="98"/>
      <c r="O151" s="98"/>
      <c r="P151" s="99"/>
      <c r="Q151" s="6"/>
      <c r="R151" s="6"/>
      <c r="S151" s="6"/>
      <c r="T151" s="6"/>
      <c r="U151" s="40">
        <v>109</v>
      </c>
      <c r="V151" s="29">
        <f t="shared" si="3"/>
        <v>0</v>
      </c>
      <c r="W151" s="29"/>
    </row>
    <row r="152" spans="3:23" ht="21" customHeight="1" x14ac:dyDescent="0.35">
      <c r="C152" s="40">
        <v>110</v>
      </c>
      <c r="D152" s="97" t="s">
        <v>126</v>
      </c>
      <c r="E152" s="98"/>
      <c r="F152" s="98"/>
      <c r="G152" s="98"/>
      <c r="H152" s="98"/>
      <c r="I152" s="98"/>
      <c r="J152" s="98"/>
      <c r="K152" s="98"/>
      <c r="L152" s="98"/>
      <c r="M152" s="98"/>
      <c r="N152" s="98"/>
      <c r="O152" s="98"/>
      <c r="P152" s="99"/>
      <c r="Q152" s="6"/>
      <c r="R152" s="6"/>
      <c r="S152" s="6"/>
      <c r="T152" s="6"/>
      <c r="U152" s="40">
        <v>110</v>
      </c>
      <c r="V152" s="29">
        <f t="shared" si="3"/>
        <v>0</v>
      </c>
      <c r="W152" s="29"/>
    </row>
    <row r="153" spans="3:23" ht="32.25" customHeight="1" x14ac:dyDescent="0.35">
      <c r="C153" s="40">
        <v>111</v>
      </c>
      <c r="D153" s="97" t="s">
        <v>127</v>
      </c>
      <c r="E153" s="98"/>
      <c r="F153" s="98"/>
      <c r="G153" s="98"/>
      <c r="H153" s="98"/>
      <c r="I153" s="98"/>
      <c r="J153" s="98"/>
      <c r="K153" s="98"/>
      <c r="L153" s="98"/>
      <c r="M153" s="98"/>
      <c r="N153" s="98"/>
      <c r="O153" s="98"/>
      <c r="P153" s="99"/>
      <c r="Q153" s="6"/>
      <c r="R153" s="6"/>
      <c r="S153" s="6"/>
      <c r="T153" s="6"/>
      <c r="U153" s="40">
        <v>111</v>
      </c>
      <c r="V153" s="29">
        <f t="shared" si="3"/>
        <v>0</v>
      </c>
      <c r="W153" s="29"/>
    </row>
    <row r="154" spans="3:23" ht="21" customHeight="1" x14ac:dyDescent="0.35">
      <c r="C154" s="40">
        <v>112</v>
      </c>
      <c r="D154" s="97" t="s">
        <v>128</v>
      </c>
      <c r="E154" s="98"/>
      <c r="F154" s="98"/>
      <c r="G154" s="98"/>
      <c r="H154" s="98"/>
      <c r="I154" s="98"/>
      <c r="J154" s="98"/>
      <c r="K154" s="98"/>
      <c r="L154" s="98"/>
      <c r="M154" s="98"/>
      <c r="N154" s="98"/>
      <c r="O154" s="98"/>
      <c r="P154" s="99"/>
      <c r="Q154" s="6"/>
      <c r="R154" s="6"/>
      <c r="S154" s="6"/>
      <c r="T154" s="6"/>
      <c r="U154" s="40">
        <v>112</v>
      </c>
      <c r="V154" s="29">
        <f t="shared" si="3"/>
        <v>0</v>
      </c>
      <c r="W154" s="29"/>
    </row>
    <row r="155" spans="3:23" ht="32.25" customHeight="1" x14ac:dyDescent="0.35">
      <c r="C155" s="40">
        <v>113</v>
      </c>
      <c r="D155" s="97" t="s">
        <v>129</v>
      </c>
      <c r="E155" s="98"/>
      <c r="F155" s="98"/>
      <c r="G155" s="98"/>
      <c r="H155" s="98"/>
      <c r="I155" s="98"/>
      <c r="J155" s="98"/>
      <c r="K155" s="98"/>
      <c r="L155" s="98"/>
      <c r="M155" s="98"/>
      <c r="N155" s="98"/>
      <c r="O155" s="98"/>
      <c r="P155" s="99"/>
      <c r="Q155" s="6"/>
      <c r="R155" s="6"/>
      <c r="S155" s="6"/>
      <c r="T155" s="6"/>
      <c r="U155" s="40">
        <v>113</v>
      </c>
      <c r="V155" s="29">
        <f t="shared" si="3"/>
        <v>0</v>
      </c>
      <c r="W155" s="29"/>
    </row>
    <row r="156" spans="3:23" ht="21" customHeight="1" x14ac:dyDescent="0.35">
      <c r="C156" s="40">
        <v>114</v>
      </c>
      <c r="D156" s="97" t="s">
        <v>130</v>
      </c>
      <c r="E156" s="98"/>
      <c r="F156" s="98"/>
      <c r="G156" s="98"/>
      <c r="H156" s="98"/>
      <c r="I156" s="98"/>
      <c r="J156" s="98"/>
      <c r="K156" s="98"/>
      <c r="L156" s="98"/>
      <c r="M156" s="98"/>
      <c r="N156" s="98"/>
      <c r="O156" s="98"/>
      <c r="P156" s="99"/>
      <c r="Q156" s="6"/>
      <c r="R156" s="6"/>
      <c r="S156" s="6"/>
      <c r="T156" s="6"/>
      <c r="U156" s="40">
        <v>114</v>
      </c>
      <c r="V156" s="29">
        <f t="shared" si="3"/>
        <v>0</v>
      </c>
      <c r="W156" s="29"/>
    </row>
    <row r="157" spans="3:23" ht="32.25" customHeight="1" x14ac:dyDescent="0.35">
      <c r="C157" s="40">
        <v>115</v>
      </c>
      <c r="D157" s="97" t="s">
        <v>131</v>
      </c>
      <c r="E157" s="98"/>
      <c r="F157" s="98"/>
      <c r="G157" s="98"/>
      <c r="H157" s="98"/>
      <c r="I157" s="98"/>
      <c r="J157" s="98"/>
      <c r="K157" s="98"/>
      <c r="L157" s="98"/>
      <c r="M157" s="98"/>
      <c r="N157" s="98"/>
      <c r="O157" s="98"/>
      <c r="P157" s="99"/>
      <c r="Q157" s="6"/>
      <c r="R157" s="6"/>
      <c r="S157" s="6"/>
      <c r="T157" s="6"/>
      <c r="U157" s="40">
        <v>115</v>
      </c>
      <c r="V157" s="29">
        <f t="shared" si="3"/>
        <v>0</v>
      </c>
      <c r="W157" s="29"/>
    </row>
    <row r="158" spans="3:23" ht="21" customHeight="1" x14ac:dyDescent="0.35">
      <c r="C158" s="40">
        <v>116</v>
      </c>
      <c r="D158" s="97" t="s">
        <v>132</v>
      </c>
      <c r="E158" s="98"/>
      <c r="F158" s="98"/>
      <c r="G158" s="98"/>
      <c r="H158" s="98"/>
      <c r="I158" s="98"/>
      <c r="J158" s="98"/>
      <c r="K158" s="98"/>
      <c r="L158" s="98"/>
      <c r="M158" s="98"/>
      <c r="N158" s="98"/>
      <c r="O158" s="98"/>
      <c r="P158" s="99"/>
      <c r="Q158" s="6"/>
      <c r="R158" s="6"/>
      <c r="S158" s="6"/>
      <c r="T158" s="6"/>
      <c r="U158" s="40">
        <v>116</v>
      </c>
      <c r="V158" s="29">
        <f t="shared" si="3"/>
        <v>0</v>
      </c>
      <c r="W158" s="29"/>
    </row>
    <row r="159" spans="3:23" ht="32.25" customHeight="1" x14ac:dyDescent="0.35">
      <c r="C159" s="40">
        <v>117</v>
      </c>
      <c r="D159" s="97" t="s">
        <v>133</v>
      </c>
      <c r="E159" s="98"/>
      <c r="F159" s="98"/>
      <c r="G159" s="98"/>
      <c r="H159" s="98"/>
      <c r="I159" s="98"/>
      <c r="J159" s="98"/>
      <c r="K159" s="98"/>
      <c r="L159" s="98"/>
      <c r="M159" s="98"/>
      <c r="N159" s="98"/>
      <c r="O159" s="98"/>
      <c r="P159" s="99"/>
      <c r="Q159" s="6"/>
      <c r="R159" s="6"/>
      <c r="S159" s="6"/>
      <c r="T159" s="6"/>
      <c r="U159" s="40">
        <v>117</v>
      </c>
      <c r="V159" s="29">
        <f t="shared" si="3"/>
        <v>0</v>
      </c>
      <c r="W159" s="29"/>
    </row>
    <row r="160" spans="3:23" ht="21" customHeight="1" x14ac:dyDescent="0.35">
      <c r="C160" s="40">
        <v>118</v>
      </c>
      <c r="D160" s="97" t="s">
        <v>134</v>
      </c>
      <c r="E160" s="98"/>
      <c r="F160" s="98"/>
      <c r="G160" s="98"/>
      <c r="H160" s="98"/>
      <c r="I160" s="98"/>
      <c r="J160" s="98"/>
      <c r="K160" s="98"/>
      <c r="L160" s="98"/>
      <c r="M160" s="98"/>
      <c r="N160" s="98"/>
      <c r="O160" s="98"/>
      <c r="P160" s="99"/>
      <c r="Q160" s="6"/>
      <c r="R160" s="6"/>
      <c r="S160" s="6"/>
      <c r="T160" s="6"/>
      <c r="U160" s="40">
        <v>118</v>
      </c>
      <c r="V160" s="29">
        <f t="shared" si="3"/>
        <v>0</v>
      </c>
      <c r="W160" s="29"/>
    </row>
    <row r="161" spans="3:23" ht="32.25" customHeight="1" x14ac:dyDescent="0.35">
      <c r="C161" s="40">
        <v>119</v>
      </c>
      <c r="D161" s="97" t="s">
        <v>135</v>
      </c>
      <c r="E161" s="98"/>
      <c r="F161" s="98"/>
      <c r="G161" s="98"/>
      <c r="H161" s="98"/>
      <c r="I161" s="98"/>
      <c r="J161" s="98"/>
      <c r="K161" s="98"/>
      <c r="L161" s="98"/>
      <c r="M161" s="98"/>
      <c r="N161" s="98"/>
      <c r="O161" s="98"/>
      <c r="P161" s="99"/>
      <c r="Q161" s="6"/>
      <c r="R161" s="6"/>
      <c r="S161" s="6"/>
      <c r="T161" s="6"/>
      <c r="U161" s="40">
        <v>119</v>
      </c>
      <c r="V161" s="29">
        <f t="shared" si="3"/>
        <v>0</v>
      </c>
      <c r="W161" s="29"/>
    </row>
    <row r="162" spans="3:23" ht="21" customHeight="1" x14ac:dyDescent="0.35">
      <c r="C162" s="40">
        <v>120</v>
      </c>
      <c r="D162" s="97" t="s">
        <v>136</v>
      </c>
      <c r="E162" s="98"/>
      <c r="F162" s="98"/>
      <c r="G162" s="98"/>
      <c r="H162" s="98"/>
      <c r="I162" s="98"/>
      <c r="J162" s="98"/>
      <c r="K162" s="98"/>
      <c r="L162" s="98"/>
      <c r="M162" s="98"/>
      <c r="N162" s="98"/>
      <c r="O162" s="98"/>
      <c r="P162" s="99"/>
      <c r="Q162" s="6"/>
      <c r="R162" s="6"/>
      <c r="S162" s="6"/>
      <c r="T162" s="6"/>
      <c r="U162" s="40">
        <v>120</v>
      </c>
      <c r="V162" s="29">
        <f t="shared" si="3"/>
        <v>0</v>
      </c>
      <c r="W162" s="29"/>
    </row>
    <row r="163" spans="3:23" ht="32.25" customHeight="1" x14ac:dyDescent="0.35">
      <c r="C163" s="40">
        <v>121</v>
      </c>
      <c r="D163" s="97" t="s">
        <v>137</v>
      </c>
      <c r="E163" s="98"/>
      <c r="F163" s="98"/>
      <c r="G163" s="98"/>
      <c r="H163" s="98"/>
      <c r="I163" s="98"/>
      <c r="J163" s="98"/>
      <c r="K163" s="98"/>
      <c r="L163" s="98"/>
      <c r="M163" s="98"/>
      <c r="N163" s="98"/>
      <c r="O163" s="98"/>
      <c r="P163" s="99"/>
      <c r="Q163" s="6"/>
      <c r="R163" s="6"/>
      <c r="S163" s="6"/>
      <c r="T163" s="6"/>
      <c r="U163" s="40">
        <v>121</v>
      </c>
      <c r="V163" s="29">
        <f t="shared" si="3"/>
        <v>0</v>
      </c>
      <c r="W163" s="29"/>
    </row>
    <row r="164" spans="3:23" ht="21" customHeight="1" x14ac:dyDescent="0.35">
      <c r="C164" s="40">
        <v>122</v>
      </c>
      <c r="D164" s="97" t="s">
        <v>138</v>
      </c>
      <c r="E164" s="98"/>
      <c r="F164" s="98"/>
      <c r="G164" s="98"/>
      <c r="H164" s="98"/>
      <c r="I164" s="98"/>
      <c r="J164" s="98"/>
      <c r="K164" s="98"/>
      <c r="L164" s="98"/>
      <c r="M164" s="98"/>
      <c r="N164" s="98"/>
      <c r="O164" s="98"/>
      <c r="P164" s="99"/>
      <c r="Q164" s="6"/>
      <c r="R164" s="6"/>
      <c r="S164" s="6"/>
      <c r="T164" s="6"/>
      <c r="U164" s="40">
        <v>122</v>
      </c>
      <c r="V164" s="29">
        <f t="shared" si="3"/>
        <v>0</v>
      </c>
      <c r="W164" s="29"/>
    </row>
    <row r="165" spans="3:23" ht="32.25" customHeight="1" x14ac:dyDescent="0.35">
      <c r="C165" s="40">
        <v>123</v>
      </c>
      <c r="D165" s="97" t="s">
        <v>139</v>
      </c>
      <c r="E165" s="98"/>
      <c r="F165" s="98"/>
      <c r="G165" s="98"/>
      <c r="H165" s="98"/>
      <c r="I165" s="98"/>
      <c r="J165" s="98"/>
      <c r="K165" s="98"/>
      <c r="L165" s="98"/>
      <c r="M165" s="98"/>
      <c r="N165" s="98"/>
      <c r="O165" s="98"/>
      <c r="P165" s="99"/>
      <c r="Q165" s="6"/>
      <c r="R165" s="6"/>
      <c r="S165" s="6"/>
      <c r="T165" s="6"/>
      <c r="U165" s="40">
        <v>123</v>
      </c>
      <c r="V165" s="29">
        <f t="shared" si="3"/>
        <v>0</v>
      </c>
      <c r="W165" s="29"/>
    </row>
    <row r="166" spans="3:23" ht="21" customHeight="1" x14ac:dyDescent="0.35">
      <c r="C166" s="40">
        <v>124</v>
      </c>
      <c r="D166" s="97" t="s">
        <v>140</v>
      </c>
      <c r="E166" s="98"/>
      <c r="F166" s="98"/>
      <c r="G166" s="98"/>
      <c r="H166" s="98"/>
      <c r="I166" s="98"/>
      <c r="J166" s="98"/>
      <c r="K166" s="98"/>
      <c r="L166" s="98"/>
      <c r="M166" s="98"/>
      <c r="N166" s="98"/>
      <c r="O166" s="98"/>
      <c r="P166" s="99"/>
      <c r="Q166" s="6"/>
      <c r="R166" s="6"/>
      <c r="S166" s="6"/>
      <c r="T166" s="6"/>
      <c r="U166" s="40">
        <v>124</v>
      </c>
      <c r="V166" s="29">
        <f t="shared" si="3"/>
        <v>0</v>
      </c>
      <c r="W166" s="29"/>
    </row>
    <row r="167" spans="3:23" ht="33" customHeight="1" x14ac:dyDescent="0.35">
      <c r="C167" s="40">
        <v>125</v>
      </c>
      <c r="D167" s="97" t="s">
        <v>268</v>
      </c>
      <c r="E167" s="98"/>
      <c r="F167" s="98"/>
      <c r="G167" s="98"/>
      <c r="H167" s="98"/>
      <c r="I167" s="98"/>
      <c r="J167" s="98"/>
      <c r="K167" s="98"/>
      <c r="L167" s="98"/>
      <c r="M167" s="98"/>
      <c r="N167" s="98"/>
      <c r="O167" s="98"/>
      <c r="P167" s="99"/>
      <c r="Q167" s="6"/>
      <c r="R167" s="6"/>
      <c r="S167" s="6"/>
      <c r="T167" s="6"/>
      <c r="U167" s="40">
        <v>125</v>
      </c>
      <c r="V167" s="29">
        <f t="shared" si="3"/>
        <v>0</v>
      </c>
      <c r="W167" s="29"/>
    </row>
    <row r="168" spans="3:23" ht="21" customHeight="1" x14ac:dyDescent="0.35">
      <c r="C168" s="40">
        <v>126</v>
      </c>
      <c r="D168" s="97" t="s">
        <v>141</v>
      </c>
      <c r="E168" s="98"/>
      <c r="F168" s="98"/>
      <c r="G168" s="98"/>
      <c r="H168" s="98"/>
      <c r="I168" s="98"/>
      <c r="J168" s="98"/>
      <c r="K168" s="98"/>
      <c r="L168" s="98"/>
      <c r="M168" s="98"/>
      <c r="N168" s="98"/>
      <c r="O168" s="98"/>
      <c r="P168" s="99"/>
      <c r="Q168" s="6"/>
      <c r="R168" s="6"/>
      <c r="S168" s="6"/>
      <c r="T168" s="6"/>
      <c r="U168" s="40">
        <v>126</v>
      </c>
      <c r="V168" s="29">
        <f t="shared" si="3"/>
        <v>0</v>
      </c>
      <c r="W168" s="29"/>
    </row>
    <row r="169" spans="3:23" ht="32.25" customHeight="1" x14ac:dyDescent="0.35">
      <c r="C169" s="40">
        <v>127</v>
      </c>
      <c r="D169" s="97" t="s">
        <v>142</v>
      </c>
      <c r="E169" s="98"/>
      <c r="F169" s="98"/>
      <c r="G169" s="98"/>
      <c r="H169" s="98"/>
      <c r="I169" s="98"/>
      <c r="J169" s="98"/>
      <c r="K169" s="98"/>
      <c r="L169" s="98"/>
      <c r="M169" s="98"/>
      <c r="N169" s="98"/>
      <c r="O169" s="98"/>
      <c r="P169" s="99"/>
      <c r="Q169" s="6"/>
      <c r="R169" s="6"/>
      <c r="S169" s="6"/>
      <c r="T169" s="6"/>
      <c r="U169" s="40">
        <v>127</v>
      </c>
      <c r="V169" s="29">
        <f t="shared" si="3"/>
        <v>0</v>
      </c>
      <c r="W169" s="29"/>
    </row>
    <row r="170" spans="3:23" ht="21" customHeight="1" x14ac:dyDescent="0.35">
      <c r="C170" s="40">
        <v>128</v>
      </c>
      <c r="D170" s="97" t="s">
        <v>143</v>
      </c>
      <c r="E170" s="98"/>
      <c r="F170" s="98"/>
      <c r="G170" s="98"/>
      <c r="H170" s="98"/>
      <c r="I170" s="98"/>
      <c r="J170" s="98"/>
      <c r="K170" s="98"/>
      <c r="L170" s="98"/>
      <c r="M170" s="98"/>
      <c r="N170" s="98"/>
      <c r="O170" s="98"/>
      <c r="P170" s="99"/>
      <c r="Q170" s="6"/>
      <c r="R170" s="6"/>
      <c r="S170" s="6"/>
      <c r="T170" s="6"/>
      <c r="U170" s="40">
        <v>128</v>
      </c>
      <c r="V170" s="29">
        <f t="shared" si="3"/>
        <v>0</v>
      </c>
      <c r="W170" s="29"/>
    </row>
    <row r="171" spans="3:23" ht="32.25" customHeight="1" x14ac:dyDescent="0.35">
      <c r="C171" s="40">
        <v>129</v>
      </c>
      <c r="D171" s="97" t="s">
        <v>144</v>
      </c>
      <c r="E171" s="98"/>
      <c r="F171" s="98"/>
      <c r="G171" s="98"/>
      <c r="H171" s="98"/>
      <c r="I171" s="98"/>
      <c r="J171" s="98"/>
      <c r="K171" s="98"/>
      <c r="L171" s="98"/>
      <c r="M171" s="98"/>
      <c r="N171" s="98"/>
      <c r="O171" s="98"/>
      <c r="P171" s="99"/>
      <c r="Q171" s="6"/>
      <c r="R171" s="6"/>
      <c r="S171" s="6"/>
      <c r="T171" s="6"/>
      <c r="U171" s="40">
        <v>129</v>
      </c>
      <c r="V171" s="29">
        <f t="shared" ref="V171:V202" si="4">IF(Q171="x",2,IF(R171="x",1,IF(S171="x",0,IF(T171="x",0,0))))</f>
        <v>0</v>
      </c>
      <c r="W171" s="29"/>
    </row>
    <row r="172" spans="3:23" ht="21" customHeight="1" x14ac:dyDescent="0.35">
      <c r="C172" s="40">
        <v>130</v>
      </c>
      <c r="D172" s="97" t="s">
        <v>145</v>
      </c>
      <c r="E172" s="98"/>
      <c r="F172" s="98"/>
      <c r="G172" s="98"/>
      <c r="H172" s="98"/>
      <c r="I172" s="98"/>
      <c r="J172" s="98"/>
      <c r="K172" s="98"/>
      <c r="L172" s="98"/>
      <c r="M172" s="98"/>
      <c r="N172" s="98"/>
      <c r="O172" s="98"/>
      <c r="P172" s="99"/>
      <c r="Q172" s="6"/>
      <c r="R172" s="6"/>
      <c r="S172" s="6"/>
      <c r="T172" s="6"/>
      <c r="U172" s="40">
        <v>130</v>
      </c>
      <c r="V172" s="29">
        <f t="shared" si="4"/>
        <v>0</v>
      </c>
      <c r="W172" s="29"/>
    </row>
    <row r="173" spans="3:23" ht="21" customHeight="1" x14ac:dyDescent="0.35">
      <c r="C173" s="40">
        <v>131</v>
      </c>
      <c r="D173" s="97" t="s">
        <v>146</v>
      </c>
      <c r="E173" s="98"/>
      <c r="F173" s="98"/>
      <c r="G173" s="98"/>
      <c r="H173" s="98"/>
      <c r="I173" s="98"/>
      <c r="J173" s="98"/>
      <c r="K173" s="98"/>
      <c r="L173" s="98"/>
      <c r="M173" s="98"/>
      <c r="N173" s="98"/>
      <c r="O173" s="98"/>
      <c r="P173" s="99"/>
      <c r="Q173" s="6"/>
      <c r="R173" s="6"/>
      <c r="S173" s="6"/>
      <c r="T173" s="6"/>
      <c r="U173" s="40">
        <v>131</v>
      </c>
      <c r="V173" s="29">
        <f t="shared" si="4"/>
        <v>0</v>
      </c>
      <c r="W173" s="29"/>
    </row>
    <row r="174" spans="3:23" ht="21" customHeight="1" x14ac:dyDescent="0.35">
      <c r="C174" s="40">
        <v>132</v>
      </c>
      <c r="D174" s="97" t="s">
        <v>147</v>
      </c>
      <c r="E174" s="98"/>
      <c r="F174" s="98"/>
      <c r="G174" s="98"/>
      <c r="H174" s="98"/>
      <c r="I174" s="98"/>
      <c r="J174" s="98"/>
      <c r="K174" s="98"/>
      <c r="L174" s="98"/>
      <c r="M174" s="98"/>
      <c r="N174" s="98"/>
      <c r="O174" s="98"/>
      <c r="P174" s="99"/>
      <c r="Q174" s="6"/>
      <c r="R174" s="6"/>
      <c r="S174" s="6"/>
      <c r="T174" s="6"/>
      <c r="U174" s="40">
        <v>132</v>
      </c>
      <c r="V174" s="29">
        <f t="shared" si="4"/>
        <v>0</v>
      </c>
      <c r="W174" s="29"/>
    </row>
    <row r="175" spans="3:23" ht="32.25" customHeight="1" x14ac:dyDescent="0.35">
      <c r="C175" s="40">
        <v>133</v>
      </c>
      <c r="D175" s="97" t="s">
        <v>148</v>
      </c>
      <c r="E175" s="98"/>
      <c r="F175" s="98"/>
      <c r="G175" s="98"/>
      <c r="H175" s="98"/>
      <c r="I175" s="98"/>
      <c r="J175" s="98"/>
      <c r="K175" s="98"/>
      <c r="L175" s="98"/>
      <c r="M175" s="98"/>
      <c r="N175" s="98"/>
      <c r="O175" s="98"/>
      <c r="P175" s="99"/>
      <c r="Q175" s="6"/>
      <c r="R175" s="6"/>
      <c r="S175" s="6"/>
      <c r="T175" s="6"/>
      <c r="U175" s="40">
        <v>133</v>
      </c>
      <c r="V175" s="29">
        <f t="shared" si="4"/>
        <v>0</v>
      </c>
      <c r="W175" s="29"/>
    </row>
    <row r="176" spans="3:23" ht="21" customHeight="1" x14ac:dyDescent="0.35">
      <c r="C176" s="40">
        <v>134</v>
      </c>
      <c r="D176" s="97" t="s">
        <v>149</v>
      </c>
      <c r="E176" s="98"/>
      <c r="F176" s="98"/>
      <c r="G176" s="98"/>
      <c r="H176" s="98"/>
      <c r="I176" s="98"/>
      <c r="J176" s="98"/>
      <c r="K176" s="98"/>
      <c r="L176" s="98"/>
      <c r="M176" s="98"/>
      <c r="N176" s="98"/>
      <c r="O176" s="98"/>
      <c r="P176" s="99"/>
      <c r="Q176" s="6"/>
      <c r="R176" s="6"/>
      <c r="S176" s="6"/>
      <c r="T176" s="6"/>
      <c r="U176" s="40">
        <v>134</v>
      </c>
      <c r="V176" s="29">
        <f t="shared" si="4"/>
        <v>0</v>
      </c>
      <c r="W176" s="29"/>
    </row>
    <row r="177" spans="3:23" ht="46.5" customHeight="1" x14ac:dyDescent="0.35">
      <c r="C177" s="40">
        <v>135</v>
      </c>
      <c r="D177" s="97" t="s">
        <v>150</v>
      </c>
      <c r="E177" s="98"/>
      <c r="F177" s="98"/>
      <c r="G177" s="98"/>
      <c r="H177" s="98"/>
      <c r="I177" s="98"/>
      <c r="J177" s="98"/>
      <c r="K177" s="98"/>
      <c r="L177" s="98"/>
      <c r="M177" s="98"/>
      <c r="N177" s="98"/>
      <c r="O177" s="98"/>
      <c r="P177" s="99"/>
      <c r="Q177" s="6"/>
      <c r="R177" s="6"/>
      <c r="S177" s="6"/>
      <c r="T177" s="6"/>
      <c r="U177" s="40">
        <v>135</v>
      </c>
      <c r="V177" s="29">
        <f t="shared" si="4"/>
        <v>0</v>
      </c>
      <c r="W177" s="29"/>
    </row>
    <row r="178" spans="3:23" ht="21" customHeight="1" x14ac:dyDescent="0.35">
      <c r="C178" s="40">
        <v>136</v>
      </c>
      <c r="D178" s="97" t="s">
        <v>151</v>
      </c>
      <c r="E178" s="98"/>
      <c r="F178" s="98"/>
      <c r="G178" s="98"/>
      <c r="H178" s="98"/>
      <c r="I178" s="98"/>
      <c r="J178" s="98"/>
      <c r="K178" s="98"/>
      <c r="L178" s="98"/>
      <c r="M178" s="98"/>
      <c r="N178" s="98"/>
      <c r="O178" s="98"/>
      <c r="P178" s="99"/>
      <c r="Q178" s="6"/>
      <c r="R178" s="6"/>
      <c r="S178" s="6"/>
      <c r="T178" s="6"/>
      <c r="U178" s="40">
        <v>136</v>
      </c>
      <c r="V178" s="29">
        <f t="shared" si="4"/>
        <v>0</v>
      </c>
      <c r="W178" s="29"/>
    </row>
    <row r="179" spans="3:23" ht="32.25" customHeight="1" x14ac:dyDescent="0.35">
      <c r="C179" s="40">
        <v>137</v>
      </c>
      <c r="D179" s="97" t="s">
        <v>152</v>
      </c>
      <c r="E179" s="98"/>
      <c r="F179" s="98"/>
      <c r="G179" s="98"/>
      <c r="H179" s="98"/>
      <c r="I179" s="98"/>
      <c r="J179" s="98"/>
      <c r="K179" s="98"/>
      <c r="L179" s="98"/>
      <c r="M179" s="98"/>
      <c r="N179" s="98"/>
      <c r="O179" s="98"/>
      <c r="P179" s="99"/>
      <c r="Q179" s="6"/>
      <c r="R179" s="6"/>
      <c r="S179" s="6"/>
      <c r="T179" s="6"/>
      <c r="U179" s="40">
        <v>137</v>
      </c>
      <c r="V179" s="29">
        <f t="shared" si="4"/>
        <v>0</v>
      </c>
      <c r="W179" s="29"/>
    </row>
    <row r="180" spans="3:23" ht="21" customHeight="1" x14ac:dyDescent="0.35">
      <c r="C180" s="40">
        <v>138</v>
      </c>
      <c r="D180" s="97" t="s">
        <v>153</v>
      </c>
      <c r="E180" s="98"/>
      <c r="F180" s="98"/>
      <c r="G180" s="98"/>
      <c r="H180" s="98"/>
      <c r="I180" s="98"/>
      <c r="J180" s="98"/>
      <c r="K180" s="98"/>
      <c r="L180" s="98"/>
      <c r="M180" s="98"/>
      <c r="N180" s="98"/>
      <c r="O180" s="98"/>
      <c r="P180" s="99"/>
      <c r="Q180" s="6"/>
      <c r="R180" s="6"/>
      <c r="S180" s="6"/>
      <c r="T180" s="6"/>
      <c r="U180" s="40">
        <v>138</v>
      </c>
      <c r="V180" s="29">
        <f t="shared" si="4"/>
        <v>0</v>
      </c>
      <c r="W180" s="29"/>
    </row>
    <row r="181" spans="3:23" ht="32.25" customHeight="1" x14ac:dyDescent="0.35">
      <c r="C181" s="40">
        <v>139</v>
      </c>
      <c r="D181" s="97" t="s">
        <v>154</v>
      </c>
      <c r="E181" s="98"/>
      <c r="F181" s="98"/>
      <c r="G181" s="98"/>
      <c r="H181" s="98"/>
      <c r="I181" s="98"/>
      <c r="J181" s="98"/>
      <c r="K181" s="98"/>
      <c r="L181" s="98"/>
      <c r="M181" s="98"/>
      <c r="N181" s="98"/>
      <c r="O181" s="98"/>
      <c r="P181" s="99"/>
      <c r="Q181" s="6"/>
      <c r="R181" s="6"/>
      <c r="S181" s="6"/>
      <c r="T181" s="6"/>
      <c r="U181" s="40">
        <v>139</v>
      </c>
      <c r="V181" s="29">
        <f t="shared" si="4"/>
        <v>0</v>
      </c>
      <c r="W181" s="29"/>
    </row>
    <row r="182" spans="3:23" ht="21" customHeight="1" x14ac:dyDescent="0.35">
      <c r="C182" s="40">
        <v>140</v>
      </c>
      <c r="D182" s="97" t="s">
        <v>155</v>
      </c>
      <c r="E182" s="98"/>
      <c r="F182" s="98"/>
      <c r="G182" s="98"/>
      <c r="H182" s="98"/>
      <c r="I182" s="98"/>
      <c r="J182" s="98"/>
      <c r="K182" s="98"/>
      <c r="L182" s="98"/>
      <c r="M182" s="98"/>
      <c r="N182" s="98"/>
      <c r="O182" s="98"/>
      <c r="P182" s="99"/>
      <c r="Q182" s="6"/>
      <c r="R182" s="6"/>
      <c r="S182" s="6"/>
      <c r="T182" s="6"/>
      <c r="U182" s="40">
        <v>140</v>
      </c>
      <c r="V182" s="29">
        <f t="shared" si="4"/>
        <v>0</v>
      </c>
      <c r="W182" s="29"/>
    </row>
    <row r="183" spans="3:23" ht="32.25" customHeight="1" x14ac:dyDescent="0.35">
      <c r="C183" s="40">
        <v>141</v>
      </c>
      <c r="D183" s="97" t="s">
        <v>156</v>
      </c>
      <c r="E183" s="98"/>
      <c r="F183" s="98"/>
      <c r="G183" s="98"/>
      <c r="H183" s="98"/>
      <c r="I183" s="98"/>
      <c r="J183" s="98"/>
      <c r="K183" s="98"/>
      <c r="L183" s="98"/>
      <c r="M183" s="98"/>
      <c r="N183" s="98"/>
      <c r="O183" s="98"/>
      <c r="P183" s="99"/>
      <c r="Q183" s="6"/>
      <c r="R183" s="6"/>
      <c r="S183" s="6"/>
      <c r="T183" s="6"/>
      <c r="U183" s="40">
        <v>141</v>
      </c>
      <c r="V183" s="29">
        <f t="shared" si="4"/>
        <v>0</v>
      </c>
      <c r="W183" s="29"/>
    </row>
    <row r="184" spans="3:23" ht="21" customHeight="1" x14ac:dyDescent="0.35">
      <c r="C184" s="40">
        <v>142</v>
      </c>
      <c r="D184" s="97" t="s">
        <v>157</v>
      </c>
      <c r="E184" s="98"/>
      <c r="F184" s="98"/>
      <c r="G184" s="98"/>
      <c r="H184" s="98"/>
      <c r="I184" s="98"/>
      <c r="J184" s="98"/>
      <c r="K184" s="98"/>
      <c r="L184" s="98"/>
      <c r="M184" s="98"/>
      <c r="N184" s="98"/>
      <c r="O184" s="98"/>
      <c r="P184" s="99"/>
      <c r="Q184" s="6"/>
      <c r="R184" s="6"/>
      <c r="S184" s="6"/>
      <c r="T184" s="6"/>
      <c r="U184" s="40">
        <v>142</v>
      </c>
      <c r="V184" s="29">
        <f t="shared" si="4"/>
        <v>0</v>
      </c>
      <c r="W184" s="29"/>
    </row>
    <row r="185" spans="3:23" ht="32.25" customHeight="1" x14ac:dyDescent="0.35">
      <c r="C185" s="40">
        <v>143</v>
      </c>
      <c r="D185" s="97" t="s">
        <v>158</v>
      </c>
      <c r="E185" s="98"/>
      <c r="F185" s="98"/>
      <c r="G185" s="98"/>
      <c r="H185" s="98"/>
      <c r="I185" s="98"/>
      <c r="J185" s="98"/>
      <c r="K185" s="98"/>
      <c r="L185" s="98"/>
      <c r="M185" s="98"/>
      <c r="N185" s="98"/>
      <c r="O185" s="98"/>
      <c r="P185" s="99"/>
      <c r="Q185" s="6"/>
      <c r="R185" s="6"/>
      <c r="S185" s="6"/>
      <c r="T185" s="6"/>
      <c r="U185" s="40">
        <v>143</v>
      </c>
      <c r="V185" s="29">
        <f t="shared" si="4"/>
        <v>0</v>
      </c>
      <c r="W185" s="29"/>
    </row>
    <row r="186" spans="3:23" ht="21" customHeight="1" x14ac:dyDescent="0.35">
      <c r="C186" s="40">
        <v>144</v>
      </c>
      <c r="D186" s="97" t="s">
        <v>159</v>
      </c>
      <c r="E186" s="98"/>
      <c r="F186" s="98"/>
      <c r="G186" s="98"/>
      <c r="H186" s="98"/>
      <c r="I186" s="98"/>
      <c r="J186" s="98"/>
      <c r="K186" s="98"/>
      <c r="L186" s="98"/>
      <c r="M186" s="98"/>
      <c r="N186" s="98"/>
      <c r="O186" s="98"/>
      <c r="P186" s="99"/>
      <c r="Q186" s="6"/>
      <c r="R186" s="6"/>
      <c r="S186" s="6"/>
      <c r="T186" s="6"/>
      <c r="U186" s="40">
        <v>144</v>
      </c>
      <c r="V186" s="29">
        <f t="shared" si="4"/>
        <v>0</v>
      </c>
      <c r="W186" s="29"/>
    </row>
    <row r="187" spans="3:23" ht="32.25" customHeight="1" x14ac:dyDescent="0.35">
      <c r="C187" s="40">
        <v>145</v>
      </c>
      <c r="D187" s="97" t="s">
        <v>160</v>
      </c>
      <c r="E187" s="98"/>
      <c r="F187" s="98"/>
      <c r="G187" s="98"/>
      <c r="H187" s="98"/>
      <c r="I187" s="98"/>
      <c r="J187" s="98"/>
      <c r="K187" s="98"/>
      <c r="L187" s="98"/>
      <c r="M187" s="98"/>
      <c r="N187" s="98"/>
      <c r="O187" s="98"/>
      <c r="P187" s="99"/>
      <c r="Q187" s="6"/>
      <c r="R187" s="6"/>
      <c r="S187" s="6"/>
      <c r="T187" s="6"/>
      <c r="U187" s="40">
        <v>145</v>
      </c>
      <c r="V187" s="29">
        <f t="shared" si="4"/>
        <v>0</v>
      </c>
      <c r="W187" s="29"/>
    </row>
    <row r="188" spans="3:23" ht="21" customHeight="1" x14ac:dyDescent="0.35">
      <c r="C188" s="40">
        <v>146</v>
      </c>
      <c r="D188" s="97" t="s">
        <v>161</v>
      </c>
      <c r="E188" s="98"/>
      <c r="F188" s="98"/>
      <c r="G188" s="98"/>
      <c r="H188" s="98"/>
      <c r="I188" s="98"/>
      <c r="J188" s="98"/>
      <c r="K188" s="98"/>
      <c r="L188" s="98"/>
      <c r="M188" s="98"/>
      <c r="N188" s="98"/>
      <c r="O188" s="98"/>
      <c r="P188" s="99"/>
      <c r="Q188" s="6"/>
      <c r="R188" s="6"/>
      <c r="S188" s="6"/>
      <c r="T188" s="6"/>
      <c r="U188" s="40">
        <v>146</v>
      </c>
      <c r="V188" s="29">
        <f t="shared" si="4"/>
        <v>0</v>
      </c>
      <c r="W188" s="29"/>
    </row>
    <row r="189" spans="3:23" ht="32.25" customHeight="1" x14ac:dyDescent="0.35">
      <c r="C189" s="40">
        <v>147</v>
      </c>
      <c r="D189" s="97" t="s">
        <v>162</v>
      </c>
      <c r="E189" s="98"/>
      <c r="F189" s="98"/>
      <c r="G189" s="98"/>
      <c r="H189" s="98"/>
      <c r="I189" s="98"/>
      <c r="J189" s="98"/>
      <c r="K189" s="98"/>
      <c r="L189" s="98"/>
      <c r="M189" s="98"/>
      <c r="N189" s="98"/>
      <c r="O189" s="98"/>
      <c r="P189" s="99"/>
      <c r="Q189" s="6"/>
      <c r="R189" s="6"/>
      <c r="S189" s="6" t="s">
        <v>5</v>
      </c>
      <c r="T189" s="6"/>
      <c r="U189" s="40">
        <v>147</v>
      </c>
      <c r="V189" s="29">
        <f t="shared" si="4"/>
        <v>0</v>
      </c>
      <c r="W189" s="29"/>
    </row>
    <row r="190" spans="3:23" ht="21" customHeight="1" x14ac:dyDescent="0.35">
      <c r="C190" s="40">
        <v>148</v>
      </c>
      <c r="D190" s="97" t="s">
        <v>163</v>
      </c>
      <c r="E190" s="98"/>
      <c r="F190" s="98"/>
      <c r="G190" s="98"/>
      <c r="H190" s="98"/>
      <c r="I190" s="98"/>
      <c r="J190" s="98"/>
      <c r="K190" s="98"/>
      <c r="L190" s="98"/>
      <c r="M190" s="98"/>
      <c r="N190" s="98"/>
      <c r="O190" s="98"/>
      <c r="P190" s="99"/>
      <c r="Q190" s="6"/>
      <c r="R190" s="6"/>
      <c r="S190" s="6" t="s">
        <v>5</v>
      </c>
      <c r="T190" s="6"/>
      <c r="U190" s="40">
        <v>148</v>
      </c>
      <c r="V190" s="29">
        <f t="shared" si="4"/>
        <v>0</v>
      </c>
      <c r="W190" s="29"/>
    </row>
    <row r="191" spans="3:23" ht="32.25" customHeight="1" x14ac:dyDescent="0.35">
      <c r="C191" s="40">
        <v>149</v>
      </c>
      <c r="D191" s="97" t="s">
        <v>164</v>
      </c>
      <c r="E191" s="98"/>
      <c r="F191" s="98"/>
      <c r="G191" s="98"/>
      <c r="H191" s="98"/>
      <c r="I191" s="98"/>
      <c r="J191" s="98"/>
      <c r="K191" s="98"/>
      <c r="L191" s="98"/>
      <c r="M191" s="98"/>
      <c r="N191" s="98"/>
      <c r="O191" s="98"/>
      <c r="P191" s="99"/>
      <c r="Q191" s="6"/>
      <c r="R191" s="6" t="s">
        <v>5</v>
      </c>
      <c r="S191" s="6"/>
      <c r="T191" s="6"/>
      <c r="U191" s="40">
        <v>149</v>
      </c>
      <c r="V191" s="29">
        <f t="shared" si="4"/>
        <v>1</v>
      </c>
      <c r="W191" s="29"/>
    </row>
    <row r="192" spans="3:23" ht="21" customHeight="1" x14ac:dyDescent="0.35">
      <c r="C192" s="40">
        <v>150</v>
      </c>
      <c r="D192" s="97" t="s">
        <v>165</v>
      </c>
      <c r="E192" s="98"/>
      <c r="F192" s="98"/>
      <c r="G192" s="98"/>
      <c r="H192" s="98"/>
      <c r="I192" s="98"/>
      <c r="J192" s="98"/>
      <c r="K192" s="98"/>
      <c r="L192" s="98"/>
      <c r="M192" s="98"/>
      <c r="N192" s="98"/>
      <c r="O192" s="98"/>
      <c r="P192" s="99"/>
      <c r="Q192" s="6"/>
      <c r="R192" s="6"/>
      <c r="S192" s="6" t="s">
        <v>5</v>
      </c>
      <c r="T192" s="6"/>
      <c r="U192" s="40">
        <v>150</v>
      </c>
      <c r="V192" s="29">
        <f t="shared" si="4"/>
        <v>0</v>
      </c>
      <c r="W192" s="29"/>
    </row>
    <row r="193" spans="3:23" ht="21" customHeight="1" x14ac:dyDescent="0.35">
      <c r="C193" s="40">
        <v>151</v>
      </c>
      <c r="D193" s="97" t="s">
        <v>166</v>
      </c>
      <c r="E193" s="98"/>
      <c r="F193" s="98"/>
      <c r="G193" s="98"/>
      <c r="H193" s="98"/>
      <c r="I193" s="98"/>
      <c r="J193" s="98"/>
      <c r="K193" s="98"/>
      <c r="L193" s="98"/>
      <c r="M193" s="98"/>
      <c r="N193" s="98"/>
      <c r="O193" s="98"/>
      <c r="P193" s="99"/>
      <c r="Q193" s="6"/>
      <c r="R193" s="6"/>
      <c r="S193" s="6" t="s">
        <v>5</v>
      </c>
      <c r="T193" s="6"/>
      <c r="U193" s="40">
        <v>151</v>
      </c>
      <c r="V193" s="29">
        <f t="shared" si="4"/>
        <v>0</v>
      </c>
      <c r="W193" s="29"/>
    </row>
    <row r="194" spans="3:23" ht="21" customHeight="1" x14ac:dyDescent="0.35">
      <c r="C194" s="40">
        <v>152</v>
      </c>
      <c r="D194" s="97" t="s">
        <v>167</v>
      </c>
      <c r="E194" s="98"/>
      <c r="F194" s="98"/>
      <c r="G194" s="98"/>
      <c r="H194" s="98"/>
      <c r="I194" s="98"/>
      <c r="J194" s="98"/>
      <c r="K194" s="98"/>
      <c r="L194" s="98"/>
      <c r="M194" s="98"/>
      <c r="N194" s="98"/>
      <c r="O194" s="98"/>
      <c r="P194" s="99"/>
      <c r="Q194" s="6"/>
      <c r="R194" s="6"/>
      <c r="S194" s="6" t="s">
        <v>5</v>
      </c>
      <c r="T194" s="6"/>
      <c r="U194" s="40">
        <v>152</v>
      </c>
      <c r="V194" s="29">
        <f t="shared" si="4"/>
        <v>0</v>
      </c>
      <c r="W194" s="29"/>
    </row>
    <row r="195" spans="3:23" ht="32.25" customHeight="1" x14ac:dyDescent="0.35">
      <c r="C195" s="40">
        <v>153</v>
      </c>
      <c r="D195" s="97" t="s">
        <v>168</v>
      </c>
      <c r="E195" s="98"/>
      <c r="F195" s="98"/>
      <c r="G195" s="98"/>
      <c r="H195" s="98"/>
      <c r="I195" s="98"/>
      <c r="J195" s="98"/>
      <c r="K195" s="98"/>
      <c r="L195" s="98"/>
      <c r="M195" s="98"/>
      <c r="N195" s="98"/>
      <c r="O195" s="98"/>
      <c r="P195" s="99"/>
      <c r="Q195" s="6"/>
      <c r="R195" s="6" t="s">
        <v>5</v>
      </c>
      <c r="S195" s="6"/>
      <c r="T195" s="6"/>
      <c r="U195" s="40">
        <v>153</v>
      </c>
      <c r="V195" s="29">
        <f t="shared" si="4"/>
        <v>1</v>
      </c>
      <c r="W195" s="29"/>
    </row>
    <row r="196" spans="3:23" ht="21" customHeight="1" x14ac:dyDescent="0.35">
      <c r="C196" s="40">
        <v>154</v>
      </c>
      <c r="D196" s="97" t="s">
        <v>169</v>
      </c>
      <c r="E196" s="98"/>
      <c r="F196" s="98"/>
      <c r="G196" s="98"/>
      <c r="H196" s="98"/>
      <c r="I196" s="98"/>
      <c r="J196" s="98"/>
      <c r="K196" s="98"/>
      <c r="L196" s="98"/>
      <c r="M196" s="98"/>
      <c r="N196" s="98"/>
      <c r="O196" s="98"/>
      <c r="P196" s="99"/>
      <c r="Q196" s="6"/>
      <c r="R196" s="6"/>
      <c r="S196" s="6" t="s">
        <v>5</v>
      </c>
      <c r="T196" s="6"/>
      <c r="U196" s="40">
        <v>154</v>
      </c>
      <c r="V196" s="29">
        <f t="shared" si="4"/>
        <v>0</v>
      </c>
      <c r="W196" s="29"/>
    </row>
    <row r="197" spans="3:23" ht="21" customHeight="1" x14ac:dyDescent="0.35">
      <c r="C197" s="40">
        <v>155</v>
      </c>
      <c r="D197" s="97" t="s">
        <v>170</v>
      </c>
      <c r="E197" s="98"/>
      <c r="F197" s="98"/>
      <c r="G197" s="98"/>
      <c r="H197" s="98"/>
      <c r="I197" s="98"/>
      <c r="J197" s="98"/>
      <c r="K197" s="98"/>
      <c r="L197" s="98"/>
      <c r="M197" s="98"/>
      <c r="N197" s="98"/>
      <c r="O197" s="98"/>
      <c r="P197" s="99"/>
      <c r="Q197" s="6"/>
      <c r="R197" s="6"/>
      <c r="S197" s="6" t="s">
        <v>5</v>
      </c>
      <c r="T197" s="6"/>
      <c r="U197" s="40">
        <v>155</v>
      </c>
      <c r="V197" s="29">
        <f t="shared" si="4"/>
        <v>0</v>
      </c>
      <c r="W197" s="29"/>
    </row>
    <row r="198" spans="3:23" ht="21" customHeight="1" x14ac:dyDescent="0.35">
      <c r="C198" s="40">
        <v>156</v>
      </c>
      <c r="D198" s="97" t="s">
        <v>171</v>
      </c>
      <c r="E198" s="98"/>
      <c r="F198" s="98"/>
      <c r="G198" s="98"/>
      <c r="H198" s="98"/>
      <c r="I198" s="98"/>
      <c r="J198" s="98"/>
      <c r="K198" s="98"/>
      <c r="L198" s="98"/>
      <c r="M198" s="98"/>
      <c r="N198" s="98"/>
      <c r="O198" s="98"/>
      <c r="P198" s="99"/>
      <c r="Q198" s="6"/>
      <c r="R198" s="6" t="s">
        <v>5</v>
      </c>
      <c r="S198" s="6"/>
      <c r="T198" s="6"/>
      <c r="U198" s="40">
        <v>156</v>
      </c>
      <c r="V198" s="29">
        <f t="shared" si="4"/>
        <v>1</v>
      </c>
      <c r="W198" s="29"/>
    </row>
    <row r="199" spans="3:23" ht="32.25" customHeight="1" x14ac:dyDescent="0.35">
      <c r="C199" s="40">
        <v>157</v>
      </c>
      <c r="D199" s="97" t="s">
        <v>172</v>
      </c>
      <c r="E199" s="98"/>
      <c r="F199" s="98"/>
      <c r="G199" s="98"/>
      <c r="H199" s="98"/>
      <c r="I199" s="98"/>
      <c r="J199" s="98"/>
      <c r="K199" s="98"/>
      <c r="L199" s="98"/>
      <c r="M199" s="98"/>
      <c r="N199" s="98"/>
      <c r="O199" s="98"/>
      <c r="P199" s="99"/>
      <c r="Q199" s="6"/>
      <c r="R199" s="6" t="s">
        <v>5</v>
      </c>
      <c r="S199" s="6"/>
      <c r="T199" s="6"/>
      <c r="U199" s="40">
        <v>157</v>
      </c>
      <c r="V199" s="29">
        <f t="shared" si="4"/>
        <v>1</v>
      </c>
      <c r="W199" s="29"/>
    </row>
    <row r="200" spans="3:23" ht="21" customHeight="1" x14ac:dyDescent="0.35">
      <c r="C200" s="40">
        <v>158</v>
      </c>
      <c r="D200" s="97" t="s">
        <v>173</v>
      </c>
      <c r="E200" s="98"/>
      <c r="F200" s="98"/>
      <c r="G200" s="98"/>
      <c r="H200" s="98"/>
      <c r="I200" s="98"/>
      <c r="J200" s="98"/>
      <c r="K200" s="98"/>
      <c r="L200" s="98"/>
      <c r="M200" s="98"/>
      <c r="N200" s="98"/>
      <c r="O200" s="98"/>
      <c r="P200" s="99"/>
      <c r="Q200" s="6"/>
      <c r="R200" s="6"/>
      <c r="S200" s="6"/>
      <c r="T200" s="6" t="s">
        <v>5</v>
      </c>
      <c r="U200" s="40">
        <v>158</v>
      </c>
      <c r="V200" s="29">
        <f t="shared" si="4"/>
        <v>0</v>
      </c>
      <c r="W200" s="29"/>
    </row>
    <row r="201" spans="3:23" ht="32.25" customHeight="1" x14ac:dyDescent="0.35">
      <c r="C201" s="40">
        <v>159</v>
      </c>
      <c r="D201" s="97" t="s">
        <v>174</v>
      </c>
      <c r="E201" s="98"/>
      <c r="F201" s="98"/>
      <c r="G201" s="98"/>
      <c r="H201" s="98"/>
      <c r="I201" s="98"/>
      <c r="J201" s="98"/>
      <c r="K201" s="98"/>
      <c r="L201" s="98"/>
      <c r="M201" s="98"/>
      <c r="N201" s="98"/>
      <c r="O201" s="98"/>
      <c r="P201" s="99"/>
      <c r="Q201" s="6"/>
      <c r="R201" s="6"/>
      <c r="S201" s="6" t="s">
        <v>5</v>
      </c>
      <c r="T201" s="6"/>
      <c r="U201" s="40">
        <v>159</v>
      </c>
      <c r="V201" s="29">
        <f t="shared" si="4"/>
        <v>0</v>
      </c>
      <c r="W201" s="29"/>
    </row>
    <row r="202" spans="3:23" ht="21" customHeight="1" x14ac:dyDescent="0.35">
      <c r="C202" s="40">
        <v>160</v>
      </c>
      <c r="D202" s="97" t="s">
        <v>175</v>
      </c>
      <c r="E202" s="98"/>
      <c r="F202" s="98"/>
      <c r="G202" s="98"/>
      <c r="H202" s="98"/>
      <c r="I202" s="98"/>
      <c r="J202" s="98"/>
      <c r="K202" s="98"/>
      <c r="L202" s="98"/>
      <c r="M202" s="98"/>
      <c r="N202" s="98"/>
      <c r="O202" s="98"/>
      <c r="P202" s="99"/>
      <c r="Q202" s="6"/>
      <c r="R202" s="6" t="s">
        <v>5</v>
      </c>
      <c r="S202" s="6"/>
      <c r="T202" s="6"/>
      <c r="U202" s="40">
        <v>160</v>
      </c>
      <c r="V202" s="29">
        <f t="shared" si="4"/>
        <v>1</v>
      </c>
      <c r="W202" s="29"/>
    </row>
    <row r="203" spans="3:23" ht="32.25" customHeight="1" x14ac:dyDescent="0.35">
      <c r="C203" s="40">
        <v>161</v>
      </c>
      <c r="D203" s="97" t="s">
        <v>176</v>
      </c>
      <c r="E203" s="98"/>
      <c r="F203" s="98"/>
      <c r="G203" s="98"/>
      <c r="H203" s="98"/>
      <c r="I203" s="98"/>
      <c r="J203" s="98"/>
      <c r="K203" s="98"/>
      <c r="L203" s="98"/>
      <c r="M203" s="98"/>
      <c r="N203" s="98"/>
      <c r="O203" s="98"/>
      <c r="P203" s="99"/>
      <c r="Q203" s="6"/>
      <c r="R203" s="6" t="s">
        <v>5</v>
      </c>
      <c r="S203" s="6"/>
      <c r="T203" s="6"/>
      <c r="U203" s="40">
        <v>161</v>
      </c>
      <c r="V203" s="29">
        <f t="shared" ref="V203:V222" si="5">IF(Q203="x",2,IF(R203="x",1,IF(S203="x",0,IF(T203="x",0,0))))</f>
        <v>1</v>
      </c>
      <c r="W203" s="29"/>
    </row>
    <row r="204" spans="3:23" ht="21" customHeight="1" x14ac:dyDescent="0.35">
      <c r="C204" s="40">
        <v>162</v>
      </c>
      <c r="D204" s="97" t="s">
        <v>177</v>
      </c>
      <c r="E204" s="98"/>
      <c r="F204" s="98"/>
      <c r="G204" s="98"/>
      <c r="H204" s="98"/>
      <c r="I204" s="98"/>
      <c r="J204" s="98"/>
      <c r="K204" s="98"/>
      <c r="L204" s="98"/>
      <c r="M204" s="98"/>
      <c r="N204" s="98"/>
      <c r="O204" s="98"/>
      <c r="P204" s="99"/>
      <c r="Q204" s="6"/>
      <c r="R204" s="6"/>
      <c r="S204" s="6" t="s">
        <v>5</v>
      </c>
      <c r="T204" s="6"/>
      <c r="U204" s="40">
        <v>162</v>
      </c>
      <c r="V204" s="29">
        <f t="shared" si="5"/>
        <v>0</v>
      </c>
      <c r="W204" s="29"/>
    </row>
    <row r="205" spans="3:23" ht="32.25" customHeight="1" x14ac:dyDescent="0.35">
      <c r="C205" s="40">
        <v>163</v>
      </c>
      <c r="D205" s="97" t="s">
        <v>178</v>
      </c>
      <c r="E205" s="98"/>
      <c r="F205" s="98"/>
      <c r="G205" s="98"/>
      <c r="H205" s="98"/>
      <c r="I205" s="98"/>
      <c r="J205" s="98"/>
      <c r="K205" s="98"/>
      <c r="L205" s="98"/>
      <c r="M205" s="98"/>
      <c r="N205" s="98"/>
      <c r="O205" s="98"/>
      <c r="P205" s="99"/>
      <c r="Q205" s="6"/>
      <c r="R205" s="6"/>
      <c r="S205" s="6"/>
      <c r="T205" s="6" t="s">
        <v>5</v>
      </c>
      <c r="U205" s="40">
        <v>163</v>
      </c>
      <c r="V205" s="29">
        <f t="shared" si="5"/>
        <v>0</v>
      </c>
      <c r="W205" s="29"/>
    </row>
    <row r="206" spans="3:23" ht="21" customHeight="1" x14ac:dyDescent="0.35">
      <c r="C206" s="40">
        <v>164</v>
      </c>
      <c r="D206" s="97" t="s">
        <v>179</v>
      </c>
      <c r="E206" s="98"/>
      <c r="F206" s="98"/>
      <c r="G206" s="98"/>
      <c r="H206" s="98"/>
      <c r="I206" s="98"/>
      <c r="J206" s="98"/>
      <c r="K206" s="98"/>
      <c r="L206" s="98"/>
      <c r="M206" s="98"/>
      <c r="N206" s="98"/>
      <c r="O206" s="98"/>
      <c r="P206" s="99"/>
      <c r="Q206" s="6"/>
      <c r="R206" s="6"/>
      <c r="S206" s="6" t="s">
        <v>5</v>
      </c>
      <c r="T206" s="6"/>
      <c r="U206" s="40">
        <v>164</v>
      </c>
      <c r="V206" s="29">
        <f t="shared" si="5"/>
        <v>0</v>
      </c>
      <c r="W206" s="29"/>
    </row>
    <row r="207" spans="3:23" ht="32.25" customHeight="1" x14ac:dyDescent="0.35">
      <c r="C207" s="40">
        <v>165</v>
      </c>
      <c r="D207" s="97" t="s">
        <v>180</v>
      </c>
      <c r="E207" s="98"/>
      <c r="F207" s="98"/>
      <c r="G207" s="98"/>
      <c r="H207" s="98"/>
      <c r="I207" s="98"/>
      <c r="J207" s="98"/>
      <c r="K207" s="98"/>
      <c r="L207" s="98"/>
      <c r="M207" s="98"/>
      <c r="N207" s="98"/>
      <c r="O207" s="98"/>
      <c r="P207" s="99"/>
      <c r="Q207" s="6"/>
      <c r="R207" s="6" t="s">
        <v>5</v>
      </c>
      <c r="S207" s="6"/>
      <c r="T207" s="6"/>
      <c r="U207" s="40">
        <v>165</v>
      </c>
      <c r="V207" s="29">
        <f t="shared" si="5"/>
        <v>1</v>
      </c>
      <c r="W207" s="29"/>
    </row>
    <row r="208" spans="3:23" ht="21" customHeight="1" x14ac:dyDescent="0.35">
      <c r="C208" s="40">
        <v>166</v>
      </c>
      <c r="D208" s="97" t="s">
        <v>181</v>
      </c>
      <c r="E208" s="98"/>
      <c r="F208" s="98"/>
      <c r="G208" s="98"/>
      <c r="H208" s="98"/>
      <c r="I208" s="98"/>
      <c r="J208" s="98"/>
      <c r="K208" s="98"/>
      <c r="L208" s="98"/>
      <c r="M208" s="98"/>
      <c r="N208" s="98"/>
      <c r="O208" s="98"/>
      <c r="P208" s="99"/>
      <c r="Q208" s="6"/>
      <c r="R208" s="6" t="s">
        <v>5</v>
      </c>
      <c r="S208" s="6"/>
      <c r="T208" s="6"/>
      <c r="U208" s="40">
        <v>166</v>
      </c>
      <c r="V208" s="29">
        <f t="shared" si="5"/>
        <v>1</v>
      </c>
      <c r="W208" s="29"/>
    </row>
    <row r="209" spans="3:23" ht="32.25" customHeight="1" x14ac:dyDescent="0.35">
      <c r="C209" s="40">
        <v>167</v>
      </c>
      <c r="D209" s="97" t="s">
        <v>182</v>
      </c>
      <c r="E209" s="98"/>
      <c r="F209" s="98"/>
      <c r="G209" s="98"/>
      <c r="H209" s="98"/>
      <c r="I209" s="98"/>
      <c r="J209" s="98"/>
      <c r="K209" s="98"/>
      <c r="L209" s="98"/>
      <c r="M209" s="98"/>
      <c r="N209" s="98"/>
      <c r="O209" s="98"/>
      <c r="P209" s="99"/>
      <c r="Q209" s="6"/>
      <c r="R209" s="6"/>
      <c r="S209" s="6"/>
      <c r="T209" s="6" t="s">
        <v>5</v>
      </c>
      <c r="U209" s="40">
        <v>167</v>
      </c>
      <c r="V209" s="29">
        <f t="shared" si="5"/>
        <v>0</v>
      </c>
      <c r="W209" s="29"/>
    </row>
    <row r="210" spans="3:23" ht="21" customHeight="1" x14ac:dyDescent="0.35">
      <c r="C210" s="40">
        <v>168</v>
      </c>
      <c r="D210" s="97" t="s">
        <v>183</v>
      </c>
      <c r="E210" s="98"/>
      <c r="F210" s="98"/>
      <c r="G210" s="98"/>
      <c r="H210" s="98"/>
      <c r="I210" s="98"/>
      <c r="J210" s="98"/>
      <c r="K210" s="98"/>
      <c r="L210" s="98"/>
      <c r="M210" s="98"/>
      <c r="N210" s="98"/>
      <c r="O210" s="98"/>
      <c r="P210" s="99"/>
      <c r="Q210" s="6"/>
      <c r="R210" s="6"/>
      <c r="S210" s="6"/>
      <c r="T210" s="6" t="s">
        <v>5</v>
      </c>
      <c r="U210" s="40">
        <v>168</v>
      </c>
      <c r="V210" s="29">
        <f t="shared" si="5"/>
        <v>0</v>
      </c>
      <c r="W210" s="29"/>
    </row>
    <row r="211" spans="3:23" ht="32.25" customHeight="1" x14ac:dyDescent="0.35">
      <c r="C211" s="40">
        <v>169</v>
      </c>
      <c r="D211" s="97" t="s">
        <v>184</v>
      </c>
      <c r="E211" s="98"/>
      <c r="F211" s="98"/>
      <c r="G211" s="98"/>
      <c r="H211" s="98"/>
      <c r="I211" s="98"/>
      <c r="J211" s="98"/>
      <c r="K211" s="98"/>
      <c r="L211" s="98"/>
      <c r="M211" s="98"/>
      <c r="N211" s="98"/>
      <c r="O211" s="98"/>
      <c r="P211" s="99"/>
      <c r="Q211" s="6"/>
      <c r="R211" s="6"/>
      <c r="S211" s="6" t="s">
        <v>5</v>
      </c>
      <c r="T211" s="6"/>
      <c r="U211" s="40">
        <v>169</v>
      </c>
      <c r="V211" s="29">
        <f t="shared" si="5"/>
        <v>0</v>
      </c>
      <c r="W211" s="29"/>
    </row>
    <row r="212" spans="3:23" ht="21" customHeight="1" x14ac:dyDescent="0.35">
      <c r="C212" s="40">
        <v>170</v>
      </c>
      <c r="D212" s="97" t="s">
        <v>185</v>
      </c>
      <c r="E212" s="98"/>
      <c r="F212" s="98"/>
      <c r="G212" s="98"/>
      <c r="H212" s="98"/>
      <c r="I212" s="98"/>
      <c r="J212" s="98"/>
      <c r="K212" s="98"/>
      <c r="L212" s="98"/>
      <c r="M212" s="98"/>
      <c r="N212" s="98"/>
      <c r="O212" s="98"/>
      <c r="P212" s="99"/>
      <c r="Q212" s="6"/>
      <c r="R212" s="6"/>
      <c r="S212" s="6" t="s">
        <v>5</v>
      </c>
      <c r="T212" s="6"/>
      <c r="U212" s="40">
        <v>170</v>
      </c>
      <c r="V212" s="29">
        <f t="shared" si="5"/>
        <v>0</v>
      </c>
      <c r="W212" s="29"/>
    </row>
    <row r="213" spans="3:23" ht="21" customHeight="1" x14ac:dyDescent="0.35">
      <c r="C213" s="40">
        <v>171</v>
      </c>
      <c r="D213" s="97" t="s">
        <v>186</v>
      </c>
      <c r="E213" s="98"/>
      <c r="F213" s="98"/>
      <c r="G213" s="98"/>
      <c r="H213" s="98"/>
      <c r="I213" s="98"/>
      <c r="J213" s="98"/>
      <c r="K213" s="98"/>
      <c r="L213" s="98"/>
      <c r="M213" s="98"/>
      <c r="N213" s="98"/>
      <c r="O213" s="98"/>
      <c r="P213" s="99"/>
      <c r="Q213" s="6"/>
      <c r="R213" s="6" t="s">
        <v>5</v>
      </c>
      <c r="S213" s="6"/>
      <c r="T213" s="6"/>
      <c r="U213" s="40">
        <v>171</v>
      </c>
      <c r="V213" s="29">
        <f t="shared" si="5"/>
        <v>1</v>
      </c>
      <c r="W213" s="29"/>
    </row>
    <row r="214" spans="3:23" ht="21" customHeight="1" x14ac:dyDescent="0.35">
      <c r="C214" s="40">
        <v>172</v>
      </c>
      <c r="D214" s="97" t="s">
        <v>187</v>
      </c>
      <c r="E214" s="98"/>
      <c r="F214" s="98"/>
      <c r="G214" s="98"/>
      <c r="H214" s="98"/>
      <c r="I214" s="98"/>
      <c r="J214" s="98"/>
      <c r="K214" s="98"/>
      <c r="L214" s="98"/>
      <c r="M214" s="98"/>
      <c r="N214" s="98"/>
      <c r="O214" s="98"/>
      <c r="P214" s="99"/>
      <c r="Q214" s="6"/>
      <c r="R214" s="6" t="s">
        <v>5</v>
      </c>
      <c r="S214" s="6"/>
      <c r="T214" s="6"/>
      <c r="U214" s="40">
        <v>172</v>
      </c>
      <c r="V214" s="29">
        <f t="shared" si="5"/>
        <v>1</v>
      </c>
      <c r="W214" s="29"/>
    </row>
    <row r="215" spans="3:23" ht="32.25" customHeight="1" x14ac:dyDescent="0.35">
      <c r="C215" s="40">
        <v>173</v>
      </c>
      <c r="D215" s="97" t="s">
        <v>188</v>
      </c>
      <c r="E215" s="98"/>
      <c r="F215" s="98"/>
      <c r="G215" s="98"/>
      <c r="H215" s="98"/>
      <c r="I215" s="98"/>
      <c r="J215" s="98"/>
      <c r="K215" s="98"/>
      <c r="L215" s="98"/>
      <c r="M215" s="98"/>
      <c r="N215" s="98"/>
      <c r="O215" s="98"/>
      <c r="P215" s="99"/>
      <c r="Q215" s="6"/>
      <c r="R215" s="6"/>
      <c r="S215" s="6" t="s">
        <v>5</v>
      </c>
      <c r="T215" s="6"/>
      <c r="U215" s="40">
        <v>173</v>
      </c>
      <c r="V215" s="29">
        <f t="shared" si="5"/>
        <v>0</v>
      </c>
      <c r="W215" s="29"/>
    </row>
    <row r="216" spans="3:23" ht="21" customHeight="1" x14ac:dyDescent="0.35">
      <c r="C216" s="40">
        <v>174</v>
      </c>
      <c r="D216" s="97" t="s">
        <v>189</v>
      </c>
      <c r="E216" s="98"/>
      <c r="F216" s="98"/>
      <c r="G216" s="98"/>
      <c r="H216" s="98"/>
      <c r="I216" s="98"/>
      <c r="J216" s="98"/>
      <c r="K216" s="98"/>
      <c r="L216" s="98"/>
      <c r="M216" s="98"/>
      <c r="N216" s="98"/>
      <c r="O216" s="98"/>
      <c r="P216" s="99"/>
      <c r="Q216" s="6"/>
      <c r="R216" s="6"/>
      <c r="S216" s="6" t="s">
        <v>5</v>
      </c>
      <c r="T216" s="6"/>
      <c r="U216" s="40">
        <v>174</v>
      </c>
      <c r="V216" s="29">
        <f t="shared" si="5"/>
        <v>0</v>
      </c>
      <c r="W216" s="29"/>
    </row>
    <row r="217" spans="3:23" ht="45.75" customHeight="1" x14ac:dyDescent="0.35">
      <c r="C217" s="40">
        <v>175</v>
      </c>
      <c r="D217" s="97" t="s">
        <v>190</v>
      </c>
      <c r="E217" s="98"/>
      <c r="F217" s="98"/>
      <c r="G217" s="98"/>
      <c r="H217" s="98"/>
      <c r="I217" s="98"/>
      <c r="J217" s="98"/>
      <c r="K217" s="98"/>
      <c r="L217" s="98"/>
      <c r="M217" s="98"/>
      <c r="N217" s="98"/>
      <c r="O217" s="98"/>
      <c r="P217" s="99"/>
      <c r="Q217" s="6"/>
      <c r="R217" s="6"/>
      <c r="S217" s="6"/>
      <c r="T217" s="6" t="s">
        <v>5</v>
      </c>
      <c r="U217" s="40">
        <v>175</v>
      </c>
      <c r="V217" s="29">
        <f t="shared" si="5"/>
        <v>0</v>
      </c>
      <c r="W217" s="29"/>
    </row>
    <row r="218" spans="3:23" ht="21" customHeight="1" x14ac:dyDescent="0.35">
      <c r="C218" s="40">
        <v>176</v>
      </c>
      <c r="D218" s="97" t="s">
        <v>191</v>
      </c>
      <c r="E218" s="98"/>
      <c r="F218" s="98"/>
      <c r="G218" s="98"/>
      <c r="H218" s="98"/>
      <c r="I218" s="98"/>
      <c r="J218" s="98"/>
      <c r="K218" s="98"/>
      <c r="L218" s="98"/>
      <c r="M218" s="98"/>
      <c r="N218" s="98"/>
      <c r="O218" s="98"/>
      <c r="P218" s="99"/>
      <c r="Q218" s="6"/>
      <c r="R218" s="6"/>
      <c r="S218" s="6" t="s">
        <v>5</v>
      </c>
      <c r="T218" s="6"/>
      <c r="U218" s="40">
        <v>176</v>
      </c>
      <c r="V218" s="29">
        <f t="shared" si="5"/>
        <v>0</v>
      </c>
      <c r="W218" s="29"/>
    </row>
    <row r="219" spans="3:23" ht="32.25" customHeight="1" x14ac:dyDescent="0.35">
      <c r="C219" s="40">
        <v>177</v>
      </c>
      <c r="D219" s="97" t="s">
        <v>192</v>
      </c>
      <c r="E219" s="98"/>
      <c r="F219" s="98"/>
      <c r="G219" s="98"/>
      <c r="H219" s="98"/>
      <c r="I219" s="98"/>
      <c r="J219" s="98"/>
      <c r="K219" s="98"/>
      <c r="L219" s="98"/>
      <c r="M219" s="98"/>
      <c r="N219" s="98"/>
      <c r="O219" s="98"/>
      <c r="P219" s="99"/>
      <c r="Q219" s="6"/>
      <c r="R219" s="6" t="s">
        <v>5</v>
      </c>
      <c r="S219" s="6"/>
      <c r="T219" s="6"/>
      <c r="U219" s="40">
        <v>177</v>
      </c>
      <c r="V219" s="29">
        <f t="shared" si="5"/>
        <v>1</v>
      </c>
      <c r="W219" s="29"/>
    </row>
    <row r="220" spans="3:23" ht="21" customHeight="1" x14ac:dyDescent="0.35">
      <c r="C220" s="40">
        <v>178</v>
      </c>
      <c r="D220" s="97" t="s">
        <v>193</v>
      </c>
      <c r="E220" s="98"/>
      <c r="F220" s="98"/>
      <c r="G220" s="98"/>
      <c r="H220" s="98"/>
      <c r="I220" s="98"/>
      <c r="J220" s="98"/>
      <c r="K220" s="98"/>
      <c r="L220" s="98"/>
      <c r="M220" s="98"/>
      <c r="N220" s="98"/>
      <c r="O220" s="98"/>
      <c r="P220" s="99"/>
      <c r="Q220" s="6"/>
      <c r="R220" s="6" t="s">
        <v>5</v>
      </c>
      <c r="S220" s="6"/>
      <c r="T220" s="6"/>
      <c r="U220" s="40">
        <v>178</v>
      </c>
      <c r="V220" s="29">
        <f t="shared" si="5"/>
        <v>1</v>
      </c>
      <c r="W220" s="29"/>
    </row>
    <row r="221" spans="3:23" ht="32.25" customHeight="1" x14ac:dyDescent="0.35">
      <c r="C221" s="40">
        <v>179</v>
      </c>
      <c r="D221" s="97" t="s">
        <v>194</v>
      </c>
      <c r="E221" s="98"/>
      <c r="F221" s="98"/>
      <c r="G221" s="98"/>
      <c r="H221" s="98"/>
      <c r="I221" s="98"/>
      <c r="J221" s="98"/>
      <c r="K221" s="98"/>
      <c r="L221" s="98"/>
      <c r="M221" s="98"/>
      <c r="N221" s="98"/>
      <c r="O221" s="98"/>
      <c r="P221" s="99"/>
      <c r="Q221" s="6"/>
      <c r="R221" s="6" t="s">
        <v>5</v>
      </c>
      <c r="S221" s="6"/>
      <c r="T221" s="6"/>
      <c r="U221" s="40">
        <v>179</v>
      </c>
      <c r="V221" s="29">
        <f t="shared" si="5"/>
        <v>1</v>
      </c>
      <c r="W221" s="29"/>
    </row>
    <row r="222" spans="3:23" ht="21" customHeight="1" x14ac:dyDescent="0.35">
      <c r="C222" s="40">
        <v>180</v>
      </c>
      <c r="D222" s="97" t="s">
        <v>195</v>
      </c>
      <c r="E222" s="98"/>
      <c r="F222" s="98"/>
      <c r="G222" s="98"/>
      <c r="H222" s="98"/>
      <c r="I222" s="98"/>
      <c r="J222" s="98"/>
      <c r="K222" s="98"/>
      <c r="L222" s="98"/>
      <c r="M222" s="98"/>
      <c r="N222" s="98"/>
      <c r="O222" s="98"/>
      <c r="P222" s="99"/>
      <c r="Q222" s="6" t="s">
        <v>5</v>
      </c>
      <c r="R222" s="6"/>
      <c r="S222" s="6"/>
      <c r="T222" s="6"/>
      <c r="U222" s="40">
        <v>180</v>
      </c>
      <c r="V222" s="29">
        <f t="shared" si="5"/>
        <v>2</v>
      </c>
      <c r="W222" s="29"/>
    </row>
  </sheetData>
  <mergeCells count="204">
    <mergeCell ref="D61:P61"/>
    <mergeCell ref="D62:P62"/>
    <mergeCell ref="D53:P53"/>
    <mergeCell ref="D54:P54"/>
    <mergeCell ref="D55:P55"/>
    <mergeCell ref="D56:P56"/>
    <mergeCell ref="D57:P57"/>
    <mergeCell ref="D78:P78"/>
    <mergeCell ref="D79:P79"/>
    <mergeCell ref="D63:P63"/>
    <mergeCell ref="D74:P74"/>
    <mergeCell ref="D75:P75"/>
    <mergeCell ref="D76:P76"/>
    <mergeCell ref="D77:P77"/>
    <mergeCell ref="C26:D26"/>
    <mergeCell ref="E26:T26"/>
    <mergeCell ref="E29:T29"/>
    <mergeCell ref="N32:T32"/>
    <mergeCell ref="G34:J34"/>
    <mergeCell ref="J32:K32"/>
    <mergeCell ref="F32:G32"/>
    <mergeCell ref="N34:Q34"/>
    <mergeCell ref="D60:P60"/>
    <mergeCell ref="Y64:Y65"/>
    <mergeCell ref="Y66:Y67"/>
    <mergeCell ref="Y68:Y69"/>
    <mergeCell ref="Y70:Y71"/>
    <mergeCell ref="Y72:Y73"/>
    <mergeCell ref="D68:P68"/>
    <mergeCell ref="D69:P69"/>
    <mergeCell ref="D70:P70"/>
    <mergeCell ref="D71:P71"/>
    <mergeCell ref="D72:P72"/>
    <mergeCell ref="D73:P73"/>
    <mergeCell ref="D64:P64"/>
    <mergeCell ref="D65:P65"/>
    <mergeCell ref="D66:P66"/>
    <mergeCell ref="D67:P67"/>
    <mergeCell ref="C7:T22"/>
    <mergeCell ref="Y62:Y63"/>
    <mergeCell ref="Y43:Z43"/>
    <mergeCell ref="Y44:Y45"/>
    <mergeCell ref="Y46:Y47"/>
    <mergeCell ref="Y48:Y49"/>
    <mergeCell ref="Y50:Y51"/>
    <mergeCell ref="Y52:Y53"/>
    <mergeCell ref="Y54:Y55"/>
    <mergeCell ref="Y56:Y57"/>
    <mergeCell ref="Y58:Y59"/>
    <mergeCell ref="Y60:Y61"/>
    <mergeCell ref="D48:P48"/>
    <mergeCell ref="D49:P49"/>
    <mergeCell ref="D50:P50"/>
    <mergeCell ref="D51:P51"/>
    <mergeCell ref="D52:P52"/>
    <mergeCell ref="D43:P43"/>
    <mergeCell ref="D44:P44"/>
    <mergeCell ref="D45:P45"/>
    <mergeCell ref="D46:P46"/>
    <mergeCell ref="D47:P47"/>
    <mergeCell ref="D58:P58"/>
    <mergeCell ref="D59:P59"/>
    <mergeCell ref="D80:P80"/>
    <mergeCell ref="D81:P81"/>
    <mergeCell ref="D82:P82"/>
    <mergeCell ref="D98:P98"/>
    <mergeCell ref="D99:P99"/>
    <mergeCell ref="D100:P100"/>
    <mergeCell ref="D93:P93"/>
    <mergeCell ref="D94:P94"/>
    <mergeCell ref="D95:P95"/>
    <mergeCell ref="D96:P96"/>
    <mergeCell ref="D97:P97"/>
    <mergeCell ref="D88:P88"/>
    <mergeCell ref="D89:P89"/>
    <mergeCell ref="D90:P90"/>
    <mergeCell ref="D91:P91"/>
    <mergeCell ref="D92:P92"/>
    <mergeCell ref="D83:P83"/>
    <mergeCell ref="D84:P84"/>
    <mergeCell ref="D85:P85"/>
    <mergeCell ref="D86:P86"/>
    <mergeCell ref="D87:P87"/>
    <mergeCell ref="D108:P108"/>
    <mergeCell ref="D102:P102"/>
    <mergeCell ref="D101:P101"/>
    <mergeCell ref="D109:P109"/>
    <mergeCell ref="D110:P110"/>
    <mergeCell ref="D111:P111"/>
    <mergeCell ref="D112:P112"/>
    <mergeCell ref="D103:P103"/>
    <mergeCell ref="D104:P104"/>
    <mergeCell ref="D105:P105"/>
    <mergeCell ref="D106:P106"/>
    <mergeCell ref="D107:P107"/>
    <mergeCell ref="D118:P118"/>
    <mergeCell ref="D119:P119"/>
    <mergeCell ref="D120:P120"/>
    <mergeCell ref="D121:P121"/>
    <mergeCell ref="D122:P122"/>
    <mergeCell ref="D113:P113"/>
    <mergeCell ref="D114:P114"/>
    <mergeCell ref="D115:P115"/>
    <mergeCell ref="D116:P116"/>
    <mergeCell ref="D128:P128"/>
    <mergeCell ref="D129:P129"/>
    <mergeCell ref="D130:P130"/>
    <mergeCell ref="D131:P131"/>
    <mergeCell ref="D132:P132"/>
    <mergeCell ref="D123:P123"/>
    <mergeCell ref="D124:P124"/>
    <mergeCell ref="D125:P125"/>
    <mergeCell ref="D126:P126"/>
    <mergeCell ref="D127:P127"/>
    <mergeCell ref="D138:P138"/>
    <mergeCell ref="D139:P139"/>
    <mergeCell ref="D140:P140"/>
    <mergeCell ref="D141:P141"/>
    <mergeCell ref="D142:P142"/>
    <mergeCell ref="D133:P133"/>
    <mergeCell ref="D134:P134"/>
    <mergeCell ref="D135:P135"/>
    <mergeCell ref="D136:P136"/>
    <mergeCell ref="D137:P137"/>
    <mergeCell ref="D148:P148"/>
    <mergeCell ref="D149:P149"/>
    <mergeCell ref="D150:P150"/>
    <mergeCell ref="D151:P151"/>
    <mergeCell ref="D152:P152"/>
    <mergeCell ref="D143:P143"/>
    <mergeCell ref="D144:P144"/>
    <mergeCell ref="D145:P145"/>
    <mergeCell ref="D146:P146"/>
    <mergeCell ref="D147:P147"/>
    <mergeCell ref="D158:P158"/>
    <mergeCell ref="D159:P159"/>
    <mergeCell ref="D160:P160"/>
    <mergeCell ref="D161:P161"/>
    <mergeCell ref="D162:P162"/>
    <mergeCell ref="D153:P153"/>
    <mergeCell ref="D154:P154"/>
    <mergeCell ref="D155:P155"/>
    <mergeCell ref="D156:P156"/>
    <mergeCell ref="D157:P157"/>
    <mergeCell ref="D168:P168"/>
    <mergeCell ref="D169:P169"/>
    <mergeCell ref="D170:P170"/>
    <mergeCell ref="D171:P171"/>
    <mergeCell ref="D172:P172"/>
    <mergeCell ref="D163:P163"/>
    <mergeCell ref="D164:P164"/>
    <mergeCell ref="D165:P165"/>
    <mergeCell ref="D166:P166"/>
    <mergeCell ref="D167:P167"/>
    <mergeCell ref="D178:P178"/>
    <mergeCell ref="D179:P179"/>
    <mergeCell ref="D180:P180"/>
    <mergeCell ref="D181:P181"/>
    <mergeCell ref="D182:P182"/>
    <mergeCell ref="D173:P173"/>
    <mergeCell ref="D174:P174"/>
    <mergeCell ref="D175:P175"/>
    <mergeCell ref="D176:P176"/>
    <mergeCell ref="D177:P177"/>
    <mergeCell ref="D188:P188"/>
    <mergeCell ref="D189:P189"/>
    <mergeCell ref="D190:P190"/>
    <mergeCell ref="D191:P191"/>
    <mergeCell ref="D192:P192"/>
    <mergeCell ref="D183:P183"/>
    <mergeCell ref="D184:P184"/>
    <mergeCell ref="D185:P185"/>
    <mergeCell ref="D186:P186"/>
    <mergeCell ref="D187:P187"/>
    <mergeCell ref="D198:P198"/>
    <mergeCell ref="D199:P199"/>
    <mergeCell ref="D200:P200"/>
    <mergeCell ref="D201:P201"/>
    <mergeCell ref="D202:P202"/>
    <mergeCell ref="D193:P193"/>
    <mergeCell ref="D194:P194"/>
    <mergeCell ref="D195:P195"/>
    <mergeCell ref="D196:P196"/>
    <mergeCell ref="D197:P197"/>
    <mergeCell ref="D208:P208"/>
    <mergeCell ref="D209:P209"/>
    <mergeCell ref="D210:P210"/>
    <mergeCell ref="D211:P211"/>
    <mergeCell ref="D212:P212"/>
    <mergeCell ref="D203:P203"/>
    <mergeCell ref="D204:P204"/>
    <mergeCell ref="D205:P205"/>
    <mergeCell ref="D206:P206"/>
    <mergeCell ref="D207:P207"/>
    <mergeCell ref="D218:P218"/>
    <mergeCell ref="D219:P219"/>
    <mergeCell ref="D220:P220"/>
    <mergeCell ref="D221:P221"/>
    <mergeCell ref="D222:P222"/>
    <mergeCell ref="D213:P213"/>
    <mergeCell ref="D214:P214"/>
    <mergeCell ref="D215:P215"/>
    <mergeCell ref="D216:P216"/>
    <mergeCell ref="D217:P217"/>
  </mergeCells>
  <pageMargins left="0.7" right="0.7" top="0.75" bottom="0.75" header="0.3" footer="0.3"/>
  <pageSetup paperSize="9" orientation="portrait" r:id="rId1"/>
  <ignoredErrors>
    <ignoredError sqref="AA44:AA7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orrar">
                <anchor moveWithCells="1" sizeWithCells="1">
                  <from>
                    <xdr:col>22</xdr:col>
                    <xdr:colOff>47625</xdr:colOff>
                    <xdr:row>40</xdr:row>
                    <xdr:rowOff>152400</xdr:rowOff>
                  </from>
                  <to>
                    <xdr:col>23</xdr:col>
                    <xdr:colOff>257175</xdr:colOff>
                    <xdr:row>41</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4745C-5699-4130-86BE-6EA50C3876CD}">
  <sheetPr codeName="Hoja2">
    <tabColor rgb="FF85D1B2"/>
  </sheetPr>
  <dimension ref="A1:BE142"/>
  <sheetViews>
    <sheetView showGridLines="0" zoomScale="115" zoomScaleNormal="115" workbookViewId="0">
      <selection activeCell="L7" sqref="L7:AF7"/>
    </sheetView>
  </sheetViews>
  <sheetFormatPr baseColWidth="10" defaultColWidth="0" defaultRowHeight="17.25" zeroHeight="1" x14ac:dyDescent="0.35"/>
  <cols>
    <col min="1" max="5" width="3.28515625" style="19" customWidth="1"/>
    <col min="6" max="6" width="6.28515625" style="12" customWidth="1"/>
    <col min="7" max="7" width="5.85546875" style="20" customWidth="1"/>
    <col min="8" max="8" width="5.85546875" style="9" customWidth="1"/>
    <col min="9" max="9" width="5.85546875" style="21" customWidth="1"/>
    <col min="10" max="10" width="5.85546875" style="9" customWidth="1"/>
    <col min="11" max="11" width="5.28515625" style="5" customWidth="1"/>
    <col min="12" max="12" width="2.85546875" style="5" customWidth="1"/>
    <col min="13" max="13" width="3.7109375" style="5" customWidth="1"/>
    <col min="14" max="14" width="2.7109375" style="5" customWidth="1"/>
    <col min="15" max="15" width="4.85546875" style="5" customWidth="1"/>
    <col min="16" max="16" width="2.7109375" style="5" customWidth="1"/>
    <col min="17" max="17" width="4.85546875" style="5" customWidth="1"/>
    <col min="18" max="18" width="2.7109375" style="5" customWidth="1"/>
    <col min="19" max="19" width="3.7109375" style="5" customWidth="1"/>
    <col min="20" max="20" width="4.140625" style="5" customWidth="1"/>
    <col min="21" max="23" width="3.7109375" style="5" customWidth="1"/>
    <col min="24" max="24" width="4.85546875" style="5" customWidth="1"/>
    <col min="25" max="33" width="3.7109375" style="5" customWidth="1"/>
    <col min="34" max="38" width="3.28515625" style="5" customWidth="1"/>
    <col min="39" max="40" width="3.7109375" style="5" hidden="1" customWidth="1"/>
    <col min="41" max="41" width="6.140625" style="5" hidden="1" customWidth="1"/>
    <col min="42" max="42" width="21.5703125" style="13" hidden="1" customWidth="1"/>
    <col min="43" max="45" width="11.42578125" style="13" hidden="1" customWidth="1"/>
    <col min="46" max="46" width="10.5703125" style="13" hidden="1" customWidth="1"/>
    <col min="47" max="47" width="11.42578125" style="14" hidden="1" customWidth="1"/>
    <col min="48" max="48" width="11.42578125" style="13" hidden="1" customWidth="1"/>
    <col min="49" max="49" width="24.7109375" style="15" hidden="1" customWidth="1"/>
    <col min="50" max="51" width="11.42578125" style="5" hidden="1" customWidth="1"/>
    <col min="52" max="52" width="10.42578125" style="16" hidden="1" customWidth="1"/>
    <col min="53" max="53" width="16.28515625" style="16" hidden="1" customWidth="1"/>
    <col min="54" max="54" width="24.7109375" style="16" hidden="1" customWidth="1"/>
    <col min="55" max="16384" width="11.42578125" style="5" hidden="1"/>
  </cols>
  <sheetData>
    <row r="1" spans="1:57" x14ac:dyDescent="0.35">
      <c r="F1" s="47"/>
      <c r="G1" s="48"/>
      <c r="H1" s="49"/>
      <c r="I1" s="50"/>
      <c r="J1" s="49"/>
      <c r="K1" s="51"/>
      <c r="L1" s="51"/>
      <c r="M1" s="51"/>
      <c r="N1" s="51"/>
      <c r="O1" s="51"/>
      <c r="P1" s="51"/>
      <c r="Q1" s="51"/>
      <c r="R1" s="51"/>
      <c r="S1" s="51"/>
      <c r="T1" s="51"/>
      <c r="U1" s="51"/>
      <c r="V1" s="51"/>
      <c r="W1" s="51"/>
      <c r="X1" s="51"/>
      <c r="Y1" s="51"/>
      <c r="Z1" s="51"/>
      <c r="AA1" s="51"/>
      <c r="AB1" s="51"/>
      <c r="AC1" s="51"/>
      <c r="AD1" s="51"/>
      <c r="AE1" s="51"/>
      <c r="AF1" s="51"/>
      <c r="AG1" s="51"/>
    </row>
    <row r="2" spans="1:57" ht="9" customHeight="1" x14ac:dyDescent="0.35">
      <c r="F2" s="52"/>
      <c r="G2" s="53"/>
      <c r="H2" s="54"/>
      <c r="I2" s="54"/>
      <c r="J2" s="54"/>
      <c r="K2" s="55"/>
      <c r="L2" s="55"/>
      <c r="M2" s="55"/>
      <c r="N2" s="55"/>
      <c r="O2" s="55"/>
      <c r="P2" s="55"/>
      <c r="Q2" s="55"/>
      <c r="R2" s="55"/>
      <c r="S2" s="55"/>
      <c r="T2" s="55"/>
      <c r="U2" s="55"/>
      <c r="V2" s="55"/>
      <c r="W2" s="55"/>
      <c r="X2" s="55"/>
      <c r="Y2" s="55"/>
      <c r="Z2" s="55"/>
      <c r="AA2" s="55"/>
      <c r="AB2" s="55"/>
      <c r="AC2" s="55"/>
      <c r="AD2" s="55"/>
      <c r="AE2" s="55"/>
      <c r="AF2" s="55"/>
      <c r="AG2" s="55"/>
    </row>
    <row r="3" spans="1:57" ht="15" customHeight="1" x14ac:dyDescent="0.35">
      <c r="F3" s="52"/>
      <c r="G3" s="56"/>
      <c r="H3" s="56"/>
      <c r="I3" s="56"/>
      <c r="J3" s="56" t="s">
        <v>276</v>
      </c>
      <c r="K3" s="87" t="str">
        <f>IF(Cuadernillo!E26="","",Cuadernillo!E26)</f>
        <v/>
      </c>
      <c r="L3" s="87"/>
      <c r="M3" s="87"/>
      <c r="N3" s="87"/>
      <c r="O3" s="87"/>
      <c r="P3" s="87"/>
      <c r="Q3" s="87"/>
      <c r="R3" s="87"/>
      <c r="S3" s="87"/>
      <c r="T3" s="87"/>
      <c r="U3" s="87"/>
      <c r="V3" s="87"/>
      <c r="W3" s="87"/>
      <c r="X3" s="87"/>
      <c r="Y3" s="87"/>
      <c r="Z3" s="87"/>
      <c r="AA3" s="87"/>
      <c r="AB3" s="87"/>
      <c r="AC3" s="87"/>
      <c r="AD3" s="87"/>
      <c r="AE3" s="87"/>
      <c r="AF3" s="87"/>
      <c r="AG3" s="57"/>
      <c r="AH3" s="32"/>
      <c r="AI3" s="32"/>
      <c r="AJ3" s="32"/>
      <c r="AK3" s="32"/>
      <c r="AL3" s="32"/>
    </row>
    <row r="4" spans="1:57" ht="9" customHeight="1" x14ac:dyDescent="0.35">
      <c r="F4" s="52"/>
      <c r="G4" s="56"/>
      <c r="H4" s="56"/>
      <c r="I4" s="56"/>
      <c r="J4" s="56"/>
      <c r="K4" s="55"/>
      <c r="L4" s="55"/>
      <c r="M4" s="55"/>
      <c r="N4" s="55"/>
      <c r="O4" s="55"/>
      <c r="P4" s="55"/>
      <c r="Q4" s="55"/>
      <c r="R4" s="55"/>
      <c r="S4" s="55"/>
      <c r="T4" s="55"/>
      <c r="U4" s="55"/>
      <c r="V4" s="55"/>
      <c r="W4" s="55"/>
      <c r="X4" s="55"/>
      <c r="Y4" s="55"/>
      <c r="Z4" s="55"/>
      <c r="AA4" s="55"/>
      <c r="AB4" s="55"/>
      <c r="AC4" s="55"/>
      <c r="AD4" s="55"/>
      <c r="AE4" s="55"/>
      <c r="AF4" s="55"/>
      <c r="AG4" s="55"/>
    </row>
    <row r="5" spans="1:57" x14ac:dyDescent="0.35">
      <c r="F5" s="52"/>
      <c r="G5" s="56"/>
      <c r="H5" s="56"/>
      <c r="I5" s="56"/>
      <c r="J5" s="89" t="s">
        <v>264</v>
      </c>
      <c r="K5" s="89"/>
      <c r="L5" s="92" t="str">
        <f>+IF(Cuadernillo!J32="","",Cuadernillo!J32)</f>
        <v/>
      </c>
      <c r="M5" s="92"/>
      <c r="N5" s="92"/>
      <c r="O5" s="56" t="s">
        <v>280</v>
      </c>
      <c r="P5" s="59"/>
      <c r="Q5" s="93" t="str">
        <f>+IF(Cuadernillo!N34="","",Cuadernillo!N34)</f>
        <v/>
      </c>
      <c r="R5" s="93"/>
      <c r="S5" s="93"/>
      <c r="T5" s="56" t="s">
        <v>277</v>
      </c>
      <c r="U5" s="59"/>
      <c r="V5" s="55"/>
      <c r="W5" s="55"/>
      <c r="X5" s="55"/>
      <c r="Y5" s="55"/>
      <c r="Z5" s="91" t="str">
        <f>+IF(Cuadernillo!G34="","",Cuadernillo!G34)</f>
        <v/>
      </c>
      <c r="AA5" s="91"/>
      <c r="AB5" s="91"/>
      <c r="AC5" s="91"/>
      <c r="AD5" s="91"/>
      <c r="AE5" s="91"/>
      <c r="AF5" s="91"/>
      <c r="AG5" s="59"/>
    </row>
    <row r="6" spans="1:57" ht="9" customHeight="1" x14ac:dyDescent="0.35">
      <c r="F6" s="52"/>
      <c r="G6" s="56"/>
      <c r="H6" s="56"/>
      <c r="I6" s="56"/>
      <c r="J6" s="56"/>
      <c r="K6" s="55"/>
      <c r="L6" s="55"/>
      <c r="M6" s="55"/>
      <c r="N6" s="55"/>
      <c r="O6" s="55"/>
      <c r="P6" s="55"/>
      <c r="Q6" s="55"/>
      <c r="R6" s="55"/>
      <c r="S6" s="55"/>
      <c r="T6" s="55"/>
      <c r="U6" s="55"/>
      <c r="V6" s="55"/>
      <c r="W6" s="55"/>
      <c r="X6" s="55"/>
      <c r="Y6" s="55"/>
      <c r="Z6" s="55"/>
      <c r="AA6" s="55"/>
      <c r="AB6" s="55"/>
      <c r="AC6" s="55"/>
      <c r="AD6" s="55"/>
      <c r="AE6" s="55"/>
      <c r="AF6" s="55"/>
      <c r="AG6" s="55"/>
    </row>
    <row r="7" spans="1:57" x14ac:dyDescent="0.35">
      <c r="C7" s="60"/>
      <c r="D7" s="60"/>
      <c r="E7" s="60"/>
      <c r="F7" s="52"/>
      <c r="G7" s="56"/>
      <c r="H7" s="56"/>
      <c r="I7" s="56"/>
      <c r="J7" s="56" t="s">
        <v>278</v>
      </c>
      <c r="K7" s="55"/>
      <c r="L7" s="90" t="s">
        <v>204</v>
      </c>
      <c r="M7" s="90"/>
      <c r="N7" s="90"/>
      <c r="O7" s="90"/>
      <c r="P7" s="90"/>
      <c r="Q7" s="90"/>
      <c r="R7" s="90"/>
      <c r="S7" s="90"/>
      <c r="T7" s="90"/>
      <c r="U7" s="90"/>
      <c r="V7" s="90"/>
      <c r="W7" s="90"/>
      <c r="X7" s="90"/>
      <c r="Y7" s="90"/>
      <c r="Z7" s="90"/>
      <c r="AA7" s="90"/>
      <c r="AB7" s="90"/>
      <c r="AC7" s="90"/>
      <c r="AD7" s="90"/>
      <c r="AE7" s="90"/>
      <c r="AF7" s="90"/>
      <c r="AG7" s="59"/>
      <c r="AP7" s="13" t="s">
        <v>204</v>
      </c>
      <c r="AQ7" s="13" t="s">
        <v>207</v>
      </c>
    </row>
    <row r="8" spans="1:57" ht="9" customHeight="1" x14ac:dyDescent="0.35">
      <c r="C8" s="60"/>
      <c r="D8" s="60"/>
      <c r="E8" s="60"/>
      <c r="F8" s="52"/>
      <c r="G8" s="56"/>
      <c r="H8" s="56"/>
      <c r="I8" s="56"/>
      <c r="J8" s="56"/>
      <c r="K8" s="55"/>
      <c r="L8" s="55"/>
      <c r="M8" s="55"/>
      <c r="N8" s="55"/>
      <c r="O8" s="55"/>
      <c r="P8" s="55"/>
      <c r="Q8" s="55"/>
      <c r="R8" s="55"/>
      <c r="S8" s="55"/>
      <c r="T8" s="55"/>
      <c r="U8" s="55"/>
      <c r="V8" s="55"/>
      <c r="W8" s="55"/>
      <c r="X8" s="55"/>
      <c r="Y8" s="55"/>
      <c r="Z8" s="55"/>
      <c r="AA8" s="55"/>
      <c r="AB8" s="55"/>
      <c r="AC8" s="55"/>
      <c r="AD8" s="55"/>
      <c r="AE8" s="55"/>
      <c r="AF8" s="55"/>
      <c r="AG8" s="55"/>
      <c r="AP8" s="13" t="s">
        <v>205</v>
      </c>
      <c r="AQ8" s="13" t="s">
        <v>208</v>
      </c>
    </row>
    <row r="9" spans="1:57" x14ac:dyDescent="0.35">
      <c r="C9" s="60"/>
      <c r="D9" s="60"/>
      <c r="E9" s="60"/>
      <c r="F9" s="52"/>
      <c r="G9" s="56"/>
      <c r="H9" s="56"/>
      <c r="I9" s="56"/>
      <c r="J9" s="58" t="s">
        <v>279</v>
      </c>
      <c r="K9" s="55"/>
      <c r="L9" s="55"/>
      <c r="M9" s="55"/>
      <c r="N9" s="55"/>
      <c r="O9" s="55"/>
      <c r="P9" s="55"/>
      <c r="Q9" s="55"/>
      <c r="R9" s="90"/>
      <c r="S9" s="90"/>
      <c r="T9" s="90"/>
      <c r="U9" s="90"/>
      <c r="V9" s="90"/>
      <c r="W9" s="90"/>
      <c r="X9" s="90"/>
      <c r="Y9" s="90"/>
      <c r="Z9" s="90"/>
      <c r="AA9" s="90"/>
      <c r="AB9" s="90"/>
      <c r="AC9" s="90"/>
      <c r="AD9" s="90"/>
      <c r="AE9" s="90"/>
      <c r="AF9" s="90"/>
      <c r="AG9" s="59"/>
    </row>
    <row r="10" spans="1:57" ht="9" customHeight="1" x14ac:dyDescent="0.35">
      <c r="C10" s="60"/>
      <c r="D10" s="60"/>
      <c r="E10" s="60"/>
      <c r="F10" s="52"/>
      <c r="G10" s="53"/>
      <c r="H10" s="54"/>
      <c r="I10" s="54"/>
      <c r="J10" s="54"/>
      <c r="K10" s="55"/>
      <c r="L10" s="55"/>
      <c r="M10" s="55"/>
      <c r="N10" s="55"/>
      <c r="O10" s="55"/>
      <c r="P10" s="55"/>
      <c r="Q10" s="55"/>
      <c r="R10" s="55"/>
      <c r="S10" s="55"/>
      <c r="T10" s="55"/>
      <c r="U10" s="55"/>
      <c r="V10" s="55"/>
      <c r="W10" s="55"/>
      <c r="X10" s="55"/>
      <c r="Y10" s="55"/>
      <c r="Z10" s="55"/>
      <c r="AA10" s="55"/>
      <c r="AB10" s="55"/>
      <c r="AC10" s="55"/>
      <c r="AD10" s="55"/>
      <c r="AE10" s="55"/>
      <c r="AF10" s="55"/>
      <c r="AG10" s="55"/>
    </row>
    <row r="11" spans="1:57" ht="12" customHeight="1" x14ac:dyDescent="0.35">
      <c r="F11" s="22"/>
      <c r="I11" s="9"/>
    </row>
    <row r="12" spans="1:57" ht="18.75" customHeight="1" x14ac:dyDescent="0.35">
      <c r="C12" s="60"/>
      <c r="D12" s="60"/>
      <c r="E12" s="60"/>
      <c r="F12" s="47"/>
      <c r="G12" s="48"/>
      <c r="H12" s="49"/>
      <c r="I12" s="49"/>
      <c r="J12" s="49"/>
      <c r="K12" s="51"/>
      <c r="L12" s="51"/>
      <c r="M12" s="51"/>
      <c r="N12" s="51"/>
      <c r="O12" s="51"/>
      <c r="P12" s="51"/>
      <c r="Q12" s="51"/>
      <c r="R12" s="51"/>
      <c r="S12" s="51"/>
      <c r="T12" s="51"/>
      <c r="U12" s="51"/>
      <c r="V12" s="51"/>
      <c r="W12" s="51"/>
      <c r="X12" s="51"/>
      <c r="Y12" s="51"/>
      <c r="Z12" s="51"/>
      <c r="AA12" s="51"/>
      <c r="AB12" s="51"/>
      <c r="AC12" s="51"/>
      <c r="AD12" s="51"/>
      <c r="AE12" s="51"/>
      <c r="AF12" s="51"/>
      <c r="AG12" s="51"/>
    </row>
    <row r="13" spans="1:57" x14ac:dyDescent="0.35">
      <c r="C13" s="60"/>
      <c r="D13" s="60"/>
      <c r="E13" s="60"/>
      <c r="F13" s="47"/>
      <c r="G13" s="48"/>
      <c r="H13" s="49"/>
      <c r="I13" s="49"/>
      <c r="J13" s="49"/>
      <c r="K13" s="51"/>
      <c r="L13" s="51"/>
      <c r="M13" s="51"/>
      <c r="N13" s="51"/>
      <c r="O13" s="51"/>
      <c r="P13" s="51"/>
      <c r="Q13" s="51"/>
      <c r="R13" s="51"/>
      <c r="S13" s="51"/>
      <c r="T13" s="51"/>
      <c r="U13" s="51"/>
      <c r="V13" s="51"/>
      <c r="W13" s="51"/>
      <c r="X13" s="51"/>
      <c r="Y13" s="51"/>
      <c r="Z13" s="51"/>
      <c r="AA13" s="51"/>
      <c r="AB13" s="51"/>
      <c r="AC13" s="51"/>
      <c r="AD13" s="51"/>
      <c r="AE13" s="51"/>
      <c r="AF13" s="51"/>
      <c r="AG13" s="51"/>
    </row>
    <row r="14" spans="1:57" s="9" customFormat="1" ht="21.75" customHeight="1" thickBot="1" x14ac:dyDescent="0.4">
      <c r="A14" s="33"/>
      <c r="B14" s="33"/>
      <c r="C14" s="61"/>
      <c r="D14" s="61"/>
      <c r="E14" s="61"/>
      <c r="F14" s="88" t="s">
        <v>275</v>
      </c>
      <c r="G14" s="88"/>
      <c r="H14" s="88"/>
      <c r="I14" s="88"/>
      <c r="J14" s="88"/>
      <c r="K14" s="88"/>
      <c r="L14" s="88"/>
      <c r="M14" s="88"/>
      <c r="N14" s="62"/>
      <c r="O14" s="63" t="s">
        <v>10</v>
      </c>
      <c r="P14" s="63"/>
      <c r="Q14" s="64" t="s">
        <v>0</v>
      </c>
      <c r="R14" s="64"/>
      <c r="S14" s="49"/>
      <c r="T14" s="49"/>
      <c r="U14" s="49"/>
      <c r="V14" s="49"/>
      <c r="W14" s="49"/>
      <c r="X14" s="49"/>
      <c r="Y14" s="49"/>
      <c r="Z14" s="49"/>
      <c r="AA14" s="49"/>
      <c r="AB14" s="49"/>
      <c r="AC14" s="49"/>
      <c r="AD14" s="49"/>
      <c r="AE14" s="49"/>
      <c r="AF14" s="49"/>
      <c r="AG14" s="49"/>
      <c r="AP14" s="17"/>
      <c r="AQ14" s="17"/>
      <c r="AR14" s="17"/>
      <c r="AS14" s="13">
        <v>1</v>
      </c>
      <c r="AT14" s="13">
        <f ca="1">AU14+(COUNTA($AU$14:$AU$48)-ROW()+2)*0.001</f>
        <v>15.003</v>
      </c>
      <c r="AU14" s="14">
        <f ca="1">+Q18</f>
        <v>15</v>
      </c>
      <c r="AV14" s="13" t="str">
        <f>+F16</f>
        <v>CIENTÍFICO</v>
      </c>
      <c r="AW14" s="34" t="str">
        <f ca="1">+IF(AU14&lt;=3,"Muy bajo interés al ",IF(AU14&lt;=16,"Bajo interés al",IF(AU14&lt;=84,"que se adapta al",IF(AU14&lt;=97,"un Alto interés al",IF(AU14&lt;=99,"Muy alto interés al")))))</f>
        <v>Bajo interés al</v>
      </c>
      <c r="AX14" s="9" t="s">
        <v>324</v>
      </c>
      <c r="BA14" s="9">
        <v>1</v>
      </c>
      <c r="BB14" s="35" t="str">
        <f>+AV14</f>
        <v>CIENTÍFICO</v>
      </c>
      <c r="BC14" s="35">
        <f ca="1">+Q16</f>
        <v>10</v>
      </c>
      <c r="BD14" s="35" t="str">
        <f ca="1">+IF(BC14&lt;=3,"Muy bajo interés en las",IF(BC14&lt;=16,"Bajo interés en las",IF(BC14&lt;=84,"que se adapta a las",IF(BC14&lt;=97,"Alto interés en las",IF(BC14&lt;=99,"Muy alto interés en las")))))</f>
        <v>Bajo interés en las</v>
      </c>
      <c r="BE14" s="9" t="s">
        <v>309</v>
      </c>
    </row>
    <row r="15" spans="1:57" s="9" customFormat="1" ht="5.25" customHeight="1" x14ac:dyDescent="0.35">
      <c r="A15" s="33"/>
      <c r="B15" s="33"/>
      <c r="C15" s="61"/>
      <c r="D15" s="61"/>
      <c r="E15" s="61"/>
      <c r="F15" s="65"/>
      <c r="G15" s="65"/>
      <c r="H15" s="65"/>
      <c r="I15" s="65"/>
      <c r="J15" s="65"/>
      <c r="K15" s="65"/>
      <c r="L15" s="65"/>
      <c r="M15" s="65"/>
      <c r="N15" s="66"/>
      <c r="O15" s="67"/>
      <c r="P15" s="67"/>
      <c r="Q15" s="68"/>
      <c r="R15" s="68"/>
      <c r="S15" s="49"/>
      <c r="T15" s="49"/>
      <c r="U15" s="49"/>
      <c r="V15" s="49"/>
      <c r="W15" s="49"/>
      <c r="X15" s="49"/>
      <c r="Y15" s="49"/>
      <c r="Z15" s="49"/>
      <c r="AA15" s="49"/>
      <c r="AB15" s="49"/>
      <c r="AC15" s="49"/>
      <c r="AD15" s="49"/>
      <c r="AE15" s="49"/>
      <c r="AF15" s="49"/>
      <c r="AG15" s="49"/>
      <c r="AP15" s="17"/>
      <c r="AQ15" s="17"/>
      <c r="AR15" s="17"/>
      <c r="AS15" s="13"/>
      <c r="AT15" s="13"/>
      <c r="AU15" s="14"/>
      <c r="AV15" s="13"/>
      <c r="AW15" s="34"/>
      <c r="BB15" s="35"/>
      <c r="BC15" s="35"/>
      <c r="BD15" s="35"/>
    </row>
    <row r="16" spans="1:57" ht="15" customHeight="1" x14ac:dyDescent="0.35">
      <c r="A16" s="94">
        <v>1</v>
      </c>
      <c r="B16" s="33"/>
      <c r="C16" s="61"/>
      <c r="D16" s="61"/>
      <c r="E16" s="61"/>
      <c r="F16" s="86" t="s">
        <v>281</v>
      </c>
      <c r="G16" s="86"/>
      <c r="H16" s="86"/>
      <c r="I16" s="86"/>
      <c r="J16" s="86"/>
      <c r="K16" s="86"/>
      <c r="L16" s="86"/>
      <c r="M16" s="70" t="s">
        <v>8</v>
      </c>
      <c r="N16" s="63"/>
      <c r="O16" s="71">
        <f>Cuadernillo!V87+Cuadernillo!V101+Cuadernillo!V107+Cuadernillo!V113+Cuadernillo!V123+Cuadernillo!V165</f>
        <v>0</v>
      </c>
      <c r="P16" s="49"/>
      <c r="Q16" s="71" cm="1">
        <f t="array" aca="1" ref="Q16" ca="1">+INDEX(INDIRECT("A"&amp;VLOOKUP(L7,$AP$7:$AQ$8,2,FALSE)),MATCH(O16&amp;L7,INDIRECT("B"&amp;VLOOKUP(L7,$AP$7:$AQ$8,2,FALSE))&amp;L7,0))</f>
        <v>10</v>
      </c>
      <c r="R16" s="50"/>
      <c r="S16" s="51"/>
      <c r="T16" s="51"/>
      <c r="U16" s="51"/>
      <c r="V16" s="51"/>
      <c r="W16" s="51"/>
      <c r="X16" s="51"/>
      <c r="Y16" s="51"/>
      <c r="Z16" s="51"/>
      <c r="AA16" s="51"/>
      <c r="AB16" s="51"/>
      <c r="AC16" s="51"/>
      <c r="AD16" s="51"/>
      <c r="AE16" s="51"/>
      <c r="AF16" s="51"/>
      <c r="AG16" s="51"/>
      <c r="AN16" s="13">
        <v>1</v>
      </c>
      <c r="AO16" s="13">
        <f ca="1">+Q16</f>
        <v>10</v>
      </c>
      <c r="AS16" s="13">
        <v>2</v>
      </c>
      <c r="AT16" s="13">
        <f ca="1">AU16+(COUNTA($AU$14:$AU$48)-ROW()+2)*0.001</f>
        <v>10.000999999999999</v>
      </c>
      <c r="AU16" s="14">
        <f ca="1">+Q23</f>
        <v>10</v>
      </c>
      <c r="AV16" s="13" t="str">
        <f>+F21</f>
        <v>TÉCNICO</v>
      </c>
      <c r="AW16" s="34" t="str">
        <f t="shared" ref="AW16:AW48" ca="1" si="0">+IF(AU16&lt;=3,"Muy bajo interés al ",IF(AU16&lt;=16,"Bajo interés al",IF(AU16&lt;=84,"que se adapta al",IF(AU16&lt;=97,"un Alto interés al",IF(AU16&lt;=99,"Muy alto interés al")))))</f>
        <v>Bajo interés al</v>
      </c>
      <c r="AX16" s="5" t="s">
        <v>325</v>
      </c>
      <c r="BA16" s="18">
        <v>2</v>
      </c>
      <c r="BB16" s="35" t="str">
        <f t="shared" ref="BB16:BB48" si="1">+AV16</f>
        <v>TÉCNICO</v>
      </c>
      <c r="BC16" s="35">
        <f ca="1">+Q21</f>
        <v>35</v>
      </c>
      <c r="BD16" s="35" t="str">
        <f t="shared" ref="BD16:BD48" ca="1" si="2">+IF(BC16&lt;=3,"Muy bajo interés en las",IF(BC16&lt;=16,"Bajo interés en las",IF(BC16&lt;=84,"que se adapta a las",IF(BC16&lt;=97,"Alto interés en las",IF(BC16&lt;=99,"Muy alto interés en las")))))</f>
        <v>que se adapta a las</v>
      </c>
      <c r="BE16" s="5" t="s">
        <v>310</v>
      </c>
    </row>
    <row r="17" spans="1:57" ht="6.75" customHeight="1" x14ac:dyDescent="0.35">
      <c r="A17" s="94"/>
      <c r="B17" s="33"/>
      <c r="C17" s="61"/>
      <c r="D17" s="61"/>
      <c r="E17" s="61"/>
      <c r="F17" s="86"/>
      <c r="G17" s="86"/>
      <c r="H17" s="86"/>
      <c r="I17" s="86"/>
      <c r="J17" s="86"/>
      <c r="K17" s="86"/>
      <c r="L17" s="86"/>
      <c r="M17" s="70"/>
      <c r="N17" s="63"/>
      <c r="O17" s="49"/>
      <c r="P17" s="49"/>
      <c r="Q17" s="50"/>
      <c r="R17" s="50"/>
      <c r="S17" s="51"/>
      <c r="T17" s="51"/>
      <c r="U17" s="51"/>
      <c r="V17" s="51"/>
      <c r="W17" s="51"/>
      <c r="X17" s="51"/>
      <c r="Y17" s="51"/>
      <c r="Z17" s="51"/>
      <c r="AA17" s="51"/>
      <c r="AB17" s="51"/>
      <c r="AC17" s="51"/>
      <c r="AD17" s="51"/>
      <c r="AE17" s="51"/>
      <c r="AF17" s="51"/>
      <c r="AG17" s="51"/>
      <c r="AN17" s="13">
        <v>2</v>
      </c>
      <c r="AO17" s="13">
        <f ca="1">+Q18</f>
        <v>15</v>
      </c>
      <c r="AW17" s="34"/>
      <c r="BA17" s="18"/>
      <c r="BB17" s="35"/>
      <c r="BC17" s="35"/>
      <c r="BD17" s="35"/>
    </row>
    <row r="18" spans="1:57" ht="15" customHeight="1" x14ac:dyDescent="0.35">
      <c r="A18" s="94"/>
      <c r="B18" s="33"/>
      <c r="C18" s="61"/>
      <c r="D18" s="61"/>
      <c r="E18" s="61"/>
      <c r="F18" s="86"/>
      <c r="G18" s="86"/>
      <c r="H18" s="86"/>
      <c r="I18" s="86"/>
      <c r="J18" s="86"/>
      <c r="K18" s="86"/>
      <c r="L18" s="86"/>
      <c r="M18" s="70" t="s">
        <v>9</v>
      </c>
      <c r="N18" s="63"/>
      <c r="O18" s="71">
        <f>Cuadernillo!V104+Cuadernillo!V116+Cuadernillo!V118+Cuadernillo!V172+Cuadernillo!V184+Cuadernillo!V190</f>
        <v>0</v>
      </c>
      <c r="P18" s="49"/>
      <c r="Q18" s="71" cm="1">
        <f t="array" aca="1" ref="Q18" ca="1">+INDEX(INDIRECT("D"&amp;VLOOKUP(L7,$AP$7:$AQ$8,2,FALSE)),MATCH(O18&amp;L7,INDIRECT("C"&amp;VLOOKUP(L7,$AP$7:$AQ$8,2,FALSE))&amp;L7,0))</f>
        <v>15</v>
      </c>
      <c r="R18" s="50"/>
      <c r="S18" s="51"/>
      <c r="T18" s="51"/>
      <c r="U18" s="51"/>
      <c r="V18" s="51"/>
      <c r="W18" s="51"/>
      <c r="X18" s="51"/>
      <c r="Y18" s="51"/>
      <c r="Z18" s="51"/>
      <c r="AA18" s="51"/>
      <c r="AB18" s="51"/>
      <c r="AC18" s="51"/>
      <c r="AD18" s="51"/>
      <c r="AE18" s="51"/>
      <c r="AF18" s="51"/>
      <c r="AG18" s="51"/>
      <c r="AN18" s="13">
        <v>1</v>
      </c>
      <c r="AO18" s="13">
        <f ca="1">+Q21</f>
        <v>35</v>
      </c>
      <c r="AS18" s="13">
        <v>3</v>
      </c>
      <c r="AT18" s="13">
        <f ca="1">AU18+(COUNTA($AU$14:$AU$48)-ROW()+2)*0.001</f>
        <v>29.998999999999999</v>
      </c>
      <c r="AU18" s="14">
        <f ca="1">+Q28</f>
        <v>30</v>
      </c>
      <c r="AV18" s="13" t="str">
        <f>+F26</f>
        <v>SANIDAD</v>
      </c>
      <c r="AW18" s="34" t="str">
        <f t="shared" ca="1" si="0"/>
        <v>que se adapta al</v>
      </c>
      <c r="AX18" s="5" t="s">
        <v>326</v>
      </c>
      <c r="BA18" s="9">
        <v>3</v>
      </c>
      <c r="BB18" s="35" t="str">
        <f t="shared" si="1"/>
        <v>SANIDAD</v>
      </c>
      <c r="BC18" s="35">
        <f ca="1">+Q26</f>
        <v>15</v>
      </c>
      <c r="BD18" s="35" t="str">
        <f t="shared" ca="1" si="2"/>
        <v>Bajo interés en las</v>
      </c>
      <c r="BE18" s="5" t="s">
        <v>311</v>
      </c>
    </row>
    <row r="19" spans="1:57" ht="4.5" customHeight="1" thickBot="1" x14ac:dyDescent="0.4">
      <c r="A19" s="33"/>
      <c r="B19" s="33"/>
      <c r="C19" s="61"/>
      <c r="D19" s="61"/>
      <c r="E19" s="61"/>
      <c r="F19" s="72"/>
      <c r="G19" s="72"/>
      <c r="H19" s="72"/>
      <c r="I19" s="72"/>
      <c r="J19" s="72"/>
      <c r="K19" s="72"/>
      <c r="L19" s="72"/>
      <c r="M19" s="73"/>
      <c r="N19" s="74"/>
      <c r="O19" s="75"/>
      <c r="P19" s="75"/>
      <c r="Q19" s="76"/>
      <c r="R19" s="76"/>
      <c r="S19" s="51"/>
      <c r="T19" s="51"/>
      <c r="U19" s="51"/>
      <c r="V19" s="51"/>
      <c r="W19" s="51"/>
      <c r="X19" s="51"/>
      <c r="Y19" s="51"/>
      <c r="Z19" s="51"/>
      <c r="AA19" s="51"/>
      <c r="AB19" s="51"/>
      <c r="AC19" s="51"/>
      <c r="AD19" s="51"/>
      <c r="AE19" s="51"/>
      <c r="AF19" s="51"/>
      <c r="AG19" s="51"/>
      <c r="AN19" s="13">
        <v>2</v>
      </c>
      <c r="AO19" s="13">
        <f ca="1">+Q23</f>
        <v>10</v>
      </c>
      <c r="AW19" s="34"/>
      <c r="BA19" s="9"/>
      <c r="BB19" s="35"/>
      <c r="BC19" s="35"/>
      <c r="BD19" s="35"/>
    </row>
    <row r="20" spans="1:57" ht="4.5" customHeight="1" x14ac:dyDescent="0.35">
      <c r="A20" s="33"/>
      <c r="B20" s="33"/>
      <c r="C20" s="61"/>
      <c r="D20" s="61"/>
      <c r="E20" s="61"/>
      <c r="F20" s="69"/>
      <c r="G20" s="69"/>
      <c r="H20" s="69"/>
      <c r="I20" s="69"/>
      <c r="J20" s="69"/>
      <c r="K20" s="69"/>
      <c r="L20" s="69"/>
      <c r="M20" s="70"/>
      <c r="N20" s="63"/>
      <c r="O20" s="49"/>
      <c r="P20" s="49"/>
      <c r="Q20" s="50"/>
      <c r="R20" s="50"/>
      <c r="S20" s="51"/>
      <c r="T20" s="51"/>
      <c r="U20" s="51"/>
      <c r="V20" s="51"/>
      <c r="W20" s="51"/>
      <c r="X20" s="51"/>
      <c r="Y20" s="51"/>
      <c r="Z20" s="51"/>
      <c r="AA20" s="51"/>
      <c r="AB20" s="51"/>
      <c r="AC20" s="51"/>
      <c r="AD20" s="51"/>
      <c r="AE20" s="51"/>
      <c r="AF20" s="51"/>
      <c r="AG20" s="51"/>
      <c r="AN20" s="13">
        <v>1</v>
      </c>
      <c r="AO20" s="13">
        <f ca="1">+Q26</f>
        <v>15</v>
      </c>
      <c r="AW20" s="34"/>
      <c r="BA20" s="9"/>
      <c r="BB20" s="35"/>
      <c r="BC20" s="35"/>
      <c r="BD20" s="35"/>
    </row>
    <row r="21" spans="1:57" ht="15" customHeight="1" x14ac:dyDescent="0.35">
      <c r="A21" s="94">
        <v>2</v>
      </c>
      <c r="B21" s="33"/>
      <c r="C21" s="61"/>
      <c r="D21" s="61"/>
      <c r="E21" s="61"/>
      <c r="F21" s="86" t="s">
        <v>282</v>
      </c>
      <c r="G21" s="86"/>
      <c r="H21" s="86"/>
      <c r="I21" s="86"/>
      <c r="J21" s="86"/>
      <c r="K21" s="86"/>
      <c r="L21" s="86"/>
      <c r="M21" s="70" t="s">
        <v>8</v>
      </c>
      <c r="N21" s="63"/>
      <c r="O21" s="71">
        <f>Cuadernillo!V49+Cuadernillo!V77+Cuadernillo!V119+Cuadernillo!V129+Cuadernillo!V147+Cuadernillo!V149</f>
        <v>1</v>
      </c>
      <c r="P21" s="49"/>
      <c r="Q21" s="71" cm="1">
        <f t="array" aca="1" ref="Q21" ca="1">+INDEX(INDIRECT("F"&amp;VLOOKUP($L$7,$AP$7:$AQ$8,2,FALSE)),MATCH(O21&amp;$L$7,INDIRECT("E"&amp;VLOOKUP($L$7,$AP$7:$AQ$8,2,FALSE))&amp;$L$7,0))</f>
        <v>35</v>
      </c>
      <c r="R21" s="50"/>
      <c r="S21" s="51"/>
      <c r="T21" s="51"/>
      <c r="U21" s="51"/>
      <c r="V21" s="51"/>
      <c r="W21" s="51"/>
      <c r="X21" s="51"/>
      <c r="Y21" s="51"/>
      <c r="Z21" s="51"/>
      <c r="AA21" s="51"/>
      <c r="AB21" s="51"/>
      <c r="AC21" s="51"/>
      <c r="AD21" s="51"/>
      <c r="AE21" s="51"/>
      <c r="AF21" s="51"/>
      <c r="AG21" s="51"/>
      <c r="AN21" s="13">
        <v>2</v>
      </c>
      <c r="AO21" s="13">
        <f ca="1">+Q28</f>
        <v>30</v>
      </c>
      <c r="AS21" s="13">
        <v>4</v>
      </c>
      <c r="AT21" s="13">
        <f ca="1">AU21+(COUNTA($AU$14:$AU$48)-ROW()+2)*0.001</f>
        <v>29.995999999999999</v>
      </c>
      <c r="AU21" s="14">
        <f ca="1">+Q33</f>
        <v>30</v>
      </c>
      <c r="AV21" s="13" t="str">
        <f>+F31</f>
        <v>CIENTÍFICO SOCIAL / HUMANIDADES</v>
      </c>
      <c r="AW21" s="34" t="str">
        <f t="shared" ca="1" si="0"/>
        <v>que se adapta al</v>
      </c>
      <c r="AX21" s="5" t="s">
        <v>327</v>
      </c>
      <c r="BA21" s="18">
        <v>4</v>
      </c>
      <c r="BB21" s="35" t="str">
        <f t="shared" si="1"/>
        <v>CIENTÍFICO SOCIAL / HUMANIDADES</v>
      </c>
      <c r="BC21" s="35">
        <f ca="1">+Q31</f>
        <v>10</v>
      </c>
      <c r="BD21" s="35" t="str">
        <f t="shared" ca="1" si="2"/>
        <v>Bajo interés en las</v>
      </c>
      <c r="BE21" s="5" t="s">
        <v>312</v>
      </c>
    </row>
    <row r="22" spans="1:57" ht="6.75" customHeight="1" x14ac:dyDescent="0.35">
      <c r="A22" s="94"/>
      <c r="B22" s="33"/>
      <c r="C22" s="61"/>
      <c r="D22" s="61"/>
      <c r="E22" s="61"/>
      <c r="F22" s="86"/>
      <c r="G22" s="86"/>
      <c r="H22" s="86"/>
      <c r="I22" s="86"/>
      <c r="J22" s="86"/>
      <c r="K22" s="86"/>
      <c r="L22" s="86"/>
      <c r="M22" s="70"/>
      <c r="N22" s="63"/>
      <c r="O22" s="49"/>
      <c r="P22" s="49"/>
      <c r="Q22" s="50"/>
      <c r="R22" s="50"/>
      <c r="S22" s="51"/>
      <c r="T22" s="51"/>
      <c r="U22" s="51"/>
      <c r="V22" s="51"/>
      <c r="W22" s="51"/>
      <c r="X22" s="51"/>
      <c r="Y22" s="51"/>
      <c r="Z22" s="51"/>
      <c r="AA22" s="51"/>
      <c r="AB22" s="51"/>
      <c r="AC22" s="51"/>
      <c r="AD22" s="51"/>
      <c r="AE22" s="51"/>
      <c r="AF22" s="51"/>
      <c r="AG22" s="51"/>
      <c r="AN22" s="13">
        <v>1</v>
      </c>
      <c r="AO22" s="13">
        <f ca="1">+Q31</f>
        <v>10</v>
      </c>
      <c r="AW22" s="34"/>
      <c r="BA22" s="18"/>
      <c r="BB22" s="35"/>
      <c r="BC22" s="35"/>
      <c r="BD22" s="35"/>
    </row>
    <row r="23" spans="1:57" ht="15" customHeight="1" x14ac:dyDescent="0.35">
      <c r="A23" s="94"/>
      <c r="B23" s="33"/>
      <c r="C23" s="61"/>
      <c r="D23" s="61"/>
      <c r="E23" s="61"/>
      <c r="F23" s="86"/>
      <c r="G23" s="86"/>
      <c r="H23" s="86"/>
      <c r="I23" s="86"/>
      <c r="J23" s="86"/>
      <c r="K23" s="86"/>
      <c r="L23" s="86"/>
      <c r="M23" s="70" t="s">
        <v>9</v>
      </c>
      <c r="N23" s="63"/>
      <c r="O23" s="71">
        <f>Cuadernillo!V44+Cuadernillo!V98+Cuadernillo!V152+Cuadernillo!V162+Cuadernillo!V170+Cuadernillo!V194</f>
        <v>0</v>
      </c>
      <c r="P23" s="49"/>
      <c r="Q23" s="71" cm="1">
        <f t="array" aca="1" ref="Q23" ca="1">+INDEX(INDIRECT("H"&amp;VLOOKUP($L$7,$AP$7:$AQ$8,2,FALSE)),MATCH(O23&amp;$L$7,INDIRECT("G"&amp;VLOOKUP($L$7,$AP$7:$AQ$8,2,FALSE))&amp;$L$7,0))</f>
        <v>10</v>
      </c>
      <c r="R23" s="50"/>
      <c r="S23" s="51"/>
      <c r="T23" s="51"/>
      <c r="U23" s="51"/>
      <c r="V23" s="51"/>
      <c r="W23" s="51"/>
      <c r="X23" s="51"/>
      <c r="Y23" s="51"/>
      <c r="Z23" s="51"/>
      <c r="AA23" s="51"/>
      <c r="AB23" s="51"/>
      <c r="AC23" s="51"/>
      <c r="AD23" s="51"/>
      <c r="AE23" s="51"/>
      <c r="AF23" s="51"/>
      <c r="AG23" s="51"/>
      <c r="AN23" s="13">
        <v>2</v>
      </c>
      <c r="AO23" s="13">
        <f ca="1">+Q33</f>
        <v>30</v>
      </c>
      <c r="AS23" s="13">
        <v>5</v>
      </c>
      <c r="AT23" s="13">
        <f ca="1">AU23+(COUNTA($AU$14:$AU$48)-ROW()+2)*0.001</f>
        <v>9.9939999999999998</v>
      </c>
      <c r="AU23" s="14">
        <f ca="1">+Q38</f>
        <v>10</v>
      </c>
      <c r="AV23" s="13" t="str">
        <f>+F36</f>
        <v>JURÍDICO SOCIAL</v>
      </c>
      <c r="AW23" s="34" t="str">
        <f t="shared" ca="1" si="0"/>
        <v>Bajo interés al</v>
      </c>
      <c r="AX23" s="5" t="s">
        <v>328</v>
      </c>
      <c r="BA23" s="9">
        <v>5</v>
      </c>
      <c r="BB23" s="35" t="str">
        <f t="shared" si="1"/>
        <v>JURÍDICO SOCIAL</v>
      </c>
      <c r="BC23" s="35">
        <f ca="1">+Q36</f>
        <v>10</v>
      </c>
      <c r="BD23" s="35" t="str">
        <f t="shared" ca="1" si="2"/>
        <v>Bajo interés en las</v>
      </c>
      <c r="BE23" s="5" t="s">
        <v>313</v>
      </c>
    </row>
    <row r="24" spans="1:57" ht="4.5" customHeight="1" thickBot="1" x14ac:dyDescent="0.4">
      <c r="A24" s="33"/>
      <c r="B24" s="33"/>
      <c r="C24" s="61"/>
      <c r="D24" s="61"/>
      <c r="E24" s="61"/>
      <c r="F24" s="72"/>
      <c r="G24" s="72"/>
      <c r="H24" s="72"/>
      <c r="I24" s="72"/>
      <c r="J24" s="72"/>
      <c r="K24" s="72"/>
      <c r="L24" s="72"/>
      <c r="M24" s="73"/>
      <c r="N24" s="74"/>
      <c r="O24" s="75"/>
      <c r="P24" s="75"/>
      <c r="Q24" s="76"/>
      <c r="R24" s="76"/>
      <c r="S24" s="51"/>
      <c r="T24" s="51"/>
      <c r="U24" s="51"/>
      <c r="V24" s="51"/>
      <c r="W24" s="51"/>
      <c r="X24" s="51"/>
      <c r="Y24" s="51"/>
      <c r="Z24" s="51"/>
      <c r="AA24" s="51"/>
      <c r="AB24" s="51"/>
      <c r="AC24" s="51"/>
      <c r="AD24" s="51"/>
      <c r="AE24" s="51"/>
      <c r="AF24" s="51"/>
      <c r="AG24" s="51"/>
      <c r="AN24" s="13">
        <v>1</v>
      </c>
      <c r="AO24" s="13">
        <f ca="1">+Q36</f>
        <v>10</v>
      </c>
      <c r="AW24" s="34"/>
      <c r="BA24" s="9"/>
      <c r="BB24" s="35"/>
      <c r="BC24" s="35"/>
      <c r="BD24" s="35"/>
    </row>
    <row r="25" spans="1:57" ht="4.5" customHeight="1" x14ac:dyDescent="0.35">
      <c r="A25" s="33"/>
      <c r="B25" s="33"/>
      <c r="C25" s="61"/>
      <c r="D25" s="61"/>
      <c r="E25" s="61"/>
      <c r="F25" s="69"/>
      <c r="G25" s="69"/>
      <c r="H25" s="69"/>
      <c r="I25" s="69"/>
      <c r="J25" s="69"/>
      <c r="K25" s="69"/>
      <c r="L25" s="69"/>
      <c r="M25" s="70"/>
      <c r="N25" s="63"/>
      <c r="O25" s="49"/>
      <c r="P25" s="49"/>
      <c r="Q25" s="50"/>
      <c r="R25" s="50"/>
      <c r="S25" s="51"/>
      <c r="T25" s="51"/>
      <c r="U25" s="51"/>
      <c r="V25" s="51"/>
      <c r="W25" s="51"/>
      <c r="X25" s="51"/>
      <c r="Y25" s="51"/>
      <c r="Z25" s="51"/>
      <c r="AA25" s="51"/>
      <c r="AB25" s="51"/>
      <c r="AC25" s="51"/>
      <c r="AD25" s="51"/>
      <c r="AE25" s="51"/>
      <c r="AF25" s="51"/>
      <c r="AG25" s="51"/>
      <c r="AN25" s="13">
        <v>2</v>
      </c>
      <c r="AO25" s="13">
        <f ca="1">+Q38</f>
        <v>10</v>
      </c>
      <c r="AW25" s="34"/>
      <c r="BA25" s="9"/>
      <c r="BB25" s="35"/>
      <c r="BC25" s="35"/>
      <c r="BD25" s="35"/>
    </row>
    <row r="26" spans="1:57" ht="15" customHeight="1" x14ac:dyDescent="0.35">
      <c r="A26" s="94">
        <v>3</v>
      </c>
      <c r="B26" s="33"/>
      <c r="C26" s="61"/>
      <c r="D26" s="61"/>
      <c r="E26" s="61"/>
      <c r="F26" s="86" t="s">
        <v>283</v>
      </c>
      <c r="G26" s="86"/>
      <c r="H26" s="86"/>
      <c r="I26" s="86"/>
      <c r="J26" s="86"/>
      <c r="K26" s="86"/>
      <c r="L26" s="86"/>
      <c r="M26" s="70" t="s">
        <v>8</v>
      </c>
      <c r="N26" s="63"/>
      <c r="O26" s="71">
        <f>Cuadernillo!V47+Cuadernillo!V79+Cuadernillo!V115+Cuadernillo!V177+Cuadernillo!V185+Cuadernillo!V209</f>
        <v>0</v>
      </c>
      <c r="P26" s="49"/>
      <c r="Q26" s="71" cm="1">
        <f t="array" aca="1" ref="Q26" ca="1">+INDEX(INDIRECT("J"&amp;VLOOKUP($L$7,$AP$7:$AQ$8,2,FALSE)),MATCH(O26&amp;$L$7,INDIRECT("I"&amp;VLOOKUP($L$7,$AP$7:$AQ$8,2,FALSE))&amp;$L$7,0))</f>
        <v>15</v>
      </c>
      <c r="R26" s="50"/>
      <c r="S26" s="51"/>
      <c r="T26" s="51"/>
      <c r="U26" s="51"/>
      <c r="V26" s="51"/>
      <c r="W26" s="51"/>
      <c r="X26" s="51"/>
      <c r="Y26" s="51"/>
      <c r="Z26" s="51"/>
      <c r="AA26" s="51"/>
      <c r="AB26" s="51"/>
      <c r="AC26" s="51"/>
      <c r="AD26" s="51"/>
      <c r="AE26" s="51"/>
      <c r="AF26" s="51"/>
      <c r="AG26" s="51"/>
      <c r="AN26" s="13">
        <v>1</v>
      </c>
      <c r="AO26" s="13">
        <f ca="1">+Q41</f>
        <v>25</v>
      </c>
      <c r="AS26" s="13">
        <v>6</v>
      </c>
      <c r="AT26" s="13">
        <f ca="1">AU26+(COUNTA($AU$14:$AU$48)-ROW()+2)*0.001</f>
        <v>9.9909999999999997</v>
      </c>
      <c r="AU26" s="14">
        <f ca="1">+Q43</f>
        <v>10</v>
      </c>
      <c r="AV26" s="13" t="str">
        <f>+F41</f>
        <v>COMUNICACIÓN INFORMACIÓN </v>
      </c>
      <c r="AW26" s="34" t="str">
        <f t="shared" ca="1" si="0"/>
        <v>Bajo interés al</v>
      </c>
      <c r="AX26" s="5" t="s">
        <v>329</v>
      </c>
      <c r="BA26" s="18">
        <v>6</v>
      </c>
      <c r="BB26" s="35" t="str">
        <f t="shared" si="1"/>
        <v>COMUNICACIÓN INFORMACIÓN </v>
      </c>
      <c r="BC26" s="35">
        <f ca="1">+Q41</f>
        <v>25</v>
      </c>
      <c r="BD26" s="35" t="str">
        <f t="shared" ca="1" si="2"/>
        <v>que se adapta a las</v>
      </c>
      <c r="BE26" s="5" t="s">
        <v>314</v>
      </c>
    </row>
    <row r="27" spans="1:57" ht="6.75" customHeight="1" x14ac:dyDescent="0.35">
      <c r="A27" s="94"/>
      <c r="B27" s="33"/>
      <c r="C27" s="61"/>
      <c r="D27" s="61"/>
      <c r="E27" s="61"/>
      <c r="F27" s="86"/>
      <c r="G27" s="86"/>
      <c r="H27" s="86"/>
      <c r="I27" s="86"/>
      <c r="J27" s="86"/>
      <c r="K27" s="86"/>
      <c r="L27" s="86"/>
      <c r="M27" s="70"/>
      <c r="N27" s="63"/>
      <c r="O27" s="49"/>
      <c r="P27" s="49"/>
      <c r="Q27" s="50"/>
      <c r="R27" s="50"/>
      <c r="S27" s="51"/>
      <c r="T27" s="51"/>
      <c r="U27" s="51"/>
      <c r="V27" s="51"/>
      <c r="W27" s="51"/>
      <c r="X27" s="51"/>
      <c r="Y27" s="51"/>
      <c r="Z27" s="51"/>
      <c r="AA27" s="51"/>
      <c r="AB27" s="51"/>
      <c r="AC27" s="51"/>
      <c r="AD27" s="51"/>
      <c r="AE27" s="51"/>
      <c r="AF27" s="51"/>
      <c r="AG27" s="51"/>
      <c r="AN27" s="13">
        <v>2</v>
      </c>
      <c r="AO27" s="13">
        <f ca="1">+Q43</f>
        <v>10</v>
      </c>
      <c r="AW27" s="34"/>
      <c r="BA27" s="18"/>
      <c r="BB27" s="35"/>
      <c r="BC27" s="35"/>
      <c r="BD27" s="35"/>
    </row>
    <row r="28" spans="1:57" ht="15" customHeight="1" x14ac:dyDescent="0.35">
      <c r="A28" s="94"/>
      <c r="B28" s="33"/>
      <c r="C28" s="61"/>
      <c r="D28" s="61"/>
      <c r="E28" s="61"/>
      <c r="F28" s="86"/>
      <c r="G28" s="86"/>
      <c r="H28" s="86"/>
      <c r="I28" s="86"/>
      <c r="J28" s="86"/>
      <c r="K28" s="86"/>
      <c r="L28" s="86"/>
      <c r="M28" s="70" t="s">
        <v>9</v>
      </c>
      <c r="N28" s="63"/>
      <c r="O28" s="71">
        <f>Cuadernillo!V60+Cuadernillo!V146+Cuadernillo!V154+Cuadernillo!V174+Cuadernillo!V200+Cuadernillo!V220</f>
        <v>1</v>
      </c>
      <c r="P28" s="49"/>
      <c r="Q28" s="71" cm="1">
        <f t="array" aca="1" ref="Q28" ca="1">+INDEX(INDIRECT("K"&amp;VLOOKUP($L$7,$AP$7:$AQ$8,2,FALSE)),MATCH(O28&amp;$L$7,INDIRECT("L"&amp;VLOOKUP($L$7,$AP$7:$AQ$8,2,FALSE))&amp;$L$7,0))</f>
        <v>30</v>
      </c>
      <c r="R28" s="50"/>
      <c r="S28" s="51"/>
      <c r="T28" s="51"/>
      <c r="U28" s="51"/>
      <c r="V28" s="51"/>
      <c r="W28" s="51"/>
      <c r="X28" s="51"/>
      <c r="Y28" s="51"/>
      <c r="Z28" s="51"/>
      <c r="AA28" s="51"/>
      <c r="AB28" s="51"/>
      <c r="AC28" s="51"/>
      <c r="AD28" s="51"/>
      <c r="AE28" s="51"/>
      <c r="AF28" s="51"/>
      <c r="AG28" s="51"/>
      <c r="AN28" s="13">
        <v>1</v>
      </c>
      <c r="AO28" s="13">
        <f ca="1">+Q46</f>
        <v>20</v>
      </c>
      <c r="AS28" s="13">
        <v>7</v>
      </c>
      <c r="AT28" s="36">
        <f ca="1">AU28+(COUNTA($AU$14:$AU$48)-ROW()+2)*0.001</f>
        <v>9.9890000000000008</v>
      </c>
      <c r="AU28" s="14">
        <f ca="1">+Q48</f>
        <v>10</v>
      </c>
      <c r="AV28" s="13" t="str">
        <f>+F46</f>
        <v>PSICOPEDAGÓGICO </v>
      </c>
      <c r="AW28" s="34" t="str">
        <f t="shared" ca="1" si="0"/>
        <v>Bajo interés al</v>
      </c>
      <c r="AX28" s="5" t="s">
        <v>330</v>
      </c>
      <c r="BA28" s="9">
        <v>7</v>
      </c>
      <c r="BB28" s="35" t="str">
        <f t="shared" si="1"/>
        <v>PSICOPEDAGÓGICO </v>
      </c>
      <c r="BC28" s="35">
        <f ca="1">+Q46</f>
        <v>20</v>
      </c>
      <c r="BD28" s="35" t="str">
        <f t="shared" ca="1" si="2"/>
        <v>que se adapta a las</v>
      </c>
      <c r="BE28" s="5" t="s">
        <v>315</v>
      </c>
    </row>
    <row r="29" spans="1:57" ht="4.5" customHeight="1" thickBot="1" x14ac:dyDescent="0.4">
      <c r="A29" s="33"/>
      <c r="B29" s="33"/>
      <c r="C29" s="61"/>
      <c r="D29" s="61"/>
      <c r="E29" s="61"/>
      <c r="F29" s="72"/>
      <c r="G29" s="72"/>
      <c r="H29" s="72"/>
      <c r="I29" s="72"/>
      <c r="J29" s="72"/>
      <c r="K29" s="72"/>
      <c r="L29" s="72"/>
      <c r="M29" s="73"/>
      <c r="N29" s="74"/>
      <c r="O29" s="75"/>
      <c r="P29" s="75"/>
      <c r="Q29" s="76"/>
      <c r="R29" s="76"/>
      <c r="S29" s="51"/>
      <c r="T29" s="51"/>
      <c r="U29" s="51"/>
      <c r="V29" s="51"/>
      <c r="W29" s="51"/>
      <c r="X29" s="51"/>
      <c r="Y29" s="51"/>
      <c r="Z29" s="51"/>
      <c r="AA29" s="51"/>
      <c r="AB29" s="51"/>
      <c r="AC29" s="51"/>
      <c r="AD29" s="51"/>
      <c r="AE29" s="51"/>
      <c r="AF29" s="51"/>
      <c r="AG29" s="51"/>
      <c r="AN29" s="13">
        <v>2</v>
      </c>
      <c r="AO29" s="13">
        <f ca="1">+Q48</f>
        <v>10</v>
      </c>
      <c r="AT29" s="36"/>
      <c r="AW29" s="34"/>
      <c r="BA29" s="9"/>
      <c r="BB29" s="35"/>
      <c r="BC29" s="35"/>
      <c r="BD29" s="35"/>
    </row>
    <row r="30" spans="1:57" ht="4.5" customHeight="1" x14ac:dyDescent="0.35">
      <c r="A30" s="33"/>
      <c r="B30" s="33"/>
      <c r="C30" s="61"/>
      <c r="D30" s="61"/>
      <c r="E30" s="61"/>
      <c r="F30" s="69"/>
      <c r="G30" s="69"/>
      <c r="H30" s="69"/>
      <c r="I30" s="69"/>
      <c r="J30" s="69"/>
      <c r="K30" s="69"/>
      <c r="L30" s="69"/>
      <c r="M30" s="70"/>
      <c r="N30" s="63"/>
      <c r="O30" s="49"/>
      <c r="P30" s="49"/>
      <c r="Q30" s="50"/>
      <c r="R30" s="50"/>
      <c r="S30" s="51"/>
      <c r="T30" s="51"/>
      <c r="U30" s="51"/>
      <c r="V30" s="51"/>
      <c r="W30" s="51"/>
      <c r="X30" s="51"/>
      <c r="Y30" s="51"/>
      <c r="Z30" s="51"/>
      <c r="AA30" s="51"/>
      <c r="AB30" s="51"/>
      <c r="AC30" s="51"/>
      <c r="AD30" s="51"/>
      <c r="AE30" s="51"/>
      <c r="AF30" s="51"/>
      <c r="AG30" s="51"/>
      <c r="AN30" s="13">
        <v>1</v>
      </c>
      <c r="AO30" s="13">
        <f ca="1">+Q51</f>
        <v>40</v>
      </c>
      <c r="AT30" s="36"/>
      <c r="AW30" s="34"/>
      <c r="BA30" s="9"/>
      <c r="BB30" s="35"/>
      <c r="BC30" s="35"/>
      <c r="BD30" s="35"/>
    </row>
    <row r="31" spans="1:57" ht="15" customHeight="1" x14ac:dyDescent="0.35">
      <c r="A31" s="94">
        <v>4</v>
      </c>
      <c r="B31" s="33"/>
      <c r="C31" s="61"/>
      <c r="D31" s="61"/>
      <c r="E31" s="61"/>
      <c r="F31" s="86" t="s">
        <v>284</v>
      </c>
      <c r="G31" s="86"/>
      <c r="H31" s="86"/>
      <c r="I31" s="86"/>
      <c r="J31" s="86"/>
      <c r="K31" s="86"/>
      <c r="L31" s="86"/>
      <c r="M31" s="70" t="s">
        <v>8</v>
      </c>
      <c r="N31" s="63"/>
      <c r="O31" s="71">
        <f>Cuadernillo!V59+Cuadernillo!V133+Cuadernillo!V135+Cuadernillo!V155+Cuadernillo!V157+Cuadernillo!V201</f>
        <v>0</v>
      </c>
      <c r="P31" s="49"/>
      <c r="Q31" s="71" cm="1">
        <f t="array" aca="1" ref="Q31" ca="1">+INDEX(INDIRECT("N"&amp;VLOOKUP($L$7,$AP$7:$AQ$8,2,FALSE)),MATCH(O31&amp;$L$7,INDIRECT("M"&amp;VLOOKUP($L$7,$AP$7:$AQ$8,2,FALSE))&amp;$L$7,0))</f>
        <v>10</v>
      </c>
      <c r="R31" s="50"/>
      <c r="S31" s="51"/>
      <c r="T31" s="51"/>
      <c r="U31" s="51"/>
      <c r="V31" s="51"/>
      <c r="W31" s="51"/>
      <c r="X31" s="51"/>
      <c r="Y31" s="51"/>
      <c r="Z31" s="51"/>
      <c r="AA31" s="51"/>
      <c r="AB31" s="51"/>
      <c r="AC31" s="51"/>
      <c r="AD31" s="51"/>
      <c r="AE31" s="51"/>
      <c r="AF31" s="51"/>
      <c r="AG31" s="51"/>
      <c r="AN31" s="13">
        <v>2</v>
      </c>
      <c r="AO31" s="13">
        <f ca="1">+Q53</f>
        <v>45</v>
      </c>
      <c r="AS31" s="13">
        <v>8</v>
      </c>
      <c r="AT31" s="13">
        <f ca="1">AU31+(COUNTA($AU$14:$AU$48)-ROW()+2)*0.001</f>
        <v>44.985999999999997</v>
      </c>
      <c r="AU31" s="14">
        <f ca="1">+Q53</f>
        <v>45</v>
      </c>
      <c r="AV31" s="13" t="str">
        <f>+F51</f>
        <v>EMPRESARIAL/ADMINISTRATIVO/ COMERCIAL</v>
      </c>
      <c r="AW31" s="34" t="str">
        <f t="shared" ca="1" si="0"/>
        <v>que se adapta al</v>
      </c>
      <c r="AX31" s="5" t="s">
        <v>331</v>
      </c>
      <c r="BA31" s="18">
        <v>8</v>
      </c>
      <c r="BB31" s="35" t="str">
        <f t="shared" si="1"/>
        <v>EMPRESARIAL/ADMINISTRATIVO/ COMERCIAL</v>
      </c>
      <c r="BC31" s="35">
        <f ca="1">+Q51</f>
        <v>40</v>
      </c>
      <c r="BD31" s="35" t="str">
        <f t="shared" ca="1" si="2"/>
        <v>que se adapta a las</v>
      </c>
      <c r="BE31" s="5" t="s">
        <v>316</v>
      </c>
    </row>
    <row r="32" spans="1:57" ht="6.75" customHeight="1" x14ac:dyDescent="0.35">
      <c r="A32" s="94"/>
      <c r="B32" s="33"/>
      <c r="C32" s="61"/>
      <c r="D32" s="61"/>
      <c r="E32" s="61"/>
      <c r="F32" s="86"/>
      <c r="G32" s="86"/>
      <c r="H32" s="86"/>
      <c r="I32" s="86"/>
      <c r="J32" s="86"/>
      <c r="K32" s="86"/>
      <c r="L32" s="86"/>
      <c r="M32" s="70"/>
      <c r="N32" s="63"/>
      <c r="O32" s="49"/>
      <c r="P32" s="49"/>
      <c r="Q32" s="50"/>
      <c r="R32" s="50"/>
      <c r="S32" s="51"/>
      <c r="T32" s="51"/>
      <c r="U32" s="51"/>
      <c r="V32" s="51"/>
      <c r="W32" s="51"/>
      <c r="X32" s="51"/>
      <c r="Y32" s="51"/>
      <c r="Z32" s="51"/>
      <c r="AA32" s="51"/>
      <c r="AB32" s="51"/>
      <c r="AC32" s="51"/>
      <c r="AD32" s="51"/>
      <c r="AE32" s="51"/>
      <c r="AF32" s="51"/>
      <c r="AG32" s="51"/>
      <c r="AN32" s="13">
        <v>1</v>
      </c>
      <c r="AO32" s="13">
        <f ca="1">+Q56</f>
        <v>30</v>
      </c>
      <c r="AW32" s="34"/>
      <c r="BA32" s="18"/>
      <c r="BB32" s="35"/>
      <c r="BC32" s="35"/>
      <c r="BD32" s="35"/>
    </row>
    <row r="33" spans="1:57" ht="15" customHeight="1" x14ac:dyDescent="0.35">
      <c r="A33" s="94"/>
      <c r="B33" s="33"/>
      <c r="C33" s="61"/>
      <c r="D33" s="61"/>
      <c r="E33" s="61"/>
      <c r="F33" s="86"/>
      <c r="G33" s="86"/>
      <c r="H33" s="86"/>
      <c r="I33" s="86"/>
      <c r="J33" s="86"/>
      <c r="K33" s="86"/>
      <c r="L33" s="86"/>
      <c r="M33" s="70" t="s">
        <v>9</v>
      </c>
      <c r="N33" s="63"/>
      <c r="O33" s="71">
        <f>Cuadernillo!V90+Cuadernillo!V137+Cuadernillo!V168+Cuadernillo!V188+Cuadernillo!V214+Cuadernillo!V216</f>
        <v>1</v>
      </c>
      <c r="P33" s="49"/>
      <c r="Q33" s="71" cm="1">
        <f t="array" aca="1" ref="Q33" ca="1">+INDEX(INDIRECT("P"&amp;VLOOKUP($L$7,$AP$7:$AQ$8,2,FALSE)),MATCH(O33&amp;$L$7,INDIRECT("O"&amp;VLOOKUP($L$7,$AP$7:$AQ$8,2,FALSE))&amp;$L$7,0))</f>
        <v>30</v>
      </c>
      <c r="R33" s="50"/>
      <c r="S33" s="51"/>
      <c r="T33" s="51"/>
      <c r="U33" s="51"/>
      <c r="V33" s="51"/>
      <c r="W33" s="51"/>
      <c r="X33" s="51"/>
      <c r="Y33" s="51"/>
      <c r="Z33" s="51"/>
      <c r="AA33" s="51"/>
      <c r="AB33" s="51"/>
      <c r="AC33" s="51"/>
      <c r="AD33" s="51"/>
      <c r="AE33" s="51"/>
      <c r="AF33" s="51"/>
      <c r="AG33" s="51"/>
      <c r="AN33" s="13">
        <v>2</v>
      </c>
      <c r="AO33" s="13">
        <f ca="1">+Q58</f>
        <v>15</v>
      </c>
      <c r="AS33" s="13">
        <v>9</v>
      </c>
      <c r="AT33" s="36">
        <f ca="1">AU33+(COUNTA($AU$14:$AU$48)-ROW()+2)*0.001</f>
        <v>14.984</v>
      </c>
      <c r="AU33" s="14">
        <f ca="1">+Q58</f>
        <v>15</v>
      </c>
      <c r="AV33" s="13" t="str">
        <f>+F56</f>
        <v>INFORMÁTICA</v>
      </c>
      <c r="AW33" s="34" t="str">
        <f t="shared" ca="1" si="0"/>
        <v>Bajo interés al</v>
      </c>
      <c r="AX33" s="5" t="s">
        <v>332</v>
      </c>
      <c r="BA33" s="9">
        <v>9</v>
      </c>
      <c r="BB33" s="35" t="str">
        <f t="shared" si="1"/>
        <v>INFORMÁTICA</v>
      </c>
      <c r="BC33" s="35">
        <f ca="1">+Q56</f>
        <v>30</v>
      </c>
      <c r="BD33" s="35" t="str">
        <f t="shared" ca="1" si="2"/>
        <v>que se adapta a las</v>
      </c>
      <c r="BE33" s="5" t="s">
        <v>317</v>
      </c>
    </row>
    <row r="34" spans="1:57" ht="4.5" customHeight="1" thickBot="1" x14ac:dyDescent="0.4">
      <c r="A34" s="33"/>
      <c r="B34" s="33"/>
      <c r="C34" s="61"/>
      <c r="D34" s="61"/>
      <c r="E34" s="61"/>
      <c r="F34" s="72"/>
      <c r="G34" s="72"/>
      <c r="H34" s="72"/>
      <c r="I34" s="72"/>
      <c r="J34" s="72"/>
      <c r="K34" s="72"/>
      <c r="L34" s="72"/>
      <c r="M34" s="73"/>
      <c r="N34" s="74"/>
      <c r="O34" s="75"/>
      <c r="P34" s="75"/>
      <c r="Q34" s="76"/>
      <c r="R34" s="76"/>
      <c r="S34" s="51"/>
      <c r="T34" s="51"/>
      <c r="U34" s="51"/>
      <c r="V34" s="51"/>
      <c r="W34" s="51"/>
      <c r="X34" s="51"/>
      <c r="Y34" s="51"/>
      <c r="Z34" s="51"/>
      <c r="AA34" s="51"/>
      <c r="AB34" s="51"/>
      <c r="AC34" s="51"/>
      <c r="AD34" s="51"/>
      <c r="AE34" s="51"/>
      <c r="AF34" s="51"/>
      <c r="AG34" s="51"/>
      <c r="AN34" s="13">
        <v>1</v>
      </c>
      <c r="AO34" s="13">
        <f ca="1">+Q61</f>
        <v>15</v>
      </c>
      <c r="AT34" s="36"/>
      <c r="AW34" s="34"/>
      <c r="BA34" s="9"/>
      <c r="BB34" s="35"/>
      <c r="BC34" s="35"/>
      <c r="BD34" s="35"/>
    </row>
    <row r="35" spans="1:57" ht="4.5" customHeight="1" x14ac:dyDescent="0.35">
      <c r="A35" s="33"/>
      <c r="B35" s="33"/>
      <c r="C35" s="61"/>
      <c r="D35" s="61"/>
      <c r="E35" s="61"/>
      <c r="F35" s="69"/>
      <c r="G35" s="69"/>
      <c r="H35" s="69"/>
      <c r="I35" s="69"/>
      <c r="J35" s="69"/>
      <c r="K35" s="69"/>
      <c r="L35" s="69"/>
      <c r="M35" s="70"/>
      <c r="N35" s="63"/>
      <c r="O35" s="49"/>
      <c r="P35" s="49"/>
      <c r="Q35" s="50"/>
      <c r="R35" s="50"/>
      <c r="S35" s="51"/>
      <c r="T35" s="51"/>
      <c r="U35" s="51"/>
      <c r="V35" s="51"/>
      <c r="W35" s="51"/>
      <c r="X35" s="51"/>
      <c r="Y35" s="51"/>
      <c r="Z35" s="51"/>
      <c r="AA35" s="51"/>
      <c r="AB35" s="51"/>
      <c r="AC35" s="51"/>
      <c r="AD35" s="51"/>
      <c r="AE35" s="51"/>
      <c r="AF35" s="51"/>
      <c r="AG35" s="51"/>
      <c r="AN35" s="13">
        <v>2</v>
      </c>
      <c r="AO35" s="13">
        <f ca="1">+Q63</f>
        <v>10</v>
      </c>
      <c r="AT35" s="36"/>
      <c r="AW35" s="34"/>
      <c r="BA35" s="9"/>
      <c r="BB35" s="35"/>
      <c r="BC35" s="35"/>
      <c r="BD35" s="35"/>
    </row>
    <row r="36" spans="1:57" ht="15" customHeight="1" x14ac:dyDescent="0.35">
      <c r="A36" s="94">
        <v>5</v>
      </c>
      <c r="B36" s="33"/>
      <c r="C36" s="61"/>
      <c r="D36" s="61"/>
      <c r="E36" s="61"/>
      <c r="F36" s="86" t="s">
        <v>285</v>
      </c>
      <c r="G36" s="86"/>
      <c r="H36" s="86"/>
      <c r="I36" s="86"/>
      <c r="J36" s="86"/>
      <c r="K36" s="86"/>
      <c r="L36" s="86"/>
      <c r="M36" s="70" t="s">
        <v>8</v>
      </c>
      <c r="N36" s="63"/>
      <c r="O36" s="71">
        <f>Cuadernillo!V65+Cuadernillo!V71+Cuadernillo!V131+Cuadernillo!V161+Cuadernillo!V179+Cuadernillo!V187</f>
        <v>0</v>
      </c>
      <c r="P36" s="49"/>
      <c r="Q36" s="71" cm="1">
        <f t="array" aca="1" ref="Q36" ca="1">+INDEX(INDIRECT("R"&amp;VLOOKUP($L$7,$AP$7:$AQ$8,2,FALSE)),MATCH(O36&amp;$L$7,INDIRECT("Q"&amp;VLOOKUP($L$7,$AP$7:$AQ$8,2,FALSE))&amp;$L$7,0))</f>
        <v>10</v>
      </c>
      <c r="R36" s="50"/>
      <c r="S36" s="51"/>
      <c r="T36" s="51"/>
      <c r="U36" s="51"/>
      <c r="V36" s="51"/>
      <c r="W36" s="51"/>
      <c r="X36" s="51"/>
      <c r="Y36" s="51"/>
      <c r="Z36" s="51"/>
      <c r="AA36" s="51"/>
      <c r="AB36" s="51"/>
      <c r="AC36" s="51"/>
      <c r="AD36" s="51"/>
      <c r="AE36" s="51"/>
      <c r="AF36" s="51"/>
      <c r="AG36" s="51"/>
      <c r="AN36" s="13">
        <v>1</v>
      </c>
      <c r="AO36" s="13">
        <f ca="1">+Q66</f>
        <v>30</v>
      </c>
      <c r="AS36" s="13">
        <v>10</v>
      </c>
      <c r="AT36" s="13">
        <f ca="1">AU36+(COUNTA($AU$14:$AU$48)-ROW()+2)*0.001</f>
        <v>9.9809999999999999</v>
      </c>
      <c r="AU36" s="14">
        <f ca="1">+Q63</f>
        <v>10</v>
      </c>
      <c r="AV36" s="13" t="str">
        <f>+F61</f>
        <v>AGRARIO/AGROPECUARIO/AMBIENTAL</v>
      </c>
      <c r="AW36" s="34" t="str">
        <f t="shared" ca="1" si="0"/>
        <v>Bajo interés al</v>
      </c>
      <c r="AX36" s="5" t="s">
        <v>333</v>
      </c>
      <c r="BA36" s="18">
        <v>10</v>
      </c>
      <c r="BB36" s="35" t="str">
        <f t="shared" si="1"/>
        <v>AGRARIO/AGROPECUARIO/AMBIENTAL</v>
      </c>
      <c r="BC36" s="35">
        <f ca="1">+Q61</f>
        <v>15</v>
      </c>
      <c r="BD36" s="35" t="str">
        <f t="shared" ca="1" si="2"/>
        <v>Bajo interés en las</v>
      </c>
      <c r="BE36" s="5" t="s">
        <v>318</v>
      </c>
    </row>
    <row r="37" spans="1:57" ht="6.75" customHeight="1" x14ac:dyDescent="0.35">
      <c r="A37" s="94"/>
      <c r="B37" s="33"/>
      <c r="C37" s="61"/>
      <c r="D37" s="61"/>
      <c r="E37" s="61"/>
      <c r="F37" s="86"/>
      <c r="G37" s="86"/>
      <c r="H37" s="86"/>
      <c r="I37" s="86"/>
      <c r="J37" s="86"/>
      <c r="K37" s="86"/>
      <c r="L37" s="86"/>
      <c r="M37" s="70"/>
      <c r="N37" s="63"/>
      <c r="O37" s="49"/>
      <c r="P37" s="49"/>
      <c r="Q37" s="50"/>
      <c r="R37" s="50"/>
      <c r="S37" s="51"/>
      <c r="T37" s="51"/>
      <c r="U37" s="51"/>
      <c r="V37" s="51"/>
      <c r="W37" s="51"/>
      <c r="X37" s="51"/>
      <c r="Y37" s="51"/>
      <c r="Z37" s="51"/>
      <c r="AA37" s="51"/>
      <c r="AB37" s="51"/>
      <c r="AC37" s="51"/>
      <c r="AD37" s="51"/>
      <c r="AE37" s="51"/>
      <c r="AF37" s="51"/>
      <c r="AG37" s="51"/>
      <c r="AN37" s="13">
        <v>2</v>
      </c>
      <c r="AO37" s="13">
        <f ca="1">+Q68</f>
        <v>10</v>
      </c>
      <c r="AW37" s="34"/>
      <c r="BA37" s="18"/>
      <c r="BB37" s="35"/>
      <c r="BC37" s="35"/>
      <c r="BD37" s="35"/>
    </row>
    <row r="38" spans="1:57" ht="15" customHeight="1" x14ac:dyDescent="0.35">
      <c r="A38" s="94"/>
      <c r="B38" s="33"/>
      <c r="C38" s="61"/>
      <c r="D38" s="61"/>
      <c r="E38" s="61"/>
      <c r="F38" s="86"/>
      <c r="G38" s="86"/>
      <c r="H38" s="86"/>
      <c r="I38" s="86"/>
      <c r="J38" s="86"/>
      <c r="K38" s="86"/>
      <c r="L38" s="86"/>
      <c r="M38" s="70" t="s">
        <v>9</v>
      </c>
      <c r="N38" s="63"/>
      <c r="O38" s="71">
        <f>Cuadernillo!V48+Cuadernillo!V74+Cuadernillo!V141+Cuadernillo!V144+Cuadernillo!V150+Cuadernillo!V212</f>
        <v>0</v>
      </c>
      <c r="P38" s="49"/>
      <c r="Q38" s="71" cm="1">
        <f t="array" aca="1" ref="Q38" ca="1">+INDEX(INDIRECT("U"&amp;VLOOKUP($L$7,$AP$7:$AQ$8,2,FALSE)),MATCH(O38&amp;$L$7,INDIRECT("T"&amp;VLOOKUP($L$7,$AP$7:$AQ$8,2,FALSE))&amp;$L$7,0))</f>
        <v>10</v>
      </c>
      <c r="R38" s="50"/>
      <c r="S38" s="51"/>
      <c r="T38" s="51"/>
      <c r="U38" s="51"/>
      <c r="V38" s="51"/>
      <c r="W38" s="51"/>
      <c r="X38" s="51"/>
      <c r="Y38" s="51"/>
      <c r="Z38" s="51"/>
      <c r="AA38" s="51"/>
      <c r="AB38" s="51"/>
      <c r="AC38" s="51"/>
      <c r="AD38" s="51"/>
      <c r="AE38" s="51"/>
      <c r="AF38" s="51"/>
      <c r="AG38" s="51"/>
      <c r="AN38" s="13">
        <v>1</v>
      </c>
      <c r="AO38" s="13">
        <f ca="1">+Q71</f>
        <v>15</v>
      </c>
      <c r="AS38" s="13">
        <v>11</v>
      </c>
      <c r="AT38" s="13">
        <f ca="1">AU38+(COUNTA($AU$14:$AU$48)-ROW()+2)*0.001</f>
        <v>9.9789999999999992</v>
      </c>
      <c r="AU38" s="14">
        <f ca="1">+Q68</f>
        <v>10</v>
      </c>
      <c r="AV38" s="13" t="str">
        <f>+F66</f>
        <v>ARTÍSTICO - PLÁSTICO/ ARTESANÍA /MODA</v>
      </c>
      <c r="AW38" s="34" t="str">
        <f t="shared" ca="1" si="0"/>
        <v>Bajo interés al</v>
      </c>
      <c r="AX38" s="5" t="s">
        <v>334</v>
      </c>
      <c r="BA38" s="9">
        <v>11</v>
      </c>
      <c r="BB38" s="35" t="str">
        <f t="shared" si="1"/>
        <v>ARTÍSTICO - PLÁSTICO/ ARTESANÍA /MODA</v>
      </c>
      <c r="BC38" s="35">
        <f ca="1">+Q66</f>
        <v>30</v>
      </c>
      <c r="BD38" s="35" t="str">
        <f t="shared" ca="1" si="2"/>
        <v>que se adapta a las</v>
      </c>
      <c r="BE38" s="5" t="s">
        <v>319</v>
      </c>
    </row>
    <row r="39" spans="1:57" ht="4.5" customHeight="1" thickBot="1" x14ac:dyDescent="0.4">
      <c r="A39" s="33"/>
      <c r="B39" s="33"/>
      <c r="C39" s="61"/>
      <c r="D39" s="61"/>
      <c r="E39" s="61"/>
      <c r="F39" s="72"/>
      <c r="G39" s="72"/>
      <c r="H39" s="72"/>
      <c r="I39" s="72"/>
      <c r="J39" s="72"/>
      <c r="K39" s="72"/>
      <c r="L39" s="72"/>
      <c r="M39" s="73"/>
      <c r="N39" s="74"/>
      <c r="O39" s="75"/>
      <c r="P39" s="75"/>
      <c r="Q39" s="76"/>
      <c r="R39" s="76"/>
      <c r="S39" s="51"/>
      <c r="T39" s="51"/>
      <c r="U39" s="51"/>
      <c r="V39" s="51"/>
      <c r="W39" s="51"/>
      <c r="X39" s="51"/>
      <c r="Y39" s="51"/>
      <c r="Z39" s="51"/>
      <c r="AA39" s="51"/>
      <c r="AB39" s="51"/>
      <c r="AC39" s="51"/>
      <c r="AD39" s="51"/>
      <c r="AE39" s="51"/>
      <c r="AF39" s="51"/>
      <c r="AG39" s="51"/>
      <c r="AN39" s="13">
        <v>2</v>
      </c>
      <c r="AO39" s="13">
        <f ca="1">+Q73</f>
        <v>10</v>
      </c>
      <c r="AW39" s="34"/>
      <c r="BA39" s="9"/>
      <c r="BB39" s="35"/>
      <c r="BC39" s="35"/>
      <c r="BD39" s="35"/>
    </row>
    <row r="40" spans="1:57" ht="4.5" customHeight="1" x14ac:dyDescent="0.35">
      <c r="A40" s="33"/>
      <c r="B40" s="33"/>
      <c r="C40" s="61"/>
      <c r="D40" s="61"/>
      <c r="E40" s="61"/>
      <c r="F40" s="69"/>
      <c r="G40" s="69"/>
      <c r="H40" s="69"/>
      <c r="I40" s="69"/>
      <c r="J40" s="69"/>
      <c r="K40" s="69"/>
      <c r="L40" s="69"/>
      <c r="M40" s="70"/>
      <c r="N40" s="63"/>
      <c r="O40" s="49"/>
      <c r="P40" s="49"/>
      <c r="Q40" s="50"/>
      <c r="R40" s="50"/>
      <c r="S40" s="51"/>
      <c r="T40" s="51"/>
      <c r="U40" s="51"/>
      <c r="V40" s="51"/>
      <c r="W40" s="51"/>
      <c r="X40" s="51"/>
      <c r="Y40" s="51"/>
      <c r="Z40" s="51"/>
      <c r="AA40" s="51"/>
      <c r="AB40" s="51"/>
      <c r="AC40" s="51"/>
      <c r="AD40" s="51"/>
      <c r="AE40" s="51"/>
      <c r="AF40" s="51"/>
      <c r="AG40" s="51"/>
      <c r="AN40" s="13">
        <v>1</v>
      </c>
      <c r="AO40" s="13">
        <f ca="1">+Q76</f>
        <v>5</v>
      </c>
      <c r="AW40" s="34"/>
      <c r="BA40" s="9"/>
      <c r="BB40" s="35"/>
      <c r="BC40" s="35"/>
      <c r="BD40" s="35"/>
    </row>
    <row r="41" spans="1:57" ht="15" customHeight="1" x14ac:dyDescent="0.35">
      <c r="A41" s="94">
        <v>6</v>
      </c>
      <c r="B41" s="33"/>
      <c r="C41" s="61"/>
      <c r="D41" s="61"/>
      <c r="E41" s="61"/>
      <c r="F41" s="86" t="s">
        <v>286</v>
      </c>
      <c r="G41" s="86"/>
      <c r="H41" s="86"/>
      <c r="I41" s="86"/>
      <c r="J41" s="86"/>
      <c r="K41" s="86"/>
      <c r="L41" s="86"/>
      <c r="M41" s="70" t="s">
        <v>8</v>
      </c>
      <c r="N41" s="63"/>
      <c r="O41" s="71">
        <f>Cuadernillo!V55+Cuadernillo!V93+Cuadernillo!V117+Cuadernillo!V145+Cuadernillo!V175+Cuadernillo!V199</f>
        <v>1</v>
      </c>
      <c r="P41" s="49"/>
      <c r="Q41" s="71" cm="1">
        <f t="array" aca="1" ref="Q41" ca="1">+INDEX(INDIRECT("U"&amp;VLOOKUP($L$7,$AP$7:$AQ$8,2,FALSE)),MATCH(O41&amp;$L$7,INDIRECT("T"&amp;VLOOKUP($L$7,$AP$7:$AQ$8,2,FALSE))&amp;$L$7,0))</f>
        <v>25</v>
      </c>
      <c r="R41" s="50"/>
      <c r="S41" s="51"/>
      <c r="T41" s="51"/>
      <c r="U41" s="51"/>
      <c r="V41" s="51"/>
      <c r="W41" s="51"/>
      <c r="X41" s="51"/>
      <c r="Y41" s="51"/>
      <c r="Z41" s="51"/>
      <c r="AA41" s="51"/>
      <c r="AB41" s="51"/>
      <c r="AC41" s="51"/>
      <c r="AD41" s="51"/>
      <c r="AE41" s="51"/>
      <c r="AF41" s="51"/>
      <c r="AG41" s="51"/>
      <c r="AN41" s="13">
        <v>2</v>
      </c>
      <c r="AO41" s="13">
        <f ca="1">+Q78</f>
        <v>45</v>
      </c>
      <c r="AS41" s="13">
        <v>12</v>
      </c>
      <c r="AT41" s="13">
        <f ca="1">AU41+(COUNTA($AU$14:$AU$48)-ROW()+2)*0.001</f>
        <v>9.9760000000000009</v>
      </c>
      <c r="AU41" s="14">
        <f ca="1">+Q73</f>
        <v>10</v>
      </c>
      <c r="AV41" s="13" t="str">
        <f>+F71</f>
        <v>ARTÍSTICO MUSICAL/ ESPECTÁCULO</v>
      </c>
      <c r="AW41" s="34" t="str">
        <f t="shared" ca="1" si="0"/>
        <v>Bajo interés al</v>
      </c>
      <c r="AX41" s="5" t="s">
        <v>335</v>
      </c>
      <c r="BA41" s="18">
        <v>12</v>
      </c>
      <c r="BB41" s="35" t="str">
        <f t="shared" si="1"/>
        <v>ARTÍSTICO MUSICAL/ ESPECTÁCULO</v>
      </c>
      <c r="BC41" s="35">
        <f ca="1">+Q71</f>
        <v>15</v>
      </c>
      <c r="BD41" s="35" t="str">
        <f t="shared" ca="1" si="2"/>
        <v>Bajo interés en las</v>
      </c>
      <c r="BE41" s="5" t="s">
        <v>320</v>
      </c>
    </row>
    <row r="42" spans="1:57" ht="6.75" customHeight="1" x14ac:dyDescent="0.35">
      <c r="A42" s="94"/>
      <c r="B42" s="33"/>
      <c r="C42" s="61"/>
      <c r="D42" s="61"/>
      <c r="E42" s="61"/>
      <c r="F42" s="86"/>
      <c r="G42" s="86"/>
      <c r="H42" s="86"/>
      <c r="I42" s="86"/>
      <c r="J42" s="86"/>
      <c r="K42" s="86"/>
      <c r="L42" s="86"/>
      <c r="M42" s="70"/>
      <c r="N42" s="63"/>
      <c r="O42" s="49"/>
      <c r="P42" s="49"/>
      <c r="Q42" s="50"/>
      <c r="R42" s="50"/>
      <c r="S42" s="51"/>
      <c r="T42" s="51"/>
      <c r="U42" s="51"/>
      <c r="V42" s="51"/>
      <c r="W42" s="51"/>
      <c r="X42" s="51"/>
      <c r="Y42" s="51"/>
      <c r="Z42" s="51"/>
      <c r="AA42" s="51"/>
      <c r="AB42" s="51"/>
      <c r="AC42" s="51"/>
      <c r="AD42" s="51"/>
      <c r="AE42" s="51"/>
      <c r="AF42" s="51"/>
      <c r="AG42" s="51"/>
      <c r="AN42" s="13">
        <v>1</v>
      </c>
      <c r="AO42" s="13">
        <f ca="1">+Q81</f>
        <v>10</v>
      </c>
      <c r="AW42" s="34"/>
      <c r="BA42" s="18"/>
      <c r="BB42" s="35"/>
      <c r="BC42" s="35"/>
      <c r="BD42" s="35"/>
    </row>
    <row r="43" spans="1:57" ht="15" customHeight="1" x14ac:dyDescent="0.35">
      <c r="A43" s="94"/>
      <c r="B43" s="33"/>
      <c r="C43" s="61"/>
      <c r="D43" s="61"/>
      <c r="E43" s="61"/>
      <c r="F43" s="86"/>
      <c r="G43" s="86"/>
      <c r="H43" s="86"/>
      <c r="I43" s="86"/>
      <c r="J43" s="86"/>
      <c r="K43" s="86"/>
      <c r="L43" s="86"/>
      <c r="M43" s="70" t="s">
        <v>9</v>
      </c>
      <c r="N43" s="63"/>
      <c r="O43" s="71">
        <f>Cuadernillo!V46+Cuadernillo!V64+Cuadernillo!V134+Cuadernillo!V186+Cuadernillo!V192+Cuadernillo!V202</f>
        <v>1</v>
      </c>
      <c r="P43" s="49"/>
      <c r="Q43" s="71" cm="1">
        <f t="array" aca="1" ref="Q43" ca="1">+INDEX(INDIRECT("AA"&amp;VLOOKUP($L$7,$AP$7:$AQ$8,2,FALSE)),MATCH(O43&amp;$L$7,INDIRECT("BB"&amp;VLOOKUP($L$7,$AP$7:$AQ$8,2,FALSE))&amp;$L$7,0))</f>
        <v>10</v>
      </c>
      <c r="R43" s="50"/>
      <c r="S43" s="51"/>
      <c r="T43" s="51"/>
      <c r="U43" s="51"/>
      <c r="V43" s="51"/>
      <c r="W43" s="51"/>
      <c r="X43" s="51"/>
      <c r="Y43" s="51"/>
      <c r="Z43" s="51"/>
      <c r="AA43" s="51"/>
      <c r="AB43" s="51"/>
      <c r="AC43" s="51"/>
      <c r="AD43" s="51"/>
      <c r="AE43" s="51"/>
      <c r="AF43" s="51"/>
      <c r="AG43" s="51"/>
      <c r="AN43" s="13">
        <v>2</v>
      </c>
      <c r="AO43" s="13">
        <f ca="1">+Q83</f>
        <v>20</v>
      </c>
      <c r="AS43" s="13">
        <v>13</v>
      </c>
      <c r="AT43" s="13">
        <f ca="1">AU43+(COUNTA($AU$14:$AU$48)-ROW()+2)*0.001</f>
        <v>44.973999999999997</v>
      </c>
      <c r="AU43" s="14">
        <f ca="1">+Q78</f>
        <v>45</v>
      </c>
      <c r="AV43" s="13" t="str">
        <f>+F76</f>
        <v>FUERZAS ARMADAS/SEGURIDAD/PROTECCIÓN</v>
      </c>
      <c r="AW43" s="34" t="str">
        <f t="shared" ca="1" si="0"/>
        <v>que se adapta al</v>
      </c>
      <c r="AX43" s="5" t="s">
        <v>336</v>
      </c>
      <c r="BA43" s="9">
        <v>13</v>
      </c>
      <c r="BB43" s="35" t="str">
        <f t="shared" si="1"/>
        <v>FUERZAS ARMADAS/SEGURIDAD/PROTECCIÓN</v>
      </c>
      <c r="BC43" s="35">
        <f ca="1">+Q76</f>
        <v>5</v>
      </c>
      <c r="BD43" s="35" t="str">
        <f t="shared" ca="1" si="2"/>
        <v>Bajo interés en las</v>
      </c>
      <c r="BE43" s="5" t="s">
        <v>321</v>
      </c>
    </row>
    <row r="44" spans="1:57" ht="4.5" customHeight="1" thickBot="1" x14ac:dyDescent="0.4">
      <c r="A44" s="33"/>
      <c r="B44" s="33"/>
      <c r="C44" s="61"/>
      <c r="D44" s="61"/>
      <c r="E44" s="61"/>
      <c r="F44" s="72"/>
      <c r="G44" s="72"/>
      <c r="H44" s="72"/>
      <c r="I44" s="72"/>
      <c r="J44" s="72"/>
      <c r="K44" s="72"/>
      <c r="L44" s="72"/>
      <c r="M44" s="73"/>
      <c r="N44" s="74"/>
      <c r="O44" s="75"/>
      <c r="P44" s="75"/>
      <c r="Q44" s="76"/>
      <c r="R44" s="76"/>
      <c r="S44" s="51"/>
      <c r="T44" s="51"/>
      <c r="U44" s="51"/>
      <c r="V44" s="51"/>
      <c r="W44" s="51"/>
      <c r="X44" s="51"/>
      <c r="Y44" s="51"/>
      <c r="Z44" s="51"/>
      <c r="AA44" s="51"/>
      <c r="AB44" s="51"/>
      <c r="AC44" s="51"/>
      <c r="AD44" s="51"/>
      <c r="AE44" s="51"/>
      <c r="AF44" s="51"/>
      <c r="AG44" s="51"/>
      <c r="AN44" s="13">
        <v>1</v>
      </c>
      <c r="AO44" s="13">
        <f ca="1">+Q86</f>
        <v>30</v>
      </c>
      <c r="AW44" s="34"/>
      <c r="BA44" s="9"/>
      <c r="BB44" s="35"/>
      <c r="BC44" s="35"/>
      <c r="BD44" s="35"/>
    </row>
    <row r="45" spans="1:57" ht="4.5" customHeight="1" x14ac:dyDescent="0.35">
      <c r="A45" s="33"/>
      <c r="B45" s="33"/>
      <c r="C45" s="61"/>
      <c r="D45" s="61"/>
      <c r="E45" s="61"/>
      <c r="F45" s="69"/>
      <c r="G45" s="69"/>
      <c r="H45" s="69"/>
      <c r="I45" s="69"/>
      <c r="J45" s="69"/>
      <c r="K45" s="69"/>
      <c r="L45" s="69"/>
      <c r="M45" s="70"/>
      <c r="N45" s="63"/>
      <c r="O45" s="49"/>
      <c r="P45" s="49"/>
      <c r="Q45" s="50"/>
      <c r="R45" s="50"/>
      <c r="S45" s="51"/>
      <c r="T45" s="51"/>
      <c r="U45" s="51"/>
      <c r="V45" s="51"/>
      <c r="W45" s="51"/>
      <c r="X45" s="51"/>
      <c r="Y45" s="51"/>
      <c r="Z45" s="51"/>
      <c r="AA45" s="51"/>
      <c r="AB45" s="51"/>
      <c r="AC45" s="51"/>
      <c r="AD45" s="51"/>
      <c r="AE45" s="51"/>
      <c r="AF45" s="51"/>
      <c r="AG45" s="51"/>
      <c r="AN45" s="13">
        <v>2</v>
      </c>
      <c r="AO45" s="13">
        <f ca="1">+Q88</f>
        <v>15</v>
      </c>
      <c r="AW45" s="34"/>
      <c r="BA45" s="9"/>
      <c r="BB45" s="35"/>
      <c r="BC45" s="35"/>
      <c r="BD45" s="35"/>
    </row>
    <row r="46" spans="1:57" ht="15" customHeight="1" x14ac:dyDescent="0.35">
      <c r="A46" s="94">
        <v>7</v>
      </c>
      <c r="B46" s="33"/>
      <c r="C46" s="61"/>
      <c r="D46" s="61"/>
      <c r="E46" s="61"/>
      <c r="F46" s="86" t="s">
        <v>287</v>
      </c>
      <c r="G46" s="86"/>
      <c r="H46" s="86"/>
      <c r="I46" s="86"/>
      <c r="J46" s="86"/>
      <c r="K46" s="86"/>
      <c r="L46" s="86"/>
      <c r="M46" s="70" t="s">
        <v>8</v>
      </c>
      <c r="N46" s="63"/>
      <c r="O46" s="71">
        <f>Cuadernillo!V85+Cuadernillo!V99+Cuadernillo!V109+Cuadernillo!V142+Cuadernillo!V151+Cuadernillo!V219</f>
        <v>1</v>
      </c>
      <c r="P46" s="49"/>
      <c r="Q46" s="71" cm="1">
        <f t="array" aca="1" ref="Q46" ca="1">+INDEX(INDIRECT("DD"&amp;VLOOKUP($L$7,$AP$7:$AQ$8,2,FALSE)),MATCH(O46&amp;$L$7,INDIRECT("CC"&amp;VLOOKUP($L$7,$AP$7:$AQ$8,2,FALSE))&amp;$L$7,0))</f>
        <v>20</v>
      </c>
      <c r="R46" s="50"/>
      <c r="S46" s="51"/>
      <c r="T46" s="51"/>
      <c r="U46" s="51"/>
      <c r="V46" s="51"/>
      <c r="W46" s="51"/>
      <c r="X46" s="51"/>
      <c r="Y46" s="51"/>
      <c r="Z46" s="51"/>
      <c r="AA46" s="51"/>
      <c r="AB46" s="51"/>
      <c r="AC46" s="51"/>
      <c r="AD46" s="51"/>
      <c r="AE46" s="51"/>
      <c r="AF46" s="51"/>
      <c r="AG46" s="51"/>
      <c r="AS46" s="13">
        <v>14</v>
      </c>
      <c r="AT46" s="13">
        <f ca="1">AU46+(COUNTA($AU$14:$AU$48)-ROW()+2)*0.001</f>
        <v>19.971</v>
      </c>
      <c r="AU46" s="14">
        <f ca="1">+Q83</f>
        <v>20</v>
      </c>
      <c r="AV46" s="13" t="str">
        <f>+F81</f>
        <v>DEPORTIVO </v>
      </c>
      <c r="AW46" s="34" t="str">
        <f t="shared" ca="1" si="0"/>
        <v>que se adapta al</v>
      </c>
      <c r="AX46" s="5" t="s">
        <v>337</v>
      </c>
      <c r="BA46" s="18">
        <v>14</v>
      </c>
      <c r="BB46" s="35" t="str">
        <f t="shared" si="1"/>
        <v>DEPORTIVO </v>
      </c>
      <c r="BC46" s="35">
        <f ca="1">+Q81</f>
        <v>10</v>
      </c>
      <c r="BD46" s="35" t="str">
        <f t="shared" ca="1" si="2"/>
        <v>Bajo interés en las</v>
      </c>
      <c r="BE46" s="5" t="s">
        <v>322</v>
      </c>
    </row>
    <row r="47" spans="1:57" ht="6.75" customHeight="1" x14ac:dyDescent="0.35">
      <c r="A47" s="94"/>
      <c r="B47" s="33"/>
      <c r="C47" s="61"/>
      <c r="D47" s="61"/>
      <c r="E47" s="61"/>
      <c r="F47" s="86"/>
      <c r="G47" s="86"/>
      <c r="H47" s="86"/>
      <c r="I47" s="86"/>
      <c r="J47" s="86"/>
      <c r="K47" s="86"/>
      <c r="L47" s="86"/>
      <c r="M47" s="70"/>
      <c r="N47" s="63"/>
      <c r="O47" s="49"/>
      <c r="P47" s="49"/>
      <c r="Q47" s="50"/>
      <c r="R47" s="50"/>
      <c r="S47" s="51"/>
      <c r="T47" s="51"/>
      <c r="U47" s="51"/>
      <c r="V47" s="51"/>
      <c r="W47" s="51"/>
      <c r="X47" s="51"/>
      <c r="Y47" s="51"/>
      <c r="Z47" s="51"/>
      <c r="AA47" s="51"/>
      <c r="AB47" s="51"/>
      <c r="AC47" s="51"/>
      <c r="AD47" s="51"/>
      <c r="AE47" s="51"/>
      <c r="AF47" s="51"/>
      <c r="AG47" s="51"/>
      <c r="AW47" s="34"/>
      <c r="BA47" s="18"/>
      <c r="BB47" s="35"/>
      <c r="BC47" s="35"/>
      <c r="BD47" s="35"/>
    </row>
    <row r="48" spans="1:57" ht="15" customHeight="1" x14ac:dyDescent="0.35">
      <c r="A48" s="94"/>
      <c r="B48" s="33"/>
      <c r="C48" s="61"/>
      <c r="D48" s="61"/>
      <c r="E48" s="61"/>
      <c r="F48" s="86"/>
      <c r="G48" s="86"/>
      <c r="H48" s="86"/>
      <c r="I48" s="86"/>
      <c r="J48" s="86"/>
      <c r="K48" s="86"/>
      <c r="L48" s="86"/>
      <c r="M48" s="70" t="s">
        <v>9</v>
      </c>
      <c r="N48" s="63"/>
      <c r="O48" s="71">
        <f>Cuadernillo!V108+Cuadernillo!V130+Cuadernillo!V176+Cuadernillo!V182+Cuadernillo!V204+Cuadernillo!V206</f>
        <v>0</v>
      </c>
      <c r="P48" s="49"/>
      <c r="Q48" s="71" cm="1">
        <f t="array" aca="1" ref="Q48" ca="1">+INDEX(INDIRECT("FF"&amp;VLOOKUP($L$7,$AP$7:$AQ$8,2,FALSE)),MATCH(O48&amp;$L$7,INDIRECT("EE"&amp;VLOOKUP($L$7,$AP$7:$AQ$8,2,FALSE))&amp;$L$7,0))</f>
        <v>10</v>
      </c>
      <c r="R48" s="50"/>
      <c r="S48" s="51"/>
      <c r="T48" s="51"/>
      <c r="U48" s="51"/>
      <c r="V48" s="51"/>
      <c r="W48" s="51"/>
      <c r="X48" s="51"/>
      <c r="Y48" s="51"/>
      <c r="Z48" s="51"/>
      <c r="AA48" s="51"/>
      <c r="AB48" s="51"/>
      <c r="AC48" s="51"/>
      <c r="AD48" s="51"/>
      <c r="AE48" s="51"/>
      <c r="AF48" s="51"/>
      <c r="AG48" s="51"/>
      <c r="AS48" s="13">
        <v>15</v>
      </c>
      <c r="AT48" s="13">
        <f ca="1">AU48+(COUNTA($AU$14:$AU$48)-ROW()+2)*0.001</f>
        <v>14.968999999999999</v>
      </c>
      <c r="AU48" s="14">
        <f ca="1">+Q88</f>
        <v>15</v>
      </c>
      <c r="AV48" s="13" t="str">
        <f>+F86</f>
        <v>TURISMO Y HOTELERÍA</v>
      </c>
      <c r="AW48" s="34" t="str">
        <f t="shared" ca="1" si="0"/>
        <v>Bajo interés al</v>
      </c>
      <c r="AX48" s="5" t="s">
        <v>338</v>
      </c>
      <c r="BA48" s="9">
        <v>15</v>
      </c>
      <c r="BB48" s="35" t="str">
        <f t="shared" si="1"/>
        <v>TURISMO Y HOTELERÍA</v>
      </c>
      <c r="BC48" s="35">
        <f ca="1">+Q86</f>
        <v>30</v>
      </c>
      <c r="BD48" s="35" t="str">
        <f t="shared" ca="1" si="2"/>
        <v>que se adapta a las</v>
      </c>
      <c r="BE48" s="5" t="s">
        <v>323</v>
      </c>
    </row>
    <row r="49" spans="1:56" ht="4.5" customHeight="1" thickBot="1" x14ac:dyDescent="0.4">
      <c r="A49" s="33"/>
      <c r="B49" s="33"/>
      <c r="C49" s="61"/>
      <c r="D49" s="61"/>
      <c r="E49" s="61"/>
      <c r="F49" s="72"/>
      <c r="G49" s="72"/>
      <c r="H49" s="72"/>
      <c r="I49" s="72"/>
      <c r="J49" s="72"/>
      <c r="K49" s="72"/>
      <c r="L49" s="72"/>
      <c r="M49" s="73"/>
      <c r="N49" s="74"/>
      <c r="O49" s="75"/>
      <c r="P49" s="75"/>
      <c r="Q49" s="76"/>
      <c r="R49" s="76"/>
      <c r="S49" s="51"/>
      <c r="T49" s="51"/>
      <c r="U49" s="51"/>
      <c r="V49" s="51"/>
      <c r="W49" s="51"/>
      <c r="X49" s="51"/>
      <c r="Y49" s="51"/>
      <c r="Z49" s="51"/>
      <c r="AA49" s="51"/>
      <c r="AB49" s="51"/>
      <c r="AC49" s="51"/>
      <c r="AD49" s="51"/>
      <c r="AE49" s="51"/>
      <c r="AF49" s="51"/>
      <c r="AG49" s="51"/>
      <c r="AW49" s="34"/>
      <c r="BA49" s="9"/>
      <c r="BB49" s="35"/>
      <c r="BC49" s="35"/>
      <c r="BD49" s="35"/>
    </row>
    <row r="50" spans="1:56" ht="4.5" customHeight="1" x14ac:dyDescent="0.35">
      <c r="A50" s="33"/>
      <c r="B50" s="33"/>
      <c r="C50" s="61"/>
      <c r="D50" s="61"/>
      <c r="E50" s="61"/>
      <c r="F50" s="69"/>
      <c r="G50" s="69"/>
      <c r="H50" s="69"/>
      <c r="I50" s="69"/>
      <c r="J50" s="69"/>
      <c r="K50" s="69"/>
      <c r="L50" s="69"/>
      <c r="M50" s="70"/>
      <c r="N50" s="63"/>
      <c r="O50" s="49"/>
      <c r="P50" s="49"/>
      <c r="Q50" s="50"/>
      <c r="R50" s="50"/>
      <c r="S50" s="51"/>
      <c r="T50" s="51"/>
      <c r="U50" s="51"/>
      <c r="V50" s="51"/>
      <c r="W50" s="51"/>
      <c r="X50" s="51"/>
      <c r="Y50" s="51"/>
      <c r="Z50" s="51"/>
      <c r="AA50" s="51"/>
      <c r="AB50" s="51"/>
      <c r="AC50" s="51"/>
      <c r="AD50" s="51"/>
      <c r="AE50" s="51"/>
      <c r="AF50" s="51"/>
      <c r="AG50" s="51"/>
      <c r="AW50" s="34"/>
      <c r="BA50" s="9"/>
      <c r="BB50" s="35"/>
      <c r="BC50" s="35"/>
      <c r="BD50" s="35"/>
    </row>
    <row r="51" spans="1:56" ht="15" customHeight="1" x14ac:dyDescent="0.35">
      <c r="A51" s="94">
        <v>8</v>
      </c>
      <c r="B51" s="33"/>
      <c r="C51" s="61"/>
      <c r="D51" s="61"/>
      <c r="E51" s="61"/>
      <c r="F51" s="86" t="s">
        <v>288</v>
      </c>
      <c r="G51" s="86"/>
      <c r="H51" s="86"/>
      <c r="I51" s="86"/>
      <c r="J51" s="86"/>
      <c r="K51" s="86"/>
      <c r="L51" s="86"/>
      <c r="M51" s="70" t="s">
        <v>8</v>
      </c>
      <c r="N51" s="63"/>
      <c r="O51" s="71">
        <f>Cuadernillo!V75+Cuadernillo!V95+Cuadernillo!V125+Cuadernillo!V195+Cuadernillo!V211+Cuadernillo!V217</f>
        <v>1</v>
      </c>
      <c r="P51" s="49"/>
      <c r="Q51" s="71" cm="1">
        <f t="array" aca="1" ref="Q51" ca="1">+INDEX(INDIRECT("HH"&amp;VLOOKUP($L$7,$AP$7:$AQ$8,2,FALSE)),MATCH(O51&amp;$L$7,INDIRECT("GG"&amp;VLOOKUP($L$7,$AP$7:$AQ$8,2,FALSE))&amp;$L$7,0))</f>
        <v>40</v>
      </c>
      <c r="R51" s="50"/>
      <c r="S51" s="51"/>
      <c r="T51" s="51"/>
      <c r="U51" s="51"/>
      <c r="V51" s="51"/>
      <c r="W51" s="51"/>
      <c r="X51" s="51"/>
      <c r="Y51" s="51"/>
      <c r="Z51" s="51"/>
      <c r="AA51" s="51"/>
      <c r="AB51" s="51"/>
      <c r="AC51" s="51"/>
      <c r="AD51" s="51"/>
      <c r="AE51" s="51"/>
      <c r="AF51" s="51"/>
      <c r="AG51" s="51"/>
      <c r="AX51" s="5" t="s">
        <v>11</v>
      </c>
      <c r="AZ51" s="5" t="s">
        <v>11</v>
      </c>
      <c r="BA51" s="5" t="s">
        <v>266</v>
      </c>
      <c r="BB51" s="16" t="s">
        <v>265</v>
      </c>
    </row>
    <row r="52" spans="1:56" ht="6.75" customHeight="1" x14ac:dyDescent="0.35">
      <c r="A52" s="94"/>
      <c r="B52" s="33"/>
      <c r="C52" s="61"/>
      <c r="D52" s="61"/>
      <c r="E52" s="61"/>
      <c r="F52" s="86"/>
      <c r="G52" s="86"/>
      <c r="H52" s="86"/>
      <c r="I52" s="86"/>
      <c r="J52" s="86"/>
      <c r="K52" s="86"/>
      <c r="L52" s="86"/>
      <c r="M52" s="70"/>
      <c r="N52" s="63"/>
      <c r="O52" s="49"/>
      <c r="P52" s="49"/>
      <c r="Q52" s="50"/>
      <c r="R52" s="50"/>
      <c r="S52" s="51"/>
      <c r="T52" s="51"/>
      <c r="U52" s="51"/>
      <c r="V52" s="51"/>
      <c r="W52" s="51"/>
      <c r="X52" s="51"/>
      <c r="Y52" s="51"/>
      <c r="Z52" s="51"/>
      <c r="AA52" s="51"/>
      <c r="AB52" s="51"/>
      <c r="AC52" s="51"/>
      <c r="AD52" s="51"/>
      <c r="AE52" s="51"/>
      <c r="AF52" s="51"/>
      <c r="AG52" s="51"/>
      <c r="AZ52" s="5"/>
      <c r="BA52" s="5"/>
    </row>
    <row r="53" spans="1:56" ht="15" customHeight="1" x14ac:dyDescent="0.35">
      <c r="A53" s="94"/>
      <c r="B53" s="33"/>
      <c r="C53" s="61"/>
      <c r="D53" s="61"/>
      <c r="E53" s="61"/>
      <c r="F53" s="86"/>
      <c r="G53" s="86"/>
      <c r="H53" s="86"/>
      <c r="I53" s="86"/>
      <c r="J53" s="86"/>
      <c r="K53" s="86"/>
      <c r="L53" s="86"/>
      <c r="M53" s="70" t="s">
        <v>9</v>
      </c>
      <c r="N53" s="63"/>
      <c r="O53" s="71">
        <f>Cuadernillo!V50+Cuadernillo!V82+Cuadernillo!V88+Cuadernillo!V114+Cuadernillo!V160+Cuadernillo!V208</f>
        <v>2</v>
      </c>
      <c r="P53" s="49"/>
      <c r="Q53" s="71" cm="1">
        <f t="array" aca="1" ref="Q53" ca="1">+INDEX(INDIRECT("JJ"&amp;VLOOKUP($L$7,$AP$7:$AQ$8,2,FALSE)),MATCH(O53&amp;$L$7,INDIRECT("II"&amp;VLOOKUP($L$7,$AP$7:$AQ$8,2,FALSE))&amp;$L$7,0))</f>
        <v>45</v>
      </c>
      <c r="R53" s="50"/>
      <c r="S53" s="51"/>
      <c r="T53" s="51"/>
      <c r="U53" s="51"/>
      <c r="V53" s="51"/>
      <c r="W53" s="51"/>
      <c r="X53" s="51"/>
      <c r="Y53" s="51"/>
      <c r="Z53" s="51"/>
      <c r="AA53" s="51"/>
      <c r="AB53" s="51"/>
      <c r="AC53" s="51"/>
      <c r="AD53" s="51"/>
      <c r="AE53" s="51"/>
      <c r="AF53" s="51"/>
      <c r="AG53" s="51"/>
      <c r="AU53" s="13">
        <v>1</v>
      </c>
      <c r="AV53" s="15" t="str">
        <f ca="1">VLOOKUP(LARGE($AT$14:$AT$48,AU53),$AT$14:$AV$48,3,0)</f>
        <v>EMPRESARIAL/ADMINISTRATIVO/ COMERCIAL</v>
      </c>
      <c r="AW53" s="5">
        <f ca="1">VLOOKUP(LARGE($AT$14:$AT$48,AU53),$AT$14:$AV$48,2,0)</f>
        <v>45</v>
      </c>
      <c r="AX53" s="5" t="str">
        <f ca="1">VLOOKUP(LARGE($AT$14:$AT$48,AU53),$AT$14:$AX$48,4,0)</f>
        <v>que se adapta al</v>
      </c>
      <c r="AY53" s="5" t="str">
        <f ca="1">VLOOKUP(LARGE($AT$14:$AT$48,AU53),$AT$14:$AX$48,5,0)</f>
        <v>Profesiones: Economista, Licenciado en Ciencias Actuariales y Financieras, Técnico en gestión comercial, Administrador de fincas, Agente de la propiedad inmobiliaria. Gestor administrativo.</v>
      </c>
      <c r="AZ53" s="16">
        <f ca="1">+VLOOKUP(AV53,$BB$14:$BD$48,2,FALSE)</f>
        <v>40</v>
      </c>
      <c r="BA53" s="16" t="str">
        <f ca="1">+VLOOKUP(AV53,$BB$14:$BE$48,3,FALSE)</f>
        <v>que se adapta a las</v>
      </c>
      <c r="BB53" s="16" t="str">
        <f ca="1">+VLOOKUP(AV53,$BB$14:$BE$48,4,FALSE)</f>
        <v>Actividades: Interpretar y resolver problemas prácticos en las empresas. Establecer planes de crecimiento en empresas. Aplicar conocimientos técnicos en el campo de los seguros. Realizar planes de comercialización de productos. Establecer comunidades de propietarios, elaborar las actas y los estatutos de las mismas. Actuar como mediador en alquiler, compra o venta de pisos o fincas. Realizar trámites administrativos en nombre de otros.</v>
      </c>
    </row>
    <row r="54" spans="1:56" ht="4.5" customHeight="1" thickBot="1" x14ac:dyDescent="0.4">
      <c r="A54" s="33"/>
      <c r="B54" s="33"/>
      <c r="C54" s="61"/>
      <c r="D54" s="61"/>
      <c r="E54" s="61"/>
      <c r="F54" s="72"/>
      <c r="G54" s="72"/>
      <c r="H54" s="72"/>
      <c r="I54" s="72"/>
      <c r="J54" s="72"/>
      <c r="K54" s="72"/>
      <c r="L54" s="72"/>
      <c r="M54" s="73"/>
      <c r="N54" s="74"/>
      <c r="O54" s="75"/>
      <c r="P54" s="75"/>
      <c r="Q54" s="76"/>
      <c r="R54" s="76"/>
      <c r="S54" s="51"/>
      <c r="T54" s="51"/>
      <c r="U54" s="51"/>
      <c r="V54" s="51"/>
      <c r="W54" s="51"/>
      <c r="X54" s="51"/>
      <c r="Y54" s="51"/>
      <c r="Z54" s="51"/>
      <c r="AA54" s="51"/>
      <c r="AB54" s="51"/>
      <c r="AC54" s="51"/>
      <c r="AD54" s="51"/>
      <c r="AE54" s="51"/>
      <c r="AF54" s="51"/>
      <c r="AG54" s="51"/>
      <c r="AU54" s="13"/>
      <c r="AV54" s="15"/>
      <c r="AW54" s="5"/>
    </row>
    <row r="55" spans="1:56" ht="4.5" customHeight="1" x14ac:dyDescent="0.35">
      <c r="A55" s="33"/>
      <c r="B55" s="33"/>
      <c r="C55" s="61"/>
      <c r="D55" s="61"/>
      <c r="E55" s="61"/>
      <c r="F55" s="69"/>
      <c r="G55" s="69"/>
      <c r="H55" s="69"/>
      <c r="I55" s="69"/>
      <c r="J55" s="69"/>
      <c r="K55" s="69"/>
      <c r="L55" s="69"/>
      <c r="M55" s="70"/>
      <c r="N55" s="63"/>
      <c r="O55" s="49"/>
      <c r="P55" s="49"/>
      <c r="Q55" s="50"/>
      <c r="R55" s="50"/>
      <c r="S55" s="51"/>
      <c r="T55" s="51"/>
      <c r="U55" s="51"/>
      <c r="V55" s="51"/>
      <c r="W55" s="51"/>
      <c r="X55" s="51"/>
      <c r="Y55" s="51"/>
      <c r="Z55" s="51"/>
      <c r="AA55" s="51"/>
      <c r="AB55" s="51"/>
      <c r="AC55" s="51"/>
      <c r="AD55" s="51"/>
      <c r="AE55" s="51"/>
      <c r="AF55" s="51"/>
      <c r="AG55" s="51"/>
      <c r="AU55" s="13"/>
      <c r="AV55" s="15"/>
      <c r="AW55" s="5"/>
    </row>
    <row r="56" spans="1:56" ht="15" customHeight="1" x14ac:dyDescent="0.35">
      <c r="A56" s="94">
        <v>9</v>
      </c>
      <c r="B56" s="33"/>
      <c r="C56" s="61"/>
      <c r="D56" s="61"/>
      <c r="E56" s="61"/>
      <c r="F56" s="86" t="s">
        <v>289</v>
      </c>
      <c r="G56" s="86"/>
      <c r="H56" s="86"/>
      <c r="I56" s="86"/>
      <c r="J56" s="86"/>
      <c r="K56" s="86"/>
      <c r="L56" s="86"/>
      <c r="M56" s="70" t="s">
        <v>8</v>
      </c>
      <c r="N56" s="63"/>
      <c r="O56" s="71">
        <f>Cuadernillo!V45+Cuadernillo!V67+Cuadernillo!V97+Cuadernillo!V105+Cuadernillo!V183+Cuadernillo!V191</f>
        <v>1</v>
      </c>
      <c r="P56" s="49"/>
      <c r="Q56" s="71" cm="1">
        <f t="array" aca="1" ref="Q56" ca="1">+INDEX(INDIRECT("JJ"&amp;VLOOKUP($L$7,$AP$7:$AQ$8,2,FALSE)),MATCH(O56&amp;$L$7,INDIRECT("II"&amp;VLOOKUP($L$7,$AP$7:$AQ$8,2,FALSE))&amp;$L$7,0))</f>
        <v>30</v>
      </c>
      <c r="R56" s="50"/>
      <c r="S56" s="51"/>
      <c r="T56" s="51"/>
      <c r="U56" s="51"/>
      <c r="V56" s="51"/>
      <c r="W56" s="51"/>
      <c r="X56" s="51"/>
      <c r="Y56" s="51"/>
      <c r="Z56" s="51"/>
      <c r="AA56" s="51"/>
      <c r="AB56" s="51"/>
      <c r="AC56" s="51"/>
      <c r="AD56" s="51"/>
      <c r="AE56" s="51"/>
      <c r="AF56" s="51"/>
      <c r="AG56" s="51"/>
      <c r="AU56" s="13">
        <v>2</v>
      </c>
      <c r="AV56" s="15" t="str">
        <f ca="1">VLOOKUP(LARGE($AT$14:$AT$48,AU56),$AT$14:$AV$48,3,0)</f>
        <v>FUERZAS ARMADAS/SEGURIDAD/PROTECCIÓN</v>
      </c>
      <c r="AW56" s="5">
        <f ca="1">VLOOKUP(LARGE($AT$14:$AT$48,AU56),$AT$14:$AV$48,2,0)</f>
        <v>45</v>
      </c>
      <c r="AX56" s="5" t="str">
        <f ca="1">VLOOKUP(LARGE($AT$14:$AT$48,AU56),$AT$14:$AW$48,4,0)</f>
        <v>que se adapta al</v>
      </c>
      <c r="AY56" s="5" t="str">
        <f ca="1">VLOOKUP(LARGE($AT$14:$AT$48,AU56),$AT$14:$AX$48,5,0)</f>
        <v>Profesiones: Policía, Vigilante jurado, Oficial de carrera del Ejército, Bombero, Especialista del Ejército, Técnico en salvamento acuático.</v>
      </c>
      <c r="AZ56" s="16">
        <f ca="1">+VLOOKUP(AV56,$BB$14:$BD$48,2,FALSE)</f>
        <v>5</v>
      </c>
      <c r="BA56" s="16" t="str">
        <f ca="1">+VLOOKUP(AV56,$BB$14:$BD$48,3,FALSE)</f>
        <v>Bajo interés en las</v>
      </c>
      <c r="BB56" s="16" t="str">
        <f ca="1">+VLOOKUP(AV56,$BB$14:$BE$48,4,FALSE)</f>
        <v>Actividades: Realizar trabajos técnicos o de mando formando parte del Ejército. Trabajar para garantizar la seguridad de los ciudadanos y el ejercicio de las libertades. Custodiar establecimientos, oficinas, etc., para evitar robos u otros delitos. Apagar incendios o realizar trabajos para prevenirlos. Rescatar y practicar los primeros auxilios a personas en situación de riesgo. Ejecutar trabajos de mecánica, electricidad, electrónica, etc. formando parte del Ejército.</v>
      </c>
    </row>
    <row r="57" spans="1:56" ht="6.75" customHeight="1" x14ac:dyDescent="0.35">
      <c r="A57" s="94"/>
      <c r="B57" s="33"/>
      <c r="C57" s="61"/>
      <c r="D57" s="61"/>
      <c r="E57" s="61"/>
      <c r="F57" s="86"/>
      <c r="G57" s="86"/>
      <c r="H57" s="86"/>
      <c r="I57" s="86"/>
      <c r="J57" s="86"/>
      <c r="K57" s="86"/>
      <c r="L57" s="86"/>
      <c r="M57" s="70"/>
      <c r="N57" s="63"/>
      <c r="O57" s="49"/>
      <c r="P57" s="49"/>
      <c r="Q57" s="50"/>
      <c r="R57" s="50"/>
      <c r="S57" s="51"/>
      <c r="T57" s="51"/>
      <c r="U57" s="51"/>
      <c r="V57" s="51"/>
      <c r="W57" s="51"/>
      <c r="X57" s="51"/>
      <c r="Y57" s="51"/>
      <c r="Z57" s="51"/>
      <c r="AA57" s="51"/>
      <c r="AB57" s="51"/>
      <c r="AC57" s="51"/>
      <c r="AD57" s="51"/>
      <c r="AE57" s="51"/>
      <c r="AF57" s="51"/>
      <c r="AG57" s="51"/>
      <c r="AU57" s="13"/>
      <c r="AV57" s="15"/>
      <c r="AW57" s="5"/>
    </row>
    <row r="58" spans="1:56" ht="15" customHeight="1" x14ac:dyDescent="0.35">
      <c r="A58" s="94"/>
      <c r="B58" s="33"/>
      <c r="C58" s="61"/>
      <c r="D58" s="61"/>
      <c r="E58" s="61"/>
      <c r="F58" s="86"/>
      <c r="G58" s="86"/>
      <c r="H58" s="86"/>
      <c r="I58" s="86"/>
      <c r="J58" s="86"/>
      <c r="K58" s="86"/>
      <c r="L58" s="86"/>
      <c r="M58" s="70" t="s">
        <v>9</v>
      </c>
      <c r="N58" s="63"/>
      <c r="O58" s="71">
        <f>Cuadernillo!V62+Cuadernillo!V86+Cuadernillo!V92+Cuadernillo!V122+Cuadernillo!V180+Cuadernillo!V196</f>
        <v>0</v>
      </c>
      <c r="P58" s="49"/>
      <c r="Q58" s="71" cm="1">
        <f t="array" aca="1" ref="Q58" ca="1">+INDEX(INDIRECT("PP"&amp;VLOOKUP($L$7,$AP$7:$AQ$8,2,FALSE)),MATCH(O58&amp;$L$7,INDIRECT("OO"&amp;VLOOKUP($L$7,$AP$7:$AQ$8,2,FALSE))&amp;$L$7,0))</f>
        <v>15</v>
      </c>
      <c r="R58" s="50"/>
      <c r="S58" s="51"/>
      <c r="T58" s="51"/>
      <c r="U58" s="51"/>
      <c r="V58" s="51"/>
      <c r="W58" s="51"/>
      <c r="X58" s="51"/>
      <c r="Y58" s="51"/>
      <c r="Z58" s="51"/>
      <c r="AA58" s="51"/>
      <c r="AB58" s="51"/>
      <c r="AC58" s="51"/>
      <c r="AD58" s="51"/>
      <c r="AE58" s="51"/>
      <c r="AF58" s="51"/>
      <c r="AG58" s="51"/>
      <c r="AU58" s="13">
        <v>3</v>
      </c>
      <c r="AV58" s="15" t="str">
        <f ca="1">VLOOKUP(LARGE($AT$14:$AT$48,AU58),$AT$14:$AV$48,3,0)</f>
        <v>SANIDAD</v>
      </c>
      <c r="AW58" s="5">
        <f ca="1">VLOOKUP(LARGE($AT$14:$AT$48,AU58),$AT$14:$AV$48,2,0)</f>
        <v>30</v>
      </c>
      <c r="AX58" s="5" t="str">
        <f ca="1">VLOOKUP(LARGE($AT$14:$AT$48,AU58),$AT$14:$AW$48,4,0)</f>
        <v>que se adapta al</v>
      </c>
      <c r="AY58" s="5" t="str">
        <f ca="1">VLOOKUP(LARGE($AT$14:$AT$48,AU58),$AT$14:$AX$48,5,0)</f>
        <v>Profesiones: Médico, Fisioterapeuta, Odontólogo, Dietista, Oftalmólogo. Médico especialista (cardiólogo, pediatra, traumatólogo, etc.), Psicólogo, Psiquiatra.</v>
      </c>
      <c r="AZ58" s="16">
        <f ca="1">+VLOOKUP(AV58,$BB$14:$BD$48,2,FALSE)</f>
        <v>15</v>
      </c>
      <c r="BA58" s="16" t="str">
        <f ca="1">+VLOOKUP(AV58,$BB$14:$BD$48,3,FALSE)</f>
        <v>Bajo interés en las</v>
      </c>
      <c r="BB58" s="16" t="str">
        <f ca="1">+VLOOKUP(AV58,$BB$14:$BE$48,4,FALSE)</f>
        <v>Actividades: Examinar a los enfermos y establecer diagnósticos para diversas enfermedades. Realizar intervenciones quirúrgicas. Establecer y realizar tratamientos de rehabilitación. Tratar las enfermedades de la dentadura. Conocer los usos y efectos de los medicamentos. Establecer y controlar dietas y planes alimenticios. Colaborar con el médico en el tratamiento de los enfermos.</v>
      </c>
    </row>
    <row r="59" spans="1:56" ht="4.5" customHeight="1" thickBot="1" x14ac:dyDescent="0.4">
      <c r="A59" s="33"/>
      <c r="B59" s="33"/>
      <c r="C59" s="61"/>
      <c r="D59" s="61"/>
      <c r="E59" s="61"/>
      <c r="F59" s="72"/>
      <c r="G59" s="72"/>
      <c r="H59" s="72"/>
      <c r="I59" s="72"/>
      <c r="J59" s="72"/>
      <c r="K59" s="72"/>
      <c r="L59" s="72"/>
      <c r="M59" s="73"/>
      <c r="N59" s="74"/>
      <c r="O59" s="75"/>
      <c r="P59" s="75"/>
      <c r="Q59" s="76"/>
      <c r="R59" s="76"/>
      <c r="S59" s="51"/>
      <c r="T59" s="51"/>
      <c r="U59" s="51"/>
      <c r="V59" s="51"/>
      <c r="W59" s="51"/>
      <c r="X59" s="51"/>
      <c r="Y59" s="51"/>
      <c r="Z59" s="51"/>
      <c r="AA59" s="51"/>
      <c r="AB59" s="51"/>
      <c r="AC59" s="51"/>
      <c r="AD59" s="51"/>
      <c r="AE59" s="51"/>
      <c r="AF59" s="51"/>
      <c r="AG59" s="51"/>
      <c r="AU59" s="13"/>
      <c r="AV59" s="15"/>
      <c r="AW59" s="5"/>
    </row>
    <row r="60" spans="1:56" ht="4.5" customHeight="1" x14ac:dyDescent="0.35">
      <c r="A60" s="33"/>
      <c r="B60" s="33"/>
      <c r="C60" s="61"/>
      <c r="D60" s="61"/>
      <c r="E60" s="61"/>
      <c r="F60" s="69"/>
      <c r="G60" s="69"/>
      <c r="H60" s="69"/>
      <c r="I60" s="69"/>
      <c r="J60" s="69"/>
      <c r="K60" s="69"/>
      <c r="L60" s="69"/>
      <c r="M60" s="70"/>
      <c r="N60" s="63"/>
      <c r="O60" s="49"/>
      <c r="P60" s="49"/>
      <c r="Q60" s="50"/>
      <c r="R60" s="50"/>
      <c r="S60" s="51"/>
      <c r="T60" s="51"/>
      <c r="U60" s="51"/>
      <c r="V60" s="51"/>
      <c r="W60" s="51"/>
      <c r="X60" s="51"/>
      <c r="Y60" s="51"/>
      <c r="Z60" s="51"/>
      <c r="AA60" s="51"/>
      <c r="AB60" s="51"/>
      <c r="AC60" s="51"/>
      <c r="AD60" s="51"/>
      <c r="AE60" s="51"/>
      <c r="AF60" s="51"/>
      <c r="AG60" s="51"/>
      <c r="AU60" s="13"/>
      <c r="AV60" s="15"/>
      <c r="AW60" s="5"/>
    </row>
    <row r="61" spans="1:56" ht="15" customHeight="1" x14ac:dyDescent="0.35">
      <c r="A61" s="94">
        <v>10</v>
      </c>
      <c r="B61" s="33"/>
      <c r="C61" s="61"/>
      <c r="D61" s="61"/>
      <c r="E61" s="61"/>
      <c r="F61" s="86" t="s">
        <v>290</v>
      </c>
      <c r="G61" s="86"/>
      <c r="H61" s="86"/>
      <c r="I61" s="86"/>
      <c r="J61" s="86"/>
      <c r="K61" s="86"/>
      <c r="L61" s="86"/>
      <c r="M61" s="70" t="s">
        <v>8</v>
      </c>
      <c r="N61" s="63"/>
      <c r="O61" s="71">
        <f>Cuadernillo!V73+Cuadernillo!V89+Cuadernillo!V121+Cuadernillo!V138+Cuadernillo!V143+Cuadernillo!V167</f>
        <v>0</v>
      </c>
      <c r="P61" s="49"/>
      <c r="Q61" s="71" cm="1">
        <f t="array" aca="1" ref="Q61" ca="1">+INDEX(INDIRECT("ZZ"&amp;VLOOKUP($L$7,$AP$7:$AQ$8,2,FALSE)),MATCH(O61&amp;$L$7,INDIRECT("XX"&amp;VLOOKUP($L$7,$AP$7:$AQ$8,2,FALSE))&amp;$L$7,0))</f>
        <v>15</v>
      </c>
      <c r="R61" s="50"/>
      <c r="S61" s="51"/>
      <c r="T61" s="51"/>
      <c r="U61" s="51"/>
      <c r="V61" s="51"/>
      <c r="W61" s="51"/>
      <c r="X61" s="51"/>
      <c r="Y61" s="51"/>
      <c r="Z61" s="51"/>
      <c r="AA61" s="51"/>
      <c r="AB61" s="51"/>
      <c r="AC61" s="51"/>
      <c r="AD61" s="51"/>
      <c r="AE61" s="51"/>
      <c r="AF61" s="51"/>
      <c r="AG61" s="51"/>
      <c r="AU61" s="13">
        <v>4</v>
      </c>
      <c r="AV61" s="15" t="str">
        <f ca="1">VLOOKUP(LARGE($AT$14:$AT$48,AU61),$AT$14:$AV$48,3,0)</f>
        <v>CIENTÍFICO SOCIAL / HUMANIDADES</v>
      </c>
      <c r="AW61" s="5">
        <f ca="1">VLOOKUP(LARGE($AT$14:$AT$48,AU61),$AT$14:$AV$48,2,0)</f>
        <v>30</v>
      </c>
      <c r="AX61" s="5" t="str">
        <f ca="1">VLOOKUP(LARGE($AT$14:$AT$48,AU61),$AT$14:$AW$48,4,0)</f>
        <v>que se adapta al</v>
      </c>
      <c r="AY61" s="5" t="str">
        <f ca="1">VLOOKUP(LARGE($AT$14:$AT$48,AU61),$AT$14:$AX$48,5,0)</f>
        <v>Profesiones: Historiador, Especialista en arte (pintura, arquitectura, escultura, etc.), Sociólogo, Filósofo, Trabajador social, Arqueólogo, Antropólogo.</v>
      </c>
      <c r="AZ61" s="16">
        <f ca="1">+VLOOKUP(AV61,$BB$14:$BD$48,2,FALSE)</f>
        <v>10</v>
      </c>
      <c r="BA61" s="16" t="str">
        <f ca="1">+VLOOKUP(AV61,$BB$14:$BD$48,3,FALSE)</f>
        <v>Bajo interés en las</v>
      </c>
      <c r="BB61" s="16" t="str">
        <f ca="1">+VLOOKUP(AV61,$BB$14:$BE$48,4,FALSE)</f>
        <v>Actividades: Estudiar la actuación del hombre a lo largo del tiempo. Aplicar los conocimientos sobre arte en la enseñanza o en publicaciones. Interpretar o traducir textos. Estudiar los grupos humanos y sus relaciones. Estudiar los fundamentos de la religión católica y la historia comparada de las religiones. Cooperar con las personas para resolver problemas sociales.</v>
      </c>
    </row>
    <row r="62" spans="1:56" ht="6.75" customHeight="1" x14ac:dyDescent="0.35">
      <c r="A62" s="94"/>
      <c r="B62" s="33"/>
      <c r="C62" s="61"/>
      <c r="D62" s="61"/>
      <c r="E62" s="61"/>
      <c r="F62" s="86"/>
      <c r="G62" s="86"/>
      <c r="H62" s="86"/>
      <c r="I62" s="86"/>
      <c r="J62" s="86"/>
      <c r="K62" s="86"/>
      <c r="L62" s="86"/>
      <c r="M62" s="70"/>
      <c r="N62" s="63"/>
      <c r="O62" s="49"/>
      <c r="P62" s="49"/>
      <c r="Q62" s="50"/>
      <c r="R62" s="50"/>
      <c r="S62" s="51"/>
      <c r="T62" s="51"/>
      <c r="U62" s="51"/>
      <c r="V62" s="51"/>
      <c r="W62" s="51"/>
      <c r="X62" s="51"/>
      <c r="Y62" s="51"/>
      <c r="Z62" s="51"/>
      <c r="AA62" s="51"/>
      <c r="AB62" s="51"/>
      <c r="AC62" s="51"/>
      <c r="AD62" s="51"/>
      <c r="AE62" s="51"/>
      <c r="AF62" s="51"/>
      <c r="AG62" s="51"/>
      <c r="AU62" s="13"/>
      <c r="AV62" s="15"/>
      <c r="AW62" s="5"/>
    </row>
    <row r="63" spans="1:56" ht="15" customHeight="1" x14ac:dyDescent="0.35">
      <c r="A63" s="94"/>
      <c r="B63" s="33"/>
      <c r="C63" s="61"/>
      <c r="D63" s="61"/>
      <c r="E63" s="61"/>
      <c r="F63" s="86"/>
      <c r="G63" s="86"/>
      <c r="H63" s="86"/>
      <c r="I63" s="86"/>
      <c r="J63" s="86"/>
      <c r="K63" s="86"/>
      <c r="L63" s="86"/>
      <c r="M63" s="70" t="s">
        <v>9</v>
      </c>
      <c r="N63" s="63"/>
      <c r="O63" s="71">
        <f>Cuadernillo!V54+Cuadernillo!V96+Cuadernillo!V106+Cuadernillo!V136+Cuadernillo!V158+Cuadernillo!V218</f>
        <v>0</v>
      </c>
      <c r="P63" s="49"/>
      <c r="Q63" s="71" cm="1">
        <f t="array" aca="1" ref="Q63" ca="1">+INDEX(INDIRECT("TT"&amp;VLOOKUP($L$7,$AP$7:$AQ$8,2,FALSE)),MATCH(O63&amp;$L$7,INDIRECT("RR"&amp;VLOOKUP($L$7,$AP$7:$AQ$8,2,FALSE))&amp;$L$7,0))</f>
        <v>10</v>
      </c>
      <c r="R63" s="50"/>
      <c r="S63" s="51"/>
      <c r="T63" s="51"/>
      <c r="U63" s="51"/>
      <c r="V63" s="51"/>
      <c r="W63" s="51"/>
      <c r="X63" s="51"/>
      <c r="Y63" s="51"/>
      <c r="Z63" s="51"/>
      <c r="AA63" s="51"/>
      <c r="AB63" s="51"/>
      <c r="AC63" s="51"/>
      <c r="AD63" s="51"/>
      <c r="AE63" s="51"/>
      <c r="AF63" s="51"/>
      <c r="AG63" s="51"/>
      <c r="AU63" s="13">
        <v>5</v>
      </c>
      <c r="AV63" s="15" t="str">
        <f ca="1">VLOOKUP(LARGE($AT$14:$AT$48,AU63),$AT$14:$AV$48,3,0)</f>
        <v>DEPORTIVO </v>
      </c>
      <c r="AW63" s="5">
        <f ca="1">VLOOKUP(LARGE($AT$14:$AT$48,AU63),$AT$14:$AV$48,2,0)</f>
        <v>20</v>
      </c>
      <c r="AX63" s="5" t="str">
        <f ca="1">VLOOKUP(LARGE($AT$14:$AT$48,AU63),$AT$14:$AW$48,4,0)</f>
        <v>que se adapta al</v>
      </c>
      <c r="AY63" s="5" t="str">
        <f ca="1">VLOOKUP(LARGE($AT$14:$AT$48,AU63),$AT$14:$AX$48,5,0)</f>
        <v>Profesiones: Conductor de actividades deportivas, Técnico deportivo, Licenciado en Ciencias de la Actividad Física, Masajista deportivo, Entrenador, Animador deportivo.</v>
      </c>
      <c r="AZ63" s="16">
        <f ca="1">+VLOOKUP(AV63,$BB$14:$BD$48,2,FALSE)</f>
        <v>10</v>
      </c>
      <c r="BA63" s="16" t="str">
        <f ca="1">+VLOOKUP(AV63,$BB$14:$BD$48,3,FALSE)</f>
        <v>Bajo interés en las</v>
      </c>
      <c r="BB63" s="16" t="str">
        <f ca="1">+VLOOKUP(AV63,$BB$14:$BE$48,4,FALSE)</f>
        <v>Actividades: Asesorar sobre deporte y actividad física en centros escolares o deportivos. Dirigir expediciones por senderos o zonas de montaña, andando, en bicicleta, etc. Enseñar la práctica de algún deporte. Ayudar a los deportistas a recuperarse de sus lesiones mediante masaje. Organizar actividades físicas en centros escolares, de salud, etc. Entrenar a deportistas.</v>
      </c>
    </row>
    <row r="64" spans="1:56" ht="4.5" customHeight="1" thickBot="1" x14ac:dyDescent="0.4">
      <c r="A64" s="33"/>
      <c r="B64" s="33"/>
      <c r="C64" s="61"/>
      <c r="D64" s="61"/>
      <c r="E64" s="61"/>
      <c r="F64" s="72"/>
      <c r="G64" s="72"/>
      <c r="H64" s="72"/>
      <c r="I64" s="72"/>
      <c r="J64" s="72"/>
      <c r="K64" s="72"/>
      <c r="L64" s="72"/>
      <c r="M64" s="73"/>
      <c r="N64" s="74"/>
      <c r="O64" s="75"/>
      <c r="P64" s="75"/>
      <c r="Q64" s="76"/>
      <c r="R64" s="76"/>
      <c r="S64" s="51"/>
      <c r="T64" s="51"/>
      <c r="U64" s="51"/>
      <c r="V64" s="51"/>
      <c r="W64" s="51"/>
      <c r="X64" s="51"/>
      <c r="Y64" s="51"/>
      <c r="Z64" s="51"/>
      <c r="AA64" s="51"/>
      <c r="AB64" s="51"/>
      <c r="AC64" s="51"/>
      <c r="AD64" s="51"/>
      <c r="AE64" s="51"/>
      <c r="AF64" s="51"/>
      <c r="AG64" s="51"/>
      <c r="AU64" s="13"/>
      <c r="AV64" s="15"/>
      <c r="AW64" s="5"/>
    </row>
    <row r="65" spans="1:54" ht="4.5" customHeight="1" x14ac:dyDescent="0.35">
      <c r="A65" s="33"/>
      <c r="B65" s="33"/>
      <c r="C65" s="61"/>
      <c r="D65" s="61"/>
      <c r="E65" s="61"/>
      <c r="F65" s="69"/>
      <c r="G65" s="69"/>
      <c r="H65" s="69"/>
      <c r="I65" s="69"/>
      <c r="J65" s="69"/>
      <c r="K65" s="69"/>
      <c r="L65" s="69"/>
      <c r="M65" s="70"/>
      <c r="N65" s="63"/>
      <c r="O65" s="49"/>
      <c r="P65" s="49"/>
      <c r="Q65" s="50"/>
      <c r="R65" s="50"/>
      <c r="S65" s="51"/>
      <c r="T65" s="51"/>
      <c r="U65" s="51"/>
      <c r="V65" s="51"/>
      <c r="W65" s="51"/>
      <c r="X65" s="51"/>
      <c r="Y65" s="51"/>
      <c r="Z65" s="51"/>
      <c r="AA65" s="51"/>
      <c r="AB65" s="51"/>
      <c r="AC65" s="51"/>
      <c r="AD65" s="51"/>
      <c r="AE65" s="51"/>
      <c r="AF65" s="51"/>
      <c r="AG65" s="51"/>
      <c r="AU65" s="13"/>
      <c r="AV65" s="15"/>
      <c r="AW65" s="5"/>
    </row>
    <row r="66" spans="1:54" ht="15" customHeight="1" x14ac:dyDescent="0.35">
      <c r="A66" s="94">
        <v>11</v>
      </c>
      <c r="B66" s="33"/>
      <c r="C66" s="61"/>
      <c r="D66" s="61"/>
      <c r="E66" s="61"/>
      <c r="F66" s="86" t="s">
        <v>291</v>
      </c>
      <c r="G66" s="86"/>
      <c r="H66" s="86"/>
      <c r="I66" s="86"/>
      <c r="J66" s="86"/>
      <c r="K66" s="86"/>
      <c r="L66" s="86"/>
      <c r="M66" s="70" t="s">
        <v>8</v>
      </c>
      <c r="N66" s="63"/>
      <c r="O66" s="71">
        <f>Cuadernillo!V51+Cuadernillo!V127+Cuadernillo!V159+Cuadernillo!V173+Cuadernillo!V207+Cuadernillo!V221</f>
        <v>2</v>
      </c>
      <c r="P66" s="49"/>
      <c r="Q66" s="71" cm="1">
        <f t="array" aca="1" ref="Q66" ca="1">+INDEX(INDIRECT("VV"&amp;VLOOKUP($L$7,$AP$7:$AQ$8,2,FALSE)),MATCH(O66&amp;$L$7,INDIRECT("UU"&amp;VLOOKUP($L$7,$AP$7:$AQ$8,2,FALSE))&amp;$L$7,0))</f>
        <v>30</v>
      </c>
      <c r="R66" s="50"/>
      <c r="S66" s="51"/>
      <c r="T66" s="51"/>
      <c r="U66" s="51"/>
      <c r="V66" s="51"/>
      <c r="W66" s="51"/>
      <c r="X66" s="51"/>
      <c r="Y66" s="51"/>
      <c r="Z66" s="51"/>
      <c r="AA66" s="51"/>
      <c r="AB66" s="51"/>
      <c r="AC66" s="51"/>
      <c r="AD66" s="51"/>
      <c r="AE66" s="51"/>
      <c r="AF66" s="51"/>
      <c r="AG66" s="51"/>
      <c r="AU66" s="13">
        <v>6</v>
      </c>
      <c r="AV66" s="15" t="str">
        <f ca="1">VLOOKUP(LARGE($AT$14:$AT$48,AU66),$AT$14:$AV$48,3,0)</f>
        <v>CIENTÍFICO</v>
      </c>
      <c r="AW66" s="5">
        <f ca="1">VLOOKUP(LARGE($AT$14:$AT$48,AU66),$AT$14:$AV$48,2,0)</f>
        <v>15</v>
      </c>
      <c r="AX66" s="5" t="str">
        <f ca="1">VLOOKUP(LARGE($AT$14:$AT$48,AU66),$AT$14:$AW$48,4,0)</f>
        <v>Bajo interés al</v>
      </c>
      <c r="AY66" s="5" t="str">
        <f ca="1">VLOOKUP(LARGE($AT$14:$AT$48,AU66),$AT$14:$AX$48,5,0)</f>
        <v>Profesiones: Geólogo, Biólogo, Astrónomo, Químico, Licenciado en Ciencias Ambientales, Físico.</v>
      </c>
      <c r="AZ66" s="16">
        <f ca="1">+VLOOKUP(AV66,$BB$14:$BD$48,2,FALSE)</f>
        <v>10</v>
      </c>
      <c r="BA66" s="16" t="str">
        <f ca="1">+VLOOKUP(AV66,$BB$14:$BD$48,3,FALSE)</f>
        <v>Bajo interés en las</v>
      </c>
      <c r="BB66" s="16" t="str">
        <f ca="1">+VLOOKUP(AV66,$BB$14:$BE$48,4,FALSE)</f>
        <v>Actividades: Estudiar los seres vivos, la tierra y sus componentes y los fenómenos del firmamento. Aplicar los conocimientos sobre propiedades de la materia a la medicina, la agricultura, la alimentación, etc. Aplicar conocimientos científicos sobre el medio ambiente a la conservación de recursos naturales. Investigar sobre el mar como fuente de riqueza. Investigar en óptica, electrónica, etc.</v>
      </c>
    </row>
    <row r="67" spans="1:54" ht="6.75" customHeight="1" x14ac:dyDescent="0.35">
      <c r="A67" s="94"/>
      <c r="B67" s="33"/>
      <c r="C67" s="61"/>
      <c r="D67" s="61"/>
      <c r="E67" s="61"/>
      <c r="F67" s="86"/>
      <c r="G67" s="86"/>
      <c r="H67" s="86"/>
      <c r="I67" s="86"/>
      <c r="J67" s="86"/>
      <c r="K67" s="86"/>
      <c r="L67" s="86"/>
      <c r="M67" s="70"/>
      <c r="N67" s="63"/>
      <c r="O67" s="49"/>
      <c r="P67" s="49"/>
      <c r="Q67" s="50"/>
      <c r="R67" s="50"/>
      <c r="S67" s="51"/>
      <c r="T67" s="51"/>
      <c r="U67" s="51"/>
      <c r="V67" s="51"/>
      <c r="W67" s="51"/>
      <c r="X67" s="51"/>
      <c r="Y67" s="51"/>
      <c r="Z67" s="51"/>
      <c r="AA67" s="51"/>
      <c r="AB67" s="51"/>
      <c r="AC67" s="51"/>
      <c r="AD67" s="51"/>
      <c r="AE67" s="51"/>
      <c r="AF67" s="51"/>
      <c r="AG67" s="51"/>
      <c r="AU67" s="13"/>
      <c r="AV67" s="15"/>
      <c r="AW67" s="5"/>
    </row>
    <row r="68" spans="1:54" ht="15" customHeight="1" x14ac:dyDescent="0.35">
      <c r="A68" s="94"/>
      <c r="B68" s="33"/>
      <c r="C68" s="61"/>
      <c r="D68" s="61"/>
      <c r="E68" s="61"/>
      <c r="F68" s="86"/>
      <c r="G68" s="86"/>
      <c r="H68" s="86"/>
      <c r="I68" s="86"/>
      <c r="J68" s="86"/>
      <c r="K68" s="86"/>
      <c r="L68" s="86"/>
      <c r="M68" s="70" t="s">
        <v>9</v>
      </c>
      <c r="N68" s="63"/>
      <c r="O68" s="71">
        <f>Cuadernillo!V56+Cuadernillo!V102+Cuadernillo!V120+Cuadernillo!V132+Cuadernillo!V148+Cuadernillo!V166</f>
        <v>0</v>
      </c>
      <c r="P68" s="49"/>
      <c r="Q68" s="71" cm="1">
        <f t="array" aca="1" ref="Q68" ca="1">+INDEX(INDIRECT("AAA"&amp;VLOOKUP($L$7,$AP$7:$AQ$8,2,FALSE)),MATCH(O68&amp;$L$7,INDIRECT("BBB"&amp;VLOOKUP($L$7,$AP$7:$AQ$8,2,FALSE))&amp;$L$7,0))</f>
        <v>10</v>
      </c>
      <c r="R68" s="50"/>
      <c r="S68" s="51"/>
      <c r="T68" s="51"/>
      <c r="U68" s="51"/>
      <c r="V68" s="51"/>
      <c r="W68" s="51"/>
      <c r="X68" s="51"/>
      <c r="Y68" s="51"/>
      <c r="Z68" s="51"/>
      <c r="AA68" s="51"/>
      <c r="AB68" s="51"/>
      <c r="AC68" s="51"/>
      <c r="AD68" s="51"/>
      <c r="AE68" s="51"/>
      <c r="AF68" s="51"/>
      <c r="AG68" s="51"/>
      <c r="AU68" s="13">
        <v>7</v>
      </c>
      <c r="AV68" s="15" t="str">
        <f ca="1">VLOOKUP(LARGE($AT$14:$AT$48,AU68),$AT$14:$AV$48,3,0)</f>
        <v>INFORMÁTICA</v>
      </c>
      <c r="AW68" s="5">
        <f ca="1">VLOOKUP(LARGE($AT$14:$AT$48,AU68),$AT$14:$AV$48,2,0)</f>
        <v>15</v>
      </c>
      <c r="AX68" s="5" t="str">
        <f ca="1">VLOOKUP(LARGE($AT$14:$AT$48,AU68),$AT$14:$AW$48,4,0)</f>
        <v>Bajo interés al</v>
      </c>
      <c r="AY68" s="5" t="str">
        <f ca="1">VLOOKUP(LARGE($AT$14:$AT$48,AU68),$AT$14:$AX$48,5,0)</f>
        <v>Profesiones: Ingeniero en informática, Técnico superior en desarrollo de aplicaciones informáticas, Técnico superior en administración de sistemas informáticos, Ingeniero técnico en informática de gestión. Especialista en Telemática (combinación de servicios de informática y telecomunicación).</v>
      </c>
      <c r="AZ68" s="16">
        <f ca="1">+VLOOKUP(AV68,$BB$14:$BD$48,2,FALSE)</f>
        <v>30</v>
      </c>
      <c r="BA68" s="16" t="str">
        <f ca="1">+VLOOKUP(AV68,$BB$14:$BD$48,3,FALSE)</f>
        <v>que se adapta a las</v>
      </c>
      <c r="BB68" s="16" t="str">
        <f ca="1">+VLOOKUP(AV68,$BB$14:$BE$48,4,FALSE)</f>
        <v>Actividades: Realizar tareas especializadas en campos de la informática: análisis y arquitectura de los ordenadores. Efectuar la programación de aplicaciones informáticas. Crear o manejar los sistemas informáticos para la administración de empresas. Elaborar software de gestión para empresas. Realizar trabajos de informática aplicada a las comunicaciones. Trabajar en el tratamiento de datos aplicando informática, electrónica y telecomunicación.</v>
      </c>
    </row>
    <row r="69" spans="1:54" ht="4.5" customHeight="1" thickBot="1" x14ac:dyDescent="0.4">
      <c r="A69" s="33"/>
      <c r="B69" s="33"/>
      <c r="C69" s="61"/>
      <c r="D69" s="61"/>
      <c r="E69" s="61"/>
      <c r="F69" s="72"/>
      <c r="G69" s="72"/>
      <c r="H69" s="72"/>
      <c r="I69" s="72"/>
      <c r="J69" s="72"/>
      <c r="K69" s="72"/>
      <c r="L69" s="72"/>
      <c r="M69" s="73"/>
      <c r="N69" s="74"/>
      <c r="O69" s="75"/>
      <c r="P69" s="75"/>
      <c r="Q69" s="76"/>
      <c r="R69" s="76"/>
      <c r="S69" s="51"/>
      <c r="T69" s="51"/>
      <c r="U69" s="51"/>
      <c r="V69" s="51"/>
      <c r="W69" s="51"/>
      <c r="X69" s="51"/>
      <c r="Y69" s="51"/>
      <c r="Z69" s="51"/>
      <c r="AA69" s="51"/>
      <c r="AB69" s="51"/>
      <c r="AC69" s="51"/>
      <c r="AD69" s="51"/>
      <c r="AE69" s="51"/>
      <c r="AF69" s="51"/>
      <c r="AG69" s="51"/>
      <c r="AU69" s="13"/>
      <c r="AV69" s="15"/>
      <c r="AW69" s="5"/>
    </row>
    <row r="70" spans="1:54" ht="4.5" customHeight="1" x14ac:dyDescent="0.35">
      <c r="A70" s="33"/>
      <c r="B70" s="33"/>
      <c r="C70" s="61"/>
      <c r="D70" s="61"/>
      <c r="E70" s="61"/>
      <c r="F70" s="69"/>
      <c r="G70" s="69"/>
      <c r="H70" s="69"/>
      <c r="I70" s="69"/>
      <c r="J70" s="69"/>
      <c r="K70" s="69"/>
      <c r="L70" s="69"/>
      <c r="M70" s="70"/>
      <c r="N70" s="63"/>
      <c r="O70" s="49"/>
      <c r="P70" s="49"/>
      <c r="Q70" s="50"/>
      <c r="R70" s="50"/>
      <c r="S70" s="51"/>
      <c r="T70" s="51"/>
      <c r="U70" s="51"/>
      <c r="V70" s="51"/>
      <c r="W70" s="51"/>
      <c r="X70" s="51"/>
      <c r="Y70" s="51"/>
      <c r="Z70" s="51"/>
      <c r="AA70" s="51"/>
      <c r="AB70" s="51"/>
      <c r="AC70" s="51"/>
      <c r="AD70" s="51"/>
      <c r="AE70" s="51"/>
      <c r="AF70" s="51"/>
      <c r="AG70" s="51"/>
      <c r="AU70" s="13"/>
      <c r="AV70" s="15"/>
      <c r="AW70" s="5"/>
    </row>
    <row r="71" spans="1:54" ht="15" customHeight="1" x14ac:dyDescent="0.35">
      <c r="A71" s="94">
        <v>12</v>
      </c>
      <c r="B71" s="33"/>
      <c r="C71" s="61"/>
      <c r="D71" s="61"/>
      <c r="E71" s="61"/>
      <c r="F71" s="86" t="s">
        <v>292</v>
      </c>
      <c r="G71" s="86"/>
      <c r="H71" s="86"/>
      <c r="I71" s="86"/>
      <c r="J71" s="86"/>
      <c r="K71" s="86"/>
      <c r="L71" s="86"/>
      <c r="M71" s="70" t="s">
        <v>8</v>
      </c>
      <c r="N71" s="63"/>
      <c r="O71" s="71">
        <f>Cuadernillo!V57+Cuadernillo!V63+Cuadernillo!V103+Cuadernillo!V124+Cuadernillo!V197+Cuadernillo!V205</f>
        <v>0</v>
      </c>
      <c r="P71" s="49"/>
      <c r="Q71" s="71" cm="1">
        <f t="array" aca="1" ref="Q71" ca="1">+INDEX(INDIRECT("DDD"&amp;VLOOKUP($L$7,$AP$7:$AQ$8,2,FALSE)),MATCH(O71&amp;$L$7,INDIRECT("CCC"&amp;VLOOKUP($L$7,$AP$7:$AQ$8,2,FALSE))&amp;$L$7,0))</f>
        <v>15</v>
      </c>
      <c r="R71" s="50"/>
      <c r="S71" s="51"/>
      <c r="T71" s="51"/>
      <c r="U71" s="51"/>
      <c r="V71" s="51"/>
      <c r="W71" s="51"/>
      <c r="X71" s="51"/>
      <c r="Y71" s="51"/>
      <c r="Z71" s="51"/>
      <c r="AA71" s="51"/>
      <c r="AB71" s="51"/>
      <c r="AC71" s="51"/>
      <c r="AD71" s="51"/>
      <c r="AE71" s="51"/>
      <c r="AF71" s="51"/>
      <c r="AG71" s="51"/>
      <c r="AU71" s="13">
        <v>8</v>
      </c>
      <c r="AV71" s="15" t="str">
        <f ca="1">VLOOKUP(LARGE($AT$14:$AT$48,AU71),$AT$14:$AV$48,3,0)</f>
        <v>TURISMO Y HOTELERÍA</v>
      </c>
      <c r="AW71" s="5">
        <f ca="1">VLOOKUP(LARGE($AT$14:$AT$48,AU71),$AT$14:$AV$48,2,0)</f>
        <v>15</v>
      </c>
      <c r="AX71" s="5" t="str">
        <f ca="1">VLOOKUP(LARGE($AT$14:$AT$48,AU71),$AT$14:$AW$48,4,0)</f>
        <v>Bajo interés al</v>
      </c>
      <c r="AY71" s="5" t="str">
        <f ca="1">VLOOKUP(LARGE($AT$14:$AT$48,AU71),$AT$14:$AX$48,5,0)</f>
        <v>Profesiones: Técnico de animación turística, Técnico en turismo, Tripulante de cabina o auxiliar de barco, Técnico en información turística. Técnico superior de alojamiento, Técnico en restauración.</v>
      </c>
      <c r="AZ71" s="16">
        <f ca="1">+VLOOKUP(AV71,$BB$14:$BD$48,2,FALSE)</f>
        <v>30</v>
      </c>
      <c r="BA71" s="16" t="str">
        <f ca="1">+VLOOKUP(AV71,$BB$14:$BD$48,3,FALSE)</f>
        <v>que se adapta a las</v>
      </c>
      <c r="BB71" s="16" t="str">
        <f ca="1">+VLOOKUP(AV71,$BB$14:$BE$48,4,FALSE)</f>
        <v>Actividades: Establecer destinos o rutas turísticas. Preparar programas de actividades de animación y llevarlas a cabo. Procurar la mejora del turismo. Dirigir restaurantes o preparar alimentos. Atender a los pasajeros en aviones o barcos. Organizar la acogida de los clientes en un hotel.</v>
      </c>
    </row>
    <row r="72" spans="1:54" ht="6.75" customHeight="1" x14ac:dyDescent="0.35">
      <c r="A72" s="94"/>
      <c r="B72" s="33"/>
      <c r="C72" s="61"/>
      <c r="D72" s="61"/>
      <c r="E72" s="61"/>
      <c r="F72" s="86"/>
      <c r="G72" s="86"/>
      <c r="H72" s="86"/>
      <c r="I72" s="86"/>
      <c r="J72" s="86"/>
      <c r="K72" s="86"/>
      <c r="L72" s="86"/>
      <c r="M72" s="70"/>
      <c r="N72" s="63"/>
      <c r="O72" s="49"/>
      <c r="P72" s="49"/>
      <c r="Q72" s="50"/>
      <c r="R72" s="50"/>
      <c r="S72" s="51"/>
      <c r="T72" s="51"/>
      <c r="U72" s="51"/>
      <c r="V72" s="51"/>
      <c r="W72" s="51"/>
      <c r="X72" s="51"/>
      <c r="Y72" s="51"/>
      <c r="Z72" s="51"/>
      <c r="AA72" s="51"/>
      <c r="AB72" s="51"/>
      <c r="AC72" s="51"/>
      <c r="AD72" s="51"/>
      <c r="AE72" s="51"/>
      <c r="AF72" s="51"/>
      <c r="AG72" s="51"/>
      <c r="AU72" s="13"/>
      <c r="AV72" s="15"/>
      <c r="AW72" s="5"/>
    </row>
    <row r="73" spans="1:54" ht="15" customHeight="1" x14ac:dyDescent="0.35">
      <c r="A73" s="94"/>
      <c r="B73" s="33"/>
      <c r="C73" s="61"/>
      <c r="D73" s="61"/>
      <c r="E73" s="61"/>
      <c r="F73" s="86"/>
      <c r="G73" s="86"/>
      <c r="H73" s="86"/>
      <c r="I73" s="86"/>
      <c r="J73" s="86"/>
      <c r="K73" s="86"/>
      <c r="L73" s="86"/>
      <c r="M73" s="70" t="s">
        <v>9</v>
      </c>
      <c r="N73" s="63"/>
      <c r="O73" s="71">
        <f>Cuadernillo!V68+Cuadernillo!V84+Cuadernillo!V94+Cuadernillo!V124+Cuadernillo!V164+Cuadernillo!V210</f>
        <v>0</v>
      </c>
      <c r="P73" s="49"/>
      <c r="Q73" s="71" cm="1">
        <f t="array" aca="1" ref="Q73" ca="1">+INDEX(INDIRECT("FFF"&amp;VLOOKUP($L$7,$AP$7:$AQ$8,2,FALSE)),MATCH(O73&amp;$L$7,INDIRECT("EEE"&amp;VLOOKUP($L$7,$AP$7:$AQ$8,2,FALSE))&amp;$L$7,0))</f>
        <v>10</v>
      </c>
      <c r="R73" s="50"/>
      <c r="S73" s="51"/>
      <c r="T73" s="51"/>
      <c r="U73" s="51"/>
      <c r="V73" s="51"/>
      <c r="W73" s="51"/>
      <c r="X73" s="51"/>
      <c r="Y73" s="51"/>
      <c r="Z73" s="51"/>
      <c r="AA73" s="51"/>
      <c r="AB73" s="51"/>
      <c r="AC73" s="51"/>
      <c r="AD73" s="51"/>
      <c r="AE73" s="51"/>
      <c r="AF73" s="51"/>
      <c r="AG73" s="51"/>
      <c r="AU73" s="13">
        <v>9</v>
      </c>
      <c r="AV73" s="15" t="str">
        <f ca="1">VLOOKUP(LARGE($AT$14:$AT$48,AU73),$AT$14:$AV$48,3,0)</f>
        <v>TÉCNICO</v>
      </c>
      <c r="AW73" s="5">
        <f ca="1">VLOOKUP(LARGE($AT$14:$AT$48,AU73),$AT$14:$AV$48,2,0)</f>
        <v>10</v>
      </c>
      <c r="AX73" s="5" t="str">
        <f ca="1">VLOOKUP(LARGE($AT$14:$AT$48,AU73),$AT$14:$AW$48,4,0)</f>
        <v>Bajo interés al</v>
      </c>
      <c r="AY73" s="5" t="str">
        <f ca="1">VLOOKUP(LARGE($AT$14:$AT$48,AU73),$AT$14:$AX$48,5,0)</f>
        <v>Profesiones: Arquitecto, Aparejador, Ingeniero de Telecomunicación, Aeronáutico, en Electrónica, de Caminos o Industrial. Ingeniero técnico en cualquiera de estas materias.</v>
      </c>
      <c r="AZ73" s="16">
        <f ca="1">+VLOOKUP(AV73,$BB$14:$BD$48,2,FALSE)</f>
        <v>35</v>
      </c>
      <c r="BA73" s="16" t="str">
        <f ca="1">+VLOOKUP(AV73,$BB$14:$BD$48,3,FALSE)</f>
        <v>que se adapta a las</v>
      </c>
      <c r="BB73" s="16" t="str">
        <f ca="1">+VLOOKUP(AV73,$BB$14:$BE$48,4,FALSE)</f>
        <v>Actividades: Proyectar edificios y zonas urbanas y dirigir las obras de los mismos. Diseñar instalaciones para las comunicaciones (radar, telefonía, radio, etc.). Realizar proyectos para construir puertos, carreteras o puentes. Desarrollar proyectos de electrónica aplicada a la industria. Controlar el tráfico aéreo.</v>
      </c>
    </row>
    <row r="74" spans="1:54" ht="4.5" customHeight="1" thickBot="1" x14ac:dyDescent="0.4">
      <c r="A74" s="33"/>
      <c r="B74" s="33"/>
      <c r="C74" s="61"/>
      <c r="D74" s="61"/>
      <c r="E74" s="61"/>
      <c r="F74" s="72"/>
      <c r="G74" s="72"/>
      <c r="H74" s="72"/>
      <c r="I74" s="72"/>
      <c r="J74" s="72"/>
      <c r="K74" s="72"/>
      <c r="L74" s="72"/>
      <c r="M74" s="73"/>
      <c r="N74" s="74"/>
      <c r="O74" s="75"/>
      <c r="P74" s="75"/>
      <c r="Q74" s="76"/>
      <c r="R74" s="76"/>
      <c r="S74" s="51"/>
      <c r="T74" s="51"/>
      <c r="U74" s="51"/>
      <c r="V74" s="51"/>
      <c r="W74" s="51"/>
      <c r="X74" s="51"/>
      <c r="Y74" s="51"/>
      <c r="Z74" s="51"/>
      <c r="AA74" s="51"/>
      <c r="AB74" s="51"/>
      <c r="AC74" s="51"/>
      <c r="AD74" s="51"/>
      <c r="AE74" s="51"/>
      <c r="AF74" s="51"/>
      <c r="AG74" s="51"/>
      <c r="AU74" s="13"/>
      <c r="AV74" s="15"/>
      <c r="AW74" s="5"/>
    </row>
    <row r="75" spans="1:54" ht="4.5" customHeight="1" x14ac:dyDescent="0.35">
      <c r="A75" s="33"/>
      <c r="B75" s="33"/>
      <c r="C75" s="61"/>
      <c r="D75" s="61"/>
      <c r="E75" s="61"/>
      <c r="F75" s="69"/>
      <c r="G75" s="69"/>
      <c r="H75" s="69"/>
      <c r="I75" s="69"/>
      <c r="J75" s="69"/>
      <c r="K75" s="69"/>
      <c r="L75" s="69"/>
      <c r="M75" s="70"/>
      <c r="N75" s="63"/>
      <c r="O75" s="49"/>
      <c r="P75" s="49"/>
      <c r="Q75" s="50"/>
      <c r="R75" s="50"/>
      <c r="S75" s="51"/>
      <c r="T75" s="51"/>
      <c r="U75" s="51"/>
      <c r="V75" s="51"/>
      <c r="W75" s="51"/>
      <c r="X75" s="51"/>
      <c r="Y75" s="51"/>
      <c r="Z75" s="51"/>
      <c r="AA75" s="51"/>
      <c r="AB75" s="51"/>
      <c r="AC75" s="51"/>
      <c r="AD75" s="51"/>
      <c r="AE75" s="51"/>
      <c r="AF75" s="51"/>
      <c r="AG75" s="51"/>
      <c r="AU75" s="13"/>
      <c r="AV75" s="15"/>
      <c r="AW75" s="5"/>
    </row>
    <row r="76" spans="1:54" ht="15" customHeight="1" x14ac:dyDescent="0.35">
      <c r="A76" s="94">
        <v>13</v>
      </c>
      <c r="B76" s="33"/>
      <c r="C76" s="61"/>
      <c r="D76" s="61"/>
      <c r="E76" s="61"/>
      <c r="F76" s="86" t="s">
        <v>293</v>
      </c>
      <c r="G76" s="86"/>
      <c r="H76" s="86"/>
      <c r="I76" s="86"/>
      <c r="J76" s="86"/>
      <c r="K76" s="86"/>
      <c r="L76" s="86"/>
      <c r="M76" s="70" t="s">
        <v>8</v>
      </c>
      <c r="N76" s="63"/>
      <c r="O76" s="71">
        <f>Cuadernillo!V43+Cuadernillo!V53+Cuadernillo!V61+Cuadernillo!V69+Cuadernillo!V91+Cuadernillo!V215</f>
        <v>0</v>
      </c>
      <c r="P76" s="49"/>
      <c r="Q76" s="71" cm="1">
        <f t="array" aca="1" ref="Q76" ca="1">+INDEX(INDIRECT("HHH"&amp;VLOOKUP($L$7,$AP$7:$AQ$8,2,FALSE)),MATCH(O76&amp;$L$7,INDIRECT("GGG"&amp;VLOOKUP($L$7,$AP$7:$AQ$8,2,FALSE))&amp;$L$7,0))</f>
        <v>5</v>
      </c>
      <c r="R76" s="50"/>
      <c r="S76" s="51"/>
      <c r="T76" s="51"/>
      <c r="U76" s="51"/>
      <c r="V76" s="51"/>
      <c r="W76" s="51"/>
      <c r="X76" s="51"/>
      <c r="Y76" s="51"/>
      <c r="Z76" s="51"/>
      <c r="AA76" s="51"/>
      <c r="AB76" s="51"/>
      <c r="AC76" s="51"/>
      <c r="AD76" s="51"/>
      <c r="AE76" s="51"/>
      <c r="AF76" s="51"/>
      <c r="AG76" s="51"/>
      <c r="AU76" s="13">
        <v>10</v>
      </c>
      <c r="AV76" s="15" t="str">
        <f ca="1">VLOOKUP(LARGE($AT$14:$AT$48,AU76),$AT$14:$AV$48,3,0)</f>
        <v>JURÍDICO SOCIAL</v>
      </c>
      <c r="AW76" s="5">
        <f ca="1">VLOOKUP(LARGE($AT$14:$AT$48,AU76),$AT$14:$AV$48,2,0)</f>
        <v>10</v>
      </c>
      <c r="AX76" s="5" t="str">
        <f ca="1">VLOOKUP(LARGE($AT$14:$AT$48,AU76),$AT$14:$AW$48,4,0)</f>
        <v>Bajo interés al</v>
      </c>
      <c r="AY76" s="5" t="str">
        <f ca="1">VLOOKUP(LARGE($AT$14:$AT$48,AU76),$AT$14:$AX$48,5,0)</f>
        <v>Profesiones: Abogado, Investigador privado, Diplomado en relaciones laborales, Diplomático, Licenciado en Ciencias del Trabajo, Criminólogo.</v>
      </c>
      <c r="AZ76" s="16">
        <f ca="1">+VLOOKUP(AV76,$BB$14:$BD$48,2,FALSE)</f>
        <v>10</v>
      </c>
      <c r="BA76" s="16" t="str">
        <f ca="1">+VLOOKUP(AV76,$BB$14:$BD$48,3,FALSE)</f>
        <v>Bajo interés en las</v>
      </c>
      <c r="BB76" s="16" t="str">
        <f ca="1">+VLOOKUP(AV76,$BB$14:$BE$48,4,FALSE)</f>
        <v>Actividades: Intervenir ante los tribunales de justicia o formar parte de ellos. Asesorar sobre temas jurídicos. Hacer indagaciones sobre comportamientos delictivos. Asesorar en conflictos laborales. Representar a empresas o trabajadores ante tribunales de lo social. Analizar los crímenes o delitos y su relación con el delincuente. Representar al propio país en otros países.</v>
      </c>
    </row>
    <row r="77" spans="1:54" ht="6.75" customHeight="1" x14ac:dyDescent="0.35">
      <c r="A77" s="94"/>
      <c r="B77" s="33"/>
      <c r="C77" s="61"/>
      <c r="D77" s="61"/>
      <c r="E77" s="61"/>
      <c r="F77" s="86"/>
      <c r="G77" s="86"/>
      <c r="H77" s="86"/>
      <c r="I77" s="86"/>
      <c r="J77" s="86"/>
      <c r="K77" s="86"/>
      <c r="L77" s="86"/>
      <c r="M77" s="70"/>
      <c r="N77" s="63"/>
      <c r="O77" s="49"/>
      <c r="P77" s="49"/>
      <c r="Q77" s="50"/>
      <c r="R77" s="50"/>
      <c r="S77" s="51"/>
      <c r="T77" s="51"/>
      <c r="U77" s="51"/>
      <c r="V77" s="51"/>
      <c r="W77" s="51"/>
      <c r="X77" s="51"/>
      <c r="Y77" s="51"/>
      <c r="Z77" s="51"/>
      <c r="AA77" s="51"/>
      <c r="AB77" s="51"/>
      <c r="AC77" s="51"/>
      <c r="AD77" s="51"/>
      <c r="AE77" s="51"/>
      <c r="AF77" s="51"/>
      <c r="AG77" s="51"/>
      <c r="AU77" s="13"/>
      <c r="AV77" s="15"/>
      <c r="AW77" s="5"/>
    </row>
    <row r="78" spans="1:54" ht="15" customHeight="1" x14ac:dyDescent="0.35">
      <c r="A78" s="94"/>
      <c r="B78" s="33"/>
      <c r="C78" s="61"/>
      <c r="D78" s="61"/>
      <c r="E78" s="61"/>
      <c r="F78" s="86"/>
      <c r="G78" s="86"/>
      <c r="H78" s="86"/>
      <c r="I78" s="86"/>
      <c r="J78" s="86"/>
      <c r="K78" s="86"/>
      <c r="L78" s="86"/>
      <c r="M78" s="70" t="s">
        <v>9</v>
      </c>
      <c r="N78" s="63"/>
      <c r="O78" s="71">
        <f>Cuadernillo!V58+Cuadernillo!V111+Cuadernillo!V112+Cuadernillo!V128+Cuadernillo!V156+Cuadernillo!V222</f>
        <v>2</v>
      </c>
      <c r="P78" s="49"/>
      <c r="Q78" s="71" cm="1">
        <f t="array" aca="1" ref="Q78" ca="1">+INDEX(INDIRECT("NNN"&amp;VLOOKUP($L$7,$AP$7:$AQ$8,2,FALSE)),MATCH(O78&amp;$L$7,INDIRECT("MMM"&amp;VLOOKUP($L$7,$AP$7:$AQ$8,2,FALSE))&amp;$L$7,0))</f>
        <v>45</v>
      </c>
      <c r="R78" s="50"/>
      <c r="S78" s="51"/>
      <c r="T78" s="51"/>
      <c r="U78" s="51"/>
      <c r="V78" s="51"/>
      <c r="W78" s="51"/>
      <c r="X78" s="51"/>
      <c r="Y78" s="51"/>
      <c r="Z78" s="51"/>
      <c r="AA78" s="51"/>
      <c r="AB78" s="51"/>
      <c r="AC78" s="51"/>
      <c r="AD78" s="51"/>
      <c r="AE78" s="51"/>
      <c r="AF78" s="51"/>
      <c r="AG78" s="51"/>
      <c r="AU78" s="13">
        <v>11</v>
      </c>
      <c r="AV78" s="15" t="str">
        <f ca="1">VLOOKUP(LARGE($AT$14:$AT$48,AU78),$AT$14:$AV$48,3,0)</f>
        <v>COMUNICACIÓN INFORMACIÓN </v>
      </c>
      <c r="AW78" s="5">
        <f ca="1">VLOOKUP(LARGE($AT$14:$AT$48,AU78),$AT$14:$AV$48,2,0)</f>
        <v>10</v>
      </c>
      <c r="AX78" s="5" t="str">
        <f ca="1">VLOOKUP(LARGE($AT$14:$AT$48,AU78),$AT$14:$AW$48,4,0)</f>
        <v>Bajo interés al</v>
      </c>
      <c r="AY78" s="5" t="str">
        <f ca="1">VLOOKUP(LARGE($AT$14:$AT$48,AU78),$AT$14:$AX$48,5,0)</f>
        <v>Profesiones: Periodista, Licenciado en Comunicación Audiovisual, Técnico en Imagen o en Sonido, Director-realizador de medios audiovisuales.</v>
      </c>
      <c r="AZ78" s="16">
        <f ca="1">+VLOOKUP(AV78,$BB$14:$BD$48,2,FALSE)</f>
        <v>25</v>
      </c>
      <c r="BA78" s="16" t="str">
        <f ca="1">+VLOOKUP(AV78,$BB$14:$BD$48,3,FALSE)</f>
        <v>que se adapta a las</v>
      </c>
      <c r="BB78" s="16" t="str">
        <f ca="1">+VLOOKUP(AV78,$BB$14:$BE$48,4,FALSE)</f>
        <v>Actividades: Buscar y redactar noticias para publicarlas. Diseñar campañas o elementos de publicidad. Estudiar procesos y técnicas de medios audiovisuales. Obtener imágenes con cámara fotográfica, vídeo, cámara cinematográfica, etc., y presentarlas o publicarlas. Registrar y reproducir sonidos.</v>
      </c>
    </row>
    <row r="79" spans="1:54" ht="4.5" customHeight="1" thickBot="1" x14ac:dyDescent="0.4">
      <c r="A79" s="33"/>
      <c r="B79" s="33"/>
      <c r="C79" s="61"/>
      <c r="D79" s="61"/>
      <c r="E79" s="61"/>
      <c r="F79" s="72"/>
      <c r="G79" s="72"/>
      <c r="H79" s="72"/>
      <c r="I79" s="72"/>
      <c r="J79" s="72"/>
      <c r="K79" s="72"/>
      <c r="L79" s="72"/>
      <c r="M79" s="73"/>
      <c r="N79" s="74"/>
      <c r="O79" s="75"/>
      <c r="P79" s="75"/>
      <c r="Q79" s="76"/>
      <c r="R79" s="76"/>
      <c r="S79" s="51"/>
      <c r="T79" s="51"/>
      <c r="U79" s="51"/>
      <c r="V79" s="51"/>
      <c r="W79" s="51"/>
      <c r="X79" s="51"/>
      <c r="Y79" s="51"/>
      <c r="Z79" s="51"/>
      <c r="AA79" s="51"/>
      <c r="AB79" s="51"/>
      <c r="AC79" s="51"/>
      <c r="AD79" s="51"/>
      <c r="AE79" s="51"/>
      <c r="AF79" s="51"/>
      <c r="AG79" s="51"/>
      <c r="AU79" s="13"/>
      <c r="AV79" s="15"/>
      <c r="AW79" s="5"/>
    </row>
    <row r="80" spans="1:54" ht="4.5" customHeight="1" x14ac:dyDescent="0.35">
      <c r="A80" s="33"/>
      <c r="B80" s="33"/>
      <c r="C80" s="61"/>
      <c r="D80" s="61"/>
      <c r="E80" s="61"/>
      <c r="F80" s="69"/>
      <c r="G80" s="69"/>
      <c r="H80" s="69"/>
      <c r="I80" s="69"/>
      <c r="J80" s="69"/>
      <c r="K80" s="69"/>
      <c r="L80" s="69"/>
      <c r="M80" s="70"/>
      <c r="N80" s="63"/>
      <c r="O80" s="49"/>
      <c r="P80" s="49"/>
      <c r="Q80" s="50"/>
      <c r="R80" s="50"/>
      <c r="S80" s="51"/>
      <c r="T80" s="51"/>
      <c r="U80" s="51"/>
      <c r="V80" s="51"/>
      <c r="W80" s="51"/>
      <c r="X80" s="51"/>
      <c r="Y80" s="51"/>
      <c r="Z80" s="51"/>
      <c r="AA80" s="51"/>
      <c r="AB80" s="51"/>
      <c r="AC80" s="51"/>
      <c r="AD80" s="51"/>
      <c r="AE80" s="51"/>
      <c r="AF80" s="51"/>
      <c r="AG80" s="51"/>
      <c r="AU80" s="13"/>
      <c r="AV80" s="15"/>
      <c r="AW80" s="5"/>
    </row>
    <row r="81" spans="1:54" ht="15" customHeight="1" x14ac:dyDescent="0.35">
      <c r="A81" s="94">
        <v>14</v>
      </c>
      <c r="B81" s="33"/>
      <c r="C81" s="61"/>
      <c r="D81" s="61"/>
      <c r="E81" s="61"/>
      <c r="F81" s="86" t="s">
        <v>294</v>
      </c>
      <c r="G81" s="86"/>
      <c r="H81" s="86"/>
      <c r="I81" s="86"/>
      <c r="J81" s="86"/>
      <c r="K81" s="86"/>
      <c r="L81" s="86"/>
      <c r="M81" s="70" t="s">
        <v>8</v>
      </c>
      <c r="N81" s="63"/>
      <c r="O81" s="71">
        <f>Cuadernillo!V83+Cuadernillo!V110+Cuadernillo!V163+Cuadernillo!V171+Cuadernillo!V189+Cuadernillo!V193</f>
        <v>0</v>
      </c>
      <c r="P81" s="49"/>
      <c r="Q81" s="71" cm="1">
        <f t="array" aca="1" ref="Q81" ca="1">+INDEX(INDIRECT("TTT"&amp;VLOOKUP($L$7,$AP$7:$AQ$8,2,FALSE)),MATCH(O81&amp;$L$7,INDIRECT("RRR"&amp;VLOOKUP($L$7,$AP$7:$AQ$8,2,FALSE))&amp;$L$7,0))</f>
        <v>10</v>
      </c>
      <c r="R81" s="50"/>
      <c r="S81" s="51"/>
      <c r="T81" s="51"/>
      <c r="U81" s="51"/>
      <c r="V81" s="51"/>
      <c r="W81" s="51"/>
      <c r="X81" s="51"/>
      <c r="Y81" s="51"/>
      <c r="Z81" s="51"/>
      <c r="AA81" s="51"/>
      <c r="AB81" s="51"/>
      <c r="AC81" s="51"/>
      <c r="AD81" s="51"/>
      <c r="AE81" s="51"/>
      <c r="AF81" s="51"/>
      <c r="AG81" s="51"/>
      <c r="AU81" s="13">
        <v>12</v>
      </c>
      <c r="AV81" s="15" t="str">
        <f ca="1">VLOOKUP(LARGE($AT$14:$AT$48,AU81),$AT$14:$AV$48,3,0)</f>
        <v>PSICOPEDAGÓGICO </v>
      </c>
      <c r="AW81" s="5">
        <f ca="1">VLOOKUP(LARGE($AT$14:$AT$48,AU81),$AT$14:$AV$48,2,0)</f>
        <v>10</v>
      </c>
      <c r="AX81" s="5" t="str">
        <f ca="1">VLOOKUP(LARGE($AT$14:$AT$48,AU81),$AT$14:$AW$48,4,0)</f>
        <v>Bajo interés al</v>
      </c>
      <c r="AY81" s="5" t="str">
        <f ca="1">VLOOKUP(LARGE($AT$14:$AT$48,AU81),$AT$14:$AX$48,5,0)</f>
        <v>Profesiones: Pedagogo, Psicólogo escolar, Educador social, Maestro de educación especial, Maestro especialista en educación física, Técnico en educación infantil. Profesor (de Primaria, de Bachillerato, etc.).</v>
      </c>
      <c r="AZ81" s="16">
        <f ca="1">+VLOOKUP(AV81,$BB$14:$BD$48,2,FALSE)</f>
        <v>20</v>
      </c>
      <c r="BA81" s="16" t="str">
        <f ca="1">+VLOOKUP(AV81,$BB$14:$BD$48,3,FALSE)</f>
        <v>que se adapta a las</v>
      </c>
      <c r="BB81" s="16" t="str">
        <f ca="1">+VLOOKUP(AV81,$BB$14:$BE$48,4,FALSE)</f>
        <v>Actividades: Analizar o idear técnicas de enseñanza y procedimientos educativos. Evaluar las aptitudes de los alumnos. Aconsejar sobre métodos para resolver problemas de aprendizaje o de adaptación. Trabajar en educación de adultos o integración de discapacitados. Enseñar a alumnos con necesidades especiales. Impartir enseñanzas de educación física. Cooperar en la educación de niños de cero a tres años.</v>
      </c>
    </row>
    <row r="82" spans="1:54" ht="6.75" customHeight="1" x14ac:dyDescent="0.35">
      <c r="A82" s="94"/>
      <c r="B82" s="33"/>
      <c r="C82" s="61"/>
      <c r="D82" s="61"/>
      <c r="E82" s="61"/>
      <c r="F82" s="86"/>
      <c r="G82" s="86"/>
      <c r="H82" s="86"/>
      <c r="I82" s="86"/>
      <c r="J82" s="86"/>
      <c r="K82" s="86"/>
      <c r="L82" s="86"/>
      <c r="M82" s="70"/>
      <c r="N82" s="63"/>
      <c r="O82" s="49"/>
      <c r="P82" s="49"/>
      <c r="Q82" s="50"/>
      <c r="R82" s="50"/>
      <c r="S82" s="51"/>
      <c r="T82" s="51"/>
      <c r="U82" s="51"/>
      <c r="V82" s="51"/>
      <c r="W82" s="51"/>
      <c r="X82" s="51"/>
      <c r="Y82" s="51"/>
      <c r="Z82" s="51"/>
      <c r="AA82" s="51"/>
      <c r="AB82" s="51"/>
      <c r="AC82" s="51"/>
      <c r="AD82" s="51"/>
      <c r="AE82" s="51"/>
      <c r="AF82" s="51"/>
      <c r="AG82" s="51"/>
      <c r="AU82" s="13"/>
      <c r="AV82" s="15"/>
      <c r="AW82" s="5"/>
    </row>
    <row r="83" spans="1:54" ht="15" customHeight="1" x14ac:dyDescent="0.35">
      <c r="A83" s="94"/>
      <c r="B83" s="33"/>
      <c r="C83" s="61"/>
      <c r="D83" s="61"/>
      <c r="E83" s="61"/>
      <c r="F83" s="86"/>
      <c r="G83" s="86"/>
      <c r="H83" s="86"/>
      <c r="I83" s="86"/>
      <c r="J83" s="86"/>
      <c r="K83" s="86"/>
      <c r="L83" s="86"/>
      <c r="M83" s="70" t="s">
        <v>9</v>
      </c>
      <c r="N83" s="63"/>
      <c r="O83" s="71">
        <f>Cuadernillo!V70+Cuadernillo!V78+Cuadernillo!V80+Cuadernillo!V126+Cuadernillo!V139+Cuadernillo!V198</f>
        <v>1</v>
      </c>
      <c r="P83" s="49"/>
      <c r="Q83" s="71" cm="1">
        <f t="array" aca="1" ref="Q83" ca="1">+INDEX(INDIRECT("PPP"&amp;VLOOKUP($L$7,$AP$7:$AQ$8,2,FALSE)),MATCH(O83&amp;$L$7,INDIRECT("OOO"&amp;VLOOKUP($L$7,$AP$7:$AQ$8,2,FALSE))&amp;$L$7,0))</f>
        <v>20</v>
      </c>
      <c r="R83" s="50"/>
      <c r="S83" s="51"/>
      <c r="T83" s="51"/>
      <c r="U83" s="51"/>
      <c r="V83" s="51"/>
      <c r="W83" s="51"/>
      <c r="X83" s="51"/>
      <c r="Y83" s="51"/>
      <c r="Z83" s="51"/>
      <c r="AA83" s="51"/>
      <c r="AB83" s="51"/>
      <c r="AC83" s="51"/>
      <c r="AD83" s="51"/>
      <c r="AE83" s="51"/>
      <c r="AF83" s="51"/>
      <c r="AG83" s="51"/>
      <c r="AU83" s="13">
        <v>13</v>
      </c>
      <c r="AV83" s="15" t="str">
        <f ca="1">VLOOKUP(LARGE($AT$14:$AT$48,AU83),$AT$14:$AV$48,3,0)</f>
        <v>AGRARIO/AGROPECUARIO/AMBIENTAL</v>
      </c>
      <c r="AW83" s="5">
        <f ca="1">VLOOKUP(LARGE($AT$14:$AT$48,AU83),$AT$14:$AV$48,2,0)</f>
        <v>10</v>
      </c>
      <c r="AX83" s="5" t="str">
        <f ca="1">VLOOKUP(LARGE($AT$14:$AT$48,AU83),$AT$14:$AW$48,4,0)</f>
        <v>Bajo interés al</v>
      </c>
      <c r="AY83" s="5" t="str">
        <f ca="1">VLOOKUP(LARGE($AT$14:$AT$48,AU83),$AT$14:$AX$48,5,0)</f>
        <v>Profesiones: Ingeniero agrónomo, Ingeniero de montes, Veterinario, Ingeniero técnico agrícola, Técnico en trabajos forestales y conservación del medio ambiente.</v>
      </c>
      <c r="AZ83" s="16">
        <f ca="1">+VLOOKUP(AV83,$BB$14:$BD$48,2,FALSE)</f>
        <v>15</v>
      </c>
      <c r="BA83" s="16" t="str">
        <f ca="1">+VLOOKUP(AV83,$BB$14:$BD$48,3,FALSE)</f>
        <v>Bajo interés en las</v>
      </c>
      <c r="BB83" s="16" t="str">
        <f ca="1">+VLOOKUP(AV83,$BB$14:$BE$48,4,FALSE)</f>
        <v>Actividades: Organizar explotaciones agrícolas o agropecuarias para mejorar productos vegetales y razas animales. Impulsar el desarrollo de espacios naturales. Decidir sobre la repoblación de bosques. Dirigir fincas agrícolas, mejorar su producción. Prevenir, diagnosticar y tratar las enfermedades de los animales. Realizar tareas de vigilancia y protección del medio ambiente en bosques, jardines o parques.</v>
      </c>
    </row>
    <row r="84" spans="1:54" ht="4.5" customHeight="1" thickBot="1" x14ac:dyDescent="0.4">
      <c r="A84" s="33"/>
      <c r="B84" s="33"/>
      <c r="C84" s="61"/>
      <c r="D84" s="61"/>
      <c r="E84" s="61"/>
      <c r="F84" s="72"/>
      <c r="G84" s="72"/>
      <c r="H84" s="72"/>
      <c r="I84" s="72"/>
      <c r="J84" s="72"/>
      <c r="K84" s="72"/>
      <c r="L84" s="72"/>
      <c r="M84" s="73"/>
      <c r="N84" s="74"/>
      <c r="O84" s="75"/>
      <c r="P84" s="75"/>
      <c r="Q84" s="76"/>
      <c r="R84" s="76"/>
      <c r="S84" s="51"/>
      <c r="T84" s="51"/>
      <c r="U84" s="51"/>
      <c r="V84" s="51"/>
      <c r="W84" s="51"/>
      <c r="X84" s="51"/>
      <c r="Y84" s="51"/>
      <c r="Z84" s="51"/>
      <c r="AA84" s="51"/>
      <c r="AB84" s="51"/>
      <c r="AC84" s="51"/>
      <c r="AD84" s="51"/>
      <c r="AE84" s="51"/>
      <c r="AF84" s="51"/>
      <c r="AG84" s="51"/>
      <c r="AU84" s="13"/>
      <c r="AV84" s="15"/>
      <c r="AW84" s="5"/>
    </row>
    <row r="85" spans="1:54" ht="4.5" customHeight="1" x14ac:dyDescent="0.35">
      <c r="A85" s="33"/>
      <c r="B85" s="33"/>
      <c r="C85" s="61"/>
      <c r="D85" s="61"/>
      <c r="E85" s="61"/>
      <c r="F85" s="69"/>
      <c r="G85" s="69"/>
      <c r="H85" s="69"/>
      <c r="I85" s="69"/>
      <c r="J85" s="69"/>
      <c r="K85" s="69"/>
      <c r="L85" s="69"/>
      <c r="M85" s="70"/>
      <c r="N85" s="63"/>
      <c r="O85" s="49"/>
      <c r="P85" s="49"/>
      <c r="Q85" s="50"/>
      <c r="R85" s="50"/>
      <c r="S85" s="51"/>
      <c r="T85" s="51"/>
      <c r="U85" s="51"/>
      <c r="V85" s="51"/>
      <c r="W85" s="51"/>
      <c r="X85" s="51"/>
      <c r="Y85" s="51"/>
      <c r="Z85" s="51"/>
      <c r="AA85" s="51"/>
      <c r="AB85" s="51"/>
      <c r="AC85" s="51"/>
      <c r="AD85" s="51"/>
      <c r="AE85" s="51"/>
      <c r="AF85" s="51"/>
      <c r="AG85" s="51"/>
      <c r="AU85" s="13"/>
      <c r="AV85" s="15"/>
      <c r="AW85" s="5"/>
    </row>
    <row r="86" spans="1:54" ht="15" customHeight="1" x14ac:dyDescent="0.35">
      <c r="A86" s="94">
        <v>15</v>
      </c>
      <c r="B86" s="33"/>
      <c r="C86" s="61"/>
      <c r="D86" s="61"/>
      <c r="E86" s="61"/>
      <c r="F86" s="86" t="s">
        <v>295</v>
      </c>
      <c r="G86" s="86"/>
      <c r="H86" s="86"/>
      <c r="I86" s="86"/>
      <c r="J86" s="86"/>
      <c r="K86" s="86"/>
      <c r="L86" s="86"/>
      <c r="M86" s="70" t="s">
        <v>8</v>
      </c>
      <c r="N86" s="63"/>
      <c r="O86" s="71">
        <f>Cuadernillo!V81+Cuadernillo!V153+Cuadernillo!V169+Cuadernillo!V181+Cuadernillo!V203+Cuadernillo!V213</f>
        <v>2</v>
      </c>
      <c r="P86" s="49"/>
      <c r="Q86" s="71" cm="1">
        <f t="array" aca="1" ref="Q86" ca="1">+INDEX(INDIRECT("ZZZ"&amp;VLOOKUP($L$7,$AP$7:$AQ$8,2,FALSE)),MATCH(O86&amp;$L$7,INDIRECT("XXX"&amp;VLOOKUP($L$7,$AP$7:$AQ$8,2,FALSE))&amp;$L$7,0))</f>
        <v>30</v>
      </c>
      <c r="R86" s="50"/>
      <c r="S86" s="51"/>
      <c r="T86" s="51"/>
      <c r="U86" s="51"/>
      <c r="V86" s="51"/>
      <c r="W86" s="51"/>
      <c r="X86" s="51"/>
      <c r="Y86" s="51"/>
      <c r="Z86" s="51"/>
      <c r="AA86" s="51"/>
      <c r="AB86" s="51"/>
      <c r="AC86" s="51"/>
      <c r="AD86" s="51"/>
      <c r="AE86" s="51"/>
      <c r="AF86" s="51"/>
      <c r="AG86" s="51"/>
      <c r="AU86" s="13">
        <v>14</v>
      </c>
      <c r="AV86" s="15" t="str">
        <f ca="1">VLOOKUP(LARGE($AT$14:$AT$48,AU86),$AT$14:$AV$48,3,0)</f>
        <v>ARTÍSTICO - PLÁSTICO/ ARTESANÍA /MODA</v>
      </c>
      <c r="AW86" s="5">
        <f ca="1">VLOOKUP(LARGE($AT$14:$AT$48,AU86),$AT$14:$AV$48,2,0)</f>
        <v>10</v>
      </c>
      <c r="AX86" s="5" t="str">
        <f ca="1">VLOOKUP(LARGE($AT$14:$AT$48,AU86),$AT$14:$AW$48,4,0)</f>
        <v>Bajo interés al</v>
      </c>
      <c r="AY86" s="5" t="str">
        <f ca="1">VLOOKUP(LARGE($AT$14:$AT$48,AU86),$AT$14:$AX$48,5,0)</f>
        <v>Profesiones: Dibujante, Restaurador de bienes culturales, Ilustrador de publicaciones, Diseñador de interiores, Ceramista, Técnico en artes gráficas y diseño. Diseñador de moda.</v>
      </c>
      <c r="AZ86" s="16">
        <f ca="1">+VLOOKUP(AV86,$BB$14:$BD$48,2,FALSE)</f>
        <v>30</v>
      </c>
      <c r="BA86" s="16" t="str">
        <f ca="1">+VLOOKUP(AV86,$BB$14:$BD$48,3,FALSE)</f>
        <v>que se adapta a las</v>
      </c>
      <c r="BB86" s="16" t="str">
        <f ca="1">+VLOOKUP(AV86,$BB$14:$BE$48,4,FALSE)</f>
        <v>Actividades: Conservar y restaurar bienes culturales (esculturas, cuadros, elementos arqueológicos, etc.) sin alterarlos. Ilustrar libros empleando diversas técnicas de expresión gráfica. Crear diseños para la mejora de espacios interiores. Dibujar o diseñar con ordenador elementos para decoración textil, cerámica o mobiliario. Diseñar y elaborar elementos relacionados con la moda. Crear piezas de cerámica.</v>
      </c>
    </row>
    <row r="87" spans="1:54" ht="6.75" customHeight="1" x14ac:dyDescent="0.35">
      <c r="A87" s="94"/>
      <c r="B87" s="33"/>
      <c r="C87" s="61"/>
      <c r="D87" s="61"/>
      <c r="E87" s="61"/>
      <c r="F87" s="86"/>
      <c r="G87" s="86"/>
      <c r="H87" s="86"/>
      <c r="I87" s="86"/>
      <c r="J87" s="86"/>
      <c r="K87" s="86"/>
      <c r="L87" s="86"/>
      <c r="M87" s="70"/>
      <c r="N87" s="63"/>
      <c r="O87" s="49"/>
      <c r="P87" s="49"/>
      <c r="Q87" s="50"/>
      <c r="R87" s="50"/>
      <c r="S87" s="51"/>
      <c r="T87" s="51"/>
      <c r="U87" s="51"/>
      <c r="V87" s="51"/>
      <c r="W87" s="51"/>
      <c r="X87" s="51"/>
      <c r="Y87" s="51"/>
      <c r="Z87" s="51"/>
      <c r="AA87" s="51"/>
      <c r="AB87" s="51"/>
      <c r="AC87" s="51"/>
      <c r="AD87" s="51"/>
      <c r="AE87" s="51"/>
      <c r="AF87" s="51"/>
      <c r="AG87" s="51"/>
      <c r="AU87" s="13"/>
      <c r="AV87" s="15"/>
      <c r="AW87" s="5"/>
    </row>
    <row r="88" spans="1:54" ht="15" customHeight="1" x14ac:dyDescent="0.35">
      <c r="A88" s="94"/>
      <c r="B88" s="33"/>
      <c r="C88" s="61"/>
      <c r="D88" s="61"/>
      <c r="E88" s="61"/>
      <c r="F88" s="86"/>
      <c r="G88" s="86"/>
      <c r="H88" s="86"/>
      <c r="I88" s="86"/>
      <c r="J88" s="86"/>
      <c r="K88" s="86"/>
      <c r="L88" s="86"/>
      <c r="M88" s="70" t="s">
        <v>9</v>
      </c>
      <c r="N88" s="63"/>
      <c r="O88" s="71">
        <f>Cuadernillo!V52+Cuadernillo!V66+Cuadernillo!V72+Cuadernillo!V76+Cuadernillo!V100+Cuadernillo!V178</f>
        <v>0</v>
      </c>
      <c r="P88" s="49"/>
      <c r="Q88" s="71" cm="1">
        <f t="array" aca="1" ref="Q88" ca="1">+INDEX(INDIRECT("SSS"&amp;VLOOKUP($L$7,$AP$7:$AQ$8,2,FALSE)),MATCH(O88&amp;$L$7,INDIRECT("KKK"&amp;VLOOKUP($L$7,$AP$7:$AQ$8,2,FALSE))&amp;$L$7,0))</f>
        <v>15</v>
      </c>
      <c r="R88" s="50"/>
      <c r="S88" s="51"/>
      <c r="T88" s="51"/>
      <c r="U88" s="51"/>
      <c r="V88" s="51"/>
      <c r="W88" s="51"/>
      <c r="X88" s="51"/>
      <c r="Y88" s="51"/>
      <c r="Z88" s="51"/>
      <c r="AA88" s="51"/>
      <c r="AB88" s="51"/>
      <c r="AC88" s="51"/>
      <c r="AD88" s="51"/>
      <c r="AE88" s="51"/>
      <c r="AF88" s="51"/>
      <c r="AG88" s="51"/>
      <c r="AU88" s="13">
        <v>15</v>
      </c>
      <c r="AV88" s="15" t="str">
        <f ca="1">VLOOKUP(LARGE($AT$14:$AT$48,AU88),$AT$14:$AV$48,3,0)</f>
        <v>ARTÍSTICO MUSICAL/ ESPECTÁCULO</v>
      </c>
      <c r="AW88" s="5">
        <f ca="1">VLOOKUP(LARGE($AT$14:$AT$48,AU88),$AT$14:$AV$48,2,0)</f>
        <v>10</v>
      </c>
      <c r="AX88" s="5" t="str">
        <f ca="1">VLOOKUP(LARGE($AT$14:$AT$48,AU88),$AT$14:$AW$48,4,0)</f>
        <v>Bajo interés al</v>
      </c>
      <c r="AY88" s="5" t="str">
        <f ca="1">VLOOKUP(LARGE($AT$14:$AT$48,AU88),$AT$14:$AX$48,5,0)</f>
        <v>Profesiones: Cantante, Actor profesional, Actor de doblaje, Músico instrumentista, Bailarín, Musicólogo.</v>
      </c>
      <c r="AZ88" s="16">
        <f ca="1">+VLOOKUP(AV88,$BB$14:$BD$48,2,FALSE)</f>
        <v>15</v>
      </c>
      <c r="BA88" s="16" t="str">
        <f ca="1">+VLOOKUP(AV88,$BB$14:$BD$48,3,FALSE)</f>
        <v>Bajo interés en las</v>
      </c>
      <c r="BB88" s="16" t="str">
        <f ca="1">+VLOOKUP(AV88,$BB$14:$BE$48,4,FALSE)</f>
        <v>Actividades: Representar un personaje en el teatro, el cine o la televisión. Doblar las voces de actores extranjeros para las versiones traducidas de películas. Dar recitales o conciertos interpretando canciones como solista o formando parte de un grupo. Bailar en representaciones públicas interpretando danza clásica o moderna. Formar parte de una orquesta o actuar como solista tocando un instrumento. Investigar la historia de la música, sus técnicas y métodos.</v>
      </c>
    </row>
    <row r="89" spans="1:54" x14ac:dyDescent="0.35">
      <c r="C89" s="60"/>
      <c r="D89" s="60"/>
      <c r="E89" s="60"/>
      <c r="F89" s="77"/>
      <c r="G89" s="48"/>
      <c r="H89" s="49"/>
      <c r="I89" s="50"/>
      <c r="J89" s="49"/>
      <c r="K89" s="51"/>
      <c r="L89" s="51"/>
      <c r="M89" s="51"/>
      <c r="N89" s="51"/>
      <c r="O89" s="51"/>
      <c r="P89" s="51"/>
      <c r="Q89" s="51"/>
      <c r="R89" s="51"/>
      <c r="S89" s="51"/>
      <c r="T89" s="51"/>
      <c r="U89" s="51"/>
      <c r="V89" s="51"/>
      <c r="W89" s="51"/>
      <c r="X89" s="51"/>
      <c r="Y89" s="51"/>
      <c r="Z89" s="51"/>
      <c r="AA89" s="51"/>
      <c r="AB89" s="51"/>
      <c r="AC89" s="51"/>
      <c r="AD89" s="51"/>
      <c r="AE89" s="51"/>
      <c r="AF89" s="51"/>
      <c r="AG89" s="51"/>
    </row>
    <row r="90" spans="1:54" x14ac:dyDescent="0.35">
      <c r="C90" s="60"/>
      <c r="D90" s="60"/>
      <c r="E90" s="60"/>
      <c r="F90" s="78" t="s">
        <v>296</v>
      </c>
      <c r="G90" s="48"/>
      <c r="H90" s="49"/>
      <c r="I90" s="50"/>
      <c r="J90" s="49"/>
      <c r="K90" s="51"/>
      <c r="L90" s="51"/>
      <c r="M90" s="51"/>
      <c r="N90" s="51"/>
      <c r="O90" s="51"/>
      <c r="P90" s="51"/>
      <c r="Q90" s="51"/>
      <c r="R90" s="51"/>
      <c r="S90" s="51"/>
      <c r="T90" s="51"/>
      <c r="U90" s="51"/>
      <c r="V90" s="51"/>
      <c r="W90" s="51"/>
      <c r="X90" s="51"/>
      <c r="Y90" s="51"/>
      <c r="Z90" s="51"/>
      <c r="AA90" s="51"/>
      <c r="AB90" s="51"/>
      <c r="AC90" s="51"/>
      <c r="AD90" s="51"/>
      <c r="AE90" s="51"/>
      <c r="AF90" s="51"/>
      <c r="AG90" s="51"/>
    </row>
    <row r="91" spans="1:54" x14ac:dyDescent="0.35">
      <c r="C91" s="60"/>
      <c r="D91" s="60"/>
      <c r="E91" s="60"/>
      <c r="F91" s="77"/>
      <c r="G91" s="48"/>
      <c r="H91" s="49"/>
      <c r="I91" s="50"/>
      <c r="J91" s="49"/>
      <c r="K91" s="51"/>
      <c r="L91" s="51"/>
      <c r="M91" s="51"/>
      <c r="N91" s="51"/>
      <c r="O91" s="51"/>
      <c r="P91" s="51"/>
      <c r="Q91" s="51"/>
      <c r="R91" s="51"/>
      <c r="S91" s="51"/>
      <c r="T91" s="51"/>
      <c r="U91" s="51"/>
      <c r="V91" s="51"/>
      <c r="W91" s="51"/>
      <c r="X91" s="51"/>
      <c r="Y91" s="51"/>
      <c r="Z91" s="51"/>
      <c r="AA91" s="51"/>
      <c r="AB91" s="51"/>
      <c r="AC91" s="51"/>
      <c r="AD91" s="51"/>
      <c r="AE91" s="51"/>
      <c r="AF91" s="51"/>
      <c r="AG91" s="51"/>
    </row>
    <row r="92" spans="1:54" ht="10.5" customHeight="1" x14ac:dyDescent="0.35">
      <c r="C92" s="60"/>
      <c r="D92" s="60"/>
      <c r="E92" s="60"/>
      <c r="F92" s="79"/>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37"/>
      <c r="AI92" s="37"/>
      <c r="AJ92" s="37"/>
      <c r="AK92" s="37"/>
      <c r="AL92" s="37"/>
      <c r="AM92" s="37"/>
      <c r="AN92" s="37"/>
    </row>
    <row r="93" spans="1:54" ht="4.5" customHeight="1" x14ac:dyDescent="0.35">
      <c r="C93" s="60"/>
      <c r="D93" s="60"/>
      <c r="E93" s="6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37"/>
      <c r="AI93" s="37"/>
      <c r="AJ93" s="37"/>
      <c r="AK93" s="37"/>
      <c r="AL93" s="37"/>
      <c r="AM93" s="37"/>
      <c r="AN93" s="37"/>
    </row>
    <row r="94" spans="1:54" ht="21.95" customHeight="1" x14ac:dyDescent="0.35">
      <c r="C94" s="60"/>
      <c r="D94" s="60"/>
      <c r="E94" s="60"/>
      <c r="F94" s="81" t="s">
        <v>301</v>
      </c>
      <c r="G94" s="82"/>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row>
    <row r="95" spans="1:54" ht="7.5" customHeight="1" x14ac:dyDescent="0.35">
      <c r="C95" s="60"/>
      <c r="D95" s="60"/>
      <c r="E95" s="60"/>
      <c r="F95" s="80"/>
      <c r="G95" s="82"/>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row>
    <row r="96" spans="1:54" ht="66.75" customHeight="1" x14ac:dyDescent="0.35">
      <c r="C96" s="60"/>
      <c r="D96" s="60"/>
      <c r="E96" s="60"/>
      <c r="F96" s="95" t="str">
        <f>_xlfn._LONGTEXT("Este informe de carácter automático pretende servir de ayuda a la interpretación de los resultados obtenidos en el test IPP-R, Intereses y Preferencias Profesionales - Revisado. Se trata de un inventario diseñado para conocer e identificar los campos prof","esionales que se adaptan mejor a las preferencias y características de la persona evaluada, de forma que se pueda facilitar el proceso de exploración y la toma de decisiones sobre los estudios a realizar en el futuro y las posibles profesiones a desempeña","r.")</f>
        <v>Este informe de carácter automático pretende servir de ayuda a la interpretación de los resultados obtenidos en el test IPP-R, Intereses y Preferencias Profesionales - Revisado. Se trata de un inventario diseñado para conocer e identificar los campos profesionales que se adaptan mejor a las preferencias y características de la persona evaluada, de forma que se pueda facilitar el proceso de exploración y la toma de decisiones sobre los estudios a realizar en el futuro y las posibles profesiones a desempeñar.</v>
      </c>
      <c r="G96" s="95"/>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row>
    <row r="97" spans="3:33" x14ac:dyDescent="0.35">
      <c r="C97" s="60"/>
      <c r="D97" s="60"/>
      <c r="E97" s="60"/>
      <c r="F97" s="80"/>
      <c r="G97" s="82"/>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row>
    <row r="98" spans="3:33" ht="81.75" customHeight="1" x14ac:dyDescent="0.35">
      <c r="C98" s="60"/>
      <c r="D98" s="60"/>
      <c r="E98" s="60"/>
      <c r="F98" s="95" t="e">
        <f ca="1">"Las frases que a continuación se presentan se basan en las puntuaciones directas (PD) y en los percentiles (Pc) del perfil gráfico, así como en la suposición de que "&amp;K3&amp;_xlfn._LONGTEXT(" ha contestado comprendiendo los enunciados y con máxima atención. Cabe recordar que los percentiles indican el porcentaje de la muestra normativa que se sitúa por debajo de la puntuación de la persona examinada, por lo que los resultados informan de su i","nterés en comparación con el grupo normativo seleccionado.")</f>
        <v>#NAME?</v>
      </c>
      <c r="G98" s="95"/>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row>
    <row r="99" spans="3:33" ht="12.75" customHeight="1" x14ac:dyDescent="0.35">
      <c r="C99" s="60"/>
      <c r="D99" s="60"/>
      <c r="E99" s="60"/>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row>
    <row r="100" spans="3:33" ht="21.75" customHeight="1" x14ac:dyDescent="0.35">
      <c r="C100" s="60"/>
      <c r="D100" s="60"/>
      <c r="E100" s="60"/>
      <c r="F100" s="81" t="s">
        <v>308</v>
      </c>
      <c r="G100" s="82"/>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row>
    <row r="101" spans="3:33" ht="6" customHeight="1" x14ac:dyDescent="0.35">
      <c r="C101" s="60"/>
      <c r="D101" s="60"/>
      <c r="E101" s="60"/>
      <c r="F101" s="95"/>
      <c r="G101" s="95"/>
      <c r="H101" s="95"/>
      <c r="I101" s="95"/>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row>
    <row r="102" spans="3:33" ht="90.75" customHeight="1" x14ac:dyDescent="0.35">
      <c r="C102" s="60"/>
      <c r="D102" s="60"/>
      <c r="E102" s="60"/>
      <c r="F102" s="95" t="str" cm="1">
        <f t="array" ref="F102">"Antes de proceder a la interpretación, se realizan algunas comprobaciones para determinar el cuidado o la atención que "&amp;K3&amp;" ha puesto al responder al inventario."&amp;CHAR(10)&amp;CHAR(10)&amp;"Número de respuestas anotadas: "&amp;SUMPRODUCT(SIGN((Cuadernillo!Q43:Q222&lt;&gt;"")+(Cuadernillo!R43:R222&lt;&gt;"")+(Cuadernillo!S43:S222&lt;&gt;"")+(Cuadernillo!T43:T222&lt;&gt;"")))&amp;" de 180 elementos ("&amp;ROUND(SUMPRODUCT(SIGN((Cuadernillo!Q43:Q222&lt;&gt;"")+(Cuadernillo!R43:R222&lt;&gt;"")+(Cuadernillo!S43:S222&lt;&gt;"")+(Cuadernillo!T43:T222&lt;&gt;"")))/180*100,1)&amp;"%)."&amp;CHAR(10)&amp;"Distribución de respuestas: A="&amp;COUNTIF(Cuadernillo!Q43:Q222,"x")&amp;" | B="&amp;COUNTIF(Cuadernillo!R43:R222,"x")&amp;" | C="&amp;COUNTIF(Cuadernillo!S43:S222,"x")&amp;" | D="&amp;COUNTIF(Cuadernillo!T43:T222,"x")&amp;CHAR(10)&amp;CHAR(10)&amp;IF(SUMPRODUCT(SIGN((Cuadernillo!Q43:Q222&lt;&gt;"")+(Cuadernillo!R43:R222&lt;&gt;"")+(Cuadernillo!S43:S222&lt;&gt;"")+(Cuadernillo!T43:T222&lt;&gt;"")))&lt;90,"⚠️ ATENCIÓN: El porcentaje de respuestas es inferior al 50%. Se considera que el resultado NO es adecuado para una interpretación. Se recomienda repetir la aplicación.",IF(SUMPRODUCT(SIGN((Cuadernillo!Q43:Q222&lt;&gt;"")+(Cuadernillo!R43:R222&lt;&gt;"")+(Cuadernillo!S43:S222&lt;&gt;"")+(Cuadernillo!T43:T222&lt;&gt;"")))&lt;126,"⚠️ PRECAUCIÓN: El porcentaje de respuestas es inferior al 70% (126 elementos). La interpretación debe hacerse con cautela.","✅ El número de respuestas es adecuado para una interpretación válida (≥70%)."))</f>
        <v>Antes de proceder a la interpretación, se realizan algunas comprobaciones para determinar el cuidado o la atención que  ha puesto al responder al inventario.
Número de respuestas anotadas: 44 de 180 elementos (24.4%).
Distribución de respuestas: A=1 | B=15 | C=21 | D=7
⚠️ ATENCIÓN: El porcentaje de respuestas es inferior al 50%. Se considera que el resultado NO es adecuado para una interpretación. Se recomienda repetir la aplicación.</v>
      </c>
      <c r="G102" s="95"/>
      <c r="H102" s="95"/>
      <c r="I102" s="95"/>
      <c r="J102" s="95"/>
      <c r="K102" s="95"/>
      <c r="L102" s="95"/>
      <c r="M102" s="95"/>
      <c r="N102" s="95"/>
      <c r="O102" s="95"/>
      <c r="P102" s="95"/>
      <c r="Q102" s="95"/>
      <c r="R102" s="95"/>
      <c r="S102" s="95"/>
      <c r="T102" s="95"/>
      <c r="U102" s="95"/>
      <c r="V102" s="95"/>
      <c r="W102" s="95"/>
      <c r="X102" s="95"/>
      <c r="Y102" s="95"/>
      <c r="Z102" s="95"/>
      <c r="AA102" s="95"/>
      <c r="AB102" s="95"/>
      <c r="AC102" s="95"/>
      <c r="AD102" s="95"/>
      <c r="AE102" s="95"/>
      <c r="AF102" s="95"/>
      <c r="AG102" s="95"/>
    </row>
    <row r="103" spans="3:33" ht="21.75" customHeight="1" x14ac:dyDescent="0.35">
      <c r="C103" s="60"/>
      <c r="D103" s="60"/>
      <c r="E103" s="60"/>
      <c r="F103" s="81" t="s">
        <v>302</v>
      </c>
      <c r="G103" s="82"/>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row>
    <row r="104" spans="3:33" ht="9" customHeight="1" x14ac:dyDescent="0.35">
      <c r="C104" s="60"/>
      <c r="D104" s="60"/>
      <c r="E104" s="60"/>
      <c r="F104" s="80"/>
      <c r="G104" s="82"/>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row>
    <row r="105" spans="3:33" ht="183" customHeight="1" x14ac:dyDescent="0.35">
      <c r="C105" s="60"/>
      <c r="D105" s="60"/>
      <c r="E105" s="60"/>
      <c r="F105" s="95" t="str">
        <f ca="1">"Si hubiera que resumir los resultados de la evaluación en un solo párrafo, el principal hallazgo es que "&amp;K3&amp;" ha mostrado un interés destacado por los siguientes campos profesionales:"&amp;CHAR(10)&amp;CHAR(10)&amp;"1. "&amp;PROPER(AV53)&amp;CHAR(10)&amp;"2. "&amp;PROPER(AV56)&amp;CHAR(10)&amp;"3. "&amp;PROPER(AV58)&amp;CHAR(10)&amp;"4. "&amp;PROPER(AV61)&amp;CHAR(10)&amp;"5. "&amp;PROPER(AV63)&amp;CHAR(10)&amp;CHAR(10)&amp;"En los siguientes apartados se profundiza en este aspecto y se añaden otras informaciones que pueden resultar importantes para interpretar el perfil vocacional observado."</f>
        <v>Si hubiera que resumir los resultados de la evaluación en un solo párrafo, el principal hallazgo es que  ha mostrado un interés destacado por los siguientes campos profesionales:
1. Empresarial/Administrativo/ Comercial
2. Fuerzas Armadas/Seguridad/Protección
3. Sanidad
4. Científico Social / Humanidades
5. Deportivo 
En los siguientes apartados se profundiza en este aspecto y se añaden otras informaciones que pueden resultar importantes para interpretar el perfil vocacional observado.</v>
      </c>
      <c r="G105" s="95"/>
      <c r="H105" s="95"/>
      <c r="I105" s="95"/>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row>
    <row r="106" spans="3:33" ht="9.75" customHeight="1" x14ac:dyDescent="0.35">
      <c r="C106" s="60"/>
      <c r="D106" s="60"/>
      <c r="E106" s="60"/>
      <c r="F106" s="80"/>
      <c r="G106" s="82"/>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row>
    <row r="107" spans="3:33" ht="21.95" customHeight="1" x14ac:dyDescent="0.35">
      <c r="C107" s="60"/>
      <c r="D107" s="60"/>
      <c r="E107" s="60"/>
      <c r="F107" s="81" t="s">
        <v>303</v>
      </c>
      <c r="G107" s="82"/>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row>
    <row r="108" spans="3:33" ht="8.25" customHeight="1" x14ac:dyDescent="0.35">
      <c r="C108" s="60"/>
      <c r="D108" s="60"/>
      <c r="E108" s="60"/>
      <c r="F108" s="80"/>
      <c r="G108" s="82"/>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row>
    <row r="109" spans="3:33" ht="204.75" customHeight="1" x14ac:dyDescent="0.35">
      <c r="C109" s="60"/>
      <c r="D109" s="60"/>
      <c r="E109" s="60"/>
      <c r="F109" s="95" t="e">
        <f ca="1">_xlfn._LONGTEXT("En este apartado se tratan los campos profesionales por los que la persona evaluada muestra un interés notable. Para ello, se consideran conjuntamente las actividades y profesiones de cada campo y se comparan las elecciones de la persona con las de una mu","estra representativa. Los resultados indican, por tanto, su posición en relación con dicha muestra.")&amp;CHAR(10)&amp;CHAR(10)&amp;"El campo profesional por el que ha mostrado un mayor interés es "&amp;LOWER(AV53)&amp;". Este campo incluye las actividades relacionadas con "&amp;MID(BB53,FIND(":",BB53)+2,LEN(BB53))&amp;" Algunas profesiones tipo son las de "&amp;MID(AY53,FIND(":",AY53)+2,LEN(AY53))&amp;CHAR(10)&amp;CHAR(10)&amp;"Adicionalmente, también ha mostrado un interés "&amp;IF(AW56&gt;=97,"muy elevado",IF(AW56&gt;=84,"elevado",IF(AW56&gt;=70,"medio alto",IF(AW56&gt;=30,"medio",IF(AW56&gt;=16,"medio bajo",IF(AW56&gt;=4,"bajo","muy bajo"))))))&amp;", aunque menor, por otros campos profesionales. Estos campos son los siguientes:"</f>
        <v>#NAME?</v>
      </c>
      <c r="G109" s="95"/>
      <c r="H109" s="95"/>
      <c r="I109" s="95"/>
      <c r="J109" s="95"/>
      <c r="K109" s="95"/>
      <c r="L109" s="95"/>
      <c r="M109" s="95"/>
      <c r="N109" s="95"/>
      <c r="O109" s="95"/>
      <c r="P109" s="95"/>
      <c r="Q109" s="95"/>
      <c r="R109" s="95"/>
      <c r="S109" s="95"/>
      <c r="T109" s="95"/>
      <c r="U109" s="95"/>
      <c r="V109" s="95"/>
      <c r="W109" s="95"/>
      <c r="X109" s="95"/>
      <c r="Y109" s="95"/>
      <c r="Z109" s="95"/>
      <c r="AA109" s="95"/>
      <c r="AB109" s="95"/>
      <c r="AC109" s="95"/>
      <c r="AD109" s="95"/>
      <c r="AE109" s="95"/>
      <c r="AF109" s="95"/>
      <c r="AG109" s="95"/>
    </row>
    <row r="110" spans="3:33" ht="1.5" customHeight="1" x14ac:dyDescent="0.35">
      <c r="C110" s="60"/>
      <c r="D110" s="60"/>
      <c r="E110" s="60"/>
      <c r="F110" s="80"/>
      <c r="G110" s="82"/>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row>
    <row r="111" spans="3:33" ht="169.5" customHeight="1" x14ac:dyDescent="0.35">
      <c r="C111" s="60"/>
      <c r="D111" s="60"/>
      <c r="E111" s="60"/>
      <c r="F111" s="95" t="str">
        <f ca="1">IF(AW56&gt;=97,"Interés muy elevado",IF(AW56&gt;=84,"Interés elevado",IF(AW56&gt;=70,"Interés medio alto",IF(AW56&gt;=30,"Interés medio",IF(AW56&gt;=16,"Interés medio bajo",IF(AW56&gt;=4,"Interés bajo","Interés muy bajo"))))))&amp;CHAR(10)&amp;CHAR(10)&amp;"Campo "&amp;LOWER(AV56)&amp;CHAR(10)&amp;"• Ejemplo de posibles profesiones: "&amp;MID(AY56,FIND(":",AY56)+2,LEN(AY56))&amp;CHAR(10)&amp;CHAR(10)&amp;IF(AW58&lt;&gt;AW56,IF(AW58&gt;=97,"Interés muy elevado",IF(AW58&gt;=84,"Interés elevado",IF(AW58&gt;=70,"Interés medio alto",IF(AW58&gt;=30,"Interés medio",IF(AW58&gt;=16,"Interés medio bajo",IF(AW58&gt;=4,"Interés bajo","Interés muy bajo"))))))&amp;CHAR(10)&amp;CHAR(10),"")&amp;"Campo "&amp;LOWER(AV58)&amp;CHAR(10)&amp;"• Ejemplo de posibles profesiones: "&amp;MID(AY58,FIND(":",AY58)+2,LEN(AY58))</f>
        <v>Interés medio
Campo fuerzas armadas/seguridad/protección
• Ejemplo de posibles profesiones: Policía, Vigilante jurado, Oficial de carrera del Ejército, Bombero, Especialista del Ejército, Técnico en salvamento acuático.
Interés medio
Campo sanidad
• Ejemplo de posibles profesiones: Médico, Fisioterapeuta, Odontólogo, Dietista, Oftalmólogo. Médico especialista (cardiólogo, pediatra, traumatólogo, etc.), Psicólogo, Psiquiatra.</v>
      </c>
      <c r="G111" s="95"/>
      <c r="H111" s="95"/>
      <c r="I111" s="95"/>
      <c r="J111" s="95"/>
      <c r="K111" s="95"/>
      <c r="L111" s="95"/>
      <c r="M111" s="95"/>
      <c r="N111" s="95"/>
      <c r="O111" s="95"/>
      <c r="P111" s="95"/>
      <c r="Q111" s="95"/>
      <c r="R111" s="95"/>
      <c r="S111" s="95"/>
      <c r="T111" s="95"/>
      <c r="U111" s="95"/>
      <c r="V111" s="95"/>
      <c r="W111" s="95"/>
      <c r="X111" s="95"/>
      <c r="Y111" s="95"/>
      <c r="Z111" s="95"/>
      <c r="AA111" s="95"/>
      <c r="AB111" s="95"/>
      <c r="AC111" s="95"/>
      <c r="AD111" s="95"/>
      <c r="AE111" s="95"/>
      <c r="AF111" s="95"/>
      <c r="AG111" s="95"/>
    </row>
    <row r="112" spans="3:33" ht="2.25" customHeight="1" x14ac:dyDescent="0.35">
      <c r="C112" s="60"/>
      <c r="D112" s="60"/>
      <c r="E112" s="60"/>
      <c r="F112" s="80"/>
      <c r="G112" s="82"/>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row>
    <row r="113" spans="3:33" ht="154.5" customHeight="1" x14ac:dyDescent="0.35">
      <c r="C113" s="60"/>
      <c r="D113" s="60"/>
      <c r="E113" s="60"/>
      <c r="F113" s="95" t="str">
        <f ca="1">IF(AW61&lt;&gt;AW58,IF(AW61&gt;=97,"Interés muy elevado",IF(AW61&gt;=84,"Interés elevado",IF(AW61&gt;=70,"Interés medio alto",IF(AW61&gt;=30,"Interés medio",IF(AW61&gt;=16,"Interés medio bajo",IF(AW61&gt;=4,"Interés bajo","Interés muy bajo"))))))&amp;CHAR(10)&amp;CHAR(10),"")&amp;"Campo "&amp;LOWER(AV61)&amp;CHAR(10)&amp;"• Ejemplo de posibles profesiones: "&amp;MID(AY61,FIND(":",AY61)+2,LEN(AY61))&amp;CHAR(10)&amp;CHAR(10)&amp;IF(AW63&lt;&gt;AW61,IF(AW63&gt;=97,"Interés muy elevado",IF(AW63&gt;=84,"Interés elevado",IF(AW63&gt;=70,"Interés medio alto",IF(AW63&gt;=30,"Interés medio",IF(AW63&gt;=16,"Interés medio bajo",IF(AW63&gt;=4,"Interés bajo","Interés muy bajo"))))))&amp;CHAR(10)&amp;CHAR(10),"")&amp;"Campo "&amp;LOWER(AV63)&amp;CHAR(10)&amp;"• Ejemplo de posibles profesiones: "&amp;MID(AY63,FIND(":",AY63)+2,LEN(AY63))</f>
        <v>Campo científico social / humanidades
• Ejemplo de posibles profesiones: Historiador, Especialista en arte (pintura, arquitectura, escultura, etc.), Sociólogo, Filósofo, Trabajador social, Arqueólogo, Antropólogo.
Interés medio bajo
Campo deportivo 
• Ejemplo de posibles profesiones: Conductor de actividades deportivas, Técnico deportivo, Licenciado en Ciencias de la Actividad Física, Masajista deportivo, Entrenador, Animador deportivo.</v>
      </c>
      <c r="G113" s="95"/>
      <c r="H113" s="95"/>
      <c r="I113" s="95"/>
      <c r="J113" s="95"/>
      <c r="K113" s="95"/>
      <c r="L113" s="95"/>
      <c r="M113" s="95"/>
      <c r="N113" s="95"/>
      <c r="O113" s="95"/>
      <c r="P113" s="95"/>
      <c r="Q113" s="95"/>
      <c r="R113" s="95"/>
      <c r="S113" s="95"/>
      <c r="T113" s="95"/>
      <c r="U113" s="95"/>
      <c r="V113" s="95"/>
      <c r="W113" s="95"/>
      <c r="X113" s="95"/>
      <c r="Y113" s="95"/>
      <c r="Z113" s="95"/>
      <c r="AA113" s="95"/>
      <c r="AB113" s="95"/>
      <c r="AC113" s="95"/>
      <c r="AD113" s="95"/>
      <c r="AE113" s="95"/>
      <c r="AF113" s="95"/>
      <c r="AG113" s="95"/>
    </row>
    <row r="114" spans="3:33" ht="9" customHeight="1" x14ac:dyDescent="0.35">
      <c r="C114" s="60"/>
      <c r="D114" s="60"/>
      <c r="E114" s="60"/>
      <c r="F114" s="80"/>
      <c r="G114" s="82"/>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row>
    <row r="115" spans="3:33" ht="59.25" customHeight="1" x14ac:dyDescent="0.35">
      <c r="C115" s="60"/>
      <c r="D115" s="60"/>
      <c r="E115" s="60"/>
      <c r="F115" s="96" t="str">
        <f>_xlfn._LONGTEXT("Por último, conviene contrastar en el siguiente apartado las discrepancias que se han detectado entre las actividades y las profesiones propias de alguno de los campos profesionales apuntados anteriormente, lo que podría sugerir una intervención o dar lug","ar a un reajuste de las preferencias de la persona.")</f>
        <v>Por último, conviene contrastar en el siguiente apartado las discrepancias que se han detectado entre las actividades y las profesiones propias de alguno de los campos profesionales apuntados anteriormente, lo que podría sugerir una intervención o dar lugar a un reajuste de las preferencias de la persona.</v>
      </c>
      <c r="G115" s="95"/>
      <c r="H115" s="95"/>
      <c r="I115" s="95"/>
      <c r="J115" s="95"/>
      <c r="K115" s="95"/>
      <c r="L115" s="95"/>
      <c r="M115" s="95"/>
      <c r="N115" s="95"/>
      <c r="O115" s="95"/>
      <c r="P115" s="95"/>
      <c r="Q115" s="95"/>
      <c r="R115" s="95"/>
      <c r="S115" s="95"/>
      <c r="T115" s="95"/>
      <c r="U115" s="95"/>
      <c r="V115" s="95"/>
      <c r="W115" s="95"/>
      <c r="X115" s="95"/>
      <c r="Y115" s="95"/>
      <c r="Z115" s="95"/>
      <c r="AA115" s="95"/>
      <c r="AB115" s="95"/>
      <c r="AC115" s="95"/>
      <c r="AD115" s="95"/>
      <c r="AE115" s="95"/>
      <c r="AF115" s="95"/>
      <c r="AG115" s="95"/>
    </row>
    <row r="116" spans="3:33" ht="4.5" customHeight="1" x14ac:dyDescent="0.35">
      <c r="C116" s="60"/>
      <c r="D116" s="60"/>
      <c r="E116" s="60"/>
      <c r="F116" s="80"/>
      <c r="G116" s="82"/>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row>
    <row r="117" spans="3:33" ht="6" customHeight="1" x14ac:dyDescent="0.35">
      <c r="C117" s="60"/>
      <c r="D117" s="60"/>
      <c r="E117" s="60"/>
      <c r="F117" s="80"/>
      <c r="G117" s="82"/>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row>
    <row r="118" spans="3:33" ht="21.95" customHeight="1" x14ac:dyDescent="0.35">
      <c r="C118" s="60"/>
      <c r="D118" s="60"/>
      <c r="E118" s="60"/>
      <c r="F118" s="81" t="s">
        <v>304</v>
      </c>
      <c r="G118" s="82"/>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row>
    <row r="119" spans="3:33" ht="6" customHeight="1" x14ac:dyDescent="0.35">
      <c r="C119" s="60"/>
      <c r="D119" s="60"/>
      <c r="E119" s="60"/>
      <c r="F119" s="80"/>
      <c r="G119" s="82"/>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row>
    <row r="120" spans="3:33" ht="102.75" customHeight="1" x14ac:dyDescent="0.35">
      <c r="C120" s="60"/>
      <c r="D120" s="60"/>
      <c r="E120" s="60"/>
      <c r="F120" s="95" t="e">
        <f ca="1">"Discrepancias entre puntuaciones en Actividades (AC) y en Profesiones (PR)"&amp;CHAR(10)&amp;CHAR(10)&amp;"Un perfil en el que aparecen puntuaciones muy diferentes en los apartados AC y PR puede indicar que "&amp;K3&amp;_xlfn._LONGTEXT(" no tiene información suficiente sobre lo que implican las profesiones a que corresponden esas puntuaciones. Cuando esto sucede, puede resultar de mucha utilidad considerar el contenido de los elementos y las respuestas a cada uno de ellos, para saber el ","grado de conocimiento que tiene del tipo de actividades que implican las profesiones.")</f>
        <v>#NAME?</v>
      </c>
      <c r="G120" s="95"/>
      <c r="H120" s="95"/>
      <c r="I120" s="95"/>
      <c r="J120" s="95"/>
      <c r="K120" s="95"/>
      <c r="L120" s="95"/>
      <c r="M120" s="95"/>
      <c r="N120" s="95"/>
      <c r="O120" s="95"/>
      <c r="P120" s="95"/>
      <c r="Q120" s="95"/>
      <c r="R120" s="95"/>
      <c r="S120" s="95"/>
      <c r="T120" s="95"/>
      <c r="U120" s="95"/>
      <c r="V120" s="95"/>
      <c r="W120" s="95"/>
      <c r="X120" s="95"/>
      <c r="Y120" s="95"/>
      <c r="Z120" s="95"/>
      <c r="AA120" s="95"/>
      <c r="AB120" s="95"/>
      <c r="AC120" s="95"/>
      <c r="AD120" s="95"/>
      <c r="AE120" s="95"/>
      <c r="AF120" s="95"/>
      <c r="AG120" s="95"/>
    </row>
    <row r="121" spans="3:33" ht="3.75" customHeight="1" x14ac:dyDescent="0.35">
      <c r="C121" s="60"/>
      <c r="D121" s="60"/>
      <c r="E121" s="60"/>
      <c r="F121" s="80"/>
      <c r="G121" s="82"/>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row>
    <row r="122" spans="3:33" ht="153" customHeight="1" x14ac:dyDescent="0.35">
      <c r="C122" s="60"/>
      <c r="D122" s="60"/>
      <c r="E122" s="60"/>
      <c r="F122" s="95" t="str">
        <f ca="1">IF((ABS(AW53-AZ53)&gt;=10)+(ABS(AW56-AZ56)&gt;=10)+(ABS(AW58-AZ58)&gt;=10)+(ABS(AW61-AZ61)&gt;=10)+(ABS(AW63-AZ63)&gt;=10)+(ABS(AW66-AZ66)&gt;=10)+(ABS(AW68-AZ68)&gt;=10)+(ABS(AW71-AZ71)&gt;=10)+(ABS(AW73-AZ73)&gt;=10)+(ABS(AW76-AZ76)&gt;=10)+(ABS(AW78-AZ78)&gt;=10)+(ABS(AW81-AZ81)&gt;=10)+(ABS(AW83-AZ83)&gt;=10)+(ABS(AW86-AZ86)&gt;=10)+(ABS(AW88-AZ88)&gt;=10)=0,"En este caso, no se han observado discrepancias entre las puntuaciones de Actividades y Profesiones en ninguno de los campos profesionales. Esto indica que "&amp;K3&amp;" tiene un conocimiento coherente de las actividades que implican las distintas profesiones.","En este caso, se han observado diferencias marcadas entre los dos aspectos (AC y PR) en los siguientes campos profesionales:"&amp;CHAR(10)&amp;CHAR(10)&amp;IF(ABS(AW53-AZ53)&gt;=10,"• "&amp;PROPER(AV53)&amp;IF(AW53&gt;=AW63," – campo de alta preferencia.",".")&amp;CHAR(10),"")&amp;IF(ABS(AW56-AZ56)&gt;=10,"• "&amp;PROPER(AV56)&amp;IF(AW56&gt;=AW63," – campo de alta preferencia.",".")&amp;CHAR(10),"")&amp;IF(ABS(AW58-AZ58)&gt;=10,"• "&amp;PROPER(AV58)&amp;"."&amp;CHAR(10),"")&amp;IF(ABS(AW61-AZ61)&gt;=10,"• "&amp;PROPER(AV61)&amp;"."&amp;CHAR(10),"")&amp;IF(ABS(AW63-AZ63)&gt;=10,"• "&amp;PROPER(AV63)&amp;"."&amp;CHAR(10),"")&amp;IF(ABS(AW66-AZ66)&gt;=10,"• "&amp;PROPER(AV66)&amp;"."&amp;CHAR(10),"")&amp;IF(ABS(AW68-AZ68)&gt;=10,"• "&amp;PROPER(AV68)&amp;"."&amp;CHAR(10),"")&amp;IF(ABS(AW71-AZ71)&gt;=10,"• "&amp;PROPER(AV71)&amp;"."&amp;CHAR(10),""))</f>
        <v xml:space="preserve">En este caso, se han observado diferencias marcadas entre los dos aspectos (AC y PR) en los siguientes campos profesionales:
• Fuerzas Armadas/Seguridad/Protección – campo de alta preferencia.
• Sanidad.
• Científico Social / Humanidades.
• Deportivo .
• Informática.
• Turismo Y Hotelería.
</v>
      </c>
      <c r="G122" s="95"/>
      <c r="H122" s="95"/>
      <c r="I122" s="95"/>
      <c r="J122" s="95"/>
      <c r="K122" s="95"/>
      <c r="L122" s="95"/>
      <c r="M122" s="95"/>
      <c r="N122" s="95"/>
      <c r="O122" s="95"/>
      <c r="P122" s="95"/>
      <c r="Q122" s="95"/>
      <c r="R122" s="95"/>
      <c r="S122" s="95"/>
      <c r="T122" s="95"/>
      <c r="U122" s="95"/>
      <c r="V122" s="95"/>
      <c r="W122" s="95"/>
      <c r="X122" s="95"/>
      <c r="Y122" s="95"/>
      <c r="Z122" s="95"/>
      <c r="AA122" s="95"/>
      <c r="AB122" s="95"/>
      <c r="AC122" s="95"/>
      <c r="AD122" s="95"/>
      <c r="AE122" s="95"/>
      <c r="AF122" s="95"/>
      <c r="AG122" s="95"/>
    </row>
    <row r="123" spans="3:33" ht="1.5" hidden="1" customHeight="1" x14ac:dyDescent="0.35">
      <c r="C123" s="60"/>
      <c r="D123" s="60"/>
      <c r="E123" s="60"/>
      <c r="F123" s="80"/>
      <c r="G123" s="82"/>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row>
    <row r="124" spans="3:33" ht="247.5" customHeight="1" x14ac:dyDescent="0.35">
      <c r="C124" s="60"/>
      <c r="D124" s="60"/>
      <c r="E124" s="60"/>
      <c r="F124" s="95" t="e">
        <f ca="1">IF(ABS(AW73-AZ73)&gt;=10,"• "&amp;PROPER(AV73)&amp;"."&amp;CHAR(10),"")&amp;IF(ABS(AW76-AZ76)&gt;=10,"• "&amp;PROPER(AV76)&amp;"."&amp;CHAR(10),"")&amp;IF(ABS(AW78-AZ78)&gt;=10,"• "&amp;PROPER(AV78)&amp;"."&amp;CHAR(10),"")&amp;IF(ABS(AW81-AZ81)&gt;=10,"• "&amp;PROPER(AV81)&amp;"."&amp;CHAR(10),"")&amp;IF(ABS(AW83-AZ83)&gt;=10,"• "&amp;PROPER(AV83)&amp;"."&amp;CHAR(10),"")&amp;IF(ABS(AW86-AZ86)&gt;=10,"• "&amp;PROPER(AV86)&amp;"."&amp;CHAR(10),"")&amp;IF(ABS(AW88-AZ88)&gt;=10,"• "&amp;PROPER(AV88)&amp;"."&amp;CHAR(10),"")&amp;CHAR(10)&amp;_xlfn._LONGTEXT("En algunos casos este tipo de perfil se debe a causas diferentes a los intereses del propio individuo; su elección puede estar motivada por circunstancias que no tienen relación directa con la vocación: la presión familiar, el prestigio, la remuneración, ","etc.")&amp;CHAR(10)&amp;CHAR(10)&amp;"Muchas veces un sencillo examen de los resultados de la prueba es suficiente para que el orientador se haga cargo de la influencia de estos factores externos y pueda utilizarlos para indicar a "&amp;K3&amp;" algún campo profesional más vinculado a sus intereses y que resulte igualmente lucrativo o prestigioso."&amp;CHAR(10)&amp;CHAR(10)&amp;"En todo caso, cuando las puntuaciones presenten diferencias marcadas entre los dos aspectos de una escala, se deben revisar cuidadosamente las respuestas para averiguar si están anotadas en el lugar correcto."</f>
        <v>#NAME?</v>
      </c>
      <c r="G124" s="95"/>
      <c r="H124" s="95"/>
      <c r="I124" s="95"/>
      <c r="J124" s="95"/>
      <c r="K124" s="95"/>
      <c r="L124" s="95"/>
      <c r="M124" s="95"/>
      <c r="N124" s="95"/>
      <c r="O124" s="95"/>
      <c r="P124" s="95"/>
      <c r="Q124" s="95"/>
      <c r="R124" s="95"/>
      <c r="S124" s="95"/>
      <c r="T124" s="95"/>
      <c r="U124" s="95"/>
      <c r="V124" s="95"/>
      <c r="W124" s="95"/>
      <c r="X124" s="95"/>
      <c r="Y124" s="95"/>
      <c r="Z124" s="95"/>
      <c r="AA124" s="95"/>
      <c r="AB124" s="95"/>
      <c r="AC124" s="95"/>
      <c r="AD124" s="95"/>
      <c r="AE124" s="95"/>
      <c r="AF124" s="95"/>
      <c r="AG124" s="95"/>
    </row>
    <row r="125" spans="3:33" ht="4.5" customHeight="1" x14ac:dyDescent="0.35">
      <c r="C125" s="60"/>
      <c r="D125" s="60"/>
      <c r="E125" s="60"/>
      <c r="F125" s="80"/>
      <c r="G125" s="82"/>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row>
    <row r="126" spans="3:33" ht="21.95" customHeight="1" x14ac:dyDescent="0.35">
      <c r="C126" s="60"/>
      <c r="D126" s="60"/>
      <c r="E126" s="60"/>
      <c r="F126" s="85" t="s">
        <v>307</v>
      </c>
      <c r="G126" s="82"/>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row>
    <row r="127" spans="3:33" ht="228" customHeight="1" x14ac:dyDescent="0.35">
      <c r="C127" s="60"/>
      <c r="D127" s="60"/>
      <c r="E127" s="60"/>
      <c r="F127" s="95" t="e">
        <f ca="1">_xlfn._LONGTEXT("Una situación que aparece con bastante frecuencia en la orientación profesional es que alumnos con bajo nivel en algún aspecto aptitudinal específico expresen un alto interés por estudios o profesiones que requieren prioritariamente esa aptitud. En genera","l, estos casos son considerados «poco realistas» y se cree que las personas de estas características tienen pocas probabilidades de completar los estudios que les lleven a esa profesión.")&amp;CHAR(10)&amp;CHAR(10)&amp;_xlfn._LONGTEXT("El orientador debe considerar, en tales casos, que en las profesiones se presentan, generalmente, distintos niveles que requieren diversos grados de aptitudes y de formación y que, casi siempre, es posible encontrar en ellos uno apropiado para las caracte","rísticas de ")&amp;K3&amp;"."&amp;CHAR(10)&amp;CHAR(10)&amp;_xlfn._LONGTEXT("A pesar de ello, se debe tener en cuenta que la predicción del éxito en los estudios a partir de la evaluación de las aptitudes no tiene carácter de certeza absoluta, aunque es cierto que las personas con un nivel aptitudinal alto en los aspectos requerid","os para los estudios de una carrera concreta tienen mayor probabilidad de tener éxito en dichos estudios que aquellos que en esos aspectos presentan un nivel bajo.")</f>
        <v>#NAME?</v>
      </c>
      <c r="G127" s="95"/>
      <c r="H127" s="95"/>
      <c r="I127" s="95"/>
      <c r="J127" s="9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row>
    <row r="128" spans="3:33" ht="19.5" customHeight="1" x14ac:dyDescent="0.35">
      <c r="C128" s="60"/>
      <c r="D128" s="60"/>
      <c r="E128" s="60"/>
      <c r="F128" s="81" t="s">
        <v>305</v>
      </c>
      <c r="G128" s="82"/>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row>
    <row r="129" spans="3:33" ht="8.25" customHeight="1" x14ac:dyDescent="0.35">
      <c r="C129" s="60"/>
      <c r="D129" s="60"/>
      <c r="E129" s="60"/>
      <c r="F129" s="80"/>
      <c r="G129" s="82"/>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row>
    <row r="130" spans="3:33" ht="69" customHeight="1" x14ac:dyDescent="0.35">
      <c r="C130" s="60"/>
      <c r="D130" s="60"/>
      <c r="E130" s="60"/>
      <c r="F130" s="95" t="str">
        <f>_xlfn._LONGTEXT("Los rechazos pueden ser tan importantes o más que las elecciones. Al igual que conviene orientar a la persona hacia las profesiones sobre las que muestre un mayor interés, del mismo modo conviene evitar cualquier factor, familiar o externo, que le lleve a"," tomar una elección claramente alejada de su interés, puesto que existiría una elevada probabilidad de fracaso profesional.")</f>
        <v>Los rechazos pueden ser tan importantes o más que las elecciones. Al igual que conviene orientar a la persona hacia las profesiones sobre las que muestre un mayor interés, del mismo modo conviene evitar cualquier factor, familiar o externo, que le lleve a tomar una elección claramente alejada de su interés, puesto que existiría una elevada probabilidad de fracaso profesional.</v>
      </c>
      <c r="G130" s="95"/>
      <c r="H130" s="95"/>
      <c r="I130" s="95"/>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row>
    <row r="131" spans="3:33" ht="8.25" customHeight="1" x14ac:dyDescent="0.35">
      <c r="C131" s="60"/>
      <c r="D131" s="60"/>
      <c r="E131" s="60"/>
      <c r="F131" s="80"/>
      <c r="G131" s="82"/>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row>
    <row r="132" spans="3:33" ht="153" customHeight="1" x14ac:dyDescent="0.35">
      <c r="C132" s="60"/>
      <c r="D132" s="60"/>
      <c r="E132" s="60"/>
      <c r="F132" s="95" t="str">
        <f ca="1">IF((AND(AW88&lt;=16,AZ88&lt;=16))+(AND(AW86&lt;=16,AZ86&lt;=16))+(AND(AW83&lt;=16,AZ83&lt;=16))+(AND(AW81&lt;=16,AZ81&lt;=16))+(AND(AW78&lt;=16,AZ78&lt;=16))+(AND(AW76&lt;=16,AZ76&lt;=16))+(AND(AW73&lt;=16,AZ73&lt;=16))&gt;0,"En el caso de la persona evaluada, se ha detectado un rechazo significativo hacia los siguientes campos profesionales:"&amp;CHAR(10)&amp;CHAR(10)&amp;IF(AND(AW88&lt;=16,AZ88&lt;=16),"• "&amp;PROPER(AV88)&amp;CHAR(10),"")&amp;IF(AND(AW86&lt;=16,AZ86&lt;=16),"• "&amp;PROPER(AV86)&amp;CHAR(10),"")&amp;IF(AND(AW83&lt;=16,AZ83&lt;=16),"• "&amp;PROPER(AV83)&amp;CHAR(10),"")&amp;IF(AND(AW81&lt;=16,AZ81&lt;=16),"• "&amp;PROPER(AV81)&amp;CHAR(10),"")&amp;IF(AND(AW78&lt;=16,AZ78&lt;=16),"• "&amp;PROPER(AV78)&amp;CHAR(10),"")&amp;IF(AND(AW76&lt;=16,AZ76&lt;=16),"• "&amp;PROPER(AV76)&amp;CHAR(10),"")&amp;IF(AND(AW73&lt;=16,AZ73&lt;=16),"• "&amp;PROPER(AV73)&amp;CHAR(10),""),"En el caso de la persona evaluada, no se ha detectado un rechazo significativo hacia ningún campo profesional específico. Todos los campos presentan niveles de interés dentro de un rango moderado.")</f>
        <v xml:space="preserve">En el caso de la persona evaluada, se ha detectado un rechazo significativo hacia los siguientes campos profesionales:
• Artístico Musical/ Espectáculo
• Agrario/Agropecuario/Ambiental
• Jurídico Social
</v>
      </c>
      <c r="G132" s="95"/>
      <c r="H132" s="95"/>
      <c r="I132" s="95"/>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row>
    <row r="133" spans="3:33" x14ac:dyDescent="0.35">
      <c r="C133" s="60"/>
      <c r="D133" s="60"/>
      <c r="E133" s="60"/>
      <c r="F133" s="80"/>
      <c r="G133" s="82"/>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row>
    <row r="134" spans="3:33" ht="45" customHeight="1" x14ac:dyDescent="0.35">
      <c r="C134" s="60"/>
      <c r="D134" s="60"/>
      <c r="E134" s="60"/>
      <c r="F134" s="95" t="str">
        <f>_xlfn._LONGTEXT("Este resultado supone que ha manifestado de un modo sistemático su desinterés por las actividades y profesiones propias de estos campos profesionales, aspectos que convendría tener en cuenta a la hora de decidir sobre su itinerario educativo o profesional",".")</f>
        <v>Este resultado supone que ha manifestado de un modo sistemático su desinterés por las actividades y profesiones propias de estos campos profesionales, aspectos que convendría tener en cuenta a la hora de decidir sobre su itinerario educativo o profesional.</v>
      </c>
      <c r="G134" s="95"/>
      <c r="H134" s="95"/>
      <c r="I134" s="95"/>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row>
    <row r="135" spans="3:33" ht="7.5" customHeight="1" x14ac:dyDescent="0.35">
      <c r="C135" s="60"/>
      <c r="D135" s="60"/>
      <c r="E135" s="60"/>
      <c r="F135" s="80"/>
      <c r="G135" s="82"/>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row>
    <row r="136" spans="3:33" ht="21.95" customHeight="1" x14ac:dyDescent="0.35">
      <c r="C136" s="60"/>
      <c r="D136" s="60"/>
      <c r="E136" s="60"/>
      <c r="F136" s="81" t="s">
        <v>306</v>
      </c>
      <c r="G136" s="82"/>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row>
    <row r="137" spans="3:33" ht="7.5" customHeight="1" x14ac:dyDescent="0.35">
      <c r="C137" s="60"/>
      <c r="D137" s="60"/>
      <c r="E137" s="60"/>
      <c r="F137" s="80"/>
      <c r="G137" s="82"/>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row>
    <row r="138" spans="3:33" ht="198.75" customHeight="1" x14ac:dyDescent="0.35">
      <c r="C138" s="60"/>
      <c r="D138" s="60"/>
      <c r="E138" s="60"/>
      <c r="F138" s="95" t="str">
        <f>"Para una interpretación adecuada de los resultados analizados conviene tener presentes, entre otras, las siguientes advertencias y precauciones:"&amp;CHAR(10)&amp;CHAR(10)&amp;_xlfn._LONGTEXT("- El IPP-R, como su nombre indica, pretende evaluar únicamente los intereses profesionales y no otros aspectos que puedan ser igualmente decisivos. En concreto, no se están evaluando las aptitudes ni otros factores de índole práctica que pueden condiciona","r la elección profesional, como serían las expectativas de encontrar empleo, de recibir una determinada remuneración económica, la normativa de acceso a los distintos estudios, etc.")&amp;CHAR(10)&amp;CHAR(10)&amp;_xlfn._LONGTEXT("- El inventario informa sobre el interés por las profesiones y actividades de cada campo profesional en el momento presente, pero podrían obtenerse resultados diferentes con el paso del tiempo. Del mismo modo, no agota todo el abanico de profesiones y act","ividades existente. Lo importante es conocer los campos genéricos de preferencia, pues normalmente el interés se extenderá a otras profesiones o actividades de características similares, aunque no hayan sido citadas expresamente.")</f>
        <v>Para una interpretación adecuada de los resultados analizados conviene tener presentes, entre otras, las siguientes advertencias y precauciones:
- El IPP-R, como su nombre indica, pretende evaluar únicamente los intereses profesionales y no otros aspectos que puedan ser igualmente decisivos. En concreto, no se están evaluando las aptitudes ni otros factores de índole práctica que pueden condicionar la elección profesional, como serían las expectativas de encontrar empleo, de recibir una determinada remuneración económica, la normativa de acceso a los distintos estudios, etc.
- El inventario informa sobre el interés por las profesiones y actividades de cada campo profesional en el momento presente, pero podrían obtenerse resultados diferentes con el paso del tiempo. Del mismo modo, no agota todo el abanico de profesiones y actividades existente. Lo importante es conocer los campos genéricos de preferencia, pues normalmente el interés se extenderá a otras profesiones o actividades de características similares, aunque no hayan sido citadas expresamente.</v>
      </c>
      <c r="G138" s="95"/>
      <c r="H138" s="95"/>
      <c r="I138" s="95"/>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row>
    <row r="139" spans="3:33" ht="9" customHeight="1" x14ac:dyDescent="0.35">
      <c r="C139" s="60"/>
      <c r="D139" s="60"/>
      <c r="E139" s="60"/>
      <c r="F139" s="80"/>
      <c r="G139" s="82"/>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row>
    <row r="140" spans="3:33" ht="109.5" customHeight="1" x14ac:dyDescent="0.35">
      <c r="C140" s="60"/>
      <c r="D140" s="60"/>
      <c r="E140" s="60"/>
      <c r="F140" s="95" t="e">
        <f ca="1">"- El perfil de puntuaciones de "&amp;K3&amp;_xlfn._LONGTEXT(" no implica que en el futuro vaya a dedicarse necesariamente a cualquiera de las profesiones apuntadas o que de hacerlo, vaya a mostrar un desempeño perfecto. Se trata más bien de la satisfacción que considera que podrá obtener ejerciendo alguna de ellas ","y realizando las tareas que conlleva.")&amp;CHAR(10)&amp;CHAR(10)&amp;"- Los resultados deben considerarse en el contexto de otras informaciones disponibles. Resulta aconsejable buscar otras fuentes de información y usar otras metodologías de evaluación adicionales que corroboren los hallazgos encontrados."</f>
        <v>#NAME?</v>
      </c>
      <c r="G140" s="95"/>
      <c r="H140" s="95"/>
      <c r="I140" s="95"/>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row>
    <row r="141" spans="3:33" x14ac:dyDescent="0.35"/>
    <row r="142" spans="3:33" x14ac:dyDescent="0.35"/>
  </sheetData>
  <sheetProtection algorithmName="SHA-512" hashValue="gDet99So+l9gcJYQldy9f3fbK4hA5/QnbpdkGT5AqHS7tXAQUtGVy4my42uf6RK8busN7QnOuetVlf1ySPYPAw==" saltValue="AnyHpSrX8dYYYJagavvN6Q==" spinCount="100000" sheet="1" objects="1" scenarios="1"/>
  <mergeCells count="56">
    <mergeCell ref="F111:AG111"/>
    <mergeCell ref="F109:AG109"/>
    <mergeCell ref="F127:AG127"/>
    <mergeCell ref="F102:AG102"/>
    <mergeCell ref="A41:A43"/>
    <mergeCell ref="F96:AG96"/>
    <mergeCell ref="F105:AG105"/>
    <mergeCell ref="F98:AG98"/>
    <mergeCell ref="F124:AG124"/>
    <mergeCell ref="F122:AG122"/>
    <mergeCell ref="F120:AG120"/>
    <mergeCell ref="F115:AG115"/>
    <mergeCell ref="F113:AG113"/>
    <mergeCell ref="A46:A48"/>
    <mergeCell ref="F101:AG101"/>
    <mergeCell ref="A51:A53"/>
    <mergeCell ref="F140:AG140"/>
    <mergeCell ref="F138:AG138"/>
    <mergeCell ref="F134:AG134"/>
    <mergeCell ref="F132:AG132"/>
    <mergeCell ref="F130:AG130"/>
    <mergeCell ref="A16:A18"/>
    <mergeCell ref="A21:A23"/>
    <mergeCell ref="A26:A28"/>
    <mergeCell ref="A31:A33"/>
    <mergeCell ref="A36:A38"/>
    <mergeCell ref="A56:A58"/>
    <mergeCell ref="A61:A63"/>
    <mergeCell ref="A66:A68"/>
    <mergeCell ref="F86:L88"/>
    <mergeCell ref="F81:L83"/>
    <mergeCell ref="F76:L78"/>
    <mergeCell ref="F71:L73"/>
    <mergeCell ref="A86:A88"/>
    <mergeCell ref="A71:A73"/>
    <mergeCell ref="A76:A78"/>
    <mergeCell ref="A81:A83"/>
    <mergeCell ref="F66:L68"/>
    <mergeCell ref="F61:L63"/>
    <mergeCell ref="F56:L58"/>
    <mergeCell ref="F51:L53"/>
    <mergeCell ref="F46:L48"/>
    <mergeCell ref="K3:AF3"/>
    <mergeCell ref="F41:L43"/>
    <mergeCell ref="F36:L38"/>
    <mergeCell ref="F31:L33"/>
    <mergeCell ref="F26:L28"/>
    <mergeCell ref="F21:L23"/>
    <mergeCell ref="F14:M14"/>
    <mergeCell ref="F16:L18"/>
    <mergeCell ref="J5:K5"/>
    <mergeCell ref="R9:AF9"/>
    <mergeCell ref="L7:AF7"/>
    <mergeCell ref="Z5:AF5"/>
    <mergeCell ref="L5:N5"/>
    <mergeCell ref="Q5:S5"/>
  </mergeCells>
  <dataValidations count="1">
    <dataValidation type="list" allowBlank="1" showInputMessage="1" showErrorMessage="1" sqref="L7" xr:uid="{0655763B-4B1E-4DBA-B0BA-5F87D45F1CF3}">
      <formula1>$AP$7:$AP$8</formula1>
    </dataValidation>
  </dataValidations>
  <pageMargins left="0.7" right="0.7" top="0.75" bottom="0.75" header="0.3" footer="0.3"/>
  <pageSetup paperSize="9" orientation="portrait" horizontalDpi="4294967292" verticalDpi="0" r:id="rId1"/>
  <ignoredErrors>
    <ignoredError sqref="L5 Q5 F130" unlocked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10F53-AD34-496C-9841-EC58CB2BF00B}">
  <sheetPr codeName="Hoja3">
    <tabColor rgb="FFFBF3DD"/>
  </sheetPr>
  <dimension ref="A1:BH65"/>
  <sheetViews>
    <sheetView showGridLines="0" topLeftCell="A19" workbookViewId="0">
      <selection activeCell="C1" sqref="C1:BA1"/>
    </sheetView>
  </sheetViews>
  <sheetFormatPr baseColWidth="10" defaultColWidth="3.42578125" defaultRowHeight="12" x14ac:dyDescent="0.25"/>
  <cols>
    <col min="1" max="44" width="3.42578125" style="1"/>
    <col min="45" max="46" width="4" style="1" customWidth="1"/>
    <col min="47" max="50" width="3.42578125" style="1"/>
    <col min="51" max="60" width="4.140625" style="1" customWidth="1"/>
    <col min="61" max="16384" width="3.42578125" style="1"/>
  </cols>
  <sheetData>
    <row r="1" spans="1:60" ht="15.75" x14ac:dyDescent="0.25">
      <c r="C1" s="111" t="s">
        <v>206</v>
      </c>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row>
    <row r="2" spans="1:60" hidden="1" x14ac:dyDescent="0.25">
      <c r="A2" s="1" t="s">
        <v>1</v>
      </c>
      <c r="B2" s="1" t="s">
        <v>2</v>
      </c>
      <c r="C2" s="1" t="s">
        <v>4</v>
      </c>
      <c r="D2" s="1" t="s">
        <v>3</v>
      </c>
      <c r="E2" s="1" t="s">
        <v>210</v>
      </c>
      <c r="F2" s="1" t="s">
        <v>209</v>
      </c>
      <c r="G2" s="1" t="s">
        <v>212</v>
      </c>
      <c r="H2" s="1" t="s">
        <v>211</v>
      </c>
      <c r="I2" s="1" t="s">
        <v>214</v>
      </c>
      <c r="J2" s="1" t="s">
        <v>213</v>
      </c>
      <c r="K2" s="1" t="s">
        <v>216</v>
      </c>
      <c r="L2" s="1" t="s">
        <v>215</v>
      </c>
      <c r="M2" s="1" t="s">
        <v>218</v>
      </c>
      <c r="N2" s="1" t="s">
        <v>217</v>
      </c>
      <c r="O2" s="1" t="s">
        <v>220</v>
      </c>
      <c r="P2" s="1" t="s">
        <v>219</v>
      </c>
      <c r="Q2" s="1" t="s">
        <v>222</v>
      </c>
      <c r="R2" s="1" t="s">
        <v>221</v>
      </c>
      <c r="S2" s="1" t="s">
        <v>224</v>
      </c>
      <c r="T2" s="1" t="s">
        <v>223</v>
      </c>
      <c r="U2" s="1" t="s">
        <v>5</v>
      </c>
      <c r="V2" s="1" t="s">
        <v>225</v>
      </c>
      <c r="W2" s="1" t="s">
        <v>227</v>
      </c>
      <c r="X2" s="1" t="s">
        <v>226</v>
      </c>
      <c r="Y2" s="1" t="s">
        <v>229</v>
      </c>
      <c r="Z2" s="1" t="s">
        <v>228</v>
      </c>
      <c r="AA2" s="1" t="s">
        <v>231</v>
      </c>
      <c r="AB2" s="1" t="s">
        <v>230</v>
      </c>
      <c r="AC2" s="1" t="s">
        <v>233</v>
      </c>
      <c r="AD2" s="1" t="s">
        <v>232</v>
      </c>
      <c r="AE2" s="1" t="s">
        <v>235</v>
      </c>
      <c r="AF2" s="1" t="s">
        <v>234</v>
      </c>
      <c r="AG2" s="1" t="s">
        <v>237</v>
      </c>
      <c r="AH2" s="1" t="s">
        <v>236</v>
      </c>
      <c r="AI2" s="1" t="s">
        <v>239</v>
      </c>
      <c r="AJ2" s="1" t="s">
        <v>238</v>
      </c>
      <c r="AK2" s="1" t="s">
        <v>241</v>
      </c>
      <c r="AL2" s="1" t="s">
        <v>240</v>
      </c>
      <c r="AM2" s="1" t="s">
        <v>243</v>
      </c>
      <c r="AN2" s="1" t="s">
        <v>242</v>
      </c>
      <c r="AO2" s="1" t="s">
        <v>245</v>
      </c>
      <c r="AP2" s="1" t="s">
        <v>244</v>
      </c>
      <c r="AQ2" s="1" t="s">
        <v>246</v>
      </c>
      <c r="AR2" s="1" t="s">
        <v>247</v>
      </c>
      <c r="AS2" s="1" t="s">
        <v>249</v>
      </c>
      <c r="AT2" s="1" t="s">
        <v>248</v>
      </c>
      <c r="AU2" s="1" t="s">
        <v>251</v>
      </c>
      <c r="AV2" s="1" t="s">
        <v>250</v>
      </c>
      <c r="AW2" s="1" t="s">
        <v>253</v>
      </c>
      <c r="AX2" s="1" t="s">
        <v>252</v>
      </c>
      <c r="AY2" s="1" t="s">
        <v>255</v>
      </c>
      <c r="AZ2" s="1" t="s">
        <v>254</v>
      </c>
      <c r="BA2" s="1" t="s">
        <v>257</v>
      </c>
      <c r="BB2" s="1" t="s">
        <v>256</v>
      </c>
      <c r="BC2" s="1" t="s">
        <v>259</v>
      </c>
      <c r="BD2" s="1" t="s">
        <v>258</v>
      </c>
      <c r="BE2" s="1" t="s">
        <v>261</v>
      </c>
      <c r="BF2" s="1" t="s">
        <v>260</v>
      </c>
      <c r="BG2" s="1" t="s">
        <v>263</v>
      </c>
      <c r="BH2" s="1" t="s">
        <v>262</v>
      </c>
    </row>
    <row r="3" spans="1:60" x14ac:dyDescent="0.25">
      <c r="A3" s="110">
        <v>1</v>
      </c>
      <c r="B3" s="110"/>
      <c r="C3" s="110"/>
      <c r="D3" s="110"/>
      <c r="E3" s="110">
        <v>2</v>
      </c>
      <c r="F3" s="110"/>
      <c r="G3" s="110"/>
      <c r="H3" s="110"/>
      <c r="I3" s="110">
        <v>3</v>
      </c>
      <c r="J3" s="110"/>
      <c r="K3" s="110"/>
      <c r="L3" s="110"/>
      <c r="M3" s="110">
        <v>4</v>
      </c>
      <c r="N3" s="110"/>
      <c r="O3" s="110"/>
      <c r="P3" s="110"/>
      <c r="Q3" s="110">
        <v>5</v>
      </c>
      <c r="R3" s="110"/>
      <c r="S3" s="110"/>
      <c r="T3" s="110"/>
      <c r="U3" s="110">
        <v>6</v>
      </c>
      <c r="V3" s="110"/>
      <c r="W3" s="110"/>
      <c r="X3" s="110"/>
      <c r="Y3" s="110">
        <v>7</v>
      </c>
      <c r="Z3" s="110"/>
      <c r="AA3" s="110"/>
      <c r="AB3" s="110"/>
      <c r="AC3" s="110">
        <v>8</v>
      </c>
      <c r="AD3" s="110"/>
      <c r="AE3" s="110"/>
      <c r="AF3" s="110"/>
      <c r="AG3" s="110">
        <v>9</v>
      </c>
      <c r="AH3" s="110"/>
      <c r="AI3" s="110"/>
      <c r="AJ3" s="110"/>
      <c r="AK3" s="110">
        <v>10</v>
      </c>
      <c r="AL3" s="110"/>
      <c r="AM3" s="110"/>
      <c r="AN3" s="110"/>
      <c r="AO3" s="110">
        <v>11</v>
      </c>
      <c r="AP3" s="110"/>
      <c r="AQ3" s="110"/>
      <c r="AR3" s="110"/>
      <c r="AS3" s="110">
        <v>12</v>
      </c>
      <c r="AT3" s="110"/>
      <c r="AU3" s="110"/>
      <c r="AV3" s="110"/>
      <c r="AW3" s="110">
        <v>13</v>
      </c>
      <c r="AX3" s="110"/>
      <c r="AY3" s="110"/>
      <c r="AZ3" s="110"/>
      <c r="BA3" s="110">
        <v>14</v>
      </c>
      <c r="BB3" s="110"/>
      <c r="BC3" s="110"/>
      <c r="BD3" s="110"/>
      <c r="BE3" s="110">
        <v>15</v>
      </c>
      <c r="BF3" s="110"/>
      <c r="BG3" s="110"/>
      <c r="BH3" s="110"/>
    </row>
    <row r="4" spans="1:60" x14ac:dyDescent="0.25">
      <c r="A4" s="3" t="s">
        <v>0</v>
      </c>
      <c r="B4" s="3" t="s">
        <v>8</v>
      </c>
      <c r="C4" s="3" t="s">
        <v>0</v>
      </c>
      <c r="D4" s="3" t="s">
        <v>9</v>
      </c>
      <c r="E4" s="3" t="s">
        <v>0</v>
      </c>
      <c r="F4" s="3" t="s">
        <v>8</v>
      </c>
      <c r="G4" s="3" t="s">
        <v>0</v>
      </c>
      <c r="H4" s="3" t="s">
        <v>9</v>
      </c>
      <c r="I4" s="3" t="s">
        <v>0</v>
      </c>
      <c r="J4" s="3" t="s">
        <v>8</v>
      </c>
      <c r="K4" s="3" t="s">
        <v>0</v>
      </c>
      <c r="L4" s="3" t="s">
        <v>9</v>
      </c>
      <c r="M4" s="3" t="s">
        <v>0</v>
      </c>
      <c r="N4" s="3" t="s">
        <v>8</v>
      </c>
      <c r="O4" s="3" t="s">
        <v>0</v>
      </c>
      <c r="P4" s="3" t="s">
        <v>9</v>
      </c>
      <c r="Q4" s="3" t="s">
        <v>0</v>
      </c>
      <c r="R4" s="3" t="s">
        <v>8</v>
      </c>
      <c r="S4" s="3" t="s">
        <v>0</v>
      </c>
      <c r="T4" s="3" t="s">
        <v>9</v>
      </c>
      <c r="U4" s="3" t="s">
        <v>0</v>
      </c>
      <c r="V4" s="3" t="s">
        <v>8</v>
      </c>
      <c r="W4" s="3" t="s">
        <v>0</v>
      </c>
      <c r="X4" s="3" t="s">
        <v>9</v>
      </c>
      <c r="Y4" s="3" t="s">
        <v>0</v>
      </c>
      <c r="Z4" s="3" t="s">
        <v>8</v>
      </c>
      <c r="AA4" s="3" t="s">
        <v>0</v>
      </c>
      <c r="AB4" s="3" t="s">
        <v>9</v>
      </c>
      <c r="AC4" s="3" t="s">
        <v>0</v>
      </c>
      <c r="AD4" s="3" t="s">
        <v>8</v>
      </c>
      <c r="AE4" s="3" t="s">
        <v>0</v>
      </c>
      <c r="AF4" s="3" t="s">
        <v>9</v>
      </c>
      <c r="AG4" s="3" t="s">
        <v>0</v>
      </c>
      <c r="AH4" s="3" t="s">
        <v>8</v>
      </c>
      <c r="AI4" s="3" t="s">
        <v>0</v>
      </c>
      <c r="AJ4" s="3" t="s">
        <v>9</v>
      </c>
      <c r="AK4" s="3" t="s">
        <v>0</v>
      </c>
      <c r="AL4" s="3" t="s">
        <v>8</v>
      </c>
      <c r="AM4" s="3" t="s">
        <v>0</v>
      </c>
      <c r="AN4" s="3" t="s">
        <v>9</v>
      </c>
      <c r="AO4" s="3" t="s">
        <v>0</v>
      </c>
      <c r="AP4" s="3" t="s">
        <v>8</v>
      </c>
      <c r="AQ4" s="3" t="s">
        <v>0</v>
      </c>
      <c r="AR4" s="3" t="s">
        <v>9</v>
      </c>
      <c r="AS4" s="3" t="s">
        <v>0</v>
      </c>
      <c r="AT4" s="3" t="s">
        <v>8</v>
      </c>
      <c r="AU4" s="3" t="s">
        <v>0</v>
      </c>
      <c r="AV4" s="3" t="s">
        <v>9</v>
      </c>
      <c r="AW4" s="3" t="s">
        <v>0</v>
      </c>
      <c r="AX4" s="3" t="s">
        <v>8</v>
      </c>
      <c r="AY4" s="3" t="s">
        <v>0</v>
      </c>
      <c r="AZ4" s="3" t="s">
        <v>9</v>
      </c>
      <c r="BA4" s="3" t="s">
        <v>0</v>
      </c>
      <c r="BB4" s="3" t="s">
        <v>8</v>
      </c>
      <c r="BC4" s="3" t="s">
        <v>0</v>
      </c>
      <c r="BD4" s="3" t="s">
        <v>9</v>
      </c>
      <c r="BE4" s="3" t="s">
        <v>0</v>
      </c>
      <c r="BF4" s="3" t="s">
        <v>8</v>
      </c>
      <c r="BG4" s="3" t="s">
        <v>0</v>
      </c>
      <c r="BH4" s="3" t="s">
        <v>9</v>
      </c>
    </row>
    <row r="5" spans="1:60" x14ac:dyDescent="0.25">
      <c r="A5" s="2">
        <v>99</v>
      </c>
      <c r="B5" s="2">
        <v>12</v>
      </c>
      <c r="C5" s="2">
        <v>99</v>
      </c>
      <c r="D5" s="2">
        <v>12</v>
      </c>
      <c r="E5" s="2">
        <v>99</v>
      </c>
      <c r="F5" s="2">
        <v>12</v>
      </c>
      <c r="G5" s="2">
        <v>99</v>
      </c>
      <c r="H5" s="2">
        <v>12</v>
      </c>
      <c r="I5" s="2">
        <v>99</v>
      </c>
      <c r="J5" s="2">
        <v>12</v>
      </c>
      <c r="K5" s="2">
        <v>99</v>
      </c>
      <c r="L5" s="2">
        <v>12</v>
      </c>
      <c r="M5" s="2">
        <v>99</v>
      </c>
      <c r="N5" s="2">
        <v>12</v>
      </c>
      <c r="O5" s="2">
        <v>99</v>
      </c>
      <c r="P5" s="2">
        <v>12</v>
      </c>
      <c r="Q5" s="2">
        <v>99</v>
      </c>
      <c r="R5" s="2">
        <v>12</v>
      </c>
      <c r="S5" s="2">
        <v>99</v>
      </c>
      <c r="T5" s="2">
        <v>12</v>
      </c>
      <c r="U5" s="2">
        <v>99</v>
      </c>
      <c r="V5" s="2">
        <v>12</v>
      </c>
      <c r="W5" s="2">
        <v>99</v>
      </c>
      <c r="X5" s="2">
        <v>12</v>
      </c>
      <c r="Y5" s="2">
        <v>99</v>
      </c>
      <c r="Z5" s="2">
        <v>12</v>
      </c>
      <c r="AA5" s="2">
        <v>99</v>
      </c>
      <c r="AB5" s="2">
        <v>12</v>
      </c>
      <c r="AC5" s="2">
        <v>99</v>
      </c>
      <c r="AD5" s="2">
        <v>12</v>
      </c>
      <c r="AE5" s="2">
        <v>99</v>
      </c>
      <c r="AF5" s="2">
        <v>12</v>
      </c>
      <c r="AG5" s="2">
        <v>99</v>
      </c>
      <c r="AH5" s="2"/>
      <c r="AI5" s="2">
        <v>99</v>
      </c>
      <c r="AJ5" s="2">
        <v>12</v>
      </c>
      <c r="AK5" s="2">
        <v>99</v>
      </c>
      <c r="AL5" s="2">
        <v>12</v>
      </c>
      <c r="AM5" s="2">
        <v>99</v>
      </c>
      <c r="AN5" s="2">
        <v>12</v>
      </c>
      <c r="AO5" s="2">
        <v>99</v>
      </c>
      <c r="AP5" s="2"/>
      <c r="AQ5" s="2">
        <v>99</v>
      </c>
      <c r="AR5" s="2">
        <v>12</v>
      </c>
      <c r="AS5" s="2">
        <v>99</v>
      </c>
      <c r="AT5" s="2">
        <v>12</v>
      </c>
      <c r="AU5" s="2">
        <v>99</v>
      </c>
      <c r="AV5" s="2">
        <v>12</v>
      </c>
      <c r="AW5" s="2">
        <v>99</v>
      </c>
      <c r="AX5" s="2">
        <v>12</v>
      </c>
      <c r="AY5" s="2">
        <v>99</v>
      </c>
      <c r="AZ5" s="2"/>
      <c r="BA5" s="2">
        <v>99</v>
      </c>
      <c r="BB5" s="2"/>
      <c r="BC5" s="2">
        <v>99</v>
      </c>
      <c r="BD5" s="2"/>
      <c r="BE5" s="2">
        <v>99</v>
      </c>
      <c r="BF5" s="2">
        <v>12</v>
      </c>
      <c r="BG5" s="2">
        <v>99</v>
      </c>
      <c r="BH5" s="2">
        <v>12</v>
      </c>
    </row>
    <row r="6" spans="1:60" x14ac:dyDescent="0.25">
      <c r="A6" s="2">
        <v>98</v>
      </c>
      <c r="B6" s="2">
        <v>11</v>
      </c>
      <c r="C6" s="2">
        <v>98</v>
      </c>
      <c r="D6" s="2">
        <v>11</v>
      </c>
      <c r="E6" s="2">
        <v>98</v>
      </c>
      <c r="F6" s="2">
        <v>11</v>
      </c>
      <c r="G6" s="2">
        <v>98</v>
      </c>
      <c r="H6" s="2">
        <v>11</v>
      </c>
      <c r="I6" s="2">
        <v>98</v>
      </c>
      <c r="J6" s="2"/>
      <c r="K6" s="2">
        <v>98</v>
      </c>
      <c r="L6" s="2"/>
      <c r="M6" s="2">
        <v>99</v>
      </c>
      <c r="N6" s="2">
        <v>11</v>
      </c>
      <c r="O6" s="2">
        <v>99</v>
      </c>
      <c r="P6" s="2">
        <v>11</v>
      </c>
      <c r="Q6" s="2">
        <v>98</v>
      </c>
      <c r="R6" s="2">
        <v>11</v>
      </c>
      <c r="S6" s="2">
        <v>99</v>
      </c>
      <c r="T6" s="2">
        <v>11</v>
      </c>
      <c r="U6" s="2">
        <v>98</v>
      </c>
      <c r="V6" s="2"/>
      <c r="W6" s="2">
        <v>98</v>
      </c>
      <c r="X6" s="2"/>
      <c r="Y6" s="2">
        <v>98</v>
      </c>
      <c r="Z6" s="2"/>
      <c r="AA6" s="2">
        <v>98</v>
      </c>
      <c r="AB6" s="2"/>
      <c r="AC6" s="2">
        <v>99</v>
      </c>
      <c r="AD6" s="2">
        <v>11</v>
      </c>
      <c r="AE6" s="2">
        <v>99</v>
      </c>
      <c r="AF6" s="2">
        <v>11</v>
      </c>
      <c r="AG6" s="2">
        <v>98</v>
      </c>
      <c r="AH6" s="2"/>
      <c r="AI6" s="2">
        <v>98</v>
      </c>
      <c r="AJ6" s="2"/>
      <c r="AK6" s="2">
        <v>99</v>
      </c>
      <c r="AL6" s="2">
        <v>11</v>
      </c>
      <c r="AM6" s="2">
        <v>99</v>
      </c>
      <c r="AN6" s="2">
        <v>11</v>
      </c>
      <c r="AO6" s="2">
        <v>98</v>
      </c>
      <c r="AP6" s="2">
        <v>12</v>
      </c>
      <c r="AQ6" s="2">
        <v>99</v>
      </c>
      <c r="AR6" s="2">
        <v>11</v>
      </c>
      <c r="AS6" s="2">
        <v>98</v>
      </c>
      <c r="AT6" s="2">
        <v>11</v>
      </c>
      <c r="AU6" s="2">
        <v>98</v>
      </c>
      <c r="AV6" s="2">
        <v>11</v>
      </c>
      <c r="AW6" s="2">
        <v>98</v>
      </c>
      <c r="AX6" s="2"/>
      <c r="AY6" s="2">
        <v>98</v>
      </c>
      <c r="AZ6" s="2">
        <v>12</v>
      </c>
      <c r="BA6" s="2">
        <v>98</v>
      </c>
      <c r="BB6" s="2">
        <v>12</v>
      </c>
      <c r="BC6" s="2">
        <v>98</v>
      </c>
      <c r="BD6" s="2"/>
      <c r="BE6" s="2">
        <v>98</v>
      </c>
      <c r="BF6" s="2"/>
      <c r="BG6" s="2">
        <v>99</v>
      </c>
      <c r="BH6" s="2">
        <v>11</v>
      </c>
    </row>
    <row r="7" spans="1:60" x14ac:dyDescent="0.25">
      <c r="A7" s="2">
        <v>97</v>
      </c>
      <c r="B7" s="2"/>
      <c r="C7" s="2">
        <v>97</v>
      </c>
      <c r="D7" s="2"/>
      <c r="E7" s="2">
        <v>97</v>
      </c>
      <c r="F7" s="2">
        <v>10</v>
      </c>
      <c r="G7" s="2">
        <v>97</v>
      </c>
      <c r="H7" s="2"/>
      <c r="I7" s="2">
        <v>97</v>
      </c>
      <c r="J7" s="2">
        <v>11</v>
      </c>
      <c r="K7" s="2">
        <v>97</v>
      </c>
      <c r="L7" s="2">
        <v>11</v>
      </c>
      <c r="M7" s="2">
        <v>98</v>
      </c>
      <c r="N7" s="2">
        <v>10</v>
      </c>
      <c r="O7" s="2">
        <v>99</v>
      </c>
      <c r="P7" s="2">
        <v>10</v>
      </c>
      <c r="Q7" s="2">
        <v>97</v>
      </c>
      <c r="R7" s="2"/>
      <c r="S7" s="2">
        <v>99</v>
      </c>
      <c r="T7" s="2">
        <v>10</v>
      </c>
      <c r="U7" s="2">
        <v>97</v>
      </c>
      <c r="V7" s="2">
        <v>11</v>
      </c>
      <c r="W7" s="2">
        <v>97</v>
      </c>
      <c r="X7" s="2"/>
      <c r="Y7" s="2">
        <v>97</v>
      </c>
      <c r="Z7" s="2"/>
      <c r="AA7" s="2">
        <v>97</v>
      </c>
      <c r="AB7" s="2">
        <v>11</v>
      </c>
      <c r="AC7" s="2">
        <v>98</v>
      </c>
      <c r="AD7" s="2">
        <v>10</v>
      </c>
      <c r="AE7" s="2">
        <v>98</v>
      </c>
      <c r="AF7" s="2"/>
      <c r="AG7" s="2">
        <v>97</v>
      </c>
      <c r="AH7" s="2"/>
      <c r="AI7" s="2">
        <v>97</v>
      </c>
      <c r="AJ7" s="2">
        <v>11</v>
      </c>
      <c r="AK7" s="2">
        <v>98</v>
      </c>
      <c r="AL7" s="2">
        <v>10</v>
      </c>
      <c r="AM7" s="2">
        <v>98</v>
      </c>
      <c r="AN7" s="2">
        <v>10</v>
      </c>
      <c r="AO7" s="2">
        <v>98</v>
      </c>
      <c r="AP7" s="2">
        <v>11</v>
      </c>
      <c r="AQ7" s="2">
        <v>98</v>
      </c>
      <c r="AR7" s="2"/>
      <c r="AS7" s="2">
        <v>97</v>
      </c>
      <c r="AT7" s="2"/>
      <c r="AU7" s="2">
        <v>97</v>
      </c>
      <c r="AV7" s="2"/>
      <c r="AW7" s="2">
        <v>97</v>
      </c>
      <c r="AX7" s="2">
        <v>11</v>
      </c>
      <c r="AY7" s="2">
        <v>97</v>
      </c>
      <c r="AZ7" s="2"/>
      <c r="BA7" s="2">
        <v>97</v>
      </c>
      <c r="BB7" s="2"/>
      <c r="BC7" s="2">
        <v>97</v>
      </c>
      <c r="BD7" s="2"/>
      <c r="BE7" s="2">
        <v>97</v>
      </c>
      <c r="BF7" s="2">
        <v>11</v>
      </c>
      <c r="BG7" s="2">
        <v>99</v>
      </c>
      <c r="BH7" s="2">
        <v>10</v>
      </c>
    </row>
    <row r="8" spans="1:60" x14ac:dyDescent="0.25">
      <c r="A8" s="2">
        <v>96</v>
      </c>
      <c r="B8" s="2">
        <v>10</v>
      </c>
      <c r="C8" s="2">
        <v>96</v>
      </c>
      <c r="D8" s="2">
        <v>10</v>
      </c>
      <c r="E8" s="2">
        <v>96</v>
      </c>
      <c r="F8" s="2"/>
      <c r="G8" s="2">
        <v>96</v>
      </c>
      <c r="H8" s="2">
        <v>10</v>
      </c>
      <c r="I8" s="2">
        <v>96</v>
      </c>
      <c r="J8" s="2"/>
      <c r="K8" s="2">
        <v>96</v>
      </c>
      <c r="L8" s="2"/>
      <c r="M8" s="2">
        <v>97</v>
      </c>
      <c r="N8" s="2">
        <v>9</v>
      </c>
      <c r="O8" s="2">
        <v>99</v>
      </c>
      <c r="P8" s="2">
        <v>9</v>
      </c>
      <c r="Q8" s="2">
        <v>96</v>
      </c>
      <c r="R8" s="2"/>
      <c r="S8" s="2">
        <v>98</v>
      </c>
      <c r="T8" s="2"/>
      <c r="U8" s="2">
        <v>96</v>
      </c>
      <c r="V8" s="2"/>
      <c r="W8" s="2">
        <v>96</v>
      </c>
      <c r="X8" s="2">
        <v>11</v>
      </c>
      <c r="Y8" s="2">
        <v>96</v>
      </c>
      <c r="Z8" s="2"/>
      <c r="AA8" s="2">
        <v>96</v>
      </c>
      <c r="AB8" s="2"/>
      <c r="AC8" s="2">
        <v>97</v>
      </c>
      <c r="AD8" s="2">
        <v>9</v>
      </c>
      <c r="AE8" s="2">
        <v>97</v>
      </c>
      <c r="AF8" s="2">
        <v>10</v>
      </c>
      <c r="AG8" s="2">
        <v>96</v>
      </c>
      <c r="AH8" s="2"/>
      <c r="AI8" s="2">
        <v>96</v>
      </c>
      <c r="AJ8" s="2"/>
      <c r="AK8" s="2">
        <v>97</v>
      </c>
      <c r="AL8" s="2">
        <v>9</v>
      </c>
      <c r="AM8" s="2">
        <v>97</v>
      </c>
      <c r="AN8" s="2"/>
      <c r="AO8" s="2">
        <v>97</v>
      </c>
      <c r="AP8" s="2"/>
      <c r="AQ8" s="2">
        <v>97</v>
      </c>
      <c r="AR8" s="2">
        <v>10</v>
      </c>
      <c r="AS8" s="2">
        <v>96</v>
      </c>
      <c r="AT8" s="2"/>
      <c r="AU8" s="2">
        <v>96</v>
      </c>
      <c r="AV8" s="2">
        <v>10</v>
      </c>
      <c r="AW8" s="2">
        <v>96</v>
      </c>
      <c r="AX8" s="2"/>
      <c r="AY8" s="2">
        <v>96</v>
      </c>
      <c r="AZ8" s="2">
        <v>11</v>
      </c>
      <c r="BA8" s="2">
        <v>96</v>
      </c>
      <c r="BB8" s="2"/>
      <c r="BC8" s="2">
        <v>96</v>
      </c>
      <c r="BD8" s="2"/>
      <c r="BE8" s="2">
        <v>96</v>
      </c>
      <c r="BF8" s="2"/>
      <c r="BG8" s="2">
        <v>98</v>
      </c>
      <c r="BH8" s="2"/>
    </row>
    <row r="9" spans="1:60" x14ac:dyDescent="0.25">
      <c r="A9" s="2">
        <v>95</v>
      </c>
      <c r="B9" s="2"/>
      <c r="C9" s="2">
        <v>95</v>
      </c>
      <c r="D9" s="2"/>
      <c r="E9" s="2">
        <v>95</v>
      </c>
      <c r="F9" s="2"/>
      <c r="G9" s="2">
        <v>95</v>
      </c>
      <c r="H9" s="2"/>
      <c r="I9" s="2">
        <v>95</v>
      </c>
      <c r="J9" s="2"/>
      <c r="K9" s="2">
        <v>95</v>
      </c>
      <c r="L9" s="2">
        <v>10</v>
      </c>
      <c r="M9" s="2">
        <v>96</v>
      </c>
      <c r="N9" s="2">
        <v>8</v>
      </c>
      <c r="O9" s="2">
        <v>98</v>
      </c>
      <c r="P9" s="2">
        <v>8</v>
      </c>
      <c r="Q9" s="2">
        <v>95</v>
      </c>
      <c r="R9" s="2">
        <v>10</v>
      </c>
      <c r="S9" s="2">
        <v>97</v>
      </c>
      <c r="T9" s="2">
        <v>9</v>
      </c>
      <c r="U9" s="2">
        <v>95</v>
      </c>
      <c r="V9" s="2">
        <v>10</v>
      </c>
      <c r="W9" s="2">
        <v>95</v>
      </c>
      <c r="X9" s="2"/>
      <c r="Y9" s="2">
        <v>95</v>
      </c>
      <c r="Z9" s="2">
        <v>11</v>
      </c>
      <c r="AA9" s="2">
        <v>95</v>
      </c>
      <c r="AB9" s="2">
        <v>10</v>
      </c>
      <c r="AC9" s="2">
        <v>96</v>
      </c>
      <c r="AD9" s="2"/>
      <c r="AE9" s="2">
        <v>96</v>
      </c>
      <c r="AF9" s="2"/>
      <c r="AG9" s="2">
        <v>95</v>
      </c>
      <c r="AH9" s="2">
        <v>12</v>
      </c>
      <c r="AI9" s="2">
        <v>95</v>
      </c>
      <c r="AJ9" s="2"/>
      <c r="AK9" s="2">
        <v>96</v>
      </c>
      <c r="AL9" s="2"/>
      <c r="AM9" s="2">
        <v>96</v>
      </c>
      <c r="AN9" s="2">
        <v>9</v>
      </c>
      <c r="AO9" s="2">
        <v>96</v>
      </c>
      <c r="AP9" s="2">
        <v>10</v>
      </c>
      <c r="AQ9" s="2">
        <v>96</v>
      </c>
      <c r="AR9" s="2"/>
      <c r="AS9" s="2">
        <v>95</v>
      </c>
      <c r="AT9" s="2">
        <v>10</v>
      </c>
      <c r="AU9" s="2">
        <v>95</v>
      </c>
      <c r="AV9" s="2"/>
      <c r="AW9" s="2">
        <v>95</v>
      </c>
      <c r="AX9" s="2"/>
      <c r="AY9" s="2">
        <v>95</v>
      </c>
      <c r="AZ9" s="2"/>
      <c r="BA9" s="2">
        <v>95</v>
      </c>
      <c r="BB9" s="2"/>
      <c r="BC9" s="2">
        <v>95</v>
      </c>
      <c r="BD9" s="2">
        <v>12</v>
      </c>
      <c r="BE9" s="2">
        <v>95</v>
      </c>
      <c r="BF9" s="2">
        <v>10</v>
      </c>
      <c r="BG9" s="2">
        <v>97</v>
      </c>
      <c r="BH9" s="2">
        <v>9</v>
      </c>
    </row>
    <row r="10" spans="1:60" x14ac:dyDescent="0.25">
      <c r="A10" s="2">
        <v>90</v>
      </c>
      <c r="B10" s="2">
        <v>9</v>
      </c>
      <c r="C10" s="2">
        <v>90</v>
      </c>
      <c r="D10" s="2">
        <v>9</v>
      </c>
      <c r="E10" s="2">
        <v>90</v>
      </c>
      <c r="F10" s="2">
        <v>9</v>
      </c>
      <c r="G10" s="2">
        <v>90</v>
      </c>
      <c r="H10" s="2">
        <v>9</v>
      </c>
      <c r="I10" s="2">
        <v>90</v>
      </c>
      <c r="J10" s="2">
        <v>10</v>
      </c>
      <c r="K10" s="2">
        <v>90</v>
      </c>
      <c r="L10" s="2">
        <v>9</v>
      </c>
      <c r="M10" s="2">
        <v>95</v>
      </c>
      <c r="N10" s="2"/>
      <c r="O10" s="2">
        <v>97</v>
      </c>
      <c r="P10" s="2"/>
      <c r="Q10" s="2">
        <v>90</v>
      </c>
      <c r="R10" s="2">
        <v>9</v>
      </c>
      <c r="S10" s="2">
        <v>96</v>
      </c>
      <c r="T10" s="2"/>
      <c r="U10" s="2">
        <v>90</v>
      </c>
      <c r="V10" s="2">
        <v>9</v>
      </c>
      <c r="W10" s="2">
        <v>90</v>
      </c>
      <c r="X10" s="2">
        <v>10</v>
      </c>
      <c r="Y10" s="2">
        <v>90</v>
      </c>
      <c r="Z10" s="2">
        <v>10</v>
      </c>
      <c r="AA10" s="2">
        <v>90</v>
      </c>
      <c r="AB10" s="2">
        <v>9</v>
      </c>
      <c r="AC10" s="2">
        <v>95</v>
      </c>
      <c r="AD10" s="2"/>
      <c r="AE10" s="2">
        <v>95</v>
      </c>
      <c r="AF10" s="2">
        <v>9</v>
      </c>
      <c r="AG10" s="2">
        <v>90</v>
      </c>
      <c r="AH10" s="2"/>
      <c r="AI10" s="2">
        <v>90</v>
      </c>
      <c r="AJ10" s="2">
        <v>10</v>
      </c>
      <c r="AK10" s="2">
        <v>95</v>
      </c>
      <c r="AL10" s="2">
        <v>8</v>
      </c>
      <c r="AM10" s="2">
        <v>96</v>
      </c>
      <c r="AN10" s="2">
        <v>8</v>
      </c>
      <c r="AO10" s="2">
        <v>95</v>
      </c>
      <c r="AP10" s="2"/>
      <c r="AQ10" s="2">
        <v>95</v>
      </c>
      <c r="AR10" s="2">
        <v>9</v>
      </c>
      <c r="AS10" s="2">
        <v>90</v>
      </c>
      <c r="AT10" s="2">
        <v>9</v>
      </c>
      <c r="AU10" s="2">
        <v>90</v>
      </c>
      <c r="AV10" s="2">
        <v>9</v>
      </c>
      <c r="AW10" s="2">
        <v>90</v>
      </c>
      <c r="AX10" s="2">
        <v>10</v>
      </c>
      <c r="AY10" s="2">
        <v>90</v>
      </c>
      <c r="AZ10" s="2"/>
      <c r="BA10" s="2">
        <v>90</v>
      </c>
      <c r="BB10" s="2">
        <v>11</v>
      </c>
      <c r="BC10" s="2">
        <v>95</v>
      </c>
      <c r="BD10" s="2">
        <v>11</v>
      </c>
      <c r="BE10" s="2">
        <v>90</v>
      </c>
      <c r="BF10" s="2">
        <v>9</v>
      </c>
      <c r="BG10" s="2">
        <v>96</v>
      </c>
      <c r="BH10" s="2"/>
    </row>
    <row r="11" spans="1:60" x14ac:dyDescent="0.25">
      <c r="A11" s="2">
        <v>85</v>
      </c>
      <c r="B11" s="2">
        <v>8</v>
      </c>
      <c r="C11" s="2">
        <v>90</v>
      </c>
      <c r="D11" s="2">
        <v>8</v>
      </c>
      <c r="E11" s="2">
        <v>90</v>
      </c>
      <c r="F11" s="2">
        <v>8</v>
      </c>
      <c r="G11" s="2">
        <v>90</v>
      </c>
      <c r="H11" s="2">
        <v>8</v>
      </c>
      <c r="I11" s="2">
        <v>90</v>
      </c>
      <c r="J11" s="2">
        <v>9</v>
      </c>
      <c r="K11" s="2">
        <v>85</v>
      </c>
      <c r="L11" s="2">
        <v>8</v>
      </c>
      <c r="M11" s="2">
        <v>90</v>
      </c>
      <c r="N11" s="2">
        <v>7</v>
      </c>
      <c r="O11" s="2">
        <v>96</v>
      </c>
      <c r="P11" s="2"/>
      <c r="Q11" s="2">
        <v>85</v>
      </c>
      <c r="R11" s="2">
        <v>8</v>
      </c>
      <c r="S11" s="2">
        <v>95</v>
      </c>
      <c r="T11" s="2"/>
      <c r="U11" s="2">
        <v>85</v>
      </c>
      <c r="V11" s="2">
        <v>8</v>
      </c>
      <c r="W11" s="2">
        <v>90</v>
      </c>
      <c r="X11" s="2">
        <v>9</v>
      </c>
      <c r="Y11" s="2">
        <v>85</v>
      </c>
      <c r="Z11" s="2">
        <v>9</v>
      </c>
      <c r="AA11" s="2">
        <v>85</v>
      </c>
      <c r="AB11" s="2">
        <v>8</v>
      </c>
      <c r="AC11" s="2">
        <v>90</v>
      </c>
      <c r="AD11" s="2">
        <v>8</v>
      </c>
      <c r="AE11" s="2">
        <v>90</v>
      </c>
      <c r="AF11" s="2">
        <v>8</v>
      </c>
      <c r="AG11" s="2">
        <v>85</v>
      </c>
      <c r="AH11" s="2">
        <v>11</v>
      </c>
      <c r="AI11" s="2">
        <v>90</v>
      </c>
      <c r="AJ11" s="2">
        <v>9</v>
      </c>
      <c r="AK11" s="2">
        <v>90</v>
      </c>
      <c r="AL11" s="2">
        <v>7</v>
      </c>
      <c r="AM11" s="2">
        <v>95</v>
      </c>
      <c r="AN11" s="2"/>
      <c r="AO11" s="2">
        <v>90</v>
      </c>
      <c r="AP11" s="2">
        <v>9</v>
      </c>
      <c r="AQ11" s="2">
        <v>90</v>
      </c>
      <c r="AR11" s="2">
        <v>8</v>
      </c>
      <c r="AS11" s="2">
        <v>85</v>
      </c>
      <c r="AT11" s="2">
        <v>8</v>
      </c>
      <c r="AU11" s="2">
        <v>90</v>
      </c>
      <c r="AV11" s="2"/>
      <c r="AW11" s="2">
        <v>90</v>
      </c>
      <c r="AX11" s="2">
        <v>9</v>
      </c>
      <c r="AY11" s="2">
        <v>90</v>
      </c>
      <c r="AZ11" s="2"/>
      <c r="BA11" s="2">
        <v>85</v>
      </c>
      <c r="BB11" s="2">
        <v>10</v>
      </c>
      <c r="BC11" s="2">
        <v>90</v>
      </c>
      <c r="BD11" s="2">
        <v>10</v>
      </c>
      <c r="BE11" s="2">
        <v>85</v>
      </c>
      <c r="BF11" s="2">
        <v>8</v>
      </c>
      <c r="BG11" s="2">
        <v>95</v>
      </c>
      <c r="BH11" s="2">
        <v>8</v>
      </c>
    </row>
    <row r="12" spans="1:60" x14ac:dyDescent="0.25">
      <c r="A12" s="2">
        <v>80</v>
      </c>
      <c r="B12" s="2">
        <v>7</v>
      </c>
      <c r="C12" s="2">
        <v>85</v>
      </c>
      <c r="D12" s="2">
        <v>7</v>
      </c>
      <c r="E12" s="2">
        <v>85</v>
      </c>
      <c r="F12" s="2">
        <v>7</v>
      </c>
      <c r="G12" s="2">
        <v>85</v>
      </c>
      <c r="H12" s="2">
        <v>7</v>
      </c>
      <c r="I12" s="2">
        <v>85</v>
      </c>
      <c r="J12" s="2">
        <v>8</v>
      </c>
      <c r="K12" s="2">
        <v>80</v>
      </c>
      <c r="L12" s="2">
        <v>7</v>
      </c>
      <c r="M12" s="2">
        <v>85</v>
      </c>
      <c r="N12" s="2">
        <v>6</v>
      </c>
      <c r="O12" s="2">
        <v>95</v>
      </c>
      <c r="P12" s="2">
        <v>7</v>
      </c>
      <c r="Q12" s="2">
        <v>80</v>
      </c>
      <c r="R12" s="2">
        <v>7</v>
      </c>
      <c r="S12" s="2">
        <v>90</v>
      </c>
      <c r="T12" s="2">
        <v>8</v>
      </c>
      <c r="U12" s="2">
        <v>80</v>
      </c>
      <c r="V12" s="2">
        <v>7</v>
      </c>
      <c r="W12" s="2">
        <v>85</v>
      </c>
      <c r="X12" s="2">
        <v>8</v>
      </c>
      <c r="Y12" s="2">
        <v>80</v>
      </c>
      <c r="Z12" s="2">
        <v>8</v>
      </c>
      <c r="AA12" s="2">
        <v>80</v>
      </c>
      <c r="AB12" s="2">
        <v>7</v>
      </c>
      <c r="AC12" s="2">
        <v>90</v>
      </c>
      <c r="AD12" s="2">
        <v>7</v>
      </c>
      <c r="AE12" s="2">
        <v>90</v>
      </c>
      <c r="AF12" s="2"/>
      <c r="AG12" s="2">
        <v>80</v>
      </c>
      <c r="AH12" s="2">
        <v>10</v>
      </c>
      <c r="AI12" s="2">
        <v>85</v>
      </c>
      <c r="AJ12" s="2">
        <v>8</v>
      </c>
      <c r="AK12" s="2">
        <v>85</v>
      </c>
      <c r="AL12" s="2">
        <v>6</v>
      </c>
      <c r="AM12" s="2">
        <v>90</v>
      </c>
      <c r="AN12" s="2">
        <v>7</v>
      </c>
      <c r="AO12" s="2">
        <v>85</v>
      </c>
      <c r="AP12" s="2"/>
      <c r="AQ12" s="2">
        <v>90</v>
      </c>
      <c r="AR12" s="2"/>
      <c r="AS12" s="2">
        <v>80</v>
      </c>
      <c r="AT12" s="2">
        <v>7</v>
      </c>
      <c r="AU12" s="2">
        <v>85</v>
      </c>
      <c r="AV12" s="2">
        <v>8</v>
      </c>
      <c r="AW12" s="2">
        <v>85</v>
      </c>
      <c r="AX12" s="2">
        <v>8</v>
      </c>
      <c r="AY12" s="2">
        <v>85</v>
      </c>
      <c r="AZ12" s="2">
        <v>10</v>
      </c>
      <c r="BA12" s="2">
        <v>80</v>
      </c>
      <c r="BB12" s="2">
        <v>9</v>
      </c>
      <c r="BC12" s="2">
        <v>85</v>
      </c>
      <c r="BD12" s="2">
        <v>9</v>
      </c>
      <c r="BE12" s="2">
        <v>80</v>
      </c>
      <c r="BF12" s="2">
        <v>7</v>
      </c>
      <c r="BG12" s="2">
        <v>90</v>
      </c>
      <c r="BH12" s="2">
        <v>7</v>
      </c>
    </row>
    <row r="13" spans="1:60" x14ac:dyDescent="0.25">
      <c r="A13" s="2">
        <v>75</v>
      </c>
      <c r="B13" s="2">
        <v>6</v>
      </c>
      <c r="C13" s="2">
        <v>80</v>
      </c>
      <c r="D13" s="2">
        <v>6</v>
      </c>
      <c r="E13" s="2">
        <v>80</v>
      </c>
      <c r="F13" s="2">
        <v>6</v>
      </c>
      <c r="G13" s="2">
        <v>80</v>
      </c>
      <c r="H13" s="2"/>
      <c r="I13" s="2">
        <v>80</v>
      </c>
      <c r="J13" s="2">
        <v>7</v>
      </c>
      <c r="K13" s="2">
        <v>75</v>
      </c>
      <c r="L13" s="2">
        <v>6</v>
      </c>
      <c r="M13" s="2">
        <v>80</v>
      </c>
      <c r="N13" s="2">
        <v>5</v>
      </c>
      <c r="O13" s="2">
        <v>90</v>
      </c>
      <c r="P13" s="2">
        <v>6</v>
      </c>
      <c r="Q13" s="2">
        <v>75</v>
      </c>
      <c r="R13" s="2"/>
      <c r="S13" s="2">
        <v>90</v>
      </c>
      <c r="T13" s="2">
        <v>7</v>
      </c>
      <c r="U13" s="2">
        <v>75</v>
      </c>
      <c r="V13" s="2">
        <v>6</v>
      </c>
      <c r="W13" s="2">
        <v>80</v>
      </c>
      <c r="X13" s="2"/>
      <c r="Y13" s="2">
        <v>75</v>
      </c>
      <c r="Z13" s="2">
        <v>7</v>
      </c>
      <c r="AA13" s="2">
        <v>75</v>
      </c>
      <c r="AB13" s="2">
        <v>6</v>
      </c>
      <c r="AC13" s="2">
        <v>85</v>
      </c>
      <c r="AD13" s="2">
        <v>6</v>
      </c>
      <c r="AE13" s="2">
        <v>85</v>
      </c>
      <c r="AF13" s="2">
        <v>8</v>
      </c>
      <c r="AG13" s="2">
        <v>75</v>
      </c>
      <c r="AH13" s="2">
        <v>9</v>
      </c>
      <c r="AI13" s="2">
        <v>80</v>
      </c>
      <c r="AJ13" s="2"/>
      <c r="AK13" s="2">
        <v>80</v>
      </c>
      <c r="AL13" s="2">
        <v>5</v>
      </c>
      <c r="AM13" s="2">
        <v>90</v>
      </c>
      <c r="AN13" s="2">
        <v>6</v>
      </c>
      <c r="AO13" s="2">
        <v>80</v>
      </c>
      <c r="AP13" s="2">
        <v>8</v>
      </c>
      <c r="AQ13" s="2">
        <v>85</v>
      </c>
      <c r="AR13" s="2">
        <v>7</v>
      </c>
      <c r="AS13" s="2">
        <v>75</v>
      </c>
      <c r="AT13" s="2">
        <v>6</v>
      </c>
      <c r="AU13" s="2">
        <v>80</v>
      </c>
      <c r="AV13" s="2">
        <v>7</v>
      </c>
      <c r="AW13" s="2">
        <v>80</v>
      </c>
      <c r="AX13" s="2">
        <v>7</v>
      </c>
      <c r="AY13" s="2">
        <v>85</v>
      </c>
      <c r="AZ13" s="2">
        <v>9</v>
      </c>
      <c r="BA13" s="2">
        <v>75</v>
      </c>
      <c r="BB13" s="2">
        <v>8</v>
      </c>
      <c r="BC13" s="2">
        <v>80</v>
      </c>
      <c r="BD13" s="2"/>
      <c r="BE13" s="2">
        <v>75</v>
      </c>
      <c r="BF13" s="2"/>
      <c r="BG13" s="2">
        <v>90</v>
      </c>
      <c r="BH13" s="2">
        <v>6</v>
      </c>
    </row>
    <row r="14" spans="1:60" x14ac:dyDescent="0.25">
      <c r="A14" s="2">
        <v>70</v>
      </c>
      <c r="B14" s="2">
        <v>5</v>
      </c>
      <c r="C14" s="2">
        <v>75</v>
      </c>
      <c r="D14" s="2">
        <v>5</v>
      </c>
      <c r="E14" s="2">
        <v>75</v>
      </c>
      <c r="F14" s="2">
        <v>5</v>
      </c>
      <c r="G14" s="2">
        <v>75</v>
      </c>
      <c r="H14" s="2">
        <v>6</v>
      </c>
      <c r="I14" s="2">
        <v>75</v>
      </c>
      <c r="J14" s="2">
        <v>6</v>
      </c>
      <c r="K14" s="2">
        <v>70</v>
      </c>
      <c r="L14" s="2">
        <v>5</v>
      </c>
      <c r="M14" s="2">
        <v>75</v>
      </c>
      <c r="N14" s="2"/>
      <c r="O14" s="2">
        <v>90</v>
      </c>
      <c r="P14" s="2">
        <v>5</v>
      </c>
      <c r="Q14" s="2">
        <v>70</v>
      </c>
      <c r="R14" s="2"/>
      <c r="S14" s="2">
        <v>85</v>
      </c>
      <c r="T14" s="2"/>
      <c r="U14" s="2">
        <v>70</v>
      </c>
      <c r="V14" s="2"/>
      <c r="W14" s="2">
        <v>75</v>
      </c>
      <c r="X14" s="2"/>
      <c r="Y14" s="2">
        <v>70</v>
      </c>
      <c r="Z14" s="2"/>
      <c r="AA14" s="2">
        <v>70</v>
      </c>
      <c r="AB14" s="2">
        <v>5</v>
      </c>
      <c r="AC14" s="2">
        <v>80</v>
      </c>
      <c r="AD14" s="2">
        <v>5</v>
      </c>
      <c r="AE14" s="2">
        <v>80</v>
      </c>
      <c r="AF14" s="2">
        <v>7</v>
      </c>
      <c r="AG14" s="2">
        <v>70</v>
      </c>
      <c r="AH14" s="2">
        <v>8</v>
      </c>
      <c r="AI14" s="2">
        <v>75</v>
      </c>
      <c r="AJ14" s="2">
        <v>7</v>
      </c>
      <c r="AK14" s="2">
        <v>75</v>
      </c>
      <c r="AL14" s="2">
        <v>4</v>
      </c>
      <c r="AM14" s="2">
        <v>85</v>
      </c>
      <c r="AN14" s="2">
        <v>5</v>
      </c>
      <c r="AO14" s="2">
        <v>80</v>
      </c>
      <c r="AP14" s="2">
        <v>7</v>
      </c>
      <c r="AQ14" s="2">
        <v>80</v>
      </c>
      <c r="AR14" s="2">
        <v>6</v>
      </c>
      <c r="AS14" s="2">
        <v>70</v>
      </c>
      <c r="AT14" s="2">
        <v>5</v>
      </c>
      <c r="AU14" s="2">
        <v>75</v>
      </c>
      <c r="AV14" s="2"/>
      <c r="AW14" s="2">
        <v>75</v>
      </c>
      <c r="AX14" s="2"/>
      <c r="AY14" s="2">
        <v>85</v>
      </c>
      <c r="AZ14" s="2">
        <v>8</v>
      </c>
      <c r="BA14" s="2">
        <v>70</v>
      </c>
      <c r="BB14" s="2">
        <v>7</v>
      </c>
      <c r="BC14" s="2">
        <v>75</v>
      </c>
      <c r="BD14" s="2">
        <v>8</v>
      </c>
      <c r="BE14" s="2">
        <v>70</v>
      </c>
      <c r="BF14" s="2">
        <v>6</v>
      </c>
      <c r="BG14" s="2">
        <v>85</v>
      </c>
      <c r="BH14" s="2">
        <v>5</v>
      </c>
    </row>
    <row r="15" spans="1:60" x14ac:dyDescent="0.25">
      <c r="A15" s="2">
        <v>65</v>
      </c>
      <c r="B15" s="2"/>
      <c r="C15" s="2">
        <v>70</v>
      </c>
      <c r="D15" s="2">
        <v>4</v>
      </c>
      <c r="E15" s="2">
        <v>70</v>
      </c>
      <c r="F15" s="2"/>
      <c r="G15" s="2">
        <v>70</v>
      </c>
      <c r="H15" s="2">
        <v>5</v>
      </c>
      <c r="I15" s="2">
        <v>70</v>
      </c>
      <c r="J15" s="2"/>
      <c r="K15" s="2">
        <v>65</v>
      </c>
      <c r="L15" s="2"/>
      <c r="M15" s="2">
        <v>70</v>
      </c>
      <c r="N15" s="2">
        <v>4</v>
      </c>
      <c r="O15" s="2">
        <v>85</v>
      </c>
      <c r="P15" s="2"/>
      <c r="Q15" s="2">
        <v>65</v>
      </c>
      <c r="R15" s="2">
        <v>6</v>
      </c>
      <c r="S15" s="2">
        <v>80</v>
      </c>
      <c r="T15" s="2">
        <v>6</v>
      </c>
      <c r="U15" s="2">
        <v>65</v>
      </c>
      <c r="V15" s="2">
        <v>5</v>
      </c>
      <c r="W15" s="2">
        <v>70</v>
      </c>
      <c r="X15" s="2">
        <v>7</v>
      </c>
      <c r="Y15" s="2">
        <v>65</v>
      </c>
      <c r="Z15" s="2">
        <v>6</v>
      </c>
      <c r="AA15" s="2">
        <v>65</v>
      </c>
      <c r="AB15" s="2"/>
      <c r="AC15" s="2">
        <v>75</v>
      </c>
      <c r="AD15" s="2">
        <v>4</v>
      </c>
      <c r="AE15" s="2">
        <v>80</v>
      </c>
      <c r="AF15" s="2">
        <v>6</v>
      </c>
      <c r="AG15" s="2">
        <v>65</v>
      </c>
      <c r="AH15" s="2">
        <v>7</v>
      </c>
      <c r="AI15" s="2">
        <v>70</v>
      </c>
      <c r="AJ15" s="2">
        <v>6</v>
      </c>
      <c r="AK15" s="2">
        <v>70</v>
      </c>
      <c r="AL15" s="2"/>
      <c r="AM15" s="2">
        <v>80</v>
      </c>
      <c r="AN15" s="2"/>
      <c r="AO15" s="2">
        <v>75</v>
      </c>
      <c r="AP15" s="2">
        <v>6</v>
      </c>
      <c r="AQ15" s="2">
        <v>75</v>
      </c>
      <c r="AR15" s="2">
        <v>5</v>
      </c>
      <c r="AS15" s="2">
        <v>65</v>
      </c>
      <c r="AT15" s="2"/>
      <c r="AU15" s="2">
        <v>70</v>
      </c>
      <c r="AV15" s="2">
        <v>6</v>
      </c>
      <c r="AW15" s="2">
        <v>70</v>
      </c>
      <c r="AX15" s="2">
        <v>6</v>
      </c>
      <c r="AY15" s="2">
        <v>80</v>
      </c>
      <c r="AZ15" s="2">
        <v>7</v>
      </c>
      <c r="BA15" s="2">
        <v>65</v>
      </c>
      <c r="BB15" s="2">
        <v>6</v>
      </c>
      <c r="BC15" s="2">
        <v>70</v>
      </c>
      <c r="BD15" s="2">
        <v>7</v>
      </c>
      <c r="BE15" s="2">
        <v>65</v>
      </c>
      <c r="BF15" s="2">
        <v>5</v>
      </c>
      <c r="BG15" s="2">
        <v>80</v>
      </c>
      <c r="BH15" s="2"/>
    </row>
    <row r="16" spans="1:60" x14ac:dyDescent="0.25">
      <c r="A16" s="2">
        <v>60</v>
      </c>
      <c r="B16" s="2">
        <v>4</v>
      </c>
      <c r="C16" s="2">
        <v>65</v>
      </c>
      <c r="D16" s="2"/>
      <c r="E16" s="2">
        <v>65</v>
      </c>
      <c r="F16" s="2">
        <v>4</v>
      </c>
      <c r="G16" s="2">
        <v>65</v>
      </c>
      <c r="H16" s="2"/>
      <c r="I16" s="2">
        <v>65</v>
      </c>
      <c r="J16" s="2">
        <v>5</v>
      </c>
      <c r="K16" s="2">
        <v>60</v>
      </c>
      <c r="L16" s="2">
        <v>4</v>
      </c>
      <c r="M16" s="2">
        <v>65</v>
      </c>
      <c r="N16" s="2"/>
      <c r="O16" s="2">
        <v>80</v>
      </c>
      <c r="P16" s="2"/>
      <c r="Q16" s="2">
        <v>65</v>
      </c>
      <c r="R16" s="2">
        <v>5</v>
      </c>
      <c r="S16" s="2">
        <v>75</v>
      </c>
      <c r="T16" s="2"/>
      <c r="U16" s="2">
        <v>60</v>
      </c>
      <c r="V16" s="2"/>
      <c r="W16" s="2">
        <v>65</v>
      </c>
      <c r="X16" s="2">
        <v>6</v>
      </c>
      <c r="Y16" s="2">
        <v>60</v>
      </c>
      <c r="Z16" s="2">
        <v>5</v>
      </c>
      <c r="AA16" s="2">
        <v>60</v>
      </c>
      <c r="AB16" s="2">
        <v>4</v>
      </c>
      <c r="AC16" s="2">
        <v>70</v>
      </c>
      <c r="AD16" s="2"/>
      <c r="AE16" s="2">
        <v>75</v>
      </c>
      <c r="AF16" s="2">
        <v>5</v>
      </c>
      <c r="AG16" s="2">
        <v>60</v>
      </c>
      <c r="AH16" s="2">
        <v>6</v>
      </c>
      <c r="AI16" s="2">
        <v>65</v>
      </c>
      <c r="AJ16" s="2">
        <v>5</v>
      </c>
      <c r="AK16" s="2">
        <v>65</v>
      </c>
      <c r="AL16" s="2">
        <v>3</v>
      </c>
      <c r="AM16" s="2">
        <v>75</v>
      </c>
      <c r="AN16" s="2">
        <v>4</v>
      </c>
      <c r="AO16" s="2">
        <v>70</v>
      </c>
      <c r="AP16" s="2">
        <v>5</v>
      </c>
      <c r="AQ16" s="2">
        <v>70</v>
      </c>
      <c r="AR16" s="2"/>
      <c r="AS16" s="2">
        <v>60</v>
      </c>
      <c r="AT16" s="2">
        <v>4</v>
      </c>
      <c r="AU16" s="2">
        <v>65</v>
      </c>
      <c r="AV16" s="2">
        <v>5</v>
      </c>
      <c r="AW16" s="2">
        <v>65</v>
      </c>
      <c r="AX16" s="2"/>
      <c r="AY16" s="2">
        <v>75</v>
      </c>
      <c r="AZ16" s="2">
        <v>6</v>
      </c>
      <c r="BA16" s="2">
        <v>60</v>
      </c>
      <c r="BB16" s="2">
        <v>5</v>
      </c>
      <c r="BC16" s="2">
        <v>65</v>
      </c>
      <c r="BD16" s="2">
        <v>6</v>
      </c>
      <c r="BE16" s="2">
        <v>60</v>
      </c>
      <c r="BF16" s="2"/>
      <c r="BG16" s="2">
        <v>75</v>
      </c>
      <c r="BH16" s="2"/>
    </row>
    <row r="17" spans="1:60" x14ac:dyDescent="0.25">
      <c r="A17" s="2">
        <v>55</v>
      </c>
      <c r="B17" s="2"/>
      <c r="C17" s="2">
        <v>60</v>
      </c>
      <c r="D17" s="2">
        <v>3</v>
      </c>
      <c r="E17" s="2">
        <v>60</v>
      </c>
      <c r="F17" s="2">
        <v>3</v>
      </c>
      <c r="G17" s="2">
        <v>60</v>
      </c>
      <c r="H17" s="2">
        <v>4</v>
      </c>
      <c r="I17" s="2">
        <v>60</v>
      </c>
      <c r="J17" s="2"/>
      <c r="K17" s="2">
        <v>55</v>
      </c>
      <c r="L17" s="2">
        <v>3</v>
      </c>
      <c r="M17" s="2">
        <v>60</v>
      </c>
      <c r="N17" s="2">
        <v>3</v>
      </c>
      <c r="O17" s="2">
        <v>75</v>
      </c>
      <c r="P17" s="2">
        <v>4</v>
      </c>
      <c r="Q17" s="2">
        <v>60</v>
      </c>
      <c r="R17" s="2"/>
      <c r="S17" s="2">
        <v>70</v>
      </c>
      <c r="T17" s="2">
        <v>5</v>
      </c>
      <c r="U17" s="2">
        <v>55</v>
      </c>
      <c r="V17" s="2"/>
      <c r="W17" s="2">
        <v>60</v>
      </c>
      <c r="X17" s="2"/>
      <c r="Y17" s="2">
        <v>55</v>
      </c>
      <c r="Z17" s="2"/>
      <c r="AA17" s="2">
        <v>55</v>
      </c>
      <c r="AB17" s="2">
        <v>3</v>
      </c>
      <c r="AC17" s="2">
        <v>65</v>
      </c>
      <c r="AD17" s="2">
        <v>3</v>
      </c>
      <c r="AE17" s="2">
        <v>70</v>
      </c>
      <c r="AF17" s="2">
        <v>4</v>
      </c>
      <c r="AG17" s="2">
        <v>55</v>
      </c>
      <c r="AH17" s="2">
        <v>5</v>
      </c>
      <c r="AI17" s="2">
        <v>60</v>
      </c>
      <c r="AJ17" s="2">
        <v>4</v>
      </c>
      <c r="AK17" s="2">
        <v>60</v>
      </c>
      <c r="AL17" s="2"/>
      <c r="AM17" s="2">
        <v>70</v>
      </c>
      <c r="AN17" s="2"/>
      <c r="AO17" s="2">
        <v>65</v>
      </c>
      <c r="AP17" s="2"/>
      <c r="AQ17" s="2">
        <v>65</v>
      </c>
      <c r="AR17" s="2">
        <v>4</v>
      </c>
      <c r="AS17" s="2">
        <v>55</v>
      </c>
      <c r="AT17" s="2"/>
      <c r="AU17" s="2">
        <v>60</v>
      </c>
      <c r="AV17" s="2"/>
      <c r="AW17" s="2">
        <v>60</v>
      </c>
      <c r="AX17" s="2">
        <v>5</v>
      </c>
      <c r="AY17" s="2">
        <v>70</v>
      </c>
      <c r="AZ17" s="2">
        <v>5</v>
      </c>
      <c r="BA17" s="2">
        <v>55</v>
      </c>
      <c r="BB17" s="2"/>
      <c r="BC17" s="2">
        <v>60</v>
      </c>
      <c r="BD17" s="2"/>
      <c r="BE17" s="2">
        <v>55</v>
      </c>
      <c r="BF17" s="2">
        <v>4</v>
      </c>
      <c r="BG17" s="2">
        <v>70</v>
      </c>
      <c r="BH17" s="2">
        <v>4</v>
      </c>
    </row>
    <row r="18" spans="1:60" x14ac:dyDescent="0.25">
      <c r="A18" s="2">
        <v>50</v>
      </c>
      <c r="B18" s="2">
        <v>3</v>
      </c>
      <c r="C18" s="2">
        <v>55</v>
      </c>
      <c r="D18" s="2"/>
      <c r="E18" s="2">
        <v>55</v>
      </c>
      <c r="F18" s="2"/>
      <c r="G18" s="2">
        <v>55</v>
      </c>
      <c r="H18" s="2"/>
      <c r="I18" s="2">
        <v>55</v>
      </c>
      <c r="J18" s="2"/>
      <c r="K18" s="2">
        <v>50</v>
      </c>
      <c r="L18" s="2"/>
      <c r="M18" s="2">
        <v>55</v>
      </c>
      <c r="N18" s="2"/>
      <c r="O18" s="2">
        <v>70</v>
      </c>
      <c r="P18" s="2"/>
      <c r="Q18" s="2">
        <v>55</v>
      </c>
      <c r="R18" s="2">
        <v>4</v>
      </c>
      <c r="S18" s="2">
        <v>65</v>
      </c>
      <c r="T18" s="2"/>
      <c r="U18" s="2">
        <v>50</v>
      </c>
      <c r="V18" s="2"/>
      <c r="W18" s="2">
        <v>55</v>
      </c>
      <c r="X18" s="2">
        <v>5</v>
      </c>
      <c r="Y18" s="2">
        <v>50</v>
      </c>
      <c r="Z18" s="2">
        <v>4</v>
      </c>
      <c r="AA18" s="2">
        <v>50</v>
      </c>
      <c r="AB18" s="2"/>
      <c r="AC18" s="2">
        <v>60</v>
      </c>
      <c r="AD18" s="2"/>
      <c r="AE18" s="2">
        <v>65</v>
      </c>
      <c r="AF18" s="2"/>
      <c r="AG18" s="2">
        <v>50</v>
      </c>
      <c r="AH18" s="2">
        <v>4</v>
      </c>
      <c r="AI18" s="2">
        <v>55</v>
      </c>
      <c r="AJ18" s="2">
        <v>3</v>
      </c>
      <c r="AK18" s="2">
        <v>55</v>
      </c>
      <c r="AL18" s="2">
        <v>2</v>
      </c>
      <c r="AM18" s="2">
        <v>65</v>
      </c>
      <c r="AN18" s="2">
        <v>3</v>
      </c>
      <c r="AO18" s="2">
        <v>60</v>
      </c>
      <c r="AP18" s="2"/>
      <c r="AQ18" s="2">
        <v>60</v>
      </c>
      <c r="AR18" s="2"/>
      <c r="AS18" s="2">
        <v>50</v>
      </c>
      <c r="AT18" s="2">
        <v>3</v>
      </c>
      <c r="AU18" s="2">
        <v>55</v>
      </c>
      <c r="AV18" s="2">
        <v>4</v>
      </c>
      <c r="AW18" s="2">
        <v>55</v>
      </c>
      <c r="AX18" s="2"/>
      <c r="AY18" s="2">
        <v>65</v>
      </c>
      <c r="AZ18" s="2"/>
      <c r="BA18" s="2">
        <v>50</v>
      </c>
      <c r="BB18" s="2">
        <v>4</v>
      </c>
      <c r="BC18" s="2">
        <v>55</v>
      </c>
      <c r="BD18" s="2">
        <v>5</v>
      </c>
      <c r="BE18" s="2">
        <v>50</v>
      </c>
      <c r="BF18" s="2"/>
      <c r="BG18" s="2">
        <v>65</v>
      </c>
      <c r="BH18" s="2"/>
    </row>
    <row r="19" spans="1:60" x14ac:dyDescent="0.25">
      <c r="A19" s="2">
        <v>45</v>
      </c>
      <c r="B19" s="2"/>
      <c r="C19" s="2">
        <v>50</v>
      </c>
      <c r="D19" s="2">
        <v>2</v>
      </c>
      <c r="E19" s="2">
        <v>50</v>
      </c>
      <c r="F19" s="2">
        <v>2</v>
      </c>
      <c r="G19" s="2">
        <v>50</v>
      </c>
      <c r="H19" s="2">
        <v>3</v>
      </c>
      <c r="I19" s="2">
        <v>50</v>
      </c>
      <c r="J19" s="2">
        <v>4</v>
      </c>
      <c r="K19" s="2">
        <v>45</v>
      </c>
      <c r="L19" s="2">
        <v>2</v>
      </c>
      <c r="M19" s="2">
        <v>50</v>
      </c>
      <c r="N19" s="2"/>
      <c r="O19" s="2">
        <v>65</v>
      </c>
      <c r="P19" s="2">
        <v>3</v>
      </c>
      <c r="Q19" s="2">
        <v>50</v>
      </c>
      <c r="R19" s="2"/>
      <c r="S19" s="2">
        <v>60</v>
      </c>
      <c r="T19" s="2">
        <v>4</v>
      </c>
      <c r="U19" s="2">
        <v>45</v>
      </c>
      <c r="V19" s="2">
        <v>4</v>
      </c>
      <c r="W19" s="2">
        <v>50</v>
      </c>
      <c r="X19" s="2"/>
      <c r="Y19" s="2">
        <v>45</v>
      </c>
      <c r="Z19" s="2">
        <v>3</v>
      </c>
      <c r="AA19" s="2">
        <v>45</v>
      </c>
      <c r="AB19" s="2">
        <v>2</v>
      </c>
      <c r="AC19" s="2">
        <v>55</v>
      </c>
      <c r="AD19" s="2">
        <v>2</v>
      </c>
      <c r="AE19" s="2">
        <v>60</v>
      </c>
      <c r="AF19" s="2"/>
      <c r="AG19" s="2">
        <v>45</v>
      </c>
      <c r="AH19" s="2">
        <v>3</v>
      </c>
      <c r="AI19" s="2">
        <v>50</v>
      </c>
      <c r="AJ19" s="2">
        <v>2</v>
      </c>
      <c r="AK19" s="2">
        <v>50</v>
      </c>
      <c r="AL19" s="2"/>
      <c r="AM19" s="2">
        <v>60</v>
      </c>
      <c r="AN19" s="2"/>
      <c r="AO19" s="2">
        <v>55</v>
      </c>
      <c r="AP19" s="2">
        <v>4</v>
      </c>
      <c r="AQ19" s="2">
        <v>55</v>
      </c>
      <c r="AR19" s="2">
        <v>3</v>
      </c>
      <c r="AS19" s="2">
        <v>45</v>
      </c>
      <c r="AT19" s="2"/>
      <c r="AU19" s="2">
        <v>50</v>
      </c>
      <c r="AV19" s="2"/>
      <c r="AW19" s="2">
        <v>50</v>
      </c>
      <c r="AX19" s="2">
        <v>4</v>
      </c>
      <c r="AY19" s="2">
        <v>60</v>
      </c>
      <c r="AZ19" s="2">
        <v>4</v>
      </c>
      <c r="BA19" s="2">
        <v>45</v>
      </c>
      <c r="BB19" s="2">
        <v>3</v>
      </c>
      <c r="BC19" s="2">
        <v>50</v>
      </c>
      <c r="BD19" s="2">
        <v>4</v>
      </c>
      <c r="BE19" s="2">
        <v>45</v>
      </c>
      <c r="BF19" s="2"/>
      <c r="BG19" s="2">
        <v>60</v>
      </c>
      <c r="BH19" s="2">
        <v>3</v>
      </c>
    </row>
    <row r="20" spans="1:60" x14ac:dyDescent="0.25">
      <c r="A20" s="2">
        <v>40</v>
      </c>
      <c r="B20" s="2">
        <v>2</v>
      </c>
      <c r="C20" s="2">
        <v>45</v>
      </c>
      <c r="D20" s="2"/>
      <c r="E20" s="2">
        <v>45</v>
      </c>
      <c r="F20" s="2"/>
      <c r="G20" s="2">
        <v>45</v>
      </c>
      <c r="H20" s="2"/>
      <c r="I20" s="2">
        <v>50</v>
      </c>
      <c r="J20" s="2">
        <v>3</v>
      </c>
      <c r="K20" s="2">
        <v>40</v>
      </c>
      <c r="L20" s="2"/>
      <c r="M20" s="2">
        <v>45</v>
      </c>
      <c r="N20" s="2">
        <v>2</v>
      </c>
      <c r="O20" s="2">
        <v>60</v>
      </c>
      <c r="P20" s="2"/>
      <c r="Q20" s="2">
        <v>45</v>
      </c>
      <c r="R20" s="2">
        <v>3</v>
      </c>
      <c r="S20" s="2">
        <v>55</v>
      </c>
      <c r="T20" s="2"/>
      <c r="U20" s="2">
        <v>45</v>
      </c>
      <c r="V20" s="2">
        <v>3</v>
      </c>
      <c r="W20" s="2">
        <v>45</v>
      </c>
      <c r="X20" s="2"/>
      <c r="Y20" s="2">
        <v>40</v>
      </c>
      <c r="Z20" s="2">
        <v>2</v>
      </c>
      <c r="AA20" s="2">
        <v>40</v>
      </c>
      <c r="AB20" s="2"/>
      <c r="AC20" s="2">
        <v>50</v>
      </c>
      <c r="AD20" s="2"/>
      <c r="AE20" s="2">
        <v>55</v>
      </c>
      <c r="AF20" s="2">
        <v>3</v>
      </c>
      <c r="AG20" s="2">
        <v>40</v>
      </c>
      <c r="AH20" s="2">
        <v>2</v>
      </c>
      <c r="AI20" s="2">
        <v>45</v>
      </c>
      <c r="AJ20" s="2"/>
      <c r="AK20" s="2">
        <v>45</v>
      </c>
      <c r="AL20" s="2"/>
      <c r="AM20" s="2">
        <v>55</v>
      </c>
      <c r="AN20" s="2"/>
      <c r="AO20" s="2">
        <v>50</v>
      </c>
      <c r="AP20" s="2"/>
      <c r="AQ20" s="2">
        <v>50</v>
      </c>
      <c r="AR20" s="2"/>
      <c r="AS20" s="2">
        <v>40</v>
      </c>
      <c r="AT20" s="2">
        <v>2</v>
      </c>
      <c r="AU20" s="2">
        <v>45</v>
      </c>
      <c r="AV20" s="2">
        <v>3</v>
      </c>
      <c r="AW20" s="2">
        <v>45</v>
      </c>
      <c r="AX20" s="2">
        <v>3</v>
      </c>
      <c r="AY20" s="2">
        <v>55</v>
      </c>
      <c r="AZ20" s="2">
        <v>3</v>
      </c>
      <c r="BA20" s="2">
        <v>40</v>
      </c>
      <c r="BB20" s="2"/>
      <c r="BC20" s="2">
        <v>45</v>
      </c>
      <c r="BD20" s="2"/>
      <c r="BE20" s="2">
        <v>40</v>
      </c>
      <c r="BF20" s="2">
        <v>3</v>
      </c>
      <c r="BG20" s="2">
        <v>55</v>
      </c>
      <c r="BH20" s="2"/>
    </row>
    <row r="21" spans="1:60" x14ac:dyDescent="0.25">
      <c r="A21" s="2">
        <v>35</v>
      </c>
      <c r="B21" s="2"/>
      <c r="C21" s="2">
        <v>40</v>
      </c>
      <c r="D21" s="2"/>
      <c r="E21" s="2">
        <v>40</v>
      </c>
      <c r="F21" s="2"/>
      <c r="G21" s="2">
        <v>40</v>
      </c>
      <c r="H21" s="2">
        <v>2</v>
      </c>
      <c r="I21" s="2">
        <v>45</v>
      </c>
      <c r="J21" s="2"/>
      <c r="K21" s="2">
        <v>35</v>
      </c>
      <c r="L21" s="2"/>
      <c r="M21" s="2">
        <v>40</v>
      </c>
      <c r="N21" s="2"/>
      <c r="O21" s="2">
        <v>55</v>
      </c>
      <c r="P21" s="2"/>
      <c r="Q21" s="2">
        <v>40</v>
      </c>
      <c r="R21" s="2"/>
      <c r="S21" s="2">
        <v>50</v>
      </c>
      <c r="T21" s="2">
        <v>3</v>
      </c>
      <c r="U21" s="2">
        <v>40</v>
      </c>
      <c r="V21" s="2"/>
      <c r="W21" s="2">
        <v>40</v>
      </c>
      <c r="X21" s="2">
        <v>4</v>
      </c>
      <c r="Y21" s="2">
        <v>35</v>
      </c>
      <c r="Z21" s="2"/>
      <c r="AA21" s="2">
        <v>35</v>
      </c>
      <c r="AB21" s="2"/>
      <c r="AC21" s="2">
        <v>45</v>
      </c>
      <c r="AD21" s="2"/>
      <c r="AE21" s="2">
        <v>50</v>
      </c>
      <c r="AF21" s="2"/>
      <c r="AG21" s="2">
        <v>35</v>
      </c>
      <c r="AH21" s="2"/>
      <c r="AI21" s="2">
        <v>40</v>
      </c>
      <c r="AJ21" s="2">
        <v>1</v>
      </c>
      <c r="AK21" s="2">
        <v>40</v>
      </c>
      <c r="AL21" s="2">
        <v>1</v>
      </c>
      <c r="AM21" s="2">
        <v>50</v>
      </c>
      <c r="AN21" s="2">
        <v>2</v>
      </c>
      <c r="AO21" s="2">
        <v>45</v>
      </c>
      <c r="AP21" s="2">
        <v>3</v>
      </c>
      <c r="AQ21" s="2">
        <v>45</v>
      </c>
      <c r="AR21" s="2"/>
      <c r="AS21" s="2">
        <v>35</v>
      </c>
      <c r="AT21" s="2"/>
      <c r="AU21" s="2">
        <v>40</v>
      </c>
      <c r="AV21" s="2"/>
      <c r="AW21" s="2">
        <v>40</v>
      </c>
      <c r="AX21" s="2"/>
      <c r="AY21" s="2">
        <v>50</v>
      </c>
      <c r="AZ21" s="2"/>
      <c r="BA21" s="2">
        <v>35</v>
      </c>
      <c r="BB21" s="2">
        <v>2</v>
      </c>
      <c r="BC21" s="2">
        <v>40</v>
      </c>
      <c r="BD21" s="2">
        <v>3</v>
      </c>
      <c r="BE21" s="2">
        <v>35</v>
      </c>
      <c r="BF21" s="2"/>
      <c r="BG21" s="2">
        <v>50</v>
      </c>
      <c r="BH21" s="2">
        <v>2</v>
      </c>
    </row>
    <row r="22" spans="1:60" x14ac:dyDescent="0.25">
      <c r="A22" s="2">
        <v>30</v>
      </c>
      <c r="B22" s="2"/>
      <c r="C22" s="2">
        <v>35</v>
      </c>
      <c r="D22" s="2">
        <v>1</v>
      </c>
      <c r="E22" s="2">
        <v>35</v>
      </c>
      <c r="F22" s="2">
        <v>1</v>
      </c>
      <c r="G22" s="2">
        <v>35</v>
      </c>
      <c r="H22" s="2"/>
      <c r="I22" s="2">
        <v>40</v>
      </c>
      <c r="J22" s="2">
        <v>2</v>
      </c>
      <c r="K22" s="2">
        <v>30</v>
      </c>
      <c r="L22" s="2">
        <v>1</v>
      </c>
      <c r="M22" s="2">
        <v>35</v>
      </c>
      <c r="N22" s="2"/>
      <c r="O22" s="2">
        <v>50</v>
      </c>
      <c r="P22" s="2"/>
      <c r="Q22" s="2">
        <v>35</v>
      </c>
      <c r="R22" s="2"/>
      <c r="S22" s="2">
        <v>45</v>
      </c>
      <c r="T22" s="2"/>
      <c r="U22" s="2">
        <v>35</v>
      </c>
      <c r="V22" s="2">
        <v>2</v>
      </c>
      <c r="W22" s="2">
        <v>35</v>
      </c>
      <c r="X22" s="2"/>
      <c r="Y22" s="2">
        <v>30</v>
      </c>
      <c r="Z22" s="2"/>
      <c r="AA22" s="2">
        <v>30</v>
      </c>
      <c r="AB22" s="2">
        <v>1</v>
      </c>
      <c r="AC22" s="2">
        <v>40</v>
      </c>
      <c r="AD22" s="2">
        <v>1</v>
      </c>
      <c r="AE22" s="2">
        <v>45</v>
      </c>
      <c r="AF22" s="2">
        <v>2</v>
      </c>
      <c r="AG22" s="2">
        <v>30</v>
      </c>
      <c r="AH22" s="2">
        <v>1</v>
      </c>
      <c r="AI22" s="2">
        <v>35</v>
      </c>
      <c r="AJ22" s="2"/>
      <c r="AK22" s="2">
        <v>35</v>
      </c>
      <c r="AL22" s="2"/>
      <c r="AM22" s="2">
        <v>45</v>
      </c>
      <c r="AN22" s="2"/>
      <c r="AO22" s="2">
        <v>40</v>
      </c>
      <c r="AP22" s="2"/>
      <c r="AQ22" s="2">
        <v>40</v>
      </c>
      <c r="AR22" s="2">
        <v>2</v>
      </c>
      <c r="AS22" s="2">
        <v>30</v>
      </c>
      <c r="AT22" s="2">
        <v>1</v>
      </c>
      <c r="AU22" s="2">
        <v>35</v>
      </c>
      <c r="AV22" s="2">
        <v>2</v>
      </c>
      <c r="AW22" s="2">
        <v>35</v>
      </c>
      <c r="AX22" s="2">
        <v>2</v>
      </c>
      <c r="AY22" s="2">
        <v>45</v>
      </c>
      <c r="AZ22" s="2">
        <v>2</v>
      </c>
      <c r="BA22" s="2">
        <v>30</v>
      </c>
      <c r="BB22" s="2"/>
      <c r="BC22" s="2">
        <v>35</v>
      </c>
      <c r="BD22" s="2"/>
      <c r="BE22" s="2">
        <v>30</v>
      </c>
      <c r="BF22" s="2">
        <v>2</v>
      </c>
      <c r="BG22" s="2">
        <v>45</v>
      </c>
      <c r="BH22" s="2"/>
    </row>
    <row r="23" spans="1:60" x14ac:dyDescent="0.25">
      <c r="A23" s="2">
        <v>25</v>
      </c>
      <c r="B23" s="2">
        <v>1</v>
      </c>
      <c r="C23" s="2">
        <v>30</v>
      </c>
      <c r="D23" s="2"/>
      <c r="E23" s="2">
        <v>30</v>
      </c>
      <c r="F23" s="2"/>
      <c r="G23" s="2">
        <v>30</v>
      </c>
      <c r="H23" s="2"/>
      <c r="I23" s="2">
        <v>35</v>
      </c>
      <c r="J23" s="2"/>
      <c r="K23" s="2">
        <v>25</v>
      </c>
      <c r="L23" s="2"/>
      <c r="M23" s="2">
        <v>30</v>
      </c>
      <c r="N23" s="2">
        <v>1</v>
      </c>
      <c r="O23" s="2">
        <v>45</v>
      </c>
      <c r="P23" s="2">
        <v>2</v>
      </c>
      <c r="Q23" s="2">
        <v>30</v>
      </c>
      <c r="R23" s="2">
        <v>2</v>
      </c>
      <c r="S23" s="2">
        <v>40</v>
      </c>
      <c r="T23" s="2">
        <v>2</v>
      </c>
      <c r="U23" s="2">
        <v>30</v>
      </c>
      <c r="V23" s="2"/>
      <c r="W23" s="2">
        <v>30</v>
      </c>
      <c r="X23" s="2">
        <v>3</v>
      </c>
      <c r="Y23" s="2">
        <v>25</v>
      </c>
      <c r="Z23" s="2"/>
      <c r="AA23" s="2">
        <v>25</v>
      </c>
      <c r="AB23" s="2"/>
      <c r="AC23" s="2">
        <v>35</v>
      </c>
      <c r="AD23" s="2"/>
      <c r="AE23" s="2">
        <v>40</v>
      </c>
      <c r="AF23" s="2"/>
      <c r="AG23" s="2">
        <v>25</v>
      </c>
      <c r="AH23" s="2"/>
      <c r="AI23" s="2">
        <v>30</v>
      </c>
      <c r="AJ23" s="2"/>
      <c r="AK23" s="2">
        <v>30</v>
      </c>
      <c r="AL23" s="2"/>
      <c r="AM23" s="2">
        <v>40</v>
      </c>
      <c r="AN23" s="2"/>
      <c r="AO23" s="2">
        <v>35</v>
      </c>
      <c r="AP23" s="2"/>
      <c r="AQ23" s="2">
        <v>35</v>
      </c>
      <c r="AR23" s="2"/>
      <c r="AS23" s="2">
        <v>25</v>
      </c>
      <c r="AT23" s="2"/>
      <c r="AU23" s="2">
        <v>30</v>
      </c>
      <c r="AV23" s="2"/>
      <c r="AW23" s="2">
        <v>30</v>
      </c>
      <c r="AX23" s="2"/>
      <c r="AY23" s="2">
        <v>40</v>
      </c>
      <c r="AZ23" s="2"/>
      <c r="BA23" s="2">
        <v>25</v>
      </c>
      <c r="BB23" s="2">
        <v>1</v>
      </c>
      <c r="BC23" s="2">
        <v>30</v>
      </c>
      <c r="BD23" s="2">
        <v>2</v>
      </c>
      <c r="BE23" s="2">
        <v>25</v>
      </c>
      <c r="BF23" s="2"/>
      <c r="BG23" s="2">
        <v>40</v>
      </c>
      <c r="BH23" s="2"/>
    </row>
    <row r="24" spans="1:60" x14ac:dyDescent="0.25">
      <c r="A24" s="2">
        <v>20</v>
      </c>
      <c r="B24" s="2"/>
      <c r="C24" s="2">
        <v>25</v>
      </c>
      <c r="D24" s="2"/>
      <c r="E24" s="2">
        <v>25</v>
      </c>
      <c r="F24" s="2"/>
      <c r="G24" s="2">
        <v>25</v>
      </c>
      <c r="H24" s="2">
        <v>1</v>
      </c>
      <c r="I24" s="2">
        <v>30</v>
      </c>
      <c r="J24" s="2"/>
      <c r="K24" s="2">
        <v>20</v>
      </c>
      <c r="L24" s="2"/>
      <c r="M24" s="2">
        <v>25</v>
      </c>
      <c r="N24" s="2"/>
      <c r="O24" s="2">
        <v>40</v>
      </c>
      <c r="P24" s="2"/>
      <c r="Q24" s="2">
        <v>25</v>
      </c>
      <c r="R24" s="2"/>
      <c r="S24" s="2">
        <v>35</v>
      </c>
      <c r="T24" s="2"/>
      <c r="U24" s="2">
        <v>25</v>
      </c>
      <c r="V24" s="2"/>
      <c r="W24" s="2">
        <v>25</v>
      </c>
      <c r="X24" s="2"/>
      <c r="Y24" s="2">
        <v>20</v>
      </c>
      <c r="Z24" s="2">
        <v>1</v>
      </c>
      <c r="AA24" s="2">
        <v>20</v>
      </c>
      <c r="AB24" s="2"/>
      <c r="AC24" s="2">
        <v>30</v>
      </c>
      <c r="AD24" s="2"/>
      <c r="AE24" s="2">
        <v>35</v>
      </c>
      <c r="AF24" s="2"/>
      <c r="AG24" s="2">
        <v>20</v>
      </c>
      <c r="AH24" s="2"/>
      <c r="AI24" s="2">
        <v>25</v>
      </c>
      <c r="AJ24" s="2"/>
      <c r="AK24" s="2">
        <v>25</v>
      </c>
      <c r="AL24" s="2"/>
      <c r="AM24" s="2">
        <v>35</v>
      </c>
      <c r="AN24" s="2">
        <v>1</v>
      </c>
      <c r="AO24" s="2">
        <v>30</v>
      </c>
      <c r="AP24" s="2">
        <v>2</v>
      </c>
      <c r="AQ24" s="2">
        <v>30</v>
      </c>
      <c r="AR24" s="2">
        <v>1</v>
      </c>
      <c r="AS24" s="2">
        <v>20</v>
      </c>
      <c r="AT24" s="2"/>
      <c r="AU24" s="2">
        <v>25</v>
      </c>
      <c r="AV24" s="2"/>
      <c r="AW24" s="2">
        <v>25</v>
      </c>
      <c r="AX24" s="2"/>
      <c r="AY24" s="2">
        <v>35</v>
      </c>
      <c r="AZ24" s="2">
        <v>1</v>
      </c>
      <c r="BA24" s="2">
        <v>20</v>
      </c>
      <c r="BB24" s="2"/>
      <c r="BC24" s="2">
        <v>25</v>
      </c>
      <c r="BD24" s="2"/>
      <c r="BE24" s="2">
        <v>20</v>
      </c>
      <c r="BF24" s="2">
        <v>1</v>
      </c>
      <c r="BG24" s="2">
        <v>35</v>
      </c>
      <c r="BH24" s="2">
        <v>1</v>
      </c>
    </row>
    <row r="25" spans="1:60" x14ac:dyDescent="0.25">
      <c r="A25" s="2">
        <v>15</v>
      </c>
      <c r="B25" s="2"/>
      <c r="C25" s="2">
        <v>20</v>
      </c>
      <c r="D25" s="2"/>
      <c r="E25" s="2">
        <v>20</v>
      </c>
      <c r="F25" s="2"/>
      <c r="G25" s="2">
        <v>20</v>
      </c>
      <c r="H25" s="2"/>
      <c r="I25" s="2">
        <v>25</v>
      </c>
      <c r="J25" s="2">
        <v>1</v>
      </c>
      <c r="K25" s="2">
        <v>15</v>
      </c>
      <c r="L25" s="2"/>
      <c r="M25" s="2">
        <v>20</v>
      </c>
      <c r="N25" s="2"/>
      <c r="O25" s="2">
        <v>35</v>
      </c>
      <c r="P25" s="2"/>
      <c r="Q25" s="2">
        <v>20</v>
      </c>
      <c r="R25" s="2">
        <v>1</v>
      </c>
      <c r="S25" s="2">
        <v>30</v>
      </c>
      <c r="T25" s="2"/>
      <c r="U25" s="2">
        <v>20</v>
      </c>
      <c r="V25" s="2">
        <v>1</v>
      </c>
      <c r="W25" s="2">
        <v>20</v>
      </c>
      <c r="X25" s="2">
        <v>2</v>
      </c>
      <c r="Y25" s="2">
        <v>15</v>
      </c>
      <c r="Z25" s="2"/>
      <c r="AA25" s="2">
        <v>15</v>
      </c>
      <c r="AB25" s="2"/>
      <c r="AC25" s="2">
        <v>25</v>
      </c>
      <c r="AD25" s="2"/>
      <c r="AE25" s="2">
        <v>30</v>
      </c>
      <c r="AF25" s="2">
        <v>1</v>
      </c>
      <c r="AG25" s="2">
        <v>15</v>
      </c>
      <c r="AH25" s="2"/>
      <c r="AI25" s="2">
        <v>20</v>
      </c>
      <c r="AJ25" s="2"/>
      <c r="AK25" s="2">
        <v>20</v>
      </c>
      <c r="AL25" s="2"/>
      <c r="AM25" s="2">
        <v>30</v>
      </c>
      <c r="AN25" s="2"/>
      <c r="AO25" s="2">
        <v>25</v>
      </c>
      <c r="AP25" s="2"/>
      <c r="AQ25" s="2">
        <v>25</v>
      </c>
      <c r="AR25" s="2"/>
      <c r="AS25" s="2">
        <v>15</v>
      </c>
      <c r="AT25" s="2">
        <v>0</v>
      </c>
      <c r="AU25" s="2">
        <v>20</v>
      </c>
      <c r="AV25" s="2">
        <v>1</v>
      </c>
      <c r="AW25" s="2">
        <v>20</v>
      </c>
      <c r="AX25" s="2">
        <v>1</v>
      </c>
      <c r="AY25" s="2">
        <v>30</v>
      </c>
      <c r="AZ25" s="2"/>
      <c r="BA25" s="2">
        <v>15</v>
      </c>
      <c r="BB25" s="2"/>
      <c r="BC25" s="2">
        <v>20</v>
      </c>
      <c r="BD25" s="2">
        <v>1</v>
      </c>
      <c r="BE25" s="2">
        <v>15</v>
      </c>
      <c r="BF25" s="2"/>
      <c r="BG25" s="2">
        <v>30</v>
      </c>
      <c r="BH25" s="2"/>
    </row>
    <row r="26" spans="1:60" x14ac:dyDescent="0.25">
      <c r="A26" s="2">
        <v>10</v>
      </c>
      <c r="B26" s="2">
        <v>0</v>
      </c>
      <c r="C26" s="2">
        <v>15</v>
      </c>
      <c r="D26" s="2">
        <v>0</v>
      </c>
      <c r="E26" s="2">
        <v>15</v>
      </c>
      <c r="F26" s="2">
        <v>0</v>
      </c>
      <c r="G26" s="2">
        <v>15</v>
      </c>
      <c r="H26" s="2"/>
      <c r="I26" s="2">
        <v>20</v>
      </c>
      <c r="J26" s="2"/>
      <c r="K26" s="2">
        <v>10</v>
      </c>
      <c r="L26" s="2">
        <v>0</v>
      </c>
      <c r="M26" s="2">
        <v>15</v>
      </c>
      <c r="N26" s="2"/>
      <c r="O26" s="2">
        <v>30</v>
      </c>
      <c r="P26" s="2">
        <v>1</v>
      </c>
      <c r="Q26" s="2">
        <v>15</v>
      </c>
      <c r="R26" s="2"/>
      <c r="S26" s="2">
        <v>25</v>
      </c>
      <c r="T26" s="2">
        <v>1</v>
      </c>
      <c r="U26" s="2">
        <v>15</v>
      </c>
      <c r="V26" s="2"/>
      <c r="W26" s="2">
        <v>15</v>
      </c>
      <c r="X26" s="2"/>
      <c r="Y26" s="2">
        <v>10</v>
      </c>
      <c r="Z26" s="2"/>
      <c r="AA26" s="2">
        <v>10</v>
      </c>
      <c r="AB26" s="2">
        <v>0</v>
      </c>
      <c r="AC26" s="2">
        <v>20</v>
      </c>
      <c r="AD26" s="2"/>
      <c r="AE26" s="2">
        <v>25</v>
      </c>
      <c r="AF26" s="2"/>
      <c r="AG26" s="2">
        <v>10</v>
      </c>
      <c r="AH26" s="2">
        <v>0</v>
      </c>
      <c r="AI26" s="2">
        <v>15</v>
      </c>
      <c r="AJ26" s="2">
        <v>0</v>
      </c>
      <c r="AK26" s="2">
        <v>15</v>
      </c>
      <c r="AL26" s="2">
        <v>0</v>
      </c>
      <c r="AM26" s="2">
        <v>25</v>
      </c>
      <c r="AN26" s="2"/>
      <c r="AO26" s="2">
        <v>20</v>
      </c>
      <c r="AP26" s="2"/>
      <c r="AQ26" s="2">
        <v>20</v>
      </c>
      <c r="AR26" s="2"/>
      <c r="AS26" s="2">
        <v>10</v>
      </c>
      <c r="AT26" s="2"/>
      <c r="AU26" s="2">
        <v>15</v>
      </c>
      <c r="AV26" s="2"/>
      <c r="AW26" s="2">
        <v>15</v>
      </c>
      <c r="AX26" s="2"/>
      <c r="AY26" s="2">
        <v>25</v>
      </c>
      <c r="AZ26" s="2"/>
      <c r="BA26" s="2">
        <v>10</v>
      </c>
      <c r="BB26" s="2">
        <v>0</v>
      </c>
      <c r="BC26" s="2">
        <v>15</v>
      </c>
      <c r="BD26" s="2"/>
      <c r="BE26" s="2">
        <v>10</v>
      </c>
      <c r="BF26" s="2">
        <v>0</v>
      </c>
      <c r="BG26" s="2">
        <v>25</v>
      </c>
      <c r="BH26" s="2"/>
    </row>
    <row r="27" spans="1:60" x14ac:dyDescent="0.25">
      <c r="A27" s="2">
        <v>5</v>
      </c>
      <c r="B27" s="2"/>
      <c r="C27" s="2">
        <v>10</v>
      </c>
      <c r="D27" s="2"/>
      <c r="E27" s="2">
        <v>10</v>
      </c>
      <c r="F27" s="2"/>
      <c r="G27" s="2">
        <v>10</v>
      </c>
      <c r="H27" s="2">
        <v>0</v>
      </c>
      <c r="I27" s="2">
        <v>15</v>
      </c>
      <c r="J27" s="2">
        <v>0</v>
      </c>
      <c r="K27" s="2">
        <v>5</v>
      </c>
      <c r="L27" s="2"/>
      <c r="M27" s="2">
        <v>10</v>
      </c>
      <c r="N27" s="2">
        <v>0</v>
      </c>
      <c r="O27" s="2">
        <v>25</v>
      </c>
      <c r="P27" s="2"/>
      <c r="Q27" s="2">
        <v>10</v>
      </c>
      <c r="R27" s="2">
        <v>0</v>
      </c>
      <c r="S27" s="2">
        <v>20</v>
      </c>
      <c r="T27" s="2"/>
      <c r="U27" s="2">
        <v>10</v>
      </c>
      <c r="V27" s="2">
        <v>0</v>
      </c>
      <c r="W27" s="2">
        <v>10</v>
      </c>
      <c r="X27" s="2">
        <v>1</v>
      </c>
      <c r="Y27" s="2">
        <v>5</v>
      </c>
      <c r="Z27" s="2">
        <v>0</v>
      </c>
      <c r="AA27" s="2">
        <v>5</v>
      </c>
      <c r="AB27" s="2"/>
      <c r="AC27" s="2">
        <v>15</v>
      </c>
      <c r="AD27" s="2">
        <v>0</v>
      </c>
      <c r="AE27" s="2">
        <v>20</v>
      </c>
      <c r="AF27" s="2"/>
      <c r="AG27" s="2">
        <v>5</v>
      </c>
      <c r="AH27" s="2"/>
      <c r="AI27" s="2">
        <v>10</v>
      </c>
      <c r="AJ27" s="2"/>
      <c r="AK27" s="2">
        <v>10</v>
      </c>
      <c r="AL27" s="2"/>
      <c r="AM27" s="2">
        <v>20</v>
      </c>
      <c r="AN27" s="2"/>
      <c r="AO27" s="2">
        <v>15</v>
      </c>
      <c r="AP27" s="2">
        <v>1</v>
      </c>
      <c r="AQ27" s="2">
        <v>15</v>
      </c>
      <c r="AR27" s="2"/>
      <c r="AS27" s="2">
        <v>5</v>
      </c>
      <c r="AT27" s="2"/>
      <c r="AU27" s="2">
        <v>10</v>
      </c>
      <c r="AV27" s="2">
        <v>0</v>
      </c>
      <c r="AW27" s="2">
        <v>10</v>
      </c>
      <c r="AX27" s="2"/>
      <c r="AY27" s="2">
        <v>20</v>
      </c>
      <c r="AZ27" s="2"/>
      <c r="BA27" s="2">
        <v>5</v>
      </c>
      <c r="BB27" s="2"/>
      <c r="BC27" s="2">
        <v>10</v>
      </c>
      <c r="BD27" s="2"/>
      <c r="BE27" s="2">
        <v>5</v>
      </c>
      <c r="BF27" s="2"/>
      <c r="BG27" s="2">
        <v>20</v>
      </c>
      <c r="BH27" s="2"/>
    </row>
    <row r="28" spans="1:60" x14ac:dyDescent="0.25">
      <c r="A28" s="2"/>
      <c r="B28" s="2"/>
      <c r="C28" s="2">
        <v>5</v>
      </c>
      <c r="D28" s="2"/>
      <c r="E28" s="2">
        <v>5</v>
      </c>
      <c r="F28" s="2"/>
      <c r="G28" s="2">
        <v>5</v>
      </c>
      <c r="H28" s="2"/>
      <c r="I28" s="2">
        <v>10</v>
      </c>
      <c r="J28" s="2"/>
      <c r="K28" s="2"/>
      <c r="L28" s="2"/>
      <c r="M28" s="2">
        <v>5</v>
      </c>
      <c r="N28" s="2"/>
      <c r="O28" s="2">
        <v>20</v>
      </c>
      <c r="P28" s="2"/>
      <c r="Q28" s="2">
        <v>5</v>
      </c>
      <c r="R28" s="2"/>
      <c r="S28" s="2">
        <v>15</v>
      </c>
      <c r="T28" s="2"/>
      <c r="U28" s="2">
        <v>5</v>
      </c>
      <c r="V28" s="2"/>
      <c r="W28" s="2">
        <v>5</v>
      </c>
      <c r="X28" s="2"/>
      <c r="Y28" s="2"/>
      <c r="Z28" s="2"/>
      <c r="AA28" s="2"/>
      <c r="AB28" s="2"/>
      <c r="AC28" s="2">
        <v>10</v>
      </c>
      <c r="AD28" s="2"/>
      <c r="AE28" s="2">
        <v>15</v>
      </c>
      <c r="AF28" s="2"/>
      <c r="AG28" s="2"/>
      <c r="AH28" s="2"/>
      <c r="AI28" s="2">
        <v>5</v>
      </c>
      <c r="AJ28" s="2"/>
      <c r="AK28" s="2">
        <v>5</v>
      </c>
      <c r="AL28" s="2"/>
      <c r="AM28" s="2">
        <v>15</v>
      </c>
      <c r="AN28" s="2"/>
      <c r="AO28" s="2">
        <v>10</v>
      </c>
      <c r="AP28" s="2"/>
      <c r="AQ28" s="2">
        <v>10</v>
      </c>
      <c r="AR28" s="2">
        <v>0</v>
      </c>
      <c r="AS28" s="2"/>
      <c r="AT28" s="2"/>
      <c r="AU28" s="2">
        <v>5</v>
      </c>
      <c r="AV28" s="2"/>
      <c r="AW28" s="2">
        <v>5</v>
      </c>
      <c r="AX28" s="2">
        <v>0</v>
      </c>
      <c r="AY28" s="2">
        <v>15</v>
      </c>
      <c r="AZ28" s="2"/>
      <c r="BA28" s="2"/>
      <c r="BB28" s="2"/>
      <c r="BC28" s="2">
        <v>5</v>
      </c>
      <c r="BD28" s="2">
        <v>0</v>
      </c>
      <c r="BE28" s="2"/>
      <c r="BF28" s="2"/>
      <c r="BG28" s="2">
        <v>15</v>
      </c>
      <c r="BH28" s="2">
        <v>0</v>
      </c>
    </row>
    <row r="29" spans="1:60" x14ac:dyDescent="0.25">
      <c r="A29" s="2"/>
      <c r="B29" s="2"/>
      <c r="C29" s="2"/>
      <c r="D29" s="2"/>
      <c r="E29" s="2"/>
      <c r="F29" s="2"/>
      <c r="G29" s="2"/>
      <c r="H29" s="2"/>
      <c r="I29" s="2">
        <v>5</v>
      </c>
      <c r="J29" s="2"/>
      <c r="K29" s="2"/>
      <c r="L29" s="2"/>
      <c r="M29" s="2"/>
      <c r="N29" s="2"/>
      <c r="O29" s="2">
        <v>15</v>
      </c>
      <c r="P29" s="2"/>
      <c r="Q29" s="2"/>
      <c r="R29" s="2"/>
      <c r="S29" s="2">
        <v>10</v>
      </c>
      <c r="T29" s="2">
        <v>0</v>
      </c>
      <c r="U29" s="2"/>
      <c r="V29" s="2"/>
      <c r="W29" s="2">
        <v>4</v>
      </c>
      <c r="X29" s="2">
        <v>0</v>
      </c>
      <c r="Y29" s="2"/>
      <c r="Z29" s="2"/>
      <c r="AA29" s="2"/>
      <c r="AB29" s="2"/>
      <c r="AC29" s="2">
        <v>5</v>
      </c>
      <c r="AD29" s="2"/>
      <c r="AE29" s="2">
        <v>10</v>
      </c>
      <c r="AF29" s="2">
        <v>0</v>
      </c>
      <c r="AG29" s="2"/>
      <c r="AH29" s="2"/>
      <c r="AI29" s="2"/>
      <c r="AJ29" s="2"/>
      <c r="AK29" s="2"/>
      <c r="AL29" s="2"/>
      <c r="AM29" s="2">
        <v>10</v>
      </c>
      <c r="AN29" s="2">
        <v>0</v>
      </c>
      <c r="AO29" s="2">
        <v>5</v>
      </c>
      <c r="AP29" s="2">
        <v>0</v>
      </c>
      <c r="AQ29" s="2">
        <v>5</v>
      </c>
      <c r="AR29" s="2"/>
      <c r="AS29" s="2"/>
      <c r="AT29" s="2"/>
      <c r="AU29" s="2"/>
      <c r="AV29" s="2"/>
      <c r="AW29" s="2"/>
      <c r="AX29" s="2"/>
      <c r="AY29" s="2">
        <v>10</v>
      </c>
      <c r="AZ29" s="2">
        <v>0</v>
      </c>
      <c r="BA29" s="2"/>
      <c r="BB29" s="2"/>
      <c r="BC29" s="2"/>
      <c r="BD29" s="2"/>
      <c r="BE29" s="2"/>
      <c r="BF29" s="2"/>
      <c r="BG29" s="2">
        <v>10</v>
      </c>
      <c r="BH29" s="2"/>
    </row>
    <row r="30" spans="1:60" x14ac:dyDescent="0.25">
      <c r="A30" s="2"/>
      <c r="B30" s="2"/>
      <c r="C30" s="2"/>
      <c r="D30" s="2"/>
      <c r="E30" s="2"/>
      <c r="F30" s="2"/>
      <c r="G30" s="2"/>
      <c r="H30" s="2"/>
      <c r="I30" s="2"/>
      <c r="J30" s="2"/>
      <c r="K30" s="2"/>
      <c r="L30" s="2"/>
      <c r="M30" s="2"/>
      <c r="N30" s="2"/>
      <c r="O30" s="2">
        <v>10</v>
      </c>
      <c r="P30" s="2">
        <v>0</v>
      </c>
      <c r="Q30" s="2"/>
      <c r="R30" s="2"/>
      <c r="S30" s="2">
        <v>5</v>
      </c>
      <c r="T30" s="2"/>
      <c r="U30" s="2"/>
      <c r="V30" s="2"/>
      <c r="W30" s="2"/>
      <c r="X30" s="2"/>
      <c r="Y30" s="2"/>
      <c r="Z30" s="2"/>
      <c r="AA30" s="2"/>
      <c r="AB30" s="2"/>
      <c r="AC30" s="2"/>
      <c r="AD30" s="2"/>
      <c r="AE30" s="2">
        <v>5</v>
      </c>
      <c r="AF30" s="2"/>
      <c r="AG30" s="2"/>
      <c r="AH30" s="2"/>
      <c r="AI30" s="2"/>
      <c r="AJ30" s="2"/>
      <c r="AK30" s="2"/>
      <c r="AL30" s="2"/>
      <c r="AM30" s="2">
        <v>5</v>
      </c>
      <c r="AN30" s="2"/>
      <c r="AO30" s="2"/>
      <c r="AP30" s="2"/>
      <c r="AQ30" s="2"/>
      <c r="AR30" s="2"/>
      <c r="AS30" s="2"/>
      <c r="AT30" s="2"/>
      <c r="AU30" s="2"/>
      <c r="AV30" s="2"/>
      <c r="AW30" s="2"/>
      <c r="AX30" s="2"/>
      <c r="AY30" s="2">
        <v>5</v>
      </c>
      <c r="AZ30" s="2"/>
      <c r="BA30" s="2"/>
      <c r="BB30" s="2"/>
      <c r="BC30" s="2"/>
      <c r="BD30" s="2"/>
      <c r="BE30" s="2"/>
      <c r="BF30" s="2"/>
      <c r="BG30" s="2">
        <v>5</v>
      </c>
      <c r="BH30" s="2"/>
    </row>
    <row r="31" spans="1:60" x14ac:dyDescent="0.25">
      <c r="A31" s="2"/>
      <c r="B31" s="2"/>
      <c r="C31" s="2"/>
      <c r="D31" s="2"/>
      <c r="E31" s="2"/>
      <c r="F31" s="2"/>
      <c r="G31" s="2"/>
      <c r="H31" s="2"/>
      <c r="I31" s="2"/>
      <c r="J31" s="2"/>
      <c r="K31" s="2"/>
      <c r="L31" s="2"/>
      <c r="M31" s="2"/>
      <c r="N31" s="2"/>
      <c r="O31" s="2">
        <v>5</v>
      </c>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row>
    <row r="32" spans="1:60"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row>
    <row r="34" spans="1:60" ht="15.75" x14ac:dyDescent="0.25">
      <c r="C34" s="111" t="s">
        <v>205</v>
      </c>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c r="AB34" s="111"/>
      <c r="AC34" s="111"/>
      <c r="AD34" s="111"/>
      <c r="AE34" s="111"/>
      <c r="AF34" s="111"/>
      <c r="AG34" s="111"/>
      <c r="AH34" s="111"/>
      <c r="AI34" s="111"/>
      <c r="AJ34" s="111"/>
      <c r="AK34" s="111"/>
      <c r="AL34" s="111"/>
      <c r="AM34" s="111"/>
      <c r="AN34" s="111"/>
      <c r="AO34" s="111"/>
      <c r="AP34" s="111"/>
      <c r="AQ34" s="111"/>
      <c r="AR34" s="111"/>
      <c r="AS34" s="111"/>
      <c r="AT34" s="111"/>
      <c r="AU34" s="111"/>
      <c r="AV34" s="111"/>
      <c r="AW34" s="111"/>
      <c r="AX34" s="111"/>
      <c r="AY34" s="111"/>
      <c r="AZ34" s="111"/>
      <c r="BA34" s="111"/>
    </row>
    <row r="36" spans="1:60" x14ac:dyDescent="0.25">
      <c r="A36" s="110">
        <v>1</v>
      </c>
      <c r="B36" s="110"/>
      <c r="C36" s="110"/>
      <c r="D36" s="110"/>
      <c r="E36" s="110">
        <v>2</v>
      </c>
      <c r="F36" s="110"/>
      <c r="G36" s="110"/>
      <c r="H36" s="110"/>
      <c r="I36" s="110">
        <v>3</v>
      </c>
      <c r="J36" s="110"/>
      <c r="K36" s="110"/>
      <c r="L36" s="110"/>
      <c r="M36" s="110">
        <v>4</v>
      </c>
      <c r="N36" s="110"/>
      <c r="O36" s="110"/>
      <c r="P36" s="110"/>
      <c r="Q36" s="110">
        <v>5</v>
      </c>
      <c r="R36" s="110"/>
      <c r="S36" s="110"/>
      <c r="T36" s="110"/>
      <c r="U36" s="110">
        <v>6</v>
      </c>
      <c r="V36" s="110"/>
      <c r="W36" s="110"/>
      <c r="X36" s="110"/>
      <c r="Y36" s="110">
        <v>7</v>
      </c>
      <c r="Z36" s="110"/>
      <c r="AA36" s="110"/>
      <c r="AB36" s="110"/>
      <c r="AC36" s="110">
        <v>8</v>
      </c>
      <c r="AD36" s="110"/>
      <c r="AE36" s="110"/>
      <c r="AF36" s="110"/>
      <c r="AG36" s="110">
        <v>9</v>
      </c>
      <c r="AH36" s="110"/>
      <c r="AI36" s="110"/>
      <c r="AJ36" s="110"/>
      <c r="AK36" s="110">
        <v>10</v>
      </c>
      <c r="AL36" s="110"/>
      <c r="AM36" s="110"/>
      <c r="AN36" s="110"/>
      <c r="AO36" s="110">
        <v>11</v>
      </c>
      <c r="AP36" s="110"/>
      <c r="AQ36" s="110"/>
      <c r="AR36" s="110"/>
      <c r="AS36" s="110">
        <v>12</v>
      </c>
      <c r="AT36" s="110"/>
      <c r="AU36" s="110"/>
      <c r="AV36" s="110"/>
      <c r="AW36" s="110">
        <v>13</v>
      </c>
      <c r="AX36" s="110"/>
      <c r="AY36" s="110"/>
      <c r="AZ36" s="110"/>
      <c r="BA36" s="110">
        <v>14</v>
      </c>
      <c r="BB36" s="110"/>
      <c r="BC36" s="110"/>
      <c r="BD36" s="110"/>
      <c r="BE36" s="110">
        <v>15</v>
      </c>
      <c r="BF36" s="110"/>
      <c r="BG36" s="110"/>
      <c r="BH36" s="110"/>
    </row>
    <row r="37" spans="1:60" x14ac:dyDescent="0.25">
      <c r="A37" s="3" t="s">
        <v>0</v>
      </c>
      <c r="B37" s="3" t="s">
        <v>8</v>
      </c>
      <c r="C37" s="3" t="s">
        <v>0</v>
      </c>
      <c r="D37" s="3" t="s">
        <v>9</v>
      </c>
      <c r="E37" s="3" t="s">
        <v>0</v>
      </c>
      <c r="F37" s="3" t="s">
        <v>8</v>
      </c>
      <c r="G37" s="3" t="s">
        <v>0</v>
      </c>
      <c r="H37" s="3" t="s">
        <v>9</v>
      </c>
      <c r="I37" s="3" t="s">
        <v>0</v>
      </c>
      <c r="J37" s="3" t="s">
        <v>8</v>
      </c>
      <c r="K37" s="3" t="s">
        <v>0</v>
      </c>
      <c r="L37" s="3" t="s">
        <v>9</v>
      </c>
      <c r="M37" s="3" t="s">
        <v>0</v>
      </c>
      <c r="N37" s="3" t="s">
        <v>8</v>
      </c>
      <c r="O37" s="3" t="s">
        <v>0</v>
      </c>
      <c r="P37" s="3" t="s">
        <v>9</v>
      </c>
      <c r="Q37" s="3" t="s">
        <v>0</v>
      </c>
      <c r="R37" s="3" t="s">
        <v>8</v>
      </c>
      <c r="S37" s="3" t="s">
        <v>0</v>
      </c>
      <c r="T37" s="3" t="s">
        <v>9</v>
      </c>
      <c r="U37" s="3" t="s">
        <v>0</v>
      </c>
      <c r="V37" s="3" t="s">
        <v>8</v>
      </c>
      <c r="W37" s="3" t="s">
        <v>0</v>
      </c>
      <c r="X37" s="3" t="s">
        <v>9</v>
      </c>
      <c r="Y37" s="3" t="s">
        <v>0</v>
      </c>
      <c r="Z37" s="3" t="s">
        <v>8</v>
      </c>
      <c r="AA37" s="3" t="s">
        <v>0</v>
      </c>
      <c r="AB37" s="3" t="s">
        <v>9</v>
      </c>
      <c r="AC37" s="3" t="s">
        <v>0</v>
      </c>
      <c r="AD37" s="3" t="s">
        <v>8</v>
      </c>
      <c r="AE37" s="3" t="s">
        <v>0</v>
      </c>
      <c r="AF37" s="3" t="s">
        <v>9</v>
      </c>
      <c r="AG37" s="3" t="s">
        <v>0</v>
      </c>
      <c r="AH37" s="3" t="s">
        <v>8</v>
      </c>
      <c r="AI37" s="3" t="s">
        <v>0</v>
      </c>
      <c r="AJ37" s="3" t="s">
        <v>9</v>
      </c>
      <c r="AK37" s="3" t="s">
        <v>0</v>
      </c>
      <c r="AL37" s="3" t="s">
        <v>8</v>
      </c>
      <c r="AM37" s="3" t="s">
        <v>0</v>
      </c>
      <c r="AN37" s="3" t="s">
        <v>9</v>
      </c>
      <c r="AO37" s="3" t="s">
        <v>0</v>
      </c>
      <c r="AP37" s="3" t="s">
        <v>8</v>
      </c>
      <c r="AQ37" s="3" t="s">
        <v>0</v>
      </c>
      <c r="AR37" s="3" t="s">
        <v>9</v>
      </c>
      <c r="AS37" s="3" t="s">
        <v>0</v>
      </c>
      <c r="AT37" s="3" t="s">
        <v>8</v>
      </c>
      <c r="AU37" s="3" t="s">
        <v>0</v>
      </c>
      <c r="AV37" s="3" t="s">
        <v>9</v>
      </c>
      <c r="AW37" s="3" t="s">
        <v>0</v>
      </c>
      <c r="AX37" s="3" t="s">
        <v>8</v>
      </c>
      <c r="AY37" s="3" t="s">
        <v>0</v>
      </c>
      <c r="AZ37" s="3" t="s">
        <v>9</v>
      </c>
      <c r="BA37" s="3" t="s">
        <v>0</v>
      </c>
      <c r="BB37" s="3" t="s">
        <v>8</v>
      </c>
      <c r="BC37" s="3" t="s">
        <v>0</v>
      </c>
      <c r="BD37" s="3" t="s">
        <v>9</v>
      </c>
      <c r="BE37" s="3" t="s">
        <v>0</v>
      </c>
      <c r="BF37" s="3" t="s">
        <v>8</v>
      </c>
      <c r="BG37" s="3" t="s">
        <v>0</v>
      </c>
      <c r="BH37" s="3" t="s">
        <v>9</v>
      </c>
    </row>
    <row r="38" spans="1:60" x14ac:dyDescent="0.25">
      <c r="A38" s="2">
        <v>99</v>
      </c>
      <c r="B38" s="2">
        <v>12</v>
      </c>
      <c r="C38" s="2">
        <v>99</v>
      </c>
      <c r="D38" s="2">
        <v>12</v>
      </c>
      <c r="E38" s="2">
        <v>99</v>
      </c>
      <c r="F38" s="2">
        <v>12</v>
      </c>
      <c r="G38" s="2">
        <v>99</v>
      </c>
      <c r="H38" s="2">
        <v>12</v>
      </c>
      <c r="I38" s="2">
        <v>99</v>
      </c>
      <c r="J38" s="2"/>
      <c r="K38" s="2">
        <v>99</v>
      </c>
      <c r="L38" s="2">
        <v>12</v>
      </c>
      <c r="M38" s="2">
        <v>99</v>
      </c>
      <c r="N38" s="4">
        <v>12</v>
      </c>
      <c r="O38" s="2">
        <v>99</v>
      </c>
      <c r="P38" s="2">
        <v>12</v>
      </c>
      <c r="Q38" s="2">
        <v>99</v>
      </c>
      <c r="R38" s="4">
        <v>12</v>
      </c>
      <c r="S38" s="2">
        <v>99</v>
      </c>
      <c r="T38" s="2">
        <v>12</v>
      </c>
      <c r="U38" s="2">
        <v>99</v>
      </c>
      <c r="V38" s="4">
        <v>12</v>
      </c>
      <c r="W38" s="2">
        <v>99</v>
      </c>
      <c r="X38" s="2"/>
      <c r="Y38" s="2">
        <v>99</v>
      </c>
      <c r="Z38" s="4">
        <v>12</v>
      </c>
      <c r="AA38" s="2">
        <v>99</v>
      </c>
      <c r="AB38" s="2">
        <v>12</v>
      </c>
      <c r="AC38" s="2">
        <v>99</v>
      </c>
      <c r="AD38" s="4">
        <v>12</v>
      </c>
      <c r="AE38" s="2">
        <v>99</v>
      </c>
      <c r="AF38" s="2">
        <v>12</v>
      </c>
      <c r="AG38" s="2">
        <v>99</v>
      </c>
      <c r="AH38" s="2"/>
      <c r="AI38" s="2">
        <v>99</v>
      </c>
      <c r="AJ38" s="2"/>
      <c r="AK38" s="2">
        <v>99</v>
      </c>
      <c r="AL38" s="2">
        <v>12</v>
      </c>
      <c r="AM38" s="2">
        <v>99</v>
      </c>
      <c r="AN38" s="2">
        <v>12</v>
      </c>
      <c r="AO38" s="2">
        <v>99</v>
      </c>
      <c r="AP38" s="2">
        <v>12</v>
      </c>
      <c r="AQ38" s="2">
        <v>99</v>
      </c>
      <c r="AR38" s="2">
        <v>12</v>
      </c>
      <c r="AS38" s="2">
        <v>99</v>
      </c>
      <c r="AT38" s="2">
        <v>12</v>
      </c>
      <c r="AU38" s="2">
        <v>99</v>
      </c>
      <c r="AV38" s="2">
        <v>12</v>
      </c>
      <c r="AW38" s="2">
        <v>99</v>
      </c>
      <c r="AX38" s="2"/>
      <c r="AY38" s="2">
        <v>99</v>
      </c>
      <c r="AZ38" s="2">
        <v>12</v>
      </c>
      <c r="BA38" s="2">
        <v>99</v>
      </c>
      <c r="BB38" s="2"/>
      <c r="BC38" s="2">
        <v>99</v>
      </c>
      <c r="BD38" s="2"/>
      <c r="BE38" s="2">
        <v>99</v>
      </c>
      <c r="BF38" s="2">
        <v>12</v>
      </c>
      <c r="BG38" s="2">
        <v>99</v>
      </c>
      <c r="BH38" s="2">
        <v>12</v>
      </c>
    </row>
    <row r="39" spans="1:60" x14ac:dyDescent="0.25">
      <c r="A39" s="2">
        <v>98</v>
      </c>
      <c r="B39" s="2">
        <v>11</v>
      </c>
      <c r="C39" s="2">
        <v>98</v>
      </c>
      <c r="D39" s="2">
        <v>11</v>
      </c>
      <c r="E39" s="2">
        <v>98</v>
      </c>
      <c r="F39" s="2"/>
      <c r="G39" s="2">
        <v>98</v>
      </c>
      <c r="H39" s="2"/>
      <c r="I39" s="2">
        <v>98</v>
      </c>
      <c r="J39" s="2">
        <v>12</v>
      </c>
      <c r="K39" s="2">
        <v>98</v>
      </c>
      <c r="L39" s="2"/>
      <c r="M39" s="2">
        <v>99</v>
      </c>
      <c r="N39" s="2">
        <v>11</v>
      </c>
      <c r="O39" s="2">
        <v>99</v>
      </c>
      <c r="P39" s="2">
        <v>11</v>
      </c>
      <c r="Q39" s="2">
        <v>98</v>
      </c>
      <c r="R39" s="2"/>
      <c r="S39" s="2">
        <v>99</v>
      </c>
      <c r="T39" s="2">
        <v>11</v>
      </c>
      <c r="U39" s="2">
        <v>98</v>
      </c>
      <c r="V39" s="2"/>
      <c r="W39" s="2">
        <v>98</v>
      </c>
      <c r="X39" s="2"/>
      <c r="Y39" s="2">
        <v>98</v>
      </c>
      <c r="Z39" s="2"/>
      <c r="AA39" s="2">
        <v>98</v>
      </c>
      <c r="AB39" s="2">
        <v>11</v>
      </c>
      <c r="AC39" s="2">
        <v>99</v>
      </c>
      <c r="AD39" s="2">
        <v>11</v>
      </c>
      <c r="AE39" s="2">
        <v>99</v>
      </c>
      <c r="AF39" s="2"/>
      <c r="AG39" s="2">
        <v>98</v>
      </c>
      <c r="AH39" s="2"/>
      <c r="AI39" s="2">
        <v>98</v>
      </c>
      <c r="AJ39" s="2">
        <v>12</v>
      </c>
      <c r="AK39" s="2">
        <v>99</v>
      </c>
      <c r="AL39" s="2">
        <v>11</v>
      </c>
      <c r="AM39" s="2">
        <v>99</v>
      </c>
      <c r="AN39" s="2">
        <v>11</v>
      </c>
      <c r="AO39" s="2">
        <v>98</v>
      </c>
      <c r="AP39" s="2">
        <v>11</v>
      </c>
      <c r="AQ39" s="2">
        <v>99</v>
      </c>
      <c r="AR39" s="2">
        <v>11</v>
      </c>
      <c r="AS39" s="1">
        <v>99</v>
      </c>
      <c r="AT39" s="2">
        <v>11</v>
      </c>
      <c r="AU39" s="2">
        <v>98</v>
      </c>
      <c r="AV39" s="2">
        <v>11</v>
      </c>
      <c r="AW39" s="2">
        <v>98</v>
      </c>
      <c r="AX39" s="2"/>
      <c r="AY39" s="2">
        <v>98</v>
      </c>
      <c r="AZ39" s="2"/>
      <c r="BA39" s="2">
        <v>98</v>
      </c>
      <c r="BB39" s="2"/>
      <c r="BC39" s="2">
        <v>98</v>
      </c>
      <c r="BD39" s="2"/>
      <c r="BE39" s="2">
        <v>98</v>
      </c>
      <c r="BF39" s="2"/>
      <c r="BG39" s="2">
        <v>99</v>
      </c>
      <c r="BH39" s="2">
        <v>11</v>
      </c>
    </row>
    <row r="40" spans="1:60" x14ac:dyDescent="0.25">
      <c r="A40" s="2">
        <v>97</v>
      </c>
      <c r="B40" s="2">
        <v>10</v>
      </c>
      <c r="C40" s="2">
        <v>97</v>
      </c>
      <c r="D40" s="2"/>
      <c r="E40" s="2">
        <v>97</v>
      </c>
      <c r="F40" s="2">
        <v>11</v>
      </c>
      <c r="G40" s="2">
        <v>97</v>
      </c>
      <c r="H40" s="2">
        <v>11</v>
      </c>
      <c r="I40" s="2">
        <v>97</v>
      </c>
      <c r="J40" s="2"/>
      <c r="K40" s="2">
        <v>97</v>
      </c>
      <c r="L40" s="2">
        <v>11</v>
      </c>
      <c r="M40" s="1">
        <v>99</v>
      </c>
      <c r="N40" s="2">
        <v>10</v>
      </c>
      <c r="O40" s="2">
        <v>99</v>
      </c>
      <c r="P40" s="2">
        <v>10</v>
      </c>
      <c r="Q40" s="2">
        <v>97</v>
      </c>
      <c r="R40" s="2">
        <v>11</v>
      </c>
      <c r="S40" s="2">
        <v>99</v>
      </c>
      <c r="T40" s="2"/>
      <c r="U40" s="2">
        <v>97</v>
      </c>
      <c r="V40" s="2"/>
      <c r="W40" s="2">
        <v>97</v>
      </c>
      <c r="X40" s="2"/>
      <c r="Y40" s="2">
        <v>97</v>
      </c>
      <c r="Z40" s="2"/>
      <c r="AA40" s="2">
        <v>97</v>
      </c>
      <c r="AB40" s="2"/>
      <c r="AC40" s="2">
        <v>98</v>
      </c>
      <c r="AD40" s="2"/>
      <c r="AE40" s="2">
        <v>98</v>
      </c>
      <c r="AF40" s="2"/>
      <c r="AG40" s="2">
        <v>97</v>
      </c>
      <c r="AH40" s="2"/>
      <c r="AI40" s="1">
        <v>98</v>
      </c>
      <c r="AJ40" s="2">
        <v>11</v>
      </c>
      <c r="AK40" s="2">
        <v>98</v>
      </c>
      <c r="AL40" s="2"/>
      <c r="AM40" s="2">
        <v>98</v>
      </c>
      <c r="AN40" s="2">
        <v>10</v>
      </c>
      <c r="AO40" s="2">
        <v>98</v>
      </c>
      <c r="AP40" s="2"/>
      <c r="AQ40" s="2">
        <v>98</v>
      </c>
      <c r="AR40" s="2">
        <v>10</v>
      </c>
      <c r="AS40" s="2">
        <v>98</v>
      </c>
      <c r="AT40" s="2"/>
      <c r="AU40" s="2">
        <v>97</v>
      </c>
      <c r="AV40" s="2">
        <v>10</v>
      </c>
      <c r="AW40" s="1">
        <v>97</v>
      </c>
      <c r="AX40" s="2">
        <v>12</v>
      </c>
      <c r="AY40" s="2">
        <v>97</v>
      </c>
      <c r="AZ40" s="2">
        <v>11</v>
      </c>
      <c r="BA40" s="2">
        <v>97</v>
      </c>
      <c r="BB40" s="2">
        <v>12</v>
      </c>
      <c r="BC40" s="2">
        <v>97</v>
      </c>
      <c r="BD40" s="2">
        <v>12</v>
      </c>
      <c r="BE40" s="2">
        <v>97</v>
      </c>
      <c r="BF40" s="2">
        <v>11</v>
      </c>
      <c r="BG40" s="2">
        <v>98</v>
      </c>
      <c r="BH40" s="2"/>
    </row>
    <row r="41" spans="1:60" x14ac:dyDescent="0.25">
      <c r="A41" s="2">
        <v>96</v>
      </c>
      <c r="B41" s="2"/>
      <c r="C41" s="2">
        <v>96</v>
      </c>
      <c r="D41" s="2"/>
      <c r="E41" s="2">
        <v>96</v>
      </c>
      <c r="F41" s="2"/>
      <c r="G41" s="2">
        <v>96</v>
      </c>
      <c r="H41" s="2"/>
      <c r="I41" s="2">
        <v>96</v>
      </c>
      <c r="J41" s="2"/>
      <c r="K41" s="2">
        <v>96</v>
      </c>
      <c r="L41" s="2"/>
      <c r="M41" s="2">
        <v>98</v>
      </c>
      <c r="N41" s="2">
        <v>9</v>
      </c>
      <c r="O41" s="2">
        <v>99</v>
      </c>
      <c r="P41" s="2">
        <v>9</v>
      </c>
      <c r="Q41" s="2">
        <v>96</v>
      </c>
      <c r="R41" s="2"/>
      <c r="S41" s="2">
        <v>98</v>
      </c>
      <c r="T41" s="2">
        <v>10</v>
      </c>
      <c r="U41" s="2">
        <v>96</v>
      </c>
      <c r="V41" s="2">
        <v>11</v>
      </c>
      <c r="W41" s="2">
        <v>96</v>
      </c>
      <c r="X41" s="2"/>
      <c r="Y41" s="2">
        <v>96</v>
      </c>
      <c r="Z41" s="2">
        <v>11</v>
      </c>
      <c r="AA41" s="2">
        <v>96</v>
      </c>
      <c r="AB41" s="2"/>
      <c r="AC41" s="2">
        <v>97</v>
      </c>
      <c r="AD41" s="2"/>
      <c r="AE41" s="2">
        <v>97</v>
      </c>
      <c r="AF41" s="2">
        <v>11</v>
      </c>
      <c r="AG41" s="2">
        <v>96</v>
      </c>
      <c r="AH41" s="2"/>
      <c r="AI41" s="2">
        <v>97</v>
      </c>
      <c r="AJ41" s="2"/>
      <c r="AK41" s="2">
        <v>97</v>
      </c>
      <c r="AL41" s="2">
        <v>10</v>
      </c>
      <c r="AM41" s="2">
        <v>97</v>
      </c>
      <c r="AN41" s="2">
        <v>9</v>
      </c>
      <c r="AO41" s="2">
        <v>97</v>
      </c>
      <c r="AP41" s="2"/>
      <c r="AQ41" s="2">
        <v>97</v>
      </c>
      <c r="AR41" s="2"/>
      <c r="AS41" s="2">
        <v>97</v>
      </c>
      <c r="AT41" s="2"/>
      <c r="AU41" s="2">
        <v>96</v>
      </c>
      <c r="AV41" s="2"/>
      <c r="AW41" s="2">
        <v>97</v>
      </c>
      <c r="AX41" s="2">
        <v>11</v>
      </c>
      <c r="AY41" s="2">
        <v>96</v>
      </c>
      <c r="AZ41" s="2"/>
      <c r="BA41" s="2">
        <v>96</v>
      </c>
      <c r="BB41" s="2"/>
      <c r="BC41" s="2">
        <v>96</v>
      </c>
      <c r="BD41" s="2"/>
      <c r="BE41" s="2">
        <v>96</v>
      </c>
      <c r="BF41" s="2"/>
      <c r="BG41" s="2">
        <v>97</v>
      </c>
      <c r="BH41" s="2">
        <v>10</v>
      </c>
    </row>
    <row r="42" spans="1:60" x14ac:dyDescent="0.25">
      <c r="A42" s="2">
        <v>95</v>
      </c>
      <c r="B42" s="2">
        <v>9</v>
      </c>
      <c r="C42" s="2">
        <v>95</v>
      </c>
      <c r="D42" s="2">
        <v>10</v>
      </c>
      <c r="E42" s="2">
        <v>95</v>
      </c>
      <c r="F42" s="2">
        <v>10</v>
      </c>
      <c r="G42" s="2">
        <v>95</v>
      </c>
      <c r="H42" s="2">
        <v>10</v>
      </c>
      <c r="I42" s="2">
        <v>95</v>
      </c>
      <c r="J42" s="2">
        <v>11</v>
      </c>
      <c r="K42" s="2">
        <v>95</v>
      </c>
      <c r="L42" s="2"/>
      <c r="M42" s="2">
        <v>97</v>
      </c>
      <c r="N42" s="2"/>
      <c r="O42" s="2">
        <v>98</v>
      </c>
      <c r="P42" s="2"/>
      <c r="Q42" s="2">
        <v>95</v>
      </c>
      <c r="R42" s="2">
        <v>10</v>
      </c>
      <c r="S42" s="2">
        <v>97</v>
      </c>
      <c r="T42" s="2"/>
      <c r="U42" s="2">
        <v>95</v>
      </c>
      <c r="V42" s="2"/>
      <c r="W42" s="2">
        <v>95</v>
      </c>
      <c r="X42" s="2"/>
      <c r="Y42" s="2">
        <v>95</v>
      </c>
      <c r="Z42" s="2"/>
      <c r="AA42" s="2">
        <v>95</v>
      </c>
      <c r="AB42" s="2">
        <v>10</v>
      </c>
      <c r="AC42" s="2">
        <v>96</v>
      </c>
      <c r="AD42" s="2">
        <v>10</v>
      </c>
      <c r="AE42" s="2">
        <v>96</v>
      </c>
      <c r="AF42" s="2"/>
      <c r="AG42" s="2">
        <v>95</v>
      </c>
      <c r="AH42" s="2"/>
      <c r="AI42" s="2">
        <v>96</v>
      </c>
      <c r="AJ42" s="2"/>
      <c r="AK42" s="2">
        <v>96</v>
      </c>
      <c r="AL42" s="2">
        <v>9</v>
      </c>
      <c r="AM42" s="2">
        <v>96</v>
      </c>
      <c r="AN42" s="2">
        <v>8</v>
      </c>
      <c r="AO42" s="2">
        <v>96</v>
      </c>
      <c r="AP42" s="2">
        <v>10</v>
      </c>
      <c r="AQ42" s="2">
        <v>96</v>
      </c>
      <c r="AR42" s="2">
        <v>9</v>
      </c>
      <c r="AS42" s="2">
        <v>96</v>
      </c>
      <c r="AT42" s="2"/>
      <c r="AU42" s="2">
        <v>95</v>
      </c>
      <c r="AV42" s="2">
        <v>9</v>
      </c>
      <c r="AW42" s="2">
        <v>96</v>
      </c>
      <c r="AX42" s="2"/>
      <c r="AY42" s="2">
        <v>95</v>
      </c>
      <c r="AZ42" s="2"/>
      <c r="BA42" s="2">
        <v>95</v>
      </c>
      <c r="BB42" s="2"/>
      <c r="BC42" s="2">
        <v>95</v>
      </c>
      <c r="BD42" s="2"/>
      <c r="BE42" s="2">
        <v>95</v>
      </c>
      <c r="BF42" s="2"/>
      <c r="BG42" s="2">
        <v>97</v>
      </c>
      <c r="BH42" s="2">
        <v>9</v>
      </c>
    </row>
    <row r="43" spans="1:60" x14ac:dyDescent="0.25">
      <c r="A43" s="2">
        <v>90</v>
      </c>
      <c r="B43" s="2">
        <v>8</v>
      </c>
      <c r="C43" s="1">
        <v>95</v>
      </c>
      <c r="D43" s="2">
        <v>9</v>
      </c>
      <c r="E43" s="2">
        <v>90</v>
      </c>
      <c r="F43" s="2">
        <v>9</v>
      </c>
      <c r="G43" s="2">
        <v>90</v>
      </c>
      <c r="H43" s="2">
        <v>9</v>
      </c>
      <c r="I43" s="2">
        <v>90</v>
      </c>
      <c r="J43" s="2">
        <v>10</v>
      </c>
      <c r="K43" s="2">
        <v>90</v>
      </c>
      <c r="L43" s="2">
        <v>10</v>
      </c>
      <c r="M43" s="2">
        <v>96</v>
      </c>
      <c r="N43" s="2">
        <v>8</v>
      </c>
      <c r="O43" s="2">
        <v>97</v>
      </c>
      <c r="P43" s="2">
        <v>8</v>
      </c>
      <c r="Q43" s="2">
        <v>90</v>
      </c>
      <c r="R43" s="2">
        <v>9</v>
      </c>
      <c r="S43" s="2">
        <v>96</v>
      </c>
      <c r="T43" s="2">
        <v>9</v>
      </c>
      <c r="U43" s="2">
        <v>90</v>
      </c>
      <c r="V43" s="2">
        <v>10</v>
      </c>
      <c r="W43" s="2">
        <v>90</v>
      </c>
      <c r="X43" s="2">
        <v>12</v>
      </c>
      <c r="Y43" s="2">
        <v>90</v>
      </c>
      <c r="Z43" s="2">
        <v>10</v>
      </c>
      <c r="AA43" s="2">
        <v>90</v>
      </c>
      <c r="AB43" s="2">
        <v>9</v>
      </c>
      <c r="AC43" s="2">
        <v>95</v>
      </c>
      <c r="AD43" s="2"/>
      <c r="AE43" s="2">
        <v>95</v>
      </c>
      <c r="AF43" s="2">
        <v>10</v>
      </c>
      <c r="AG43" s="2">
        <v>90</v>
      </c>
      <c r="AH43" s="2">
        <v>12</v>
      </c>
      <c r="AI43" s="2">
        <v>95</v>
      </c>
      <c r="AJ43" s="2"/>
      <c r="AK43" s="2">
        <v>95</v>
      </c>
      <c r="AL43" s="2">
        <v>8</v>
      </c>
      <c r="AM43" s="2">
        <v>96</v>
      </c>
      <c r="AN43" s="2"/>
      <c r="AO43" s="2">
        <v>95</v>
      </c>
      <c r="AP43" s="2"/>
      <c r="AQ43" s="2">
        <v>95</v>
      </c>
      <c r="AR43" s="2"/>
      <c r="AS43" s="1">
        <v>95</v>
      </c>
      <c r="AT43" s="2">
        <v>10</v>
      </c>
      <c r="AU43" s="2">
        <v>90</v>
      </c>
      <c r="AV43" s="2">
        <v>8</v>
      </c>
      <c r="AW43" s="2">
        <v>95</v>
      </c>
      <c r="AX43" s="2">
        <v>10</v>
      </c>
      <c r="AY43" s="2">
        <v>90</v>
      </c>
      <c r="AZ43" s="2">
        <v>10</v>
      </c>
      <c r="BA43" s="2">
        <v>90</v>
      </c>
      <c r="BB43" s="2">
        <v>11</v>
      </c>
      <c r="BC43" s="2">
        <v>95</v>
      </c>
      <c r="BD43" s="2"/>
      <c r="BE43" s="2">
        <v>90</v>
      </c>
      <c r="BF43" s="2">
        <v>10</v>
      </c>
      <c r="BG43" s="2">
        <v>96</v>
      </c>
      <c r="BH43" s="2"/>
    </row>
    <row r="44" spans="1:60" x14ac:dyDescent="0.25">
      <c r="A44" s="2">
        <v>85</v>
      </c>
      <c r="B44" s="2">
        <v>7</v>
      </c>
      <c r="C44" s="2">
        <v>90</v>
      </c>
      <c r="D44" s="2">
        <v>8</v>
      </c>
      <c r="E44" s="2">
        <v>90</v>
      </c>
      <c r="F44" s="2">
        <v>8</v>
      </c>
      <c r="G44" s="2">
        <v>90</v>
      </c>
      <c r="H44" s="2">
        <v>8</v>
      </c>
      <c r="I44" s="2">
        <v>85</v>
      </c>
      <c r="J44" s="2">
        <v>9</v>
      </c>
      <c r="K44" s="1">
        <v>90</v>
      </c>
      <c r="L44" s="2">
        <v>9</v>
      </c>
      <c r="M44" s="2">
        <v>95</v>
      </c>
      <c r="N44" s="2"/>
      <c r="O44" s="2">
        <v>96</v>
      </c>
      <c r="P44" s="2"/>
      <c r="Q44" s="2">
        <v>85</v>
      </c>
      <c r="R44" s="2">
        <v>8</v>
      </c>
      <c r="S44" s="2">
        <v>95</v>
      </c>
      <c r="T44" s="2">
        <v>8</v>
      </c>
      <c r="U44" s="2">
        <v>85</v>
      </c>
      <c r="V44" s="2">
        <v>9</v>
      </c>
      <c r="W44" s="2">
        <v>90</v>
      </c>
      <c r="X44" s="2">
        <v>11</v>
      </c>
      <c r="Y44" s="2">
        <v>85</v>
      </c>
      <c r="Z44" s="2">
        <v>9</v>
      </c>
      <c r="AA44" s="2">
        <v>85</v>
      </c>
      <c r="AB44" s="2">
        <v>8</v>
      </c>
      <c r="AC44" s="2">
        <v>90</v>
      </c>
      <c r="AD44" s="2">
        <v>9</v>
      </c>
      <c r="AE44" s="2">
        <v>90</v>
      </c>
      <c r="AF44" s="2">
        <v>9</v>
      </c>
      <c r="AG44" s="2">
        <v>85</v>
      </c>
      <c r="AH44" s="2"/>
      <c r="AI44" s="2">
        <v>90</v>
      </c>
      <c r="AJ44" s="2"/>
      <c r="AK44" s="2">
        <v>90</v>
      </c>
      <c r="AL44" s="2">
        <v>7</v>
      </c>
      <c r="AM44" s="2">
        <v>95</v>
      </c>
      <c r="AN44" s="2"/>
      <c r="AO44" s="2">
        <v>90</v>
      </c>
      <c r="AP44" s="2">
        <v>9</v>
      </c>
      <c r="AQ44" s="2">
        <v>90</v>
      </c>
      <c r="AR44" s="2">
        <v>8</v>
      </c>
      <c r="AS44" s="2">
        <v>95</v>
      </c>
      <c r="AT44" s="2">
        <v>9</v>
      </c>
      <c r="AU44" s="2">
        <v>90</v>
      </c>
      <c r="AV44" s="2"/>
      <c r="AW44" s="2">
        <v>90</v>
      </c>
      <c r="AX44" s="2">
        <v>9</v>
      </c>
      <c r="AY44" s="2">
        <v>90</v>
      </c>
      <c r="AZ44" s="2">
        <v>9</v>
      </c>
      <c r="BA44" s="2">
        <v>85</v>
      </c>
      <c r="BB44" s="2">
        <v>10</v>
      </c>
      <c r="BC44" s="2">
        <v>90</v>
      </c>
      <c r="BD44" s="2"/>
      <c r="BE44" s="2">
        <v>85</v>
      </c>
      <c r="BF44" s="2">
        <v>9</v>
      </c>
      <c r="BG44" s="2">
        <v>95</v>
      </c>
      <c r="BH44" s="2">
        <v>8</v>
      </c>
    </row>
    <row r="45" spans="1:60" x14ac:dyDescent="0.25">
      <c r="A45" s="2">
        <v>80</v>
      </c>
      <c r="B45" s="2">
        <v>6</v>
      </c>
      <c r="C45" s="2">
        <v>90</v>
      </c>
      <c r="D45" s="2">
        <v>7</v>
      </c>
      <c r="E45" s="2">
        <v>85</v>
      </c>
      <c r="F45" s="2">
        <v>7</v>
      </c>
      <c r="G45" s="2">
        <v>85</v>
      </c>
      <c r="H45" s="2"/>
      <c r="I45" s="2">
        <v>80</v>
      </c>
      <c r="J45" s="2">
        <v>8</v>
      </c>
      <c r="K45" s="2">
        <v>85</v>
      </c>
      <c r="L45" s="2">
        <v>8</v>
      </c>
      <c r="M45" s="2">
        <v>90</v>
      </c>
      <c r="N45" s="2">
        <v>7</v>
      </c>
      <c r="O45" s="2">
        <v>95</v>
      </c>
      <c r="P45" s="2"/>
      <c r="Q45" s="2">
        <v>80</v>
      </c>
      <c r="R45" s="2"/>
      <c r="S45" s="2">
        <v>90</v>
      </c>
      <c r="T45" s="2"/>
      <c r="U45" s="2">
        <v>80</v>
      </c>
      <c r="V45" s="2">
        <v>8</v>
      </c>
      <c r="W45" s="2">
        <v>85</v>
      </c>
      <c r="X45" s="2">
        <v>10</v>
      </c>
      <c r="Y45" s="2">
        <v>80</v>
      </c>
      <c r="Z45" s="2">
        <v>8</v>
      </c>
      <c r="AA45" s="2">
        <v>80</v>
      </c>
      <c r="AB45" s="2">
        <v>7</v>
      </c>
      <c r="AC45" s="2">
        <v>90</v>
      </c>
      <c r="AD45" s="2">
        <v>8</v>
      </c>
      <c r="AE45" s="2">
        <v>90</v>
      </c>
      <c r="AF45" s="2"/>
      <c r="AG45" s="2">
        <v>80</v>
      </c>
      <c r="AH45" s="2">
        <v>11</v>
      </c>
      <c r="AI45" s="2">
        <v>90</v>
      </c>
      <c r="AJ45" s="2">
        <v>10</v>
      </c>
      <c r="AK45" s="2">
        <v>85</v>
      </c>
      <c r="AL45" s="2">
        <v>6</v>
      </c>
      <c r="AM45" s="2">
        <v>90</v>
      </c>
      <c r="AN45" s="2">
        <v>7</v>
      </c>
      <c r="AO45" s="1">
        <v>90</v>
      </c>
      <c r="AP45" s="2">
        <v>8</v>
      </c>
      <c r="AQ45" s="2">
        <v>90</v>
      </c>
      <c r="AR45" s="2"/>
      <c r="AS45" s="2">
        <v>90</v>
      </c>
      <c r="AT45" s="2">
        <v>8</v>
      </c>
      <c r="AU45" s="2">
        <v>85</v>
      </c>
      <c r="AV45" s="2">
        <v>7</v>
      </c>
      <c r="AW45" s="2">
        <v>90</v>
      </c>
      <c r="AX45" s="2"/>
      <c r="AY45" s="2">
        <v>85</v>
      </c>
      <c r="AZ45" s="2">
        <v>8</v>
      </c>
      <c r="BA45" s="2">
        <v>80</v>
      </c>
      <c r="BB45" s="2">
        <v>9</v>
      </c>
      <c r="BC45" s="2">
        <v>85</v>
      </c>
      <c r="BD45" s="2">
        <v>11</v>
      </c>
      <c r="BE45" s="2">
        <v>80</v>
      </c>
      <c r="BF45" s="2"/>
      <c r="BG45" s="2">
        <v>90</v>
      </c>
      <c r="BH45" s="2">
        <v>7</v>
      </c>
    </row>
    <row r="46" spans="1:60" x14ac:dyDescent="0.25">
      <c r="A46" s="2">
        <v>75</v>
      </c>
      <c r="B46" s="2"/>
      <c r="C46" s="2">
        <v>85</v>
      </c>
      <c r="D46" s="2">
        <v>6</v>
      </c>
      <c r="E46" s="2">
        <v>80</v>
      </c>
      <c r="F46" s="2">
        <v>6</v>
      </c>
      <c r="G46" s="2">
        <v>80</v>
      </c>
      <c r="H46" s="2">
        <v>7</v>
      </c>
      <c r="I46" s="2">
        <v>80</v>
      </c>
      <c r="J46" s="2">
        <v>7</v>
      </c>
      <c r="K46" s="2">
        <v>80</v>
      </c>
      <c r="L46" s="2">
        <v>7</v>
      </c>
      <c r="M46" s="1">
        <v>90</v>
      </c>
      <c r="N46" s="2">
        <v>6</v>
      </c>
      <c r="O46" s="2">
        <v>90</v>
      </c>
      <c r="P46" s="2">
        <v>7</v>
      </c>
      <c r="Q46" s="2">
        <v>75</v>
      </c>
      <c r="R46" s="2">
        <v>7</v>
      </c>
      <c r="S46" s="2">
        <v>90</v>
      </c>
      <c r="T46" s="2"/>
      <c r="U46" s="2">
        <v>75</v>
      </c>
      <c r="V46" s="2">
        <v>7</v>
      </c>
      <c r="W46" s="2">
        <v>80</v>
      </c>
      <c r="X46" s="2">
        <v>9</v>
      </c>
      <c r="Y46" s="2">
        <v>75</v>
      </c>
      <c r="Z46" s="2">
        <v>7</v>
      </c>
      <c r="AA46" s="2">
        <v>75</v>
      </c>
      <c r="AB46" s="2">
        <v>6</v>
      </c>
      <c r="AC46" s="2">
        <v>85</v>
      </c>
      <c r="AD46" s="2">
        <v>7</v>
      </c>
      <c r="AE46" s="2">
        <v>85</v>
      </c>
      <c r="AF46" s="2">
        <v>8</v>
      </c>
      <c r="AG46" s="1">
        <v>80</v>
      </c>
      <c r="AH46" s="2">
        <v>10</v>
      </c>
      <c r="AI46" s="2">
        <v>85</v>
      </c>
      <c r="AJ46" s="2">
        <v>9</v>
      </c>
      <c r="AK46" s="2">
        <v>80</v>
      </c>
      <c r="AL46" s="2">
        <v>5</v>
      </c>
      <c r="AM46" s="2">
        <v>90</v>
      </c>
      <c r="AN46" s="2">
        <v>6</v>
      </c>
      <c r="AO46" s="2">
        <v>85</v>
      </c>
      <c r="AP46" s="2">
        <v>7</v>
      </c>
      <c r="AQ46" s="2">
        <v>85</v>
      </c>
      <c r="AR46" s="2"/>
      <c r="AS46" s="2">
        <v>85</v>
      </c>
      <c r="AT46" s="2">
        <v>7</v>
      </c>
      <c r="AU46" s="2">
        <v>80</v>
      </c>
      <c r="AV46" s="2"/>
      <c r="AW46" s="2">
        <v>85</v>
      </c>
      <c r="AX46" s="2">
        <v>8</v>
      </c>
      <c r="AY46" s="2">
        <v>85</v>
      </c>
      <c r="AZ46" s="2"/>
      <c r="BA46" s="2">
        <v>75</v>
      </c>
      <c r="BB46" s="2">
        <v>8</v>
      </c>
      <c r="BC46" s="1">
        <v>85</v>
      </c>
      <c r="BD46" s="2">
        <v>10</v>
      </c>
      <c r="BE46" s="2">
        <v>75</v>
      </c>
      <c r="BF46" s="2">
        <v>8</v>
      </c>
      <c r="BG46" s="2">
        <v>90</v>
      </c>
      <c r="BH46" s="2"/>
    </row>
    <row r="47" spans="1:60" x14ac:dyDescent="0.25">
      <c r="A47" s="2">
        <v>70</v>
      </c>
      <c r="B47" s="2">
        <v>5</v>
      </c>
      <c r="C47" s="2">
        <v>80</v>
      </c>
      <c r="D47" s="2">
        <v>5</v>
      </c>
      <c r="E47" s="2">
        <v>75</v>
      </c>
      <c r="F47" s="2">
        <v>5</v>
      </c>
      <c r="G47" s="2">
        <v>75</v>
      </c>
      <c r="H47" s="2">
        <v>6</v>
      </c>
      <c r="I47" s="2">
        <v>75</v>
      </c>
      <c r="J47" s="2">
        <v>6</v>
      </c>
      <c r="K47" s="1">
        <v>80</v>
      </c>
      <c r="L47" s="2">
        <v>6</v>
      </c>
      <c r="M47" s="2">
        <v>85</v>
      </c>
      <c r="N47" s="2">
        <v>5</v>
      </c>
      <c r="O47" s="2">
        <v>90</v>
      </c>
      <c r="P47" s="2">
        <v>6</v>
      </c>
      <c r="Q47" s="2">
        <v>70</v>
      </c>
      <c r="R47" s="2">
        <v>6</v>
      </c>
      <c r="S47" s="2">
        <v>85</v>
      </c>
      <c r="T47" s="2">
        <v>7</v>
      </c>
      <c r="U47" s="2">
        <v>70</v>
      </c>
      <c r="V47" s="2"/>
      <c r="W47" s="2">
        <v>75</v>
      </c>
      <c r="X47" s="2">
        <v>8</v>
      </c>
      <c r="Y47" s="2">
        <v>70</v>
      </c>
      <c r="Z47" s="2">
        <v>6</v>
      </c>
      <c r="AA47" s="2">
        <v>70</v>
      </c>
      <c r="AB47" s="2">
        <v>5</v>
      </c>
      <c r="AC47" s="2">
        <v>80</v>
      </c>
      <c r="AD47" s="2">
        <v>6</v>
      </c>
      <c r="AE47" s="2">
        <v>80</v>
      </c>
      <c r="AF47" s="2">
        <v>7</v>
      </c>
      <c r="AG47" s="2">
        <v>75</v>
      </c>
      <c r="AH47" s="2">
        <v>9</v>
      </c>
      <c r="AI47" s="2">
        <v>80</v>
      </c>
      <c r="AJ47" s="2">
        <v>8</v>
      </c>
      <c r="AK47" s="2">
        <v>75</v>
      </c>
      <c r="AL47" s="2">
        <v>4</v>
      </c>
      <c r="AM47" s="2">
        <v>85</v>
      </c>
      <c r="AN47" s="2">
        <v>5</v>
      </c>
      <c r="AO47" s="2">
        <v>80</v>
      </c>
      <c r="AP47" s="2">
        <v>6</v>
      </c>
      <c r="AQ47" s="2">
        <v>80</v>
      </c>
      <c r="AR47" s="2">
        <v>7</v>
      </c>
      <c r="AS47" s="2">
        <v>80</v>
      </c>
      <c r="AT47" s="2">
        <v>6</v>
      </c>
      <c r="AU47" s="2">
        <v>75</v>
      </c>
      <c r="AV47" s="2">
        <v>6</v>
      </c>
      <c r="AW47" s="2">
        <v>80</v>
      </c>
      <c r="AX47" s="2">
        <v>7</v>
      </c>
      <c r="AY47" s="2">
        <v>85</v>
      </c>
      <c r="AZ47" s="2"/>
      <c r="BA47" s="2">
        <v>70</v>
      </c>
      <c r="BB47" s="2">
        <v>7</v>
      </c>
      <c r="BC47" s="2">
        <v>80</v>
      </c>
      <c r="BD47" s="2">
        <v>9</v>
      </c>
      <c r="BE47" s="1">
        <v>75</v>
      </c>
      <c r="BF47" s="2">
        <v>7</v>
      </c>
      <c r="BG47" s="2">
        <v>85</v>
      </c>
      <c r="BH47" s="2">
        <v>6</v>
      </c>
    </row>
    <row r="48" spans="1:60" x14ac:dyDescent="0.25">
      <c r="A48" s="2">
        <v>65</v>
      </c>
      <c r="B48" s="2">
        <v>4</v>
      </c>
      <c r="C48" s="2">
        <v>75</v>
      </c>
      <c r="D48" s="2">
        <v>4</v>
      </c>
      <c r="E48" s="2">
        <v>70</v>
      </c>
      <c r="F48" s="2"/>
      <c r="G48" s="2">
        <v>70</v>
      </c>
      <c r="H48" s="2">
        <v>5</v>
      </c>
      <c r="I48" s="2">
        <v>70</v>
      </c>
      <c r="J48" s="2"/>
      <c r="K48" s="2">
        <v>75</v>
      </c>
      <c r="L48" s="2"/>
      <c r="M48" s="2">
        <v>80</v>
      </c>
      <c r="N48" s="2">
        <v>4</v>
      </c>
      <c r="O48" s="2">
        <v>85</v>
      </c>
      <c r="P48" s="2">
        <v>5</v>
      </c>
      <c r="Q48" s="2">
        <v>65</v>
      </c>
      <c r="R48" s="2"/>
      <c r="S48" s="2">
        <v>80</v>
      </c>
      <c r="T48" s="2">
        <v>6</v>
      </c>
      <c r="U48" s="2">
        <v>65</v>
      </c>
      <c r="V48" s="2"/>
      <c r="W48" s="2">
        <v>70</v>
      </c>
      <c r="X48" s="2"/>
      <c r="Y48" s="2">
        <v>65</v>
      </c>
      <c r="Z48" s="2"/>
      <c r="AA48" s="2">
        <v>65</v>
      </c>
      <c r="AB48" s="2"/>
      <c r="AC48" s="2">
        <v>75</v>
      </c>
      <c r="AD48" s="2">
        <v>5</v>
      </c>
      <c r="AE48" s="2">
        <v>80</v>
      </c>
      <c r="AF48" s="2"/>
      <c r="AG48" s="2">
        <v>70</v>
      </c>
      <c r="AH48" s="2">
        <v>8</v>
      </c>
      <c r="AI48" s="2">
        <v>75</v>
      </c>
      <c r="AJ48" s="2">
        <v>7</v>
      </c>
      <c r="AK48" s="2">
        <v>70</v>
      </c>
      <c r="AL48" s="2">
        <v>3</v>
      </c>
      <c r="AM48" s="2">
        <v>80</v>
      </c>
      <c r="AN48" s="2">
        <v>4</v>
      </c>
      <c r="AO48" s="2">
        <v>80</v>
      </c>
      <c r="AP48" s="2"/>
      <c r="AQ48" s="1">
        <v>80</v>
      </c>
      <c r="AR48" s="2">
        <v>6</v>
      </c>
      <c r="AS48" s="2">
        <v>75</v>
      </c>
      <c r="AT48" s="2">
        <v>5</v>
      </c>
      <c r="AU48" s="2">
        <v>70</v>
      </c>
      <c r="AV48" s="2">
        <v>5</v>
      </c>
      <c r="AW48" s="2">
        <v>75</v>
      </c>
      <c r="AX48" s="2"/>
      <c r="AY48" s="2">
        <v>80</v>
      </c>
      <c r="AZ48" s="2">
        <v>7</v>
      </c>
      <c r="BA48" s="2">
        <v>65</v>
      </c>
      <c r="BB48" s="2"/>
      <c r="BC48" s="2">
        <v>75</v>
      </c>
      <c r="BD48" s="2">
        <v>8</v>
      </c>
      <c r="BE48" s="2">
        <v>70</v>
      </c>
      <c r="BF48" s="2">
        <v>6</v>
      </c>
      <c r="BG48" s="2">
        <v>80</v>
      </c>
      <c r="BH48" s="2">
        <v>5</v>
      </c>
    </row>
    <row r="49" spans="1:60" x14ac:dyDescent="0.25">
      <c r="A49" s="2">
        <v>60</v>
      </c>
      <c r="B49" s="2">
        <v>3</v>
      </c>
      <c r="C49" s="2">
        <v>70</v>
      </c>
      <c r="D49" s="2"/>
      <c r="E49" s="2">
        <v>65</v>
      </c>
      <c r="F49" s="2">
        <v>4</v>
      </c>
      <c r="G49" s="2">
        <v>65</v>
      </c>
      <c r="H49" s="2">
        <v>4</v>
      </c>
      <c r="I49" s="2">
        <v>65</v>
      </c>
      <c r="J49" s="2"/>
      <c r="K49" s="2">
        <v>70</v>
      </c>
      <c r="L49" s="2"/>
      <c r="M49" s="2">
        <v>75</v>
      </c>
      <c r="N49" s="2"/>
      <c r="O49" s="2">
        <v>80</v>
      </c>
      <c r="P49" s="2"/>
      <c r="Q49" s="2">
        <v>65</v>
      </c>
      <c r="R49" s="2"/>
      <c r="S49" s="2">
        <v>75</v>
      </c>
      <c r="T49" s="2">
        <v>5</v>
      </c>
      <c r="U49" s="2">
        <v>60</v>
      </c>
      <c r="V49" s="2">
        <v>6</v>
      </c>
      <c r="W49" s="2">
        <v>65</v>
      </c>
      <c r="X49" s="2">
        <v>7</v>
      </c>
      <c r="Y49" s="2">
        <v>60</v>
      </c>
      <c r="Z49" s="2">
        <v>5</v>
      </c>
      <c r="AA49" s="2">
        <v>60</v>
      </c>
      <c r="AB49" s="2">
        <v>4</v>
      </c>
      <c r="AC49" s="2">
        <v>70</v>
      </c>
      <c r="AD49" s="2">
        <v>4</v>
      </c>
      <c r="AE49" s="2">
        <v>75</v>
      </c>
      <c r="AF49" s="2">
        <v>6</v>
      </c>
      <c r="AG49" s="1">
        <v>70</v>
      </c>
      <c r="AH49" s="2">
        <v>7</v>
      </c>
      <c r="AI49" s="1">
        <v>75</v>
      </c>
      <c r="AJ49" s="2">
        <v>6</v>
      </c>
      <c r="AK49" s="2">
        <v>65</v>
      </c>
      <c r="AL49" s="2">
        <v>2</v>
      </c>
      <c r="AM49" s="2">
        <v>75</v>
      </c>
      <c r="AN49" s="2"/>
      <c r="AO49" s="2">
        <v>75</v>
      </c>
      <c r="AP49" s="2">
        <v>5</v>
      </c>
      <c r="AQ49" s="2">
        <v>75</v>
      </c>
      <c r="AR49" s="2">
        <v>5</v>
      </c>
      <c r="AS49" s="2">
        <v>70</v>
      </c>
      <c r="AT49" s="2"/>
      <c r="AU49" s="2">
        <v>65</v>
      </c>
      <c r="AV49" s="2"/>
      <c r="AW49" s="2">
        <v>70</v>
      </c>
      <c r="AX49" s="2"/>
      <c r="AY49" s="2">
        <v>75</v>
      </c>
      <c r="AZ49" s="2">
        <v>6</v>
      </c>
      <c r="BA49" s="1">
        <v>60</v>
      </c>
      <c r="BB49" s="2">
        <v>6</v>
      </c>
      <c r="BC49" s="2">
        <v>70</v>
      </c>
      <c r="BD49" s="2">
        <v>7</v>
      </c>
      <c r="BE49" s="2">
        <v>65</v>
      </c>
      <c r="BF49" s="2">
        <v>5</v>
      </c>
      <c r="BG49" s="2">
        <v>75</v>
      </c>
      <c r="BH49" s="2"/>
    </row>
    <row r="50" spans="1:60" x14ac:dyDescent="0.25">
      <c r="A50" s="2">
        <v>55</v>
      </c>
      <c r="B50" s="2"/>
      <c r="C50" s="2">
        <v>65</v>
      </c>
      <c r="D50" s="2">
        <v>3</v>
      </c>
      <c r="E50" s="2">
        <v>60</v>
      </c>
      <c r="F50" s="2">
        <v>3</v>
      </c>
      <c r="G50" s="2">
        <v>60</v>
      </c>
      <c r="H50" s="2"/>
      <c r="I50" s="2">
        <v>60</v>
      </c>
      <c r="J50" s="2">
        <v>5</v>
      </c>
      <c r="K50" s="2">
        <v>65</v>
      </c>
      <c r="L50" s="2"/>
      <c r="M50" s="2">
        <v>70</v>
      </c>
      <c r="N50" s="2"/>
      <c r="O50" s="2">
        <v>75</v>
      </c>
      <c r="P50" s="2">
        <v>4</v>
      </c>
      <c r="Q50" s="2">
        <v>60</v>
      </c>
      <c r="R50" s="2">
        <v>5</v>
      </c>
      <c r="S50" s="2">
        <v>70</v>
      </c>
      <c r="T50" s="2"/>
      <c r="U50" s="1">
        <v>60</v>
      </c>
      <c r="V50" s="2">
        <v>5</v>
      </c>
      <c r="W50" s="2">
        <v>60</v>
      </c>
      <c r="X50" s="2">
        <v>6</v>
      </c>
      <c r="Y50" s="2">
        <v>55</v>
      </c>
      <c r="Z50" s="2">
        <v>4</v>
      </c>
      <c r="AA50" s="2">
        <v>55</v>
      </c>
      <c r="AB50" s="2">
        <v>3</v>
      </c>
      <c r="AC50" s="2">
        <v>65</v>
      </c>
      <c r="AD50" s="2"/>
      <c r="AE50" s="2">
        <v>70</v>
      </c>
      <c r="AF50" s="2">
        <v>5</v>
      </c>
      <c r="AG50" s="2">
        <v>65</v>
      </c>
      <c r="AH50" s="2">
        <v>6</v>
      </c>
      <c r="AI50" s="2">
        <v>70</v>
      </c>
      <c r="AJ50" s="2">
        <v>5</v>
      </c>
      <c r="AK50" s="2">
        <v>60</v>
      </c>
      <c r="AL50" s="2"/>
      <c r="AM50" s="2">
        <v>70</v>
      </c>
      <c r="AN50" s="2">
        <v>3</v>
      </c>
      <c r="AO50" s="2">
        <v>70</v>
      </c>
      <c r="AP50" s="2"/>
      <c r="AQ50" s="2">
        <v>70</v>
      </c>
      <c r="AR50" s="2">
        <v>4</v>
      </c>
      <c r="AS50" s="2">
        <v>65</v>
      </c>
      <c r="AT50" s="2">
        <v>4</v>
      </c>
      <c r="AU50" s="2">
        <v>60</v>
      </c>
      <c r="AV50" s="2">
        <v>4</v>
      </c>
      <c r="AW50" s="2">
        <v>65</v>
      </c>
      <c r="AX50" s="2">
        <v>6</v>
      </c>
      <c r="AY50" s="2">
        <v>70</v>
      </c>
      <c r="AZ50" s="2">
        <v>5</v>
      </c>
      <c r="BA50" s="2">
        <v>60</v>
      </c>
      <c r="BB50" s="2">
        <v>5</v>
      </c>
      <c r="BC50" s="2">
        <v>65</v>
      </c>
      <c r="BD50" s="2">
        <v>6</v>
      </c>
      <c r="BE50" s="2">
        <v>60</v>
      </c>
      <c r="BF50" s="2"/>
      <c r="BG50" s="2">
        <v>70</v>
      </c>
      <c r="BH50" s="2">
        <v>4</v>
      </c>
    </row>
    <row r="51" spans="1:60" x14ac:dyDescent="0.25">
      <c r="A51" s="2">
        <v>50</v>
      </c>
      <c r="B51" s="2"/>
      <c r="C51" s="2">
        <v>60</v>
      </c>
      <c r="D51" s="2"/>
      <c r="E51" s="2">
        <v>55</v>
      </c>
      <c r="F51" s="2">
        <v>2</v>
      </c>
      <c r="G51" s="2">
        <v>55</v>
      </c>
      <c r="H51" s="2">
        <v>3</v>
      </c>
      <c r="I51" s="1">
        <v>60</v>
      </c>
      <c r="J51" s="2">
        <v>4</v>
      </c>
      <c r="K51" s="2">
        <v>60</v>
      </c>
      <c r="L51" s="2">
        <v>5</v>
      </c>
      <c r="M51" s="2">
        <v>65</v>
      </c>
      <c r="N51" s="2">
        <v>3</v>
      </c>
      <c r="O51" s="2">
        <v>70</v>
      </c>
      <c r="P51" s="2"/>
      <c r="Q51" s="2">
        <v>55</v>
      </c>
      <c r="R51" s="2"/>
      <c r="S51" s="2">
        <v>65</v>
      </c>
      <c r="T51" s="2"/>
      <c r="U51" s="2">
        <v>55</v>
      </c>
      <c r="V51" s="2"/>
      <c r="W51" s="2">
        <v>55</v>
      </c>
      <c r="X51" s="2"/>
      <c r="Y51" s="2">
        <v>50</v>
      </c>
      <c r="Z51" s="2"/>
      <c r="AA51" s="2">
        <v>50</v>
      </c>
      <c r="AB51" s="2"/>
      <c r="AC51" s="2">
        <v>60</v>
      </c>
      <c r="AD51" s="2">
        <v>3</v>
      </c>
      <c r="AE51" s="2">
        <v>65</v>
      </c>
      <c r="AF51" s="2"/>
      <c r="AG51" s="2">
        <v>60</v>
      </c>
      <c r="AH51" s="2">
        <v>5</v>
      </c>
      <c r="AI51" s="2">
        <v>65</v>
      </c>
      <c r="AJ51" s="2">
        <v>4</v>
      </c>
      <c r="AK51" s="2">
        <v>55</v>
      </c>
      <c r="AL51" s="2"/>
      <c r="AM51" s="2">
        <v>65</v>
      </c>
      <c r="AN51" s="2"/>
      <c r="AO51" s="2">
        <v>65</v>
      </c>
      <c r="AP51" s="2"/>
      <c r="AQ51" s="2">
        <v>65</v>
      </c>
      <c r="AR51" s="2"/>
      <c r="AS51" s="2">
        <v>60</v>
      </c>
      <c r="AT51" s="2"/>
      <c r="AU51" s="2">
        <v>55</v>
      </c>
      <c r="AV51" s="2"/>
      <c r="AW51" s="1">
        <v>65</v>
      </c>
      <c r="AX51" s="2">
        <v>5</v>
      </c>
      <c r="AY51" s="2">
        <v>65</v>
      </c>
      <c r="AZ51" s="2">
        <v>4</v>
      </c>
      <c r="BA51" s="2">
        <v>55</v>
      </c>
      <c r="BB51" s="2">
        <v>4</v>
      </c>
      <c r="BC51" s="2">
        <v>60</v>
      </c>
      <c r="BD51" s="2"/>
      <c r="BE51" s="2">
        <v>55</v>
      </c>
      <c r="BF51" s="2">
        <v>4</v>
      </c>
      <c r="BG51" s="2">
        <v>65</v>
      </c>
      <c r="BH51" s="2">
        <v>3</v>
      </c>
    </row>
    <row r="52" spans="1:60" x14ac:dyDescent="0.25">
      <c r="A52" s="2">
        <v>45</v>
      </c>
      <c r="B52" s="2">
        <v>2</v>
      </c>
      <c r="C52" s="2">
        <v>55</v>
      </c>
      <c r="D52" s="2">
        <v>2</v>
      </c>
      <c r="E52" s="2">
        <v>50</v>
      </c>
      <c r="F52" s="2"/>
      <c r="G52" s="2">
        <v>50</v>
      </c>
      <c r="H52" s="2">
        <v>2</v>
      </c>
      <c r="I52" s="2">
        <v>55</v>
      </c>
      <c r="J52" s="2">
        <v>3</v>
      </c>
      <c r="K52" s="1">
        <v>60</v>
      </c>
      <c r="L52" s="2">
        <v>4</v>
      </c>
      <c r="M52" s="2">
        <v>60</v>
      </c>
      <c r="N52" s="2"/>
      <c r="O52" s="2">
        <v>65</v>
      </c>
      <c r="P52" s="2">
        <v>3</v>
      </c>
      <c r="Q52" s="2">
        <v>50</v>
      </c>
      <c r="R52" s="2">
        <v>4</v>
      </c>
      <c r="S52" s="2">
        <v>60</v>
      </c>
      <c r="T52" s="2">
        <v>4</v>
      </c>
      <c r="U52" s="2">
        <v>50</v>
      </c>
      <c r="V52" s="2">
        <v>4</v>
      </c>
      <c r="W52" s="2">
        <v>50</v>
      </c>
      <c r="X52" s="2">
        <v>5</v>
      </c>
      <c r="Y52" s="2">
        <v>45</v>
      </c>
      <c r="Z52" s="2">
        <v>3</v>
      </c>
      <c r="AA52" s="2">
        <v>45</v>
      </c>
      <c r="AB52" s="2">
        <v>2</v>
      </c>
      <c r="AC52" s="2">
        <v>55</v>
      </c>
      <c r="AD52" s="2">
        <v>2</v>
      </c>
      <c r="AE52" s="2">
        <v>60</v>
      </c>
      <c r="AF52" s="2">
        <v>4</v>
      </c>
      <c r="AG52" s="2">
        <v>55</v>
      </c>
      <c r="AH52" s="2">
        <v>4</v>
      </c>
      <c r="AI52" s="2">
        <v>60</v>
      </c>
      <c r="AJ52" s="2">
        <v>3</v>
      </c>
      <c r="AK52" s="2">
        <v>50</v>
      </c>
      <c r="AL52" s="2"/>
      <c r="AM52" s="2">
        <v>60</v>
      </c>
      <c r="AN52" s="2">
        <v>2</v>
      </c>
      <c r="AO52" s="2">
        <v>60</v>
      </c>
      <c r="AP52" s="2">
        <v>4</v>
      </c>
      <c r="AQ52" s="2">
        <v>60</v>
      </c>
      <c r="AR52" s="2">
        <v>3</v>
      </c>
      <c r="AS52" s="2">
        <v>55</v>
      </c>
      <c r="AT52" s="2">
        <v>3</v>
      </c>
      <c r="AU52" s="2">
        <v>50</v>
      </c>
      <c r="AV52" s="2">
        <v>3</v>
      </c>
      <c r="AW52" s="2">
        <v>60</v>
      </c>
      <c r="AX52" s="2">
        <v>4</v>
      </c>
      <c r="AY52" s="2">
        <v>60</v>
      </c>
      <c r="AZ52" s="2">
        <v>3</v>
      </c>
      <c r="BA52" s="2">
        <v>50</v>
      </c>
      <c r="BB52" s="2">
        <v>3</v>
      </c>
      <c r="BC52" s="2">
        <v>55</v>
      </c>
      <c r="BD52" s="2">
        <v>5</v>
      </c>
      <c r="BE52" s="2">
        <v>50</v>
      </c>
      <c r="BF52" s="2"/>
      <c r="BG52" s="2">
        <v>60</v>
      </c>
      <c r="BH52" s="2"/>
    </row>
    <row r="53" spans="1:60" x14ac:dyDescent="0.25">
      <c r="A53" s="2">
        <v>40</v>
      </c>
      <c r="B53" s="2"/>
      <c r="C53" s="2">
        <v>50</v>
      </c>
      <c r="D53" s="2"/>
      <c r="E53" s="2">
        <v>45</v>
      </c>
      <c r="F53" s="2"/>
      <c r="G53" s="2">
        <v>45</v>
      </c>
      <c r="H53" s="2"/>
      <c r="I53" s="2">
        <v>50</v>
      </c>
      <c r="J53" s="2"/>
      <c r="K53" s="2">
        <v>55</v>
      </c>
      <c r="L53" s="2">
        <v>3</v>
      </c>
      <c r="M53" s="2">
        <v>55</v>
      </c>
      <c r="N53" s="2"/>
      <c r="O53" s="2">
        <v>60</v>
      </c>
      <c r="P53" s="2"/>
      <c r="Q53" s="2">
        <v>45</v>
      </c>
      <c r="R53" s="2"/>
      <c r="S53" s="2">
        <v>55</v>
      </c>
      <c r="T53" s="2"/>
      <c r="U53" s="2">
        <v>45</v>
      </c>
      <c r="V53" s="2">
        <v>3</v>
      </c>
      <c r="W53" s="2">
        <v>45</v>
      </c>
      <c r="X53" s="2"/>
      <c r="Y53" s="2">
        <v>40</v>
      </c>
      <c r="Z53" s="2"/>
      <c r="AA53" s="2">
        <v>40</v>
      </c>
      <c r="AB53" s="2"/>
      <c r="AC53" s="2">
        <v>50</v>
      </c>
      <c r="AD53" s="2"/>
      <c r="AE53" s="2">
        <v>55</v>
      </c>
      <c r="AF53" s="2">
        <v>3</v>
      </c>
      <c r="AG53" s="2">
        <v>50</v>
      </c>
      <c r="AH53" s="2">
        <v>3</v>
      </c>
      <c r="AI53" s="2">
        <v>55</v>
      </c>
      <c r="AJ53" s="2">
        <v>2</v>
      </c>
      <c r="AK53" s="2">
        <v>45</v>
      </c>
      <c r="AL53" s="2">
        <v>1</v>
      </c>
      <c r="AM53" s="2">
        <v>55</v>
      </c>
      <c r="AN53" s="2"/>
      <c r="AO53" s="2">
        <v>55</v>
      </c>
      <c r="AP53" s="2"/>
      <c r="AQ53" s="2">
        <v>55</v>
      </c>
      <c r="AR53" s="2"/>
      <c r="AS53" s="2">
        <v>50</v>
      </c>
      <c r="AT53" s="2"/>
      <c r="AU53" s="2">
        <v>45</v>
      </c>
      <c r="AV53" s="2"/>
      <c r="AW53" s="2">
        <v>55</v>
      </c>
      <c r="AX53" s="2"/>
      <c r="AY53" s="2">
        <v>55</v>
      </c>
      <c r="AZ53" s="2"/>
      <c r="BA53" s="2">
        <v>45</v>
      </c>
      <c r="BB53" s="2"/>
      <c r="BC53" s="2">
        <v>50</v>
      </c>
      <c r="BD53" s="2">
        <v>4</v>
      </c>
      <c r="BE53" s="2">
        <v>45</v>
      </c>
      <c r="BF53" s="2">
        <v>3</v>
      </c>
      <c r="BG53" s="2">
        <v>55</v>
      </c>
      <c r="BH53" s="2">
        <v>2</v>
      </c>
    </row>
    <row r="54" spans="1:60" x14ac:dyDescent="0.25">
      <c r="A54" s="2">
        <v>35</v>
      </c>
      <c r="B54" s="2">
        <v>1</v>
      </c>
      <c r="C54" s="2">
        <v>45</v>
      </c>
      <c r="D54" s="2">
        <v>1</v>
      </c>
      <c r="E54" s="2">
        <v>40</v>
      </c>
      <c r="F54" s="2">
        <v>1</v>
      </c>
      <c r="G54" s="2">
        <v>40</v>
      </c>
      <c r="H54" s="2"/>
      <c r="I54" s="2">
        <v>50</v>
      </c>
      <c r="J54" s="2"/>
      <c r="K54" s="2">
        <v>50</v>
      </c>
      <c r="L54" s="2">
        <v>2</v>
      </c>
      <c r="M54" s="2">
        <v>50</v>
      </c>
      <c r="N54" s="2">
        <v>2</v>
      </c>
      <c r="O54" s="2">
        <v>55</v>
      </c>
      <c r="P54" s="2">
        <v>2</v>
      </c>
      <c r="Q54" s="2">
        <v>40</v>
      </c>
      <c r="R54" s="2">
        <v>3</v>
      </c>
      <c r="S54" s="2">
        <v>50</v>
      </c>
      <c r="T54" s="2">
        <v>3</v>
      </c>
      <c r="U54" s="2">
        <v>45</v>
      </c>
      <c r="V54" s="2"/>
      <c r="W54" s="2">
        <v>40</v>
      </c>
      <c r="X54" s="2">
        <v>4</v>
      </c>
      <c r="Y54" s="2">
        <v>35</v>
      </c>
      <c r="Z54" s="2"/>
      <c r="AA54" s="2">
        <v>35</v>
      </c>
      <c r="AB54" s="2"/>
      <c r="AC54" s="2">
        <v>45</v>
      </c>
      <c r="AD54" s="2"/>
      <c r="AE54" s="2">
        <v>50</v>
      </c>
      <c r="AF54" s="2"/>
      <c r="AG54" s="2">
        <v>45</v>
      </c>
      <c r="AH54" s="2"/>
      <c r="AI54" s="2">
        <v>50</v>
      </c>
      <c r="AJ54" s="2"/>
      <c r="AK54" s="2">
        <v>40</v>
      </c>
      <c r="AL54" s="2"/>
      <c r="AM54" s="2">
        <v>50</v>
      </c>
      <c r="AN54" s="2"/>
      <c r="AO54" s="2">
        <v>50</v>
      </c>
      <c r="AP54" s="2">
        <v>3</v>
      </c>
      <c r="AQ54" s="2">
        <v>50</v>
      </c>
      <c r="AR54" s="2">
        <v>2</v>
      </c>
      <c r="AS54" s="2">
        <v>45</v>
      </c>
      <c r="AT54" s="2">
        <v>2</v>
      </c>
      <c r="AU54" s="2">
        <v>40</v>
      </c>
      <c r="AV54" s="2"/>
      <c r="AW54" s="2">
        <v>50</v>
      </c>
      <c r="AX54" s="2">
        <v>3</v>
      </c>
      <c r="AY54" s="2">
        <v>50</v>
      </c>
      <c r="AZ54" s="2">
        <v>2</v>
      </c>
      <c r="BA54" s="2">
        <v>40</v>
      </c>
      <c r="BB54" s="2">
        <v>2</v>
      </c>
      <c r="BC54" s="2">
        <v>45</v>
      </c>
      <c r="BD54" s="2">
        <v>3</v>
      </c>
      <c r="BE54" s="2">
        <v>40</v>
      </c>
      <c r="BF54" s="2"/>
      <c r="BG54" s="2">
        <v>50</v>
      </c>
      <c r="BH54" s="2"/>
    </row>
    <row r="55" spans="1:60" x14ac:dyDescent="0.25">
      <c r="A55" s="2">
        <v>30</v>
      </c>
      <c r="B55" s="2"/>
      <c r="C55" s="2">
        <v>40</v>
      </c>
      <c r="D55" s="2"/>
      <c r="E55" s="2">
        <v>35</v>
      </c>
      <c r="F55" s="2"/>
      <c r="G55" s="2">
        <v>35</v>
      </c>
      <c r="H55" s="2">
        <v>1</v>
      </c>
      <c r="I55" s="2">
        <v>45</v>
      </c>
      <c r="J55" s="2">
        <v>2</v>
      </c>
      <c r="K55" s="2">
        <v>45</v>
      </c>
      <c r="L55" s="2"/>
      <c r="M55" s="2">
        <v>45</v>
      </c>
      <c r="N55" s="2"/>
      <c r="O55" s="2">
        <v>50</v>
      </c>
      <c r="P55" s="2"/>
      <c r="Q55" s="2">
        <v>35</v>
      </c>
      <c r="R55" s="2"/>
      <c r="S55" s="2">
        <v>45</v>
      </c>
      <c r="T55" s="2"/>
      <c r="U55" s="2">
        <v>40</v>
      </c>
      <c r="V55" s="2"/>
      <c r="W55" s="2">
        <v>35</v>
      </c>
      <c r="X55" s="2"/>
      <c r="Y55" s="2">
        <v>30</v>
      </c>
      <c r="Z55" s="2">
        <v>2</v>
      </c>
      <c r="AA55" s="2">
        <v>30</v>
      </c>
      <c r="AB55" s="2">
        <v>1</v>
      </c>
      <c r="AC55" s="2">
        <v>40</v>
      </c>
      <c r="AD55" s="2">
        <v>1</v>
      </c>
      <c r="AE55" s="2">
        <v>45</v>
      </c>
      <c r="AF55" s="2"/>
      <c r="AG55" s="2">
        <v>40</v>
      </c>
      <c r="AH55" s="2">
        <v>2</v>
      </c>
      <c r="AI55" s="2">
        <v>45</v>
      </c>
      <c r="AJ55" s="2">
        <v>1</v>
      </c>
      <c r="AK55" s="2">
        <v>35</v>
      </c>
      <c r="AL55" s="2"/>
      <c r="AM55" s="2">
        <v>45</v>
      </c>
      <c r="AN55" s="2">
        <v>1</v>
      </c>
      <c r="AO55" s="2">
        <v>45</v>
      </c>
      <c r="AP55" s="2"/>
      <c r="AQ55" s="2">
        <v>45</v>
      </c>
      <c r="AR55" s="2"/>
      <c r="AS55" s="2">
        <v>40</v>
      </c>
      <c r="AT55" s="2"/>
      <c r="AU55" s="2">
        <v>35</v>
      </c>
      <c r="AV55" s="2">
        <v>2</v>
      </c>
      <c r="AW55" s="2">
        <v>45</v>
      </c>
      <c r="AX55" s="2"/>
      <c r="AY55" s="2">
        <v>45</v>
      </c>
      <c r="AZ55" s="2"/>
      <c r="BA55" s="2">
        <v>35</v>
      </c>
      <c r="BB55" s="2"/>
      <c r="BC55" s="2">
        <v>40</v>
      </c>
      <c r="BD55" s="2"/>
      <c r="BE55" s="2">
        <v>35</v>
      </c>
      <c r="BF55" s="2">
        <v>2</v>
      </c>
      <c r="BG55" s="2">
        <v>45</v>
      </c>
      <c r="BH55" s="2"/>
    </row>
    <row r="56" spans="1:60" x14ac:dyDescent="0.25">
      <c r="A56" s="2">
        <v>25</v>
      </c>
      <c r="B56" s="2"/>
      <c r="C56" s="2">
        <v>35</v>
      </c>
      <c r="D56" s="2"/>
      <c r="E56" s="2">
        <v>30</v>
      </c>
      <c r="F56" s="2"/>
      <c r="G56" s="2">
        <v>30</v>
      </c>
      <c r="H56" s="2"/>
      <c r="I56" s="2">
        <v>40</v>
      </c>
      <c r="J56" s="2"/>
      <c r="K56" s="2">
        <v>40</v>
      </c>
      <c r="L56" s="2"/>
      <c r="M56" s="2">
        <v>40</v>
      </c>
      <c r="N56" s="2"/>
      <c r="O56" s="2">
        <v>45</v>
      </c>
      <c r="P56" s="2"/>
      <c r="Q56" s="2">
        <v>30</v>
      </c>
      <c r="R56" s="2">
        <v>2</v>
      </c>
      <c r="S56" s="2">
        <v>40</v>
      </c>
      <c r="T56" s="2">
        <v>2</v>
      </c>
      <c r="U56" s="2">
        <v>35</v>
      </c>
      <c r="V56" s="2">
        <v>2</v>
      </c>
      <c r="W56" s="2">
        <v>30</v>
      </c>
      <c r="X56" s="2">
        <v>3</v>
      </c>
      <c r="Y56" s="2">
        <v>25</v>
      </c>
      <c r="Z56" s="2"/>
      <c r="AA56" s="2">
        <v>25</v>
      </c>
      <c r="AB56" s="2"/>
      <c r="AC56" s="2">
        <v>35</v>
      </c>
      <c r="AD56" s="2"/>
      <c r="AE56" s="2">
        <v>40</v>
      </c>
      <c r="AF56" s="2">
        <v>2</v>
      </c>
      <c r="AG56" s="2">
        <v>35</v>
      </c>
      <c r="AH56" s="2">
        <v>1</v>
      </c>
      <c r="AI56" s="2">
        <v>40</v>
      </c>
      <c r="AJ56" s="2"/>
      <c r="AK56" s="2">
        <v>30</v>
      </c>
      <c r="AL56" s="2"/>
      <c r="AM56" s="2">
        <v>40</v>
      </c>
      <c r="AN56" s="2"/>
      <c r="AO56" s="2">
        <v>40</v>
      </c>
      <c r="AP56" s="2">
        <v>2</v>
      </c>
      <c r="AQ56" s="2">
        <v>40</v>
      </c>
      <c r="AR56" s="2"/>
      <c r="AS56" s="2">
        <v>35</v>
      </c>
      <c r="AT56" s="2">
        <v>1</v>
      </c>
      <c r="AU56" s="2">
        <v>30</v>
      </c>
      <c r="AV56" s="2"/>
      <c r="AW56" s="2">
        <v>40</v>
      </c>
      <c r="AX56" s="2">
        <v>2</v>
      </c>
      <c r="AY56" s="2">
        <v>40</v>
      </c>
      <c r="AZ56" s="2">
        <v>1</v>
      </c>
      <c r="BA56" s="2">
        <v>30</v>
      </c>
      <c r="BB56" s="2"/>
      <c r="BC56" s="2">
        <v>35</v>
      </c>
      <c r="BD56" s="2">
        <v>2</v>
      </c>
      <c r="BE56" s="2">
        <v>30</v>
      </c>
      <c r="BF56" s="2"/>
      <c r="BG56" s="2">
        <v>40</v>
      </c>
      <c r="BH56" s="2">
        <v>1</v>
      </c>
    </row>
    <row r="57" spans="1:60" x14ac:dyDescent="0.25">
      <c r="A57" s="2">
        <v>20</v>
      </c>
      <c r="B57" s="2"/>
      <c r="C57" s="2">
        <v>30</v>
      </c>
      <c r="D57" s="2"/>
      <c r="E57" s="2">
        <v>25</v>
      </c>
      <c r="F57" s="2"/>
      <c r="G57" s="2">
        <v>25</v>
      </c>
      <c r="H57" s="2"/>
      <c r="I57" s="2">
        <v>35</v>
      </c>
      <c r="J57" s="2">
        <v>1</v>
      </c>
      <c r="K57" s="2">
        <v>35</v>
      </c>
      <c r="L57" s="2">
        <v>1</v>
      </c>
      <c r="M57" s="2">
        <v>35</v>
      </c>
      <c r="N57" s="2">
        <v>1</v>
      </c>
      <c r="O57" s="2">
        <v>40</v>
      </c>
      <c r="P57" s="2">
        <v>1</v>
      </c>
      <c r="Q57" s="2">
        <v>25</v>
      </c>
      <c r="R57" s="2"/>
      <c r="S57" s="2">
        <v>35</v>
      </c>
      <c r="T57" s="2"/>
      <c r="U57" s="2">
        <v>30</v>
      </c>
      <c r="V57" s="2"/>
      <c r="W57" s="2">
        <v>25</v>
      </c>
      <c r="X57" s="2"/>
      <c r="Y57" s="2">
        <v>20</v>
      </c>
      <c r="Z57" s="2"/>
      <c r="AA57" s="2">
        <v>20</v>
      </c>
      <c r="AB57" s="2"/>
      <c r="AC57" s="2">
        <v>30</v>
      </c>
      <c r="AD57" s="2"/>
      <c r="AE57" s="2">
        <v>35</v>
      </c>
      <c r="AF57" s="2"/>
      <c r="AG57" s="2">
        <v>30</v>
      </c>
      <c r="AH57" s="2"/>
      <c r="AI57" s="2">
        <v>35</v>
      </c>
      <c r="AJ57" s="2"/>
      <c r="AK57" s="2">
        <v>25</v>
      </c>
      <c r="AL57" s="2"/>
      <c r="AM57" s="2">
        <v>35</v>
      </c>
      <c r="AN57" s="2"/>
      <c r="AO57" s="2">
        <v>35</v>
      </c>
      <c r="AP57" s="2"/>
      <c r="AQ57" s="2">
        <v>35</v>
      </c>
      <c r="AR57" s="2">
        <v>1</v>
      </c>
      <c r="AS57" s="2">
        <v>30</v>
      </c>
      <c r="AT57" s="2"/>
      <c r="AU57" s="2">
        <v>25</v>
      </c>
      <c r="AV57" s="2">
        <v>1</v>
      </c>
      <c r="AW57" s="2">
        <v>35</v>
      </c>
      <c r="AX57" s="2"/>
      <c r="AY57" s="2">
        <v>35</v>
      </c>
      <c r="AZ57" s="2"/>
      <c r="BA57" s="2">
        <v>25</v>
      </c>
      <c r="BB57" s="2">
        <v>1</v>
      </c>
      <c r="BC57" s="2">
        <v>30</v>
      </c>
      <c r="BD57" s="2"/>
      <c r="BE57" s="2">
        <v>25</v>
      </c>
      <c r="BF57" s="2"/>
      <c r="BG57" s="2">
        <v>35</v>
      </c>
      <c r="BH57" s="2"/>
    </row>
    <row r="58" spans="1:60" x14ac:dyDescent="0.25">
      <c r="A58" s="2">
        <v>15</v>
      </c>
      <c r="B58" s="2">
        <v>0</v>
      </c>
      <c r="C58" s="2">
        <v>25</v>
      </c>
      <c r="D58" s="2"/>
      <c r="E58" s="2">
        <v>20</v>
      </c>
      <c r="F58" s="2"/>
      <c r="G58" s="2">
        <v>20</v>
      </c>
      <c r="H58" s="2"/>
      <c r="I58" s="2">
        <v>30</v>
      </c>
      <c r="J58" s="2"/>
      <c r="K58" s="2">
        <v>30</v>
      </c>
      <c r="L58" s="2"/>
      <c r="M58" s="2">
        <v>30</v>
      </c>
      <c r="N58" s="2"/>
      <c r="O58" s="2">
        <v>35</v>
      </c>
      <c r="P58" s="2"/>
      <c r="Q58" s="2">
        <v>20</v>
      </c>
      <c r="R58" s="2">
        <v>1</v>
      </c>
      <c r="S58" s="2">
        <v>30</v>
      </c>
      <c r="T58" s="2"/>
      <c r="U58" s="2">
        <v>25</v>
      </c>
      <c r="V58" s="2">
        <v>1</v>
      </c>
      <c r="W58" s="2">
        <v>20</v>
      </c>
      <c r="X58" s="2">
        <v>2</v>
      </c>
      <c r="Y58" s="2">
        <v>15</v>
      </c>
      <c r="Z58" s="2"/>
      <c r="AA58" s="2">
        <v>15</v>
      </c>
      <c r="AB58" s="2"/>
      <c r="AC58" s="2">
        <v>25</v>
      </c>
      <c r="AD58" s="2"/>
      <c r="AE58" s="2">
        <v>30</v>
      </c>
      <c r="AF58" s="2">
        <v>1</v>
      </c>
      <c r="AG58" s="2">
        <v>25</v>
      </c>
      <c r="AH58" s="2"/>
      <c r="AI58" s="2">
        <v>30</v>
      </c>
      <c r="AJ58" s="2"/>
      <c r="AK58" s="2">
        <v>20</v>
      </c>
      <c r="AL58" s="2">
        <v>0</v>
      </c>
      <c r="AM58" s="2">
        <v>30</v>
      </c>
      <c r="AN58" s="2"/>
      <c r="AO58" s="2">
        <v>30</v>
      </c>
      <c r="AP58" s="2"/>
      <c r="AQ58" s="2">
        <v>30</v>
      </c>
      <c r="AR58" s="2"/>
      <c r="AS58" s="2">
        <v>25</v>
      </c>
      <c r="AT58" s="2"/>
      <c r="AU58" s="2">
        <v>20</v>
      </c>
      <c r="AV58" s="2"/>
      <c r="AW58" s="2">
        <v>30</v>
      </c>
      <c r="AX58" s="2">
        <v>1</v>
      </c>
      <c r="AY58" s="2">
        <v>30</v>
      </c>
      <c r="AZ58" s="2"/>
      <c r="BA58" s="2">
        <v>20</v>
      </c>
      <c r="BB58" s="2"/>
      <c r="BC58" s="2">
        <v>25</v>
      </c>
      <c r="BD58" s="2">
        <v>1</v>
      </c>
      <c r="BE58" s="2">
        <v>20</v>
      </c>
      <c r="BF58" s="2">
        <v>1</v>
      </c>
      <c r="BG58" s="2">
        <v>30</v>
      </c>
      <c r="BH58" s="2"/>
    </row>
    <row r="59" spans="1:60" x14ac:dyDescent="0.25">
      <c r="A59" s="2">
        <v>10</v>
      </c>
      <c r="B59" s="2"/>
      <c r="C59" s="2">
        <v>20</v>
      </c>
      <c r="D59" s="2">
        <v>0</v>
      </c>
      <c r="E59" s="2">
        <v>15</v>
      </c>
      <c r="F59" s="2">
        <v>0</v>
      </c>
      <c r="G59" s="2">
        <v>15</v>
      </c>
      <c r="H59" s="2">
        <v>0</v>
      </c>
      <c r="I59" s="2">
        <v>25</v>
      </c>
      <c r="J59" s="2"/>
      <c r="K59" s="2">
        <v>25</v>
      </c>
      <c r="L59" s="2"/>
      <c r="M59" s="2">
        <v>25</v>
      </c>
      <c r="N59" s="2"/>
      <c r="O59" s="2">
        <v>30</v>
      </c>
      <c r="P59" s="2"/>
      <c r="Q59" s="2">
        <v>15</v>
      </c>
      <c r="R59" s="2"/>
      <c r="S59" s="2">
        <v>25</v>
      </c>
      <c r="T59" s="2">
        <v>1</v>
      </c>
      <c r="U59" s="2">
        <v>20</v>
      </c>
      <c r="V59" s="2"/>
      <c r="W59" s="2">
        <v>15</v>
      </c>
      <c r="X59" s="2">
        <v>1</v>
      </c>
      <c r="Y59" s="2">
        <v>10</v>
      </c>
      <c r="Z59" s="2">
        <v>1</v>
      </c>
      <c r="AA59" s="2">
        <v>10</v>
      </c>
      <c r="AB59" s="2">
        <v>0</v>
      </c>
      <c r="AC59" s="2">
        <v>20</v>
      </c>
      <c r="AD59" s="2"/>
      <c r="AE59" s="2">
        <v>25</v>
      </c>
      <c r="AF59" s="2"/>
      <c r="AG59" s="2">
        <v>20</v>
      </c>
      <c r="AH59" s="2"/>
      <c r="AI59" s="2">
        <v>25</v>
      </c>
      <c r="AJ59" s="2"/>
      <c r="AK59" s="2">
        <v>15</v>
      </c>
      <c r="AL59" s="2"/>
      <c r="AM59" s="2">
        <v>25</v>
      </c>
      <c r="AN59" s="2"/>
      <c r="AO59" s="2">
        <v>25</v>
      </c>
      <c r="AP59" s="2">
        <v>1</v>
      </c>
      <c r="AQ59" s="2">
        <v>25</v>
      </c>
      <c r="AR59" s="2"/>
      <c r="AS59" s="2">
        <v>20</v>
      </c>
      <c r="AT59" s="2"/>
      <c r="AU59" s="2">
        <v>15</v>
      </c>
      <c r="AV59" s="2"/>
      <c r="AW59" s="2">
        <v>25</v>
      </c>
      <c r="AX59" s="2"/>
      <c r="AY59" s="2">
        <v>25</v>
      </c>
      <c r="AZ59" s="2"/>
      <c r="BA59" s="2">
        <v>15</v>
      </c>
      <c r="BB59" s="2"/>
      <c r="BC59" s="2">
        <v>20</v>
      </c>
      <c r="BD59" s="2"/>
      <c r="BE59" s="2">
        <v>15</v>
      </c>
      <c r="BF59" s="2"/>
      <c r="BG59" s="2">
        <v>25</v>
      </c>
      <c r="BH59" s="2"/>
    </row>
    <row r="60" spans="1:60" x14ac:dyDescent="0.25">
      <c r="A60" s="2">
        <v>5</v>
      </c>
      <c r="B60" s="2"/>
      <c r="C60" s="2">
        <v>15</v>
      </c>
      <c r="D60" s="2"/>
      <c r="E60" s="2">
        <v>10</v>
      </c>
      <c r="F60" s="2"/>
      <c r="G60" s="2">
        <v>10</v>
      </c>
      <c r="H60" s="2"/>
      <c r="I60" s="2">
        <v>20</v>
      </c>
      <c r="J60" s="2"/>
      <c r="K60" s="2">
        <v>20</v>
      </c>
      <c r="L60" s="2"/>
      <c r="M60" s="2">
        <v>20</v>
      </c>
      <c r="N60" s="2"/>
      <c r="O60" s="2">
        <v>25</v>
      </c>
      <c r="P60" s="2"/>
      <c r="Q60" s="2">
        <v>10</v>
      </c>
      <c r="R60" s="2"/>
      <c r="S60" s="2">
        <v>20</v>
      </c>
      <c r="T60" s="2"/>
      <c r="U60" s="2">
        <v>15</v>
      </c>
      <c r="V60" s="2"/>
      <c r="W60" s="2">
        <v>10</v>
      </c>
      <c r="X60" s="2"/>
      <c r="Y60" s="2">
        <v>5</v>
      </c>
      <c r="Z60" s="2">
        <v>0</v>
      </c>
      <c r="AA60" s="2">
        <v>5</v>
      </c>
      <c r="AB60" s="2"/>
      <c r="AC60" s="2">
        <v>15</v>
      </c>
      <c r="AD60" s="2">
        <v>0</v>
      </c>
      <c r="AE60" s="2">
        <v>20</v>
      </c>
      <c r="AF60" s="2"/>
      <c r="AG60" s="2">
        <v>15</v>
      </c>
      <c r="AH60" s="2">
        <v>0</v>
      </c>
      <c r="AI60" s="2">
        <v>20</v>
      </c>
      <c r="AJ60" s="2">
        <v>0</v>
      </c>
      <c r="AK60" s="2">
        <v>10</v>
      </c>
      <c r="AL60" s="2"/>
      <c r="AM60" s="2">
        <v>20</v>
      </c>
      <c r="AN60" s="2"/>
      <c r="AO60" s="2">
        <v>20</v>
      </c>
      <c r="AP60" s="2"/>
      <c r="AQ60" s="2">
        <v>20</v>
      </c>
      <c r="AR60" s="2"/>
      <c r="AS60" s="2">
        <v>15</v>
      </c>
      <c r="AT60" s="2">
        <v>0</v>
      </c>
      <c r="AU60" s="2">
        <v>10</v>
      </c>
      <c r="AV60" s="2">
        <v>0</v>
      </c>
      <c r="AW60" s="2">
        <v>20</v>
      </c>
      <c r="AX60" s="2"/>
      <c r="AY60" s="2">
        <v>20</v>
      </c>
      <c r="AZ60" s="2"/>
      <c r="BA60" s="2">
        <v>10</v>
      </c>
      <c r="BB60" s="2">
        <v>0</v>
      </c>
      <c r="BC60" s="2">
        <v>15</v>
      </c>
      <c r="BD60" s="2"/>
      <c r="BE60" s="2">
        <v>10</v>
      </c>
      <c r="BF60" s="2"/>
      <c r="BG60" s="2">
        <v>20</v>
      </c>
      <c r="BH60" s="2"/>
    </row>
    <row r="61" spans="1:60" x14ac:dyDescent="0.25">
      <c r="A61" s="2"/>
      <c r="B61" s="2"/>
      <c r="C61" s="2">
        <v>10</v>
      </c>
      <c r="D61" s="2"/>
      <c r="E61" s="2">
        <v>5</v>
      </c>
      <c r="F61" s="2"/>
      <c r="G61" s="2">
        <v>5</v>
      </c>
      <c r="H61" s="2"/>
      <c r="I61" s="2">
        <v>15</v>
      </c>
      <c r="J61" s="2"/>
      <c r="K61" s="2">
        <v>15</v>
      </c>
      <c r="L61" s="2">
        <v>0</v>
      </c>
      <c r="M61" s="2">
        <v>15</v>
      </c>
      <c r="N61" s="2">
        <v>0</v>
      </c>
      <c r="O61" s="2">
        <v>20</v>
      </c>
      <c r="P61" s="2"/>
      <c r="Q61" s="2">
        <v>5</v>
      </c>
      <c r="R61" s="2">
        <v>0</v>
      </c>
      <c r="S61" s="2">
        <v>15</v>
      </c>
      <c r="T61" s="2"/>
      <c r="U61" s="2">
        <v>10</v>
      </c>
      <c r="V61" s="2">
        <v>0</v>
      </c>
      <c r="W61" s="2">
        <v>5</v>
      </c>
      <c r="X61" s="2">
        <v>0</v>
      </c>
      <c r="Y61" s="2"/>
      <c r="Z61" s="2"/>
      <c r="AA61" s="2"/>
      <c r="AB61" s="2"/>
      <c r="AC61" s="2">
        <v>10</v>
      </c>
      <c r="AD61" s="2"/>
      <c r="AE61" s="2">
        <v>15</v>
      </c>
      <c r="AF61" s="2"/>
      <c r="AG61" s="2">
        <v>10</v>
      </c>
      <c r="AH61" s="2"/>
      <c r="AI61" s="2">
        <v>15</v>
      </c>
      <c r="AJ61" s="2"/>
      <c r="AK61" s="2">
        <v>5</v>
      </c>
      <c r="AL61" s="2"/>
      <c r="AM61" s="2">
        <v>15</v>
      </c>
      <c r="AN61" s="2">
        <v>0</v>
      </c>
      <c r="AO61" s="2">
        <v>15</v>
      </c>
      <c r="AP61" s="2"/>
      <c r="AQ61" s="2">
        <v>15</v>
      </c>
      <c r="AR61" s="2">
        <v>0</v>
      </c>
      <c r="AS61" s="2">
        <v>10</v>
      </c>
      <c r="AT61" s="2"/>
      <c r="AU61" s="2">
        <v>5</v>
      </c>
      <c r="AV61" s="2"/>
      <c r="AW61" s="2">
        <v>15</v>
      </c>
      <c r="AX61" s="2"/>
      <c r="AY61" s="2">
        <v>15</v>
      </c>
      <c r="AZ61" s="2">
        <v>0</v>
      </c>
      <c r="BA61" s="2">
        <v>5</v>
      </c>
      <c r="BB61" s="2"/>
      <c r="BC61" s="2">
        <v>10</v>
      </c>
      <c r="BD61" s="2">
        <v>0</v>
      </c>
      <c r="BE61" s="2">
        <v>5</v>
      </c>
      <c r="BF61" s="2">
        <v>0</v>
      </c>
      <c r="BG61" s="2">
        <v>15</v>
      </c>
      <c r="BH61" s="2">
        <v>0</v>
      </c>
    </row>
    <row r="62" spans="1:60" x14ac:dyDescent="0.25">
      <c r="A62" s="2"/>
      <c r="B62" s="2"/>
      <c r="C62" s="2">
        <v>5</v>
      </c>
      <c r="D62" s="2"/>
      <c r="E62" s="2"/>
      <c r="F62" s="2"/>
      <c r="G62" s="2"/>
      <c r="H62" s="2"/>
      <c r="I62" s="2">
        <v>10</v>
      </c>
      <c r="J62" s="2">
        <v>0</v>
      </c>
      <c r="K62" s="2">
        <v>10</v>
      </c>
      <c r="L62" s="2"/>
      <c r="M62" s="2">
        <v>10</v>
      </c>
      <c r="N62" s="2"/>
      <c r="O62" s="2">
        <v>15</v>
      </c>
      <c r="P62" s="2">
        <v>0</v>
      </c>
      <c r="Q62" s="2"/>
      <c r="R62" s="2"/>
      <c r="S62" s="2">
        <v>10</v>
      </c>
      <c r="T62" s="2">
        <v>0</v>
      </c>
      <c r="U62" s="2">
        <v>5</v>
      </c>
      <c r="V62" s="2"/>
      <c r="W62" s="2">
        <v>4</v>
      </c>
      <c r="X62" s="2"/>
      <c r="Y62" s="2"/>
      <c r="Z62" s="2"/>
      <c r="AA62" s="2"/>
      <c r="AB62" s="2"/>
      <c r="AC62" s="2">
        <v>5</v>
      </c>
      <c r="AD62" s="2"/>
      <c r="AE62" s="2">
        <v>10</v>
      </c>
      <c r="AF62" s="2">
        <v>0</v>
      </c>
      <c r="AG62" s="2">
        <v>5</v>
      </c>
      <c r="AH62" s="2"/>
      <c r="AI62" s="2">
        <v>10</v>
      </c>
      <c r="AJ62" s="2"/>
      <c r="AK62" s="2"/>
      <c r="AL62" s="2"/>
      <c r="AM62" s="2">
        <v>10</v>
      </c>
      <c r="AN62" s="2"/>
      <c r="AO62" s="2">
        <v>10</v>
      </c>
      <c r="AP62" s="2">
        <v>0</v>
      </c>
      <c r="AQ62" s="2">
        <v>10</v>
      </c>
      <c r="AR62" s="2"/>
      <c r="AS62" s="2">
        <v>5</v>
      </c>
      <c r="AT62" s="2"/>
      <c r="AU62" s="2"/>
      <c r="AV62" s="2"/>
      <c r="AW62" s="2">
        <v>10</v>
      </c>
      <c r="AX62" s="2">
        <v>0</v>
      </c>
      <c r="AY62" s="2">
        <v>10</v>
      </c>
      <c r="AZ62" s="2"/>
      <c r="BA62" s="2"/>
      <c r="BB62" s="2"/>
      <c r="BC62" s="2">
        <v>5</v>
      </c>
      <c r="BD62" s="2"/>
      <c r="BE62" s="2"/>
      <c r="BF62" s="2"/>
      <c r="BG62" s="2">
        <v>10</v>
      </c>
      <c r="BH62" s="2"/>
    </row>
    <row r="63" spans="1:60" x14ac:dyDescent="0.25">
      <c r="A63" s="2"/>
      <c r="B63" s="2"/>
      <c r="C63" s="2"/>
      <c r="D63" s="2"/>
      <c r="E63" s="2"/>
      <c r="F63" s="2"/>
      <c r="G63" s="2"/>
      <c r="H63" s="2"/>
      <c r="I63" s="2">
        <v>5</v>
      </c>
      <c r="J63" s="2"/>
      <c r="K63" s="2">
        <v>5</v>
      </c>
      <c r="L63" s="2"/>
      <c r="M63" s="2">
        <v>5</v>
      </c>
      <c r="N63" s="2"/>
      <c r="O63" s="2">
        <v>10</v>
      </c>
      <c r="P63" s="2"/>
      <c r="Q63" s="2"/>
      <c r="R63" s="2"/>
      <c r="S63" s="2">
        <v>5</v>
      </c>
      <c r="T63" s="2"/>
      <c r="U63" s="2"/>
      <c r="V63" s="2"/>
      <c r="W63" s="2"/>
      <c r="X63" s="2"/>
      <c r="Y63" s="2"/>
      <c r="Z63" s="2"/>
      <c r="AA63" s="2"/>
      <c r="AB63" s="2"/>
      <c r="AC63" s="2"/>
      <c r="AD63" s="2"/>
      <c r="AE63" s="2">
        <v>5</v>
      </c>
      <c r="AF63" s="2"/>
      <c r="AG63" s="2"/>
      <c r="AH63" s="2"/>
      <c r="AI63" s="2">
        <v>5</v>
      </c>
      <c r="AJ63" s="2"/>
      <c r="AK63" s="2"/>
      <c r="AL63" s="2"/>
      <c r="AM63" s="2">
        <v>5</v>
      </c>
      <c r="AN63" s="2"/>
      <c r="AO63" s="2">
        <v>5</v>
      </c>
      <c r="AP63" s="2"/>
      <c r="AQ63" s="2">
        <v>5</v>
      </c>
      <c r="AR63" s="2"/>
      <c r="AS63" s="2"/>
      <c r="AT63" s="2"/>
      <c r="AU63" s="2"/>
      <c r="AV63" s="2"/>
      <c r="AW63" s="2">
        <v>5</v>
      </c>
      <c r="AX63" s="2"/>
      <c r="AY63" s="2">
        <v>5</v>
      </c>
      <c r="AZ63" s="2"/>
      <c r="BA63" s="2"/>
      <c r="BB63" s="2"/>
      <c r="BC63" s="2"/>
      <c r="BD63" s="2"/>
      <c r="BE63" s="2"/>
      <c r="BF63" s="2"/>
      <c r="BG63" s="2">
        <v>5</v>
      </c>
      <c r="BH63" s="2"/>
    </row>
    <row r="64" spans="1:60" x14ac:dyDescent="0.25">
      <c r="A64" s="2"/>
      <c r="B64" s="2"/>
      <c r="C64" s="2"/>
      <c r="D64" s="2"/>
      <c r="E64" s="2"/>
      <c r="F64" s="2"/>
      <c r="G64" s="2"/>
      <c r="H64" s="2"/>
      <c r="I64" s="2"/>
      <c r="J64" s="2"/>
      <c r="K64" s="2"/>
      <c r="L64" s="2"/>
      <c r="M64" s="2"/>
      <c r="N64" s="2"/>
      <c r="O64" s="2">
        <v>5</v>
      </c>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row>
    <row r="65" spans="1:60"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row>
  </sheetData>
  <sheetProtection algorithmName="SHA-512" hashValue="rKmKaHXHm039YXf6NmTL0tiE8WIuk8LgW8r3HFMHJ8D2p831J+E2t1jstMDeCloQi9klpRW6mwDvSnEEoZnDCg==" saltValue="l8knMyUbsuTFjKFx5UVW5Q==" spinCount="100000" sheet="1" objects="1" scenarios="1"/>
  <mergeCells count="32">
    <mergeCell ref="C1:BA1"/>
    <mergeCell ref="C34:BA34"/>
    <mergeCell ref="AO3:AR3"/>
    <mergeCell ref="AS3:AV3"/>
    <mergeCell ref="AW3:AZ3"/>
    <mergeCell ref="BA3:BD3"/>
    <mergeCell ref="BE3:BH3"/>
    <mergeCell ref="AK3:AN3"/>
    <mergeCell ref="A3:D3"/>
    <mergeCell ref="E3:H3"/>
    <mergeCell ref="I3:L3"/>
    <mergeCell ref="M3:P3"/>
    <mergeCell ref="Q3:T3"/>
    <mergeCell ref="U3:X3"/>
    <mergeCell ref="Y3:AB3"/>
    <mergeCell ref="AC3:AF3"/>
    <mergeCell ref="AG3:AJ3"/>
    <mergeCell ref="A36:D36"/>
    <mergeCell ref="E36:H36"/>
    <mergeCell ref="I36:L36"/>
    <mergeCell ref="M36:P36"/>
    <mergeCell ref="Q36:T36"/>
    <mergeCell ref="U36:X36"/>
    <mergeCell ref="Y36:AB36"/>
    <mergeCell ref="AC36:AF36"/>
    <mergeCell ref="AG36:AJ36"/>
    <mergeCell ref="AK36:AN36"/>
    <mergeCell ref="AO36:AR36"/>
    <mergeCell ref="AS36:AV36"/>
    <mergeCell ref="AW36:AZ36"/>
    <mergeCell ref="BA36:BD36"/>
    <mergeCell ref="BE36:BH3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120</vt:i4>
      </vt:variant>
    </vt:vector>
  </HeadingPairs>
  <TitlesOfParts>
    <vt:vector size="123" baseType="lpstr">
      <vt:lpstr>Cuadernillo</vt:lpstr>
      <vt:lpstr>Perfil </vt:lpstr>
      <vt:lpstr>Baremos</vt:lpstr>
      <vt:lpstr>AA_B</vt:lpstr>
      <vt:lpstr>AA_C</vt:lpstr>
      <vt:lpstr>AAA_B</vt:lpstr>
      <vt:lpstr>AAA_C</vt:lpstr>
      <vt:lpstr>AAAA_B</vt:lpstr>
      <vt:lpstr>AAAA_C</vt:lpstr>
      <vt:lpstr>BA_B</vt:lpstr>
      <vt:lpstr>BA_C</vt:lpstr>
      <vt:lpstr>BBA_B</vt:lpstr>
      <vt:lpstr>BBA_C</vt:lpstr>
      <vt:lpstr>BBBA_B</vt:lpstr>
      <vt:lpstr>BBBA_C</vt:lpstr>
      <vt:lpstr>CA_B</vt:lpstr>
      <vt:lpstr>CA_C</vt:lpstr>
      <vt:lpstr>CCA_B</vt:lpstr>
      <vt:lpstr>CCA_C</vt:lpstr>
      <vt:lpstr>CCCA_B</vt:lpstr>
      <vt:lpstr>CCCA_C</vt:lpstr>
      <vt:lpstr>DA_B</vt:lpstr>
      <vt:lpstr>DA_C</vt:lpstr>
      <vt:lpstr>DDA_B</vt:lpstr>
      <vt:lpstr>DDA_C</vt:lpstr>
      <vt:lpstr>DDDA_B</vt:lpstr>
      <vt:lpstr>DDDA_C</vt:lpstr>
      <vt:lpstr>EA_B</vt:lpstr>
      <vt:lpstr>EA_C</vt:lpstr>
      <vt:lpstr>EEA_B</vt:lpstr>
      <vt:lpstr>EEA_C</vt:lpstr>
      <vt:lpstr>EEEA_B</vt:lpstr>
      <vt:lpstr>EEEA_C</vt:lpstr>
      <vt:lpstr>FA_B</vt:lpstr>
      <vt:lpstr>FA_C</vt:lpstr>
      <vt:lpstr>FFA_B</vt:lpstr>
      <vt:lpstr>FFA_C</vt:lpstr>
      <vt:lpstr>FFFA_B</vt:lpstr>
      <vt:lpstr>FFFA_C</vt:lpstr>
      <vt:lpstr>GA_B</vt:lpstr>
      <vt:lpstr>GA_C</vt:lpstr>
      <vt:lpstr>GGA_B</vt:lpstr>
      <vt:lpstr>GGA_C</vt:lpstr>
      <vt:lpstr>GGGA_B</vt:lpstr>
      <vt:lpstr>GGGA_C</vt:lpstr>
      <vt:lpstr>HA_B</vt:lpstr>
      <vt:lpstr>HA_C</vt:lpstr>
      <vt:lpstr>HHA_B</vt:lpstr>
      <vt:lpstr>HHA_C</vt:lpstr>
      <vt:lpstr>HHHA_B</vt:lpstr>
      <vt:lpstr>HHHA_C</vt:lpstr>
      <vt:lpstr>IA_B</vt:lpstr>
      <vt:lpstr>IA_C</vt:lpstr>
      <vt:lpstr>IIA_B</vt:lpstr>
      <vt:lpstr>IIA_C</vt:lpstr>
      <vt:lpstr>JA_B</vt:lpstr>
      <vt:lpstr>JA_C</vt:lpstr>
      <vt:lpstr>JJA_B</vt:lpstr>
      <vt:lpstr>JJA_C</vt:lpstr>
      <vt:lpstr>KA_B</vt:lpstr>
      <vt:lpstr>KA_C</vt:lpstr>
      <vt:lpstr>KKKA_B</vt:lpstr>
      <vt:lpstr>KKKA_C</vt:lpstr>
      <vt:lpstr>LA_B</vt:lpstr>
      <vt:lpstr>LA_C</vt:lpstr>
      <vt:lpstr>MA_B</vt:lpstr>
      <vt:lpstr>MA_C</vt:lpstr>
      <vt:lpstr>MMA_B</vt:lpstr>
      <vt:lpstr>MMA_C</vt:lpstr>
      <vt:lpstr>MMMA_B</vt:lpstr>
      <vt:lpstr>MMMA_C</vt:lpstr>
      <vt:lpstr>NA_B</vt:lpstr>
      <vt:lpstr>NA_C</vt:lpstr>
      <vt:lpstr>NNA_B</vt:lpstr>
      <vt:lpstr>NNA_C</vt:lpstr>
      <vt:lpstr>NNNA_B</vt:lpstr>
      <vt:lpstr>NNNA_C</vt:lpstr>
      <vt:lpstr>OA_b</vt:lpstr>
      <vt:lpstr>OA_C</vt:lpstr>
      <vt:lpstr>OOA_b</vt:lpstr>
      <vt:lpstr>OOA_C</vt:lpstr>
      <vt:lpstr>OOOA_B</vt:lpstr>
      <vt:lpstr>OOOA_C</vt:lpstr>
      <vt:lpstr>PA_b</vt:lpstr>
      <vt:lpstr>PA_C</vt:lpstr>
      <vt:lpstr>PPA_B</vt:lpstr>
      <vt:lpstr>PPA_C</vt:lpstr>
      <vt:lpstr>PPPA_B</vt:lpstr>
      <vt:lpstr>PPPA_C</vt:lpstr>
      <vt:lpstr>QA_B</vt:lpstr>
      <vt:lpstr>QA_C</vt:lpstr>
      <vt:lpstr>RA_B</vt:lpstr>
      <vt:lpstr>RA_C</vt:lpstr>
      <vt:lpstr>RRA_B</vt:lpstr>
      <vt:lpstr>RRA_C</vt:lpstr>
      <vt:lpstr>RRRA_B</vt:lpstr>
      <vt:lpstr>RRRA_C</vt:lpstr>
      <vt:lpstr>SSSA_B</vt:lpstr>
      <vt:lpstr>SSSA_C</vt:lpstr>
      <vt:lpstr>TA_B</vt:lpstr>
      <vt:lpstr>TA_C</vt:lpstr>
      <vt:lpstr>TTA_B</vt:lpstr>
      <vt:lpstr>TTA_C</vt:lpstr>
      <vt:lpstr>TTTA_B</vt:lpstr>
      <vt:lpstr>TTTA_C</vt:lpstr>
      <vt:lpstr>UA_B</vt:lpstr>
      <vt:lpstr>UA_C</vt:lpstr>
      <vt:lpstr>UUA_B</vt:lpstr>
      <vt:lpstr>UUA_C</vt:lpstr>
      <vt:lpstr>VVA_B</vt:lpstr>
      <vt:lpstr>VVA_C</vt:lpstr>
      <vt:lpstr>XA_B</vt:lpstr>
      <vt:lpstr>XA_C</vt:lpstr>
      <vt:lpstr>XXA_B</vt:lpstr>
      <vt:lpstr>XXA_C</vt:lpstr>
      <vt:lpstr>XXXA_B</vt:lpstr>
      <vt:lpstr>XXXA_C</vt:lpstr>
      <vt:lpstr>ZA_B</vt:lpstr>
      <vt:lpstr>ZA_C</vt:lpstr>
      <vt:lpstr>ZZA_b</vt:lpstr>
      <vt:lpstr>ZZA_C</vt:lpstr>
      <vt:lpstr>ZZZA_B</vt:lpstr>
      <vt:lpstr>ZZZA_C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María Claudia</dc:creator>
  <cp:lastModifiedBy>win</cp:lastModifiedBy>
  <cp:lastPrinted>2022-12-07T12:49:28Z</cp:lastPrinted>
  <dcterms:created xsi:type="dcterms:W3CDTF">2008-11-23T16:08:08Z</dcterms:created>
  <dcterms:modified xsi:type="dcterms:W3CDTF">2026-04-24T03:00:26Z</dcterms:modified>
</cp:coreProperties>
</file>