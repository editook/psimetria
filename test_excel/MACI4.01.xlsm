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G:\developer\proyects\xampp\psimetria\test_excel\"/>
    </mc:Choice>
  </mc:AlternateContent>
  <xr:revisionPtr revIDLastSave="0" documentId="13_ncr:1_{8CC4279F-8CAF-485E-941E-2AB1AF36BF29}" xr6:coauthVersionLast="47" xr6:coauthVersionMax="47" xr10:uidLastSave="{00000000-0000-0000-0000-000000000000}"/>
  <bookViews>
    <workbookView xWindow="-120" yWindow="-120" windowWidth="29040" windowHeight="15720" activeTab="3" xr2:uid="{0BB35722-E8C7-46B5-A097-6B152EA1C7F9}"/>
  </bookViews>
  <sheets>
    <sheet name="Inicio " sheetId="10" r:id="rId1"/>
    <sheet name="Ingreso de Datos" sheetId="1" r:id="rId2"/>
    <sheet name="Perfil" sheetId="2" r:id="rId3"/>
    <sheet name="Informe" sheetId="7" r:id="rId4"/>
    <sheet name="Ajustes" sheetId="4" r:id="rId5"/>
    <sheet name="Base de Datos" sheetId="8" r:id="rId6"/>
    <sheet name="Base de Datos TB" sheetId="9" r:id="rId7"/>
    <sheet name="Baremos" sheetId="3" r:id="rId8"/>
    <sheet name="Hoja1" sheetId="11" state="hidden" r:id="rId9"/>
  </sheets>
  <definedNames>
    <definedName name="_xleta.IF" hidden="1" xlm="1">#NAME?</definedName>
    <definedName name="_xleta.N" hidden="1" xlm="1">#NAME?</definedName>
    <definedName name="_xleta.OR" hidden="1" xlm="1">#NAME?</definedName>
    <definedName name="AA_B">Baremos!$AD$4:$AD$87</definedName>
    <definedName name="AA_C">Baremos!$BH$4:$BH$87</definedName>
    <definedName name="AA_D">Baremos!$CL$4:$CL$87</definedName>
    <definedName name="AA_E">Baremos!$DP$4:$DP$87</definedName>
    <definedName name="AA_F">Baremos!$EU$4:$EU$87</definedName>
    <definedName name="AA_G">Baremos!$FZ$4:$FZ$87</definedName>
    <definedName name="AA_H">Baremos!$HE$4:$HE$87</definedName>
    <definedName name="AA_J">Baremos!$IJ$4:$IJ$87</definedName>
    <definedName name="AAA_B">Baremos!$W$4:$W$87</definedName>
    <definedName name="AAA_C">Baremos!$BA$4:$BA$87</definedName>
    <definedName name="AAA_D">Baremos!$CE$4:$CE$87</definedName>
    <definedName name="AAA_E">Baremos!$DI$4:$DI$87</definedName>
    <definedName name="AAA_F">Baremos!$EN$4:$EN$87</definedName>
    <definedName name="AAA_G">Baremos!$FS$4:$FS$87</definedName>
    <definedName name="AAA_H">Baremos!$GX$4:$GX$87</definedName>
    <definedName name="AAA_J">Baremos!$IC$4:$IC$87</definedName>
    <definedName name="BA_B">Baremos!$B$4:$B$87</definedName>
    <definedName name="BA_C">Baremos!$B$4:$B$87</definedName>
    <definedName name="BA_D">Baremos!$B$4:$B$87</definedName>
    <definedName name="BA_E">Baremos!$B$4:$B$87</definedName>
    <definedName name="BA_F">Baremos!$DS$4:$DS$87</definedName>
    <definedName name="BA_G">Baremos!$EX$4:$EX$87</definedName>
    <definedName name="BA_H">Baremos!$GC$4:$GC$87</definedName>
    <definedName name="BA_J">Baremos!$HH$4:$HH$87</definedName>
    <definedName name="BBA_B">Baremos!$X$4:$X$87</definedName>
    <definedName name="BBA_C">Baremos!$BB$4:$BB$87</definedName>
    <definedName name="BBA_D">Baremos!$CF$4:$CF$87</definedName>
    <definedName name="BBA_E">Baremos!$DJ$4:$DJ$87</definedName>
    <definedName name="BBA_F">Baremos!$EO$4:$EO$87</definedName>
    <definedName name="BBA_G">Baremos!$FT$4:$FT$87</definedName>
    <definedName name="BBA_H">Baremos!$GY$4:$GY$87</definedName>
    <definedName name="BBA_J">Baremos!$ID$4:$ID$87</definedName>
    <definedName name="CA_B">Baremos!$AE$4:$AE$87</definedName>
    <definedName name="CA_C">Baremos!$BI$4:$BI$87</definedName>
    <definedName name="CA_D">Baremos!$CM$4:$CM$87</definedName>
    <definedName name="CA_E">Baremos!$DQ$4:$DQ$87</definedName>
    <definedName name="CA_F">Baremos!$EV$4:$EV$87</definedName>
    <definedName name="CA_G">Baremos!$GA$4:$GA$87</definedName>
    <definedName name="CA_H">Baremos!$HF$4:$HF$87</definedName>
    <definedName name="CA_J">Baremos!$IK$4:$IK$87</definedName>
    <definedName name="CCA_B">Baremos!$Y$4:$Y$87</definedName>
    <definedName name="CCA_C">Baremos!$BC$4:$BC$87</definedName>
    <definedName name="CCA_D">Baremos!$CG$4:$CG$87</definedName>
    <definedName name="CCA_E">Baremos!$DK$4:$DK$87</definedName>
    <definedName name="CCA_F">Baremos!$EP$4:$EP$87</definedName>
    <definedName name="CCA_G">Baremos!$FU$4:$FU$87</definedName>
    <definedName name="CCA_H">Baremos!$GZ$4:$GZ$87</definedName>
    <definedName name="CCA_J">Baremos!$IE$4:$IE$87</definedName>
    <definedName name="DA_B">Baremos!$C$4:$C$87</definedName>
    <definedName name="DA_C">Baremos!$AG$4:$AG$87</definedName>
    <definedName name="DA_D">Baremos!$BK$4:$BK$87</definedName>
    <definedName name="DA_E">Baremos!$CO$4:$CO$87</definedName>
    <definedName name="DA_F">Baremos!$DT$4:$DT$87</definedName>
    <definedName name="DA_G">Baremos!$EY$4:$EY$87</definedName>
    <definedName name="DA_H">Baremos!$GD$4:$GD$87</definedName>
    <definedName name="DA_J">Baremos!$HI$4:$HI$87</definedName>
    <definedName name="DDA_B">Baremos!$Z$4:$Z$87</definedName>
    <definedName name="DDA_C">Baremos!$BD$4:$BD$87</definedName>
    <definedName name="DDA_D">Baremos!$CH$4:$CH$87</definedName>
    <definedName name="DDA_E">Baremos!$DL$4:$DL$87</definedName>
    <definedName name="DDA_F">Baremos!$EQ$4:$EQ$87</definedName>
    <definedName name="DDA_G">Baremos!$FV$4:$FV$87</definedName>
    <definedName name="DDA_H">Baremos!$HA$4:$HA$87</definedName>
    <definedName name="DDA_J">Baremos!$IF$4:$IF$87</definedName>
    <definedName name="EA_B">Baremos!$D$4:$D$87</definedName>
    <definedName name="EA_C">Baremos!$AH$4:$AH$87</definedName>
    <definedName name="EA_D">Baremos!$BL$4:$BL$87</definedName>
    <definedName name="EA_E">Baremos!$CP$4:$CP$87</definedName>
    <definedName name="EA_F">Baremos!$DU$4:$DU$87</definedName>
    <definedName name="EA_G">Baremos!$EZ$4:$EZ$87</definedName>
    <definedName name="EA_H">Baremos!$GE$4:$GE$87</definedName>
    <definedName name="EA_J">Baremos!$HJ$4:$HJ$87</definedName>
    <definedName name="EEA_B">Baremos!$AA$4:$AA$87</definedName>
    <definedName name="EEA_C">Baremos!$BE$4:$BE$87</definedName>
    <definedName name="EEA_D">Baremos!$CI$4:$CI$87</definedName>
    <definedName name="EEA_E">Baremos!$DM$4:$DM$87</definedName>
    <definedName name="EEA_F">Baremos!$ER$4:$ER$87</definedName>
    <definedName name="EEA_G">Baremos!$FW$4:$FW$87</definedName>
    <definedName name="EEA_H">Baremos!$HB$4:$HB$87</definedName>
    <definedName name="EEA_J">Baremos!$IG$4:$IG$87</definedName>
    <definedName name="FA_B">Baremos!$E$4:$E$87</definedName>
    <definedName name="FA_C">Baremos!$AI$4:$AI$87</definedName>
    <definedName name="FA_D">Baremos!$BM$4:$BM$87</definedName>
    <definedName name="FA_E">Baremos!$CQ$4:$CQ$87</definedName>
    <definedName name="FA_F">Baremos!$DV$4:$DV$87</definedName>
    <definedName name="FA_G">Baremos!$FA$4:$FA$87</definedName>
    <definedName name="FA_H">Baremos!$GF$4:$GF$87</definedName>
    <definedName name="FA_J">Baremos!$HK$4:$HK$87</definedName>
    <definedName name="FFA_B">Baremos!$AB$4:$AB$87</definedName>
    <definedName name="FFA_C">Baremos!$BF$4:$BF$87</definedName>
    <definedName name="FFA_D">Baremos!$CJ$4:$CJ$87</definedName>
    <definedName name="FFA_E">Baremos!$DN$4:$DN$87</definedName>
    <definedName name="FFA_F">Baremos!$ES$4:$ES$87</definedName>
    <definedName name="FFA_G">Baremos!$FX$4:$FX$87</definedName>
    <definedName name="FFA_H">Baremos!$HC$4:$HC$87</definedName>
    <definedName name="FFA_J">Baremos!$IH$4:$IH$87</definedName>
    <definedName name="GGA_B">Baremos!$AC$4:$AC$87</definedName>
    <definedName name="GGA_C">Baremos!$BG$4:$BG$87</definedName>
    <definedName name="GGA_D">Baremos!$CK$4:$CK$87</definedName>
    <definedName name="GGA_E">Baremos!$DO$4:$DO$87</definedName>
    <definedName name="GGA_F">Baremos!$ET$4:$ET$87</definedName>
    <definedName name="GGA_G">Baremos!$FY$4:$FY$87</definedName>
    <definedName name="GGA_H">Baremos!$HD$4:$HD$87</definedName>
    <definedName name="GGA_J">Baremos!$II$4:$II$87</definedName>
    <definedName name="HA_B">Baremos!$F$4:$F$87</definedName>
    <definedName name="HA_C">Baremos!$AJ$4:$AJ$87</definedName>
    <definedName name="HA_D">Baremos!$BN$4:$BN$87</definedName>
    <definedName name="HA_E">Baremos!$CR$4:$CR$87</definedName>
    <definedName name="HA_F">Baremos!$DW$4:$DW$87</definedName>
    <definedName name="HA_G">Baremos!$FB$4:$FB$87</definedName>
    <definedName name="HA_H">Baremos!$GG$4:$GG$87</definedName>
    <definedName name="HA_J">Baremos!$HL$4:$HL$87</definedName>
    <definedName name="IA_B">Baremos!$G$4:$G$87</definedName>
    <definedName name="IA_C">Baremos!$AK$4:$AK$87</definedName>
    <definedName name="IA_D">Baremos!$BO$4:$BO$87</definedName>
    <definedName name="IA_E">Baremos!$CS$4:$CS$87</definedName>
    <definedName name="IA_F">Baremos!$DX$4:$DX$87</definedName>
    <definedName name="IA_G">Baremos!$FC$4:$FC$87</definedName>
    <definedName name="IA_H">Baremos!$GH$4:$GH$87</definedName>
    <definedName name="IA_J">Baremos!$HM$4:$HM$87</definedName>
    <definedName name="Informe_Cualtitativo_MACI" localSheetId="2">Perfil!$A$2:$Q$50</definedName>
    <definedName name="JA_B">Baremos!$H$4:$H$87</definedName>
    <definedName name="JA_C">Baremos!$AL$4:$AL$87</definedName>
    <definedName name="JA_D">Baremos!$BP$4:$BP$87</definedName>
    <definedName name="JA_E">Baremos!$CT$4:$CT$87</definedName>
    <definedName name="JA_F">Baremos!$DY$4:$DY$87</definedName>
    <definedName name="JA_G">Baremos!$FD$4:$FD$87</definedName>
    <definedName name="JA_H">Baremos!$GI$4:$GI$87</definedName>
    <definedName name="JA_J">Baremos!$HN$4:$HN$87</definedName>
    <definedName name="KA_B">Baremos!$I$4:$I$87</definedName>
    <definedName name="KA_C">Baremos!$AM$4:$AM$87</definedName>
    <definedName name="KA_D">Baremos!$BQ$4:$BQ$87</definedName>
    <definedName name="KA_E">Baremos!$CU$4:$CU$87</definedName>
    <definedName name="KA_F">Baremos!$DZ$4:$DZ$87</definedName>
    <definedName name="KA_G">Baremos!$FE$4:$FE$87</definedName>
    <definedName name="KA_H">Baremos!$GJ$4:$GJ$87</definedName>
    <definedName name="KA_J">Baremos!$HO$4:$HO$87</definedName>
    <definedName name="LA_B">Baremos!$T$4:$T$87</definedName>
    <definedName name="LA_C">Baremos!$AX$4:$AX$87</definedName>
    <definedName name="LA_D">Baremos!$CB$4:$CB$87</definedName>
    <definedName name="LA_E">Baremos!$DF$4:$DF$87</definedName>
    <definedName name="LA_F">Baremos!$EK$4:$EK$87</definedName>
    <definedName name="LA_G">Baremos!$FP$4:$FP$87</definedName>
    <definedName name="LA_H">Baremos!$GU$4:$GU$87</definedName>
    <definedName name="LA_J">Baremos!$HZ$4:$HZ$87</definedName>
    <definedName name="MA_B">Baremos!$R$4:$R$87</definedName>
    <definedName name="MA_C">Baremos!$AV$4:$AV$87</definedName>
    <definedName name="MA_D">Baremos!$BZ$4:$BZ$87</definedName>
    <definedName name="MA_E">Baremos!$DD$4:$DD$87</definedName>
    <definedName name="MA_F">Baremos!$EI$4:$EI$87</definedName>
    <definedName name="MA_G">Baremos!$FN$4:$FN$87</definedName>
    <definedName name="MA_H">Baremos!$GS$4:$GS$87</definedName>
    <definedName name="MA_J">Baremos!$HX$4:$HX$87</definedName>
    <definedName name="NA_B">Baremos!$S$4:$S$87</definedName>
    <definedName name="NA_C">Baremos!$AW$4:$AW$87</definedName>
    <definedName name="NA_D">Baremos!$CA$4:$CA$87</definedName>
    <definedName name="NA_E">Baremos!$DE$4:$DE$87</definedName>
    <definedName name="NA_F">Baremos!$EJ$4:$EJ$87</definedName>
    <definedName name="NA_G">Baremos!$FO$4:$FO$87</definedName>
    <definedName name="NA_H">Baremos!$GT$4:$GT$87</definedName>
    <definedName name="NA_J">Baremos!$HY$4:$HY$87</definedName>
    <definedName name="OA_B">Baremos!$M$4:$M$87</definedName>
    <definedName name="OA_C">Baremos!$AQ$4:$AQ$87</definedName>
    <definedName name="OA_D">Baremos!$BU$4:$BU$87</definedName>
    <definedName name="OA_E">Baremos!$CY$4:$CY$87</definedName>
    <definedName name="OA_F">Baremos!$ED$4:$ED$87</definedName>
    <definedName name="OA_G">Baremos!$FI$4:$FI$88</definedName>
    <definedName name="OA_H">Baremos!$GN$4:$GN$87</definedName>
    <definedName name="OA_J">Baremos!$HS$4:$HS$87</definedName>
    <definedName name="PA_B">Baremos!$L$4:$L$87</definedName>
    <definedName name="PA_C">Baremos!$AP$4:$AP$87</definedName>
    <definedName name="PA_D">Baremos!$BT$4:$BT$87</definedName>
    <definedName name="PA_E">Baremos!$CX$4:$CX$87</definedName>
    <definedName name="PA_F">Baremos!$EC$4:$EC$87</definedName>
    <definedName name="PA_G">Baremos!$FH$4:$FH$87</definedName>
    <definedName name="PA_H">Baremos!$GM$4:$GM$87</definedName>
    <definedName name="PA_J">Baremos!$HR$4:$HR$87</definedName>
    <definedName name="PDF" localSheetId="2">Perfil!$A$2:$Q$50</definedName>
    <definedName name="Print_Area" localSheetId="2">Perfil!$A$1:$R$50</definedName>
    <definedName name="QA_B">Baremos!$V$4:$V$87</definedName>
    <definedName name="QA_C">Baremos!$AZ$4:$AZ$87</definedName>
    <definedName name="QA_D">Baremos!$CD$4:$CD$87</definedName>
    <definedName name="QA_E">Baremos!$DH$4:$DH$87</definedName>
    <definedName name="QA_F">Baremos!$EM$4:$EM$87</definedName>
    <definedName name="QA_G">Baremos!$FR$4:$FR$87</definedName>
    <definedName name="QA_H">Baremos!$GW$4:$GW$87</definedName>
    <definedName name="QA_J">Baremos!$IB$4:$IB$87</definedName>
    <definedName name="RA_B">Baremos!$K$4:$K$87</definedName>
    <definedName name="RA_C">Baremos!$AO$4:$AO$87</definedName>
    <definedName name="RA_D">Baremos!$BS$4:$BS$87</definedName>
    <definedName name="RA_E">Baremos!$CW$4:$CW$87</definedName>
    <definedName name="RA_F">Baremos!$EB$4:$EB$87</definedName>
    <definedName name="RA_G">Baremos!$FG$4:$FG$87</definedName>
    <definedName name="RA_H">Baremos!$GL$4:$GL$87</definedName>
    <definedName name="RA_J">Baremos!$HQ$4:$HQ$87</definedName>
    <definedName name="TA_B">Baremos!$J$4:$J$87</definedName>
    <definedName name="TA_C">Baremos!$AN$4:$AN$87</definedName>
    <definedName name="TA_D">Baremos!$BR$4:$BR$87</definedName>
    <definedName name="TA_E">Baremos!$CV$4:$CV$87</definedName>
    <definedName name="TA_F">Baremos!$EA$4:$EA$87</definedName>
    <definedName name="TA_G">Baremos!$FF$4:$FF$87</definedName>
    <definedName name="TA_H">Baremos!$GK$4:$GK$87</definedName>
    <definedName name="TA_J">Baremos!$HP$4:$HP$87</definedName>
    <definedName name="UA_B">Baremos!$N$4:$N$87</definedName>
    <definedName name="UA_C">Baremos!$AR$4:$AR$87</definedName>
    <definedName name="UA_D">Baremos!$BV$4:$BV$87</definedName>
    <definedName name="UA_E">Baremos!$CZ$4:$CZ$87</definedName>
    <definedName name="UA_F">Baremos!$EE$4:$EE$87</definedName>
    <definedName name="UA_G">Baremos!$FJ$4:$FJ$87</definedName>
    <definedName name="UA_H">Baremos!$GO$4:$GO$87</definedName>
    <definedName name="UA_J">Baremos!$HT$4:$HT$87</definedName>
    <definedName name="VA_B">Baremos!$Q$4:$Q$87</definedName>
    <definedName name="VA_C">Baremos!$AU$4:$AU$87</definedName>
    <definedName name="VA_D">Baremos!$BY$4:$BY$87</definedName>
    <definedName name="VA_E">Baremos!$DC$4:$DC$87</definedName>
    <definedName name="VA_F">Baremos!$EH$4:$EH$87</definedName>
    <definedName name="VA_G">Baremos!$FM$4:$FM$87</definedName>
    <definedName name="VA_H">Baremos!$GR$4:$GR$87</definedName>
    <definedName name="VA_J">Baremos!$HW$4:$HW$87</definedName>
    <definedName name="XA_B">Baremos!$O$4:$O$87</definedName>
    <definedName name="XA_C">Baremos!$AS$4:$AS$87</definedName>
    <definedName name="XA_D">Baremos!$BW$4:$BW$87</definedName>
    <definedName name="XA_E">Baremos!$DA$4:$DA$87</definedName>
    <definedName name="XA_F">Baremos!$EF$4:$EF$87</definedName>
    <definedName name="XA_G">Baremos!$FK$4:$FK$87</definedName>
    <definedName name="XA_H">Baremos!$GP$4:$GP$87</definedName>
    <definedName name="XA_J">Baremos!$HU$4:$HU$87</definedName>
    <definedName name="YA_B">Baremos!$U$4:$U$87</definedName>
    <definedName name="YA_C">Baremos!$AY$4:$AY$87</definedName>
    <definedName name="YA_D">Baremos!$CC$4:$CC$87</definedName>
    <definedName name="YA_E">Baremos!$DG$4:$DG$87</definedName>
    <definedName name="YA_F">Baremos!$EL$4:$EL$87</definedName>
    <definedName name="YA_G">Baremos!$FQ$4:$FQ$87</definedName>
    <definedName name="YA_H">Baremos!$GV$4:$GV$87</definedName>
    <definedName name="YA_J">Baremos!$IA$4:$IA$87</definedName>
    <definedName name="ZA_B">Baremos!$P$4:$P$87</definedName>
    <definedName name="ZA_C">Baremos!$AT$4:$AT$87</definedName>
    <definedName name="ZA_D">Baremos!$BX$4:$BX$87</definedName>
    <definedName name="ZA_E">Baremos!$DB$4:$DB$87</definedName>
    <definedName name="ZA_F">Baremos!$EG$4:$EG$87</definedName>
    <definedName name="ZA_G">Baremos!$FL$4:$FL$87</definedName>
    <definedName name="ZA_H">Baremos!$GQ$4:$GQ$87</definedName>
    <definedName name="ZA_J">Baremos!$HV$4:$HV$87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7" i="1" l="1"/>
  <c r="BC19" i="1"/>
  <c r="BC16" i="1"/>
  <c r="BC33" i="1"/>
  <c r="M5" i="1"/>
  <c r="M36" i="1"/>
  <c r="M35" i="1"/>
  <c r="M3" i="1"/>
  <c r="BA6" i="1"/>
  <c r="BA5" i="1"/>
  <c r="BA4" i="1"/>
  <c r="BA3" i="1"/>
  <c r="BA22" i="1"/>
  <c r="BA21" i="1"/>
  <c r="BA20" i="1"/>
  <c r="BA19" i="1"/>
  <c r="BA18" i="1"/>
  <c r="BA17" i="1"/>
  <c r="BA16" i="1"/>
  <c r="BA15" i="1"/>
  <c r="BA14" i="1"/>
  <c r="BA13" i="1"/>
  <c r="BA12" i="1"/>
  <c r="BA11" i="1"/>
  <c r="BA10" i="1"/>
  <c r="BA9" i="1"/>
  <c r="BA8" i="1"/>
  <c r="BA7" i="1"/>
  <c r="AW29" i="1"/>
  <c r="AW26" i="1"/>
  <c r="AW21" i="1"/>
  <c r="AW13" i="1"/>
  <c r="AW9" i="1"/>
  <c r="AW7" i="1"/>
  <c r="AW20" i="1"/>
  <c r="AW19" i="1"/>
  <c r="AW18" i="1"/>
  <c r="AW15" i="1"/>
  <c r="AW14" i="1"/>
  <c r="AW30" i="1"/>
  <c r="AW28" i="1"/>
  <c r="AW27" i="1"/>
  <c r="AW25" i="1"/>
  <c r="AW24" i="1"/>
  <c r="AW23" i="1"/>
  <c r="AW22" i="1"/>
  <c r="AW17" i="1"/>
  <c r="AW16" i="1"/>
  <c r="AW12" i="1"/>
  <c r="AW11" i="1"/>
  <c r="AW10" i="1"/>
  <c r="AW8" i="1"/>
  <c r="AW6" i="1"/>
  <c r="AW5" i="1"/>
  <c r="AW4" i="1"/>
  <c r="AW3" i="1"/>
  <c r="AU26" i="1"/>
  <c r="AU41" i="1"/>
  <c r="AU40" i="1"/>
  <c r="AU39" i="1"/>
  <c r="AU38" i="1"/>
  <c r="AU37" i="1"/>
  <c r="AU36" i="1"/>
  <c r="AU35" i="1"/>
  <c r="AU34" i="1"/>
  <c r="AU33" i="1"/>
  <c r="AU32" i="1"/>
  <c r="AU31" i="1"/>
  <c r="AU30" i="1"/>
  <c r="AU29" i="1"/>
  <c r="AU28" i="1"/>
  <c r="AU27" i="1"/>
  <c r="AU25" i="1"/>
  <c r="AU24" i="1"/>
  <c r="AU23" i="1"/>
  <c r="AU22" i="1"/>
  <c r="AU21" i="1"/>
  <c r="AU20" i="1"/>
  <c r="AU19" i="1"/>
  <c r="AU18" i="1"/>
  <c r="AU17" i="1"/>
  <c r="AU16" i="1"/>
  <c r="AU15" i="1"/>
  <c r="AU14" i="1"/>
  <c r="AU13" i="1"/>
  <c r="AU12" i="1"/>
  <c r="AU11" i="1"/>
  <c r="AU10" i="1"/>
  <c r="AU9" i="1"/>
  <c r="AU8" i="1"/>
  <c r="AU7" i="1"/>
  <c r="AU6" i="1"/>
  <c r="AU5" i="1"/>
  <c r="AU4" i="1"/>
  <c r="AU3" i="1"/>
  <c r="AI23" i="1"/>
  <c r="AI22" i="1"/>
  <c r="AI21" i="1"/>
  <c r="AI20" i="1"/>
  <c r="AI19" i="1"/>
  <c r="AI18" i="1"/>
  <c r="AI17" i="1"/>
  <c r="AI16" i="1"/>
  <c r="AI15" i="1"/>
  <c r="AI14" i="1"/>
  <c r="AI13" i="1"/>
  <c r="AI12" i="1"/>
  <c r="AI11" i="1"/>
  <c r="AI10" i="1"/>
  <c r="AI9" i="1"/>
  <c r="AI8" i="1"/>
  <c r="AI7" i="1"/>
  <c r="AI6" i="1"/>
  <c r="AI5" i="1"/>
  <c r="AI4" i="1"/>
  <c r="AI3" i="1"/>
  <c r="Q21" i="1"/>
  <c r="Q17" i="1"/>
  <c r="Q15" i="1"/>
  <c r="Q19" i="1"/>
  <c r="Q18" i="1"/>
  <c r="Q16" i="1"/>
  <c r="Q13" i="1"/>
  <c r="Q12" i="1"/>
  <c r="Q11" i="1"/>
  <c r="Q10" i="1"/>
  <c r="Q9" i="1"/>
  <c r="Q8" i="1"/>
  <c r="Q3" i="1"/>
  <c r="Q14" i="1"/>
  <c r="Q6" i="1"/>
  <c r="Q5" i="1"/>
  <c r="Q4" i="1"/>
  <c r="Q26" i="1"/>
  <c r="Q25" i="1"/>
  <c r="Q24" i="1"/>
  <c r="Q23" i="1"/>
  <c r="Q22" i="1"/>
  <c r="Q20" i="1"/>
  <c r="Q7" i="1"/>
  <c r="P7" i="2"/>
  <c r="AQ3" i="1"/>
  <c r="AQ4" i="1"/>
  <c r="AQ39" i="1"/>
  <c r="AQ38" i="1"/>
  <c r="AQ37" i="1"/>
  <c r="AQ36" i="1"/>
  <c r="AQ35" i="1"/>
  <c r="AQ34" i="1"/>
  <c r="AQ33" i="1"/>
  <c r="AQ32" i="1"/>
  <c r="AQ31" i="1"/>
  <c r="AQ30" i="1"/>
  <c r="AQ29" i="1"/>
  <c r="AQ28" i="1"/>
  <c r="AQ27" i="1"/>
  <c r="AQ26" i="1"/>
  <c r="AQ25" i="1"/>
  <c r="AQ24" i="1"/>
  <c r="AQ23" i="1"/>
  <c r="AQ22" i="1"/>
  <c r="AQ21" i="1"/>
  <c r="AQ20" i="1"/>
  <c r="AQ19" i="1"/>
  <c r="AQ18" i="1"/>
  <c r="AQ17" i="1"/>
  <c r="AQ16" i="1"/>
  <c r="AQ15" i="1"/>
  <c r="AQ14" i="1"/>
  <c r="AQ13" i="1"/>
  <c r="AQ12" i="1"/>
  <c r="AQ11" i="1"/>
  <c r="AQ10" i="1"/>
  <c r="AQ9" i="1"/>
  <c r="AQ8" i="1"/>
  <c r="AQ7" i="1"/>
  <c r="AQ6" i="1"/>
  <c r="AQ5"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M9" i="1"/>
  <c r="AM8" i="1"/>
  <c r="AM7" i="1"/>
  <c r="AM6" i="1"/>
  <c r="AM5" i="1"/>
  <c r="AM4" i="1"/>
  <c r="AM3"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C33" i="1"/>
  <c r="AC23" i="1"/>
  <c r="AC41" i="1"/>
  <c r="AC40" i="1"/>
  <c r="AC39" i="1"/>
  <c r="AC38" i="1"/>
  <c r="AC37" i="1"/>
  <c r="AC36" i="1"/>
  <c r="AC35" i="1"/>
  <c r="AC34" i="1"/>
  <c r="AC32" i="1"/>
  <c r="AC30" i="1"/>
  <c r="AC29" i="1"/>
  <c r="AC28" i="1"/>
  <c r="AC27" i="1"/>
  <c r="AC26" i="1"/>
  <c r="AC25" i="1"/>
  <c r="AC24" i="1"/>
  <c r="AC22" i="1"/>
  <c r="AC21" i="1"/>
  <c r="AC20" i="1"/>
  <c r="AC19" i="1"/>
  <c r="AC18" i="1"/>
  <c r="AC17" i="1"/>
  <c r="AC16" i="1"/>
  <c r="AC15" i="1"/>
  <c r="AC14" i="1"/>
  <c r="AC13" i="1"/>
  <c r="AC12" i="1"/>
  <c r="AC11" i="1"/>
  <c r="AC10" i="1"/>
  <c r="AC31" i="1"/>
  <c r="AC9" i="1"/>
  <c r="AC8" i="1"/>
  <c r="AC7" i="1"/>
  <c r="AC6" i="1"/>
  <c r="AC5" i="1"/>
  <c r="AC4" i="1"/>
  <c r="AC3" i="1"/>
  <c r="AA24" i="1"/>
  <c r="AA23" i="1"/>
  <c r="AA22" i="1"/>
  <c r="AA21" i="1"/>
  <c r="AA20" i="1"/>
  <c r="AA19" i="1"/>
  <c r="AA18" i="1"/>
  <c r="AA17" i="1"/>
  <c r="AA16" i="1"/>
  <c r="AA15" i="1"/>
  <c r="AA14" i="1"/>
  <c r="AA13" i="1"/>
  <c r="AA12" i="1"/>
  <c r="AA11" i="1"/>
  <c r="AA10" i="1"/>
  <c r="AA9" i="1"/>
  <c r="AA8" i="1"/>
  <c r="AA7" i="1"/>
  <c r="AA6" i="1"/>
  <c r="AA5" i="1"/>
  <c r="AA4" i="1"/>
  <c r="AA3" i="1"/>
  <c r="W40" i="1"/>
  <c r="W39" i="1"/>
  <c r="W37" i="1"/>
  <c r="W35" i="1"/>
  <c r="W33" i="1"/>
  <c r="W32" i="1"/>
  <c r="W31" i="1"/>
  <c r="W29" i="1"/>
  <c r="W23" i="1"/>
  <c r="W22" i="1"/>
  <c r="W20" i="1"/>
  <c r="W17" i="1"/>
  <c r="W16" i="1"/>
  <c r="W14" i="1"/>
  <c r="W11" i="1"/>
  <c r="W10" i="1"/>
  <c r="W9" i="1"/>
  <c r="W6" i="1"/>
  <c r="W5" i="1"/>
  <c r="W4" i="1"/>
  <c r="W41" i="1"/>
  <c r="W38" i="1"/>
  <c r="W36" i="1"/>
  <c r="W34" i="1"/>
  <c r="W30" i="1"/>
  <c r="W28" i="1"/>
  <c r="W27" i="1"/>
  <c r="W26" i="1"/>
  <c r="W25" i="1"/>
  <c r="W24" i="1"/>
  <c r="W21" i="1"/>
  <c r="W19" i="1"/>
  <c r="W18" i="1"/>
  <c r="W15" i="1"/>
  <c r="W13" i="1"/>
  <c r="W12" i="1"/>
  <c r="W8" i="1"/>
  <c r="W7" i="1"/>
  <c r="W3"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F7" i="2" a="1"/>
  <c r="BA23" i="1" l="1"/>
  <c r="Q27" i="1"/>
  <c r="AG47" i="1"/>
  <c r="F7" i="2"/>
  <c r="AQ40" i="1"/>
  <c r="AC42" i="1"/>
  <c r="BT4" i="1" l="1"/>
  <c r="BT3" i="1"/>
  <c r="BT5" i="1" s="1"/>
  <c r="H13" i="2" s="1"/>
  <c r="BR18" i="1"/>
  <c r="BR17" i="1"/>
  <c r="BR16" i="1"/>
  <c r="BR15" i="1"/>
  <c r="BR14" i="1"/>
  <c r="BR13" i="1"/>
  <c r="BR12" i="1"/>
  <c r="BR11" i="1"/>
  <c r="BR10" i="1"/>
  <c r="BR9" i="1"/>
  <c r="BR8" i="1"/>
  <c r="BR7" i="1"/>
  <c r="BR6" i="1"/>
  <c r="BR5" i="1"/>
  <c r="BR4" i="1"/>
  <c r="BR3" i="1"/>
  <c r="BP19" i="1"/>
  <c r="BP18" i="1"/>
  <c r="BP17" i="1"/>
  <c r="BP16" i="1"/>
  <c r="BP15" i="1"/>
  <c r="BP14" i="1"/>
  <c r="BP13" i="1"/>
  <c r="BP12" i="1"/>
  <c r="BP11" i="1"/>
  <c r="BP10" i="1"/>
  <c r="BP9" i="1"/>
  <c r="BP8" i="1"/>
  <c r="BP7" i="1"/>
  <c r="BP6" i="1"/>
  <c r="BP5" i="1"/>
  <c r="BP4" i="1"/>
  <c r="BP3" i="1"/>
  <c r="BM26" i="1"/>
  <c r="BM25" i="1"/>
  <c r="BM20" i="1"/>
  <c r="BM17" i="1"/>
  <c r="BM16" i="1"/>
  <c r="BM14" i="1"/>
  <c r="BM11" i="1"/>
  <c r="BM10" i="1"/>
  <c r="BM9" i="1"/>
  <c r="BM6" i="1"/>
  <c r="BM4" i="1"/>
  <c r="BM27" i="1"/>
  <c r="BM24" i="1"/>
  <c r="BM23" i="1"/>
  <c r="BM22" i="1"/>
  <c r="BM21" i="1"/>
  <c r="BM19" i="1"/>
  <c r="BM18" i="1"/>
  <c r="BM15" i="1"/>
  <c r="BM13" i="1"/>
  <c r="BM12" i="1"/>
  <c r="BM8" i="1"/>
  <c r="BM7" i="1"/>
  <c r="BM5" i="1"/>
  <c r="BM3" i="1"/>
  <c r="BK34" i="1"/>
  <c r="BK31" i="1"/>
  <c r="BK30" i="1"/>
  <c r="BK29" i="1"/>
  <c r="BK28" i="1"/>
  <c r="BK24" i="1"/>
  <c r="BK20" i="1"/>
  <c r="BK19" i="1"/>
  <c r="BK17" i="1"/>
  <c r="BK16" i="1"/>
  <c r="BK15" i="1"/>
  <c r="BK14" i="1"/>
  <c r="BK12" i="1"/>
  <c r="BK11" i="1"/>
  <c r="BK9" i="1"/>
  <c r="BK8" i="1"/>
  <c r="BK6" i="1"/>
  <c r="BK5" i="1"/>
  <c r="BK35" i="1"/>
  <c r="BK33" i="1"/>
  <c r="BK32" i="1"/>
  <c r="BK27" i="1"/>
  <c r="BK26" i="1"/>
  <c r="BK25" i="1"/>
  <c r="BK23" i="1"/>
  <c r="BK22" i="1"/>
  <c r="BK21" i="1"/>
  <c r="BK18" i="1"/>
  <c r="BK13" i="1"/>
  <c r="BK10" i="1"/>
  <c r="BK7" i="1"/>
  <c r="BK4" i="1"/>
  <c r="BK3" i="1"/>
  <c r="BI37" i="1"/>
  <c r="BI29" i="1"/>
  <c r="BI15" i="1"/>
  <c r="BI14" i="1"/>
  <c r="BI13" i="1"/>
  <c r="BI12" i="1"/>
  <c r="BI11" i="1"/>
  <c r="BI10" i="1"/>
  <c r="BI9" i="1"/>
  <c r="BI7" i="1"/>
  <c r="BI5" i="1"/>
  <c r="BI44" i="1"/>
  <c r="BI43" i="1"/>
  <c r="BI42" i="1"/>
  <c r="BI41" i="1"/>
  <c r="BI40" i="1"/>
  <c r="BI39" i="1"/>
  <c r="BI38" i="1"/>
  <c r="BI36" i="1"/>
  <c r="BI35" i="1"/>
  <c r="BI34" i="1"/>
  <c r="BI33" i="1"/>
  <c r="BI32" i="1"/>
  <c r="BI31" i="1"/>
  <c r="BI30" i="1"/>
  <c r="BI28" i="1"/>
  <c r="BI27" i="1"/>
  <c r="BI26" i="1"/>
  <c r="BI25" i="1"/>
  <c r="BI24" i="1"/>
  <c r="BI23" i="1"/>
  <c r="BI22" i="1"/>
  <c r="BI21" i="1"/>
  <c r="BI20" i="1"/>
  <c r="BI19" i="1"/>
  <c r="BI18" i="1"/>
  <c r="BI17" i="1"/>
  <c r="BI16" i="1"/>
  <c r="BI8" i="1"/>
  <c r="BI6" i="1"/>
  <c r="BI4" i="1"/>
  <c r="BI3" i="1"/>
  <c r="BG23" i="1"/>
  <c r="BG20" i="1"/>
  <c r="BG19" i="1"/>
  <c r="BG15" i="1"/>
  <c r="BG14" i="1"/>
  <c r="BG10" i="1"/>
  <c r="BG9" i="1"/>
  <c r="BG6" i="1"/>
  <c r="BG3" i="1"/>
  <c r="BG25" i="1"/>
  <c r="BG24" i="1"/>
  <c r="BG22" i="1"/>
  <c r="BG21" i="1"/>
  <c r="BG18" i="1"/>
  <c r="BG17" i="1"/>
  <c r="BG16" i="1"/>
  <c r="BG13" i="1"/>
  <c r="BG12" i="1"/>
  <c r="BG11" i="1"/>
  <c r="BG8" i="1"/>
  <c r="BG7" i="1"/>
  <c r="BG5" i="1"/>
  <c r="BG4" i="1"/>
  <c r="BE34" i="1"/>
  <c r="BE33" i="1"/>
  <c r="BE32" i="1"/>
  <c r="BE31" i="1"/>
  <c r="BE29" i="1"/>
  <c r="BE25" i="1"/>
  <c r="BE22" i="1"/>
  <c r="BE17" i="1"/>
  <c r="BE16" i="1"/>
  <c r="BE15" i="1"/>
  <c r="BE14" i="1"/>
  <c r="BE9" i="1"/>
  <c r="BE5" i="1"/>
  <c r="BE36" i="1"/>
  <c r="BE35" i="1"/>
  <c r="BE30" i="1"/>
  <c r="BE28" i="1"/>
  <c r="BE27" i="1"/>
  <c r="BE26" i="1"/>
  <c r="BE24" i="1"/>
  <c r="BE23" i="1"/>
  <c r="BE21" i="1"/>
  <c r="BE20" i="1"/>
  <c r="BE19" i="1"/>
  <c r="BE18" i="1"/>
  <c r="BE13" i="1"/>
  <c r="BE12" i="1"/>
  <c r="BE11" i="1"/>
  <c r="BE10" i="1"/>
  <c r="BE8" i="1"/>
  <c r="BE7" i="1"/>
  <c r="BE6" i="1"/>
  <c r="BE4" i="1"/>
  <c r="BE3" i="1"/>
  <c r="BC35" i="1"/>
  <c r="BC34" i="1"/>
  <c r="BC31" i="1"/>
  <c r="BC30" i="1"/>
  <c r="BC26" i="1"/>
  <c r="BC25" i="1"/>
  <c r="BC23" i="1"/>
  <c r="BC22" i="1"/>
  <c r="BC13" i="1"/>
  <c r="BC12" i="1"/>
  <c r="BC11" i="1"/>
  <c r="BC8" i="1"/>
  <c r="BC7" i="1"/>
  <c r="BC6" i="1"/>
  <c r="BC5" i="1"/>
  <c r="BC4" i="1"/>
  <c r="BC37" i="1"/>
  <c r="BC36" i="1"/>
  <c r="BC32" i="1"/>
  <c r="BC29" i="1"/>
  <c r="BC28" i="1"/>
  <c r="BC27" i="1"/>
  <c r="BC24" i="1"/>
  <c r="BC21" i="1"/>
  <c r="BC20" i="1"/>
  <c r="BC18" i="1"/>
  <c r="BC17" i="1"/>
  <c r="BC15" i="1"/>
  <c r="BC14" i="1"/>
  <c r="BC10" i="1"/>
  <c r="BC9" i="1"/>
  <c r="BC3" i="1"/>
  <c r="AY26" i="1"/>
  <c r="AY23" i="1"/>
  <c r="AY21" i="1"/>
  <c r="AY20" i="1"/>
  <c r="AY16" i="1"/>
  <c r="AY13" i="1"/>
  <c r="AY10" i="1"/>
  <c r="AY3" i="1"/>
  <c r="AY25" i="1"/>
  <c r="AY24" i="1"/>
  <c r="AY22" i="1"/>
  <c r="AY19" i="1"/>
  <c r="AY18" i="1"/>
  <c r="AY17" i="1"/>
  <c r="AY15" i="1"/>
  <c r="AY14" i="1"/>
  <c r="AY12" i="1"/>
  <c r="AY11" i="1"/>
  <c r="AY9" i="1"/>
  <c r="AY8" i="1"/>
  <c r="AY7" i="1"/>
  <c r="AY6" i="1"/>
  <c r="AY5" i="1"/>
  <c r="AY4" i="1"/>
  <c r="AS21" i="1"/>
  <c r="AS18" i="1"/>
  <c r="AS16" i="1"/>
  <c r="AS15" i="1"/>
  <c r="AS14" i="1"/>
  <c r="AS13" i="1"/>
  <c r="AS10" i="1"/>
  <c r="AS7" i="1"/>
  <c r="AS5" i="1"/>
  <c r="AS4" i="1"/>
  <c r="AS3" i="1"/>
  <c r="AS20" i="1"/>
  <c r="AS19" i="1"/>
  <c r="AS17" i="1"/>
  <c r="AS12" i="1"/>
  <c r="AS11" i="1"/>
  <c r="AS9" i="1"/>
  <c r="AS8" i="1"/>
  <c r="AS6" i="1"/>
  <c r="AO19" i="1"/>
  <c r="AO18" i="1"/>
  <c r="AO17" i="1"/>
  <c r="AO16" i="1"/>
  <c r="AO12" i="1"/>
  <c r="AO10" i="1"/>
  <c r="AO9" i="1"/>
  <c r="AO8" i="1"/>
  <c r="AO7" i="1"/>
  <c r="AO6" i="1"/>
  <c r="AO15" i="1"/>
  <c r="AO14" i="1"/>
  <c r="AO13" i="1"/>
  <c r="AO11" i="1"/>
  <c r="AO5" i="1"/>
  <c r="AO4" i="1"/>
  <c r="AO3" i="1"/>
  <c r="AK34" i="1"/>
  <c r="AK28" i="1"/>
  <c r="AK27" i="1"/>
  <c r="AK26" i="1"/>
  <c r="AK21" i="1"/>
  <c r="AK19" i="1"/>
  <c r="AK18" i="1"/>
  <c r="AK16" i="1"/>
  <c r="AK13" i="1"/>
  <c r="AK11" i="1"/>
  <c r="AK8" i="1"/>
  <c r="AK4" i="1"/>
  <c r="AK33" i="1"/>
  <c r="AK32" i="1"/>
  <c r="AK31" i="1"/>
  <c r="AK30" i="1"/>
  <c r="AK29" i="1"/>
  <c r="AK25" i="1"/>
  <c r="AK24" i="1"/>
  <c r="AK23" i="1"/>
  <c r="AK22" i="1"/>
  <c r="AK20" i="1"/>
  <c r="AK17" i="1"/>
  <c r="AK15" i="1"/>
  <c r="AK14" i="1"/>
  <c r="AK12" i="1"/>
  <c r="AK10" i="1"/>
  <c r="AK9" i="1"/>
  <c r="AK7" i="1"/>
  <c r="AK6" i="1"/>
  <c r="AK5" i="1"/>
  <c r="AK3" i="1"/>
  <c r="AE45" i="1"/>
  <c r="AE42" i="1"/>
  <c r="AE39" i="1"/>
  <c r="AE38" i="1"/>
  <c r="AE36" i="1"/>
  <c r="AE35" i="1"/>
  <c r="AE31" i="1"/>
  <c r="AE30" i="1"/>
  <c r="AE29" i="1"/>
  <c r="AE28" i="1"/>
  <c r="AE26" i="1"/>
  <c r="AE25" i="1"/>
  <c r="AE24" i="1"/>
  <c r="AE22" i="1"/>
  <c r="AE21" i="1"/>
  <c r="AE20" i="1"/>
  <c r="AE18" i="1"/>
  <c r="AE17" i="1"/>
  <c r="AE15" i="1"/>
  <c r="AE12" i="1"/>
  <c r="AE11" i="1"/>
  <c r="AE8" i="1"/>
  <c r="AE6" i="1"/>
  <c r="AE3" i="1"/>
  <c r="AE44" i="1"/>
  <c r="AE43" i="1"/>
  <c r="AE41" i="1"/>
  <c r="AE40" i="1"/>
  <c r="AE37" i="1"/>
  <c r="AE34" i="1"/>
  <c r="AE33" i="1"/>
  <c r="AE32" i="1"/>
  <c r="AE27" i="1"/>
  <c r="AE23" i="1"/>
  <c r="AE19" i="1"/>
  <c r="AE16" i="1"/>
  <c r="AE14" i="1"/>
  <c r="AE13" i="1"/>
  <c r="AE10" i="1"/>
  <c r="AE9" i="1"/>
  <c r="AE7" i="1"/>
  <c r="AE5" i="1"/>
  <c r="AE4" i="1"/>
  <c r="Y41" i="1"/>
  <c r="Y37" i="1"/>
  <c r="Y34" i="1"/>
  <c r="Y33" i="1"/>
  <c r="Y32" i="1"/>
  <c r="Y31" i="1"/>
  <c r="Y30" i="1"/>
  <c r="Y29" i="1"/>
  <c r="Y28" i="1"/>
  <c r="Y25" i="1"/>
  <c r="Y24" i="1"/>
  <c r="Y23" i="1"/>
  <c r="Y20" i="1"/>
  <c r="Y19" i="1"/>
  <c r="Y18" i="1"/>
  <c r="Y17" i="1"/>
  <c r="Y16" i="1"/>
  <c r="Y15" i="1"/>
  <c r="Y14" i="1"/>
  <c r="Y13" i="1"/>
  <c r="Y11" i="1"/>
  <c r="Y10" i="1"/>
  <c r="Y8" i="1"/>
  <c r="Y7" i="1"/>
  <c r="Y6" i="1"/>
  <c r="Y5" i="1"/>
  <c r="Y4" i="1"/>
  <c r="Y3" i="1"/>
  <c r="Y40" i="1"/>
  <c r="Y39" i="1"/>
  <c r="Y38" i="1"/>
  <c r="Y36" i="1"/>
  <c r="Y35" i="1"/>
  <c r="Y27" i="1"/>
  <c r="Y26" i="1"/>
  <c r="Y22" i="1"/>
  <c r="Y21" i="1"/>
  <c r="Y12" i="1"/>
  <c r="Y9" i="1"/>
  <c r="U21" i="1"/>
  <c r="U20" i="1"/>
  <c r="U43" i="1"/>
  <c r="U42" i="1"/>
  <c r="U41" i="1"/>
  <c r="U40" i="1"/>
  <c r="U39" i="1"/>
  <c r="U38" i="1"/>
  <c r="U37" i="1"/>
  <c r="U36" i="1"/>
  <c r="U35" i="1"/>
  <c r="U34" i="1"/>
  <c r="U33" i="1"/>
  <c r="U32" i="1"/>
  <c r="U31" i="1"/>
  <c r="U30" i="1"/>
  <c r="U29" i="1"/>
  <c r="U28" i="1"/>
  <c r="U27" i="1"/>
  <c r="U26" i="1"/>
  <c r="U25" i="1"/>
  <c r="U24" i="1"/>
  <c r="U23" i="1"/>
  <c r="U22" i="1"/>
  <c r="U19" i="1"/>
  <c r="U18" i="1"/>
  <c r="U17" i="1"/>
  <c r="U16" i="1"/>
  <c r="U14" i="1"/>
  <c r="U13" i="1"/>
  <c r="U12" i="1"/>
  <c r="U10" i="1"/>
  <c r="U6" i="1"/>
  <c r="U5" i="1"/>
  <c r="U4" i="1"/>
  <c r="U3" i="1"/>
  <c r="U15" i="1"/>
  <c r="U11" i="1"/>
  <c r="U9" i="1"/>
  <c r="U8" i="1"/>
  <c r="U7" i="1"/>
  <c r="O39" i="1"/>
  <c r="O38" i="1"/>
  <c r="O37" i="1"/>
  <c r="O35" i="1"/>
  <c r="O32" i="1"/>
  <c r="O31" i="1"/>
  <c r="O29" i="1"/>
  <c r="O27" i="1"/>
  <c r="O26" i="1"/>
  <c r="O25" i="1"/>
  <c r="O22" i="1"/>
  <c r="O21" i="1"/>
  <c r="O20" i="1"/>
  <c r="O18" i="1"/>
  <c r="O15" i="1"/>
  <c r="O14" i="1"/>
  <c r="O13" i="1"/>
  <c r="O12" i="1"/>
  <c r="O11" i="1"/>
  <c r="O9" i="1"/>
  <c r="O8" i="1"/>
  <c r="O7" i="1"/>
  <c r="O6" i="1"/>
  <c r="O5" i="1"/>
  <c r="O36" i="1"/>
  <c r="O34" i="1"/>
  <c r="O33" i="1"/>
  <c r="O30" i="1"/>
  <c r="O28" i="1"/>
  <c r="O24" i="1"/>
  <c r="O23" i="1"/>
  <c r="O19" i="1"/>
  <c r="O16" i="1"/>
  <c r="O10" i="1"/>
  <c r="O4" i="1"/>
  <c r="O3" i="1"/>
  <c r="M8" i="1"/>
  <c r="M7" i="1"/>
  <c r="M6" i="1"/>
  <c r="M4" i="1"/>
  <c r="M17" i="1"/>
  <c r="M44" i="1"/>
  <c r="M40" i="1"/>
  <c r="M39" i="1"/>
  <c r="M38" i="1"/>
  <c r="M34" i="1"/>
  <c r="M31" i="1"/>
  <c r="M29" i="1"/>
  <c r="M28" i="1"/>
  <c r="M27" i="1"/>
  <c r="M24" i="1"/>
  <c r="M23" i="1"/>
  <c r="M21" i="1"/>
  <c r="M20" i="1"/>
  <c r="M19" i="1"/>
  <c r="M15" i="1"/>
  <c r="M13" i="1"/>
  <c r="M12" i="1"/>
  <c r="M9" i="1"/>
  <c r="M46" i="1"/>
  <c r="M45" i="1"/>
  <c r="M43" i="1"/>
  <c r="M42" i="1"/>
  <c r="M41" i="1"/>
  <c r="M37" i="1"/>
  <c r="M33" i="1"/>
  <c r="M32" i="1"/>
  <c r="M30" i="1"/>
  <c r="M26" i="1"/>
  <c r="M25" i="1"/>
  <c r="M22" i="1"/>
  <c r="M18" i="1"/>
  <c r="M16" i="1"/>
  <c r="M14" i="1"/>
  <c r="M11" i="1"/>
  <c r="M10" i="1"/>
  <c r="H7" i="10"/>
  <c r="F71" i="1"/>
  <c r="F5" i="2"/>
  <c r="F3" i="2"/>
  <c r="F30" i="1"/>
  <c r="AE60" i="1" s="1"/>
  <c r="B277" i="7"/>
  <c r="O31" i="10"/>
  <c r="B289" i="7" s="1"/>
  <c r="O30" i="10"/>
  <c r="B288" i="7" s="1"/>
  <c r="O29" i="10"/>
  <c r="B287" i="7" s="1"/>
  <c r="O28" i="10"/>
  <c r="B286" i="7" s="1"/>
  <c r="O27" i="10"/>
  <c r="B285" i="7" s="1"/>
  <c r="O26" i="10"/>
  <c r="B284" i="7" s="1"/>
  <c r="O25" i="10"/>
  <c r="B283" i="7" s="1"/>
  <c r="O24" i="10"/>
  <c r="B282" i="7" s="1"/>
  <c r="O23" i="10"/>
  <c r="B281" i="7" s="1"/>
  <c r="O22" i="10"/>
  <c r="B280" i="7" s="1"/>
  <c r="O21" i="10"/>
  <c r="B279" i="7" s="1"/>
  <c r="P4" i="10"/>
  <c r="P3" i="10"/>
  <c r="O10" i="10" s="1"/>
  <c r="N5" i="2" s="1"/>
  <c r="F14" i="1"/>
  <c r="O60" i="1" s="1"/>
  <c r="F15" i="1"/>
  <c r="P60" i="1" s="1"/>
  <c r="F16" i="1"/>
  <c r="Q60" i="1" s="1"/>
  <c r="F17" i="1"/>
  <c r="R60" i="1" s="1"/>
  <c r="F18" i="1"/>
  <c r="S60" i="1" s="1"/>
  <c r="F19" i="1"/>
  <c r="T60" i="1" s="1"/>
  <c r="F20" i="1"/>
  <c r="U60" i="1" s="1"/>
  <c r="F21" i="1"/>
  <c r="V60" i="1" s="1"/>
  <c r="F22" i="1"/>
  <c r="W60" i="1" s="1"/>
  <c r="F23" i="1"/>
  <c r="X60" i="1" s="1"/>
  <c r="F24" i="1"/>
  <c r="Y60" i="1" s="1"/>
  <c r="F25" i="1"/>
  <c r="Z60" i="1" s="1"/>
  <c r="F26" i="1"/>
  <c r="AA60" i="1" s="1"/>
  <c r="F27" i="1"/>
  <c r="AB60" i="1" s="1"/>
  <c r="F28" i="1"/>
  <c r="AC60" i="1" s="1"/>
  <c r="F29" i="1"/>
  <c r="AD60" i="1" s="1"/>
  <c r="F31" i="1"/>
  <c r="AF60" i="1" s="1"/>
  <c r="F32" i="1"/>
  <c r="AG60" i="1" s="1"/>
  <c r="F33" i="1"/>
  <c r="AH60" i="1" s="1"/>
  <c r="F34" i="1"/>
  <c r="AI60" i="1" s="1"/>
  <c r="F35" i="1"/>
  <c r="AJ60" i="1" s="1"/>
  <c r="F36" i="1"/>
  <c r="AK60" i="1" s="1"/>
  <c r="F37" i="1"/>
  <c r="AL60" i="1" s="1"/>
  <c r="F38" i="1"/>
  <c r="AM60" i="1" s="1"/>
  <c r="F39" i="1"/>
  <c r="AN60" i="1" s="1"/>
  <c r="F40" i="1"/>
  <c r="AO60" i="1" s="1"/>
  <c r="F41" i="1"/>
  <c r="AP60" i="1" s="1"/>
  <c r="F42" i="1"/>
  <c r="AQ60" i="1" s="1"/>
  <c r="F43" i="1"/>
  <c r="AR60" i="1" s="1"/>
  <c r="F44" i="1"/>
  <c r="AS60" i="1" s="1"/>
  <c r="F45" i="1"/>
  <c r="AT60" i="1" s="1"/>
  <c r="F46" i="1"/>
  <c r="AU60" i="1" s="1"/>
  <c r="F47" i="1"/>
  <c r="AV60" i="1" s="1"/>
  <c r="F48" i="1"/>
  <c r="AW60" i="1" s="1"/>
  <c r="F49" i="1"/>
  <c r="AX60" i="1" s="1"/>
  <c r="F50" i="1"/>
  <c r="AY60" i="1" s="1"/>
  <c r="F51" i="1"/>
  <c r="AZ60" i="1" s="1"/>
  <c r="F52" i="1"/>
  <c r="BA60" i="1" s="1"/>
  <c r="F53" i="1"/>
  <c r="BB60" i="1" s="1"/>
  <c r="F54" i="1"/>
  <c r="BC60" i="1" s="1"/>
  <c r="F55" i="1"/>
  <c r="BD60" i="1" s="1"/>
  <c r="F56" i="1"/>
  <c r="BE60" i="1" s="1"/>
  <c r="F57" i="1"/>
  <c r="BF60" i="1" s="1"/>
  <c r="F58" i="1"/>
  <c r="BG60" i="1" s="1"/>
  <c r="F59" i="1"/>
  <c r="BH60" i="1" s="1"/>
  <c r="F60" i="1"/>
  <c r="BI60" i="1" s="1"/>
  <c r="F61" i="1"/>
  <c r="BJ60" i="1" s="1"/>
  <c r="F62" i="1"/>
  <c r="BK60" i="1" s="1"/>
  <c r="F63" i="1"/>
  <c r="BL60" i="1" s="1"/>
  <c r="F64" i="1"/>
  <c r="BM60" i="1" s="1"/>
  <c r="F65" i="1"/>
  <c r="BN60" i="1" s="1"/>
  <c r="F66" i="1"/>
  <c r="BO60" i="1" s="1"/>
  <c r="F67" i="1"/>
  <c r="BP60" i="1" s="1"/>
  <c r="F68" i="1"/>
  <c r="BQ60" i="1" s="1"/>
  <c r="F69" i="1"/>
  <c r="BR60" i="1" s="1"/>
  <c r="F70" i="1"/>
  <c r="BS60" i="1" s="1"/>
  <c r="F72" i="1"/>
  <c r="BU60" i="1" s="1"/>
  <c r="F73" i="1"/>
  <c r="BV60" i="1" s="1"/>
  <c r="F74" i="1"/>
  <c r="BW60" i="1" s="1"/>
  <c r="F75" i="1"/>
  <c r="BX60" i="1" s="1"/>
  <c r="F76" i="1"/>
  <c r="BY60" i="1" s="1"/>
  <c r="F77" i="1"/>
  <c r="BZ60" i="1" s="1"/>
  <c r="F78" i="1"/>
  <c r="CA60" i="1" s="1"/>
  <c r="F79" i="1"/>
  <c r="CB60" i="1" s="1"/>
  <c r="F80" i="1"/>
  <c r="CC60" i="1" s="1"/>
  <c r="F81" i="1"/>
  <c r="CD60" i="1" s="1"/>
  <c r="F82" i="1"/>
  <c r="CE60" i="1" s="1"/>
  <c r="F83" i="1"/>
  <c r="CF60" i="1" s="1"/>
  <c r="F84" i="1"/>
  <c r="CG60" i="1" s="1"/>
  <c r="F85" i="1"/>
  <c r="CH60" i="1" s="1"/>
  <c r="F86" i="1"/>
  <c r="CI60" i="1" s="1"/>
  <c r="F87" i="1"/>
  <c r="CJ60" i="1" s="1"/>
  <c r="F88" i="1"/>
  <c r="CK60" i="1" s="1"/>
  <c r="F89" i="1"/>
  <c r="CL60" i="1" s="1"/>
  <c r="F90" i="1"/>
  <c r="CM60" i="1" s="1"/>
  <c r="F91" i="1"/>
  <c r="CN60" i="1" s="1"/>
  <c r="F92" i="1"/>
  <c r="CO60" i="1" s="1"/>
  <c r="F93" i="1"/>
  <c r="CP60" i="1" s="1"/>
  <c r="F94" i="1"/>
  <c r="CQ60" i="1" s="1"/>
  <c r="F95" i="1"/>
  <c r="CR60" i="1" s="1"/>
  <c r="F96" i="1"/>
  <c r="CS60" i="1" s="1"/>
  <c r="F97" i="1"/>
  <c r="CT60" i="1" s="1"/>
  <c r="F98" i="1"/>
  <c r="CU60" i="1" s="1"/>
  <c r="F99" i="1"/>
  <c r="CV60" i="1" s="1"/>
  <c r="F100" i="1"/>
  <c r="CW60" i="1" s="1"/>
  <c r="F101" i="1"/>
  <c r="CX60" i="1" s="1"/>
  <c r="F102" i="1"/>
  <c r="CY60" i="1" s="1"/>
  <c r="F103" i="1"/>
  <c r="CZ60" i="1" s="1"/>
  <c r="F104" i="1"/>
  <c r="DA60" i="1" s="1"/>
  <c r="F105" i="1"/>
  <c r="DB60" i="1" s="1"/>
  <c r="F106" i="1"/>
  <c r="DC60" i="1" s="1"/>
  <c r="F107" i="1"/>
  <c r="DD60" i="1" s="1"/>
  <c r="F108" i="1"/>
  <c r="DE60" i="1" s="1"/>
  <c r="F109" i="1"/>
  <c r="DF60" i="1" s="1"/>
  <c r="F110" i="1"/>
  <c r="DG60" i="1" s="1"/>
  <c r="F111" i="1"/>
  <c r="F112" i="1"/>
  <c r="DI60" i="1" s="1"/>
  <c r="F113" i="1"/>
  <c r="DJ60" i="1" s="1"/>
  <c r="F114" i="1"/>
  <c r="DK60" i="1" s="1"/>
  <c r="F115" i="1"/>
  <c r="DL60" i="1" s="1"/>
  <c r="F116" i="1"/>
  <c r="DM60" i="1" s="1"/>
  <c r="F117" i="1"/>
  <c r="DN60" i="1" s="1"/>
  <c r="F118" i="1"/>
  <c r="DO60" i="1" s="1"/>
  <c r="F119" i="1"/>
  <c r="DP60" i="1" s="1"/>
  <c r="F120" i="1"/>
  <c r="DQ60" i="1" s="1"/>
  <c r="F121" i="1"/>
  <c r="DR60" i="1" s="1"/>
  <c r="F122" i="1"/>
  <c r="DS60" i="1" s="1"/>
  <c r="F123" i="1"/>
  <c r="DT60" i="1" s="1"/>
  <c r="F124" i="1"/>
  <c r="DU60" i="1" s="1"/>
  <c r="F125" i="1"/>
  <c r="DV60" i="1" s="1"/>
  <c r="F126" i="1"/>
  <c r="DW60" i="1" s="1"/>
  <c r="F127" i="1"/>
  <c r="DX60" i="1" s="1"/>
  <c r="F128" i="1"/>
  <c r="DY60" i="1" s="1"/>
  <c r="F129" i="1"/>
  <c r="DZ60" i="1" s="1"/>
  <c r="F130" i="1"/>
  <c r="EA60" i="1" s="1"/>
  <c r="F131" i="1"/>
  <c r="EB60" i="1" s="1"/>
  <c r="F132" i="1"/>
  <c r="EC60" i="1" s="1"/>
  <c r="F133" i="1"/>
  <c r="ED60" i="1" s="1"/>
  <c r="F134" i="1"/>
  <c r="EE60" i="1" s="1"/>
  <c r="F135" i="1"/>
  <c r="EF60" i="1" s="1"/>
  <c r="F136" i="1"/>
  <c r="EG60" i="1" s="1"/>
  <c r="F137" i="1"/>
  <c r="EH60" i="1" s="1"/>
  <c r="F138" i="1"/>
  <c r="EI60" i="1" s="1"/>
  <c r="F139" i="1"/>
  <c r="EJ60" i="1" s="1"/>
  <c r="F140" i="1"/>
  <c r="EK60" i="1" s="1"/>
  <c r="F141" i="1"/>
  <c r="EL60" i="1" s="1"/>
  <c r="F142" i="1"/>
  <c r="EM60" i="1" s="1"/>
  <c r="F143" i="1"/>
  <c r="EN60" i="1" s="1"/>
  <c r="F144" i="1"/>
  <c r="EO60" i="1" s="1"/>
  <c r="F145" i="1"/>
  <c r="EP60" i="1" s="1"/>
  <c r="F146" i="1"/>
  <c r="EQ60" i="1" s="1"/>
  <c r="F147" i="1"/>
  <c r="ER60" i="1" s="1"/>
  <c r="F148" i="1"/>
  <c r="ES60" i="1" s="1"/>
  <c r="F149" i="1"/>
  <c r="ET60" i="1" s="1"/>
  <c r="F150" i="1"/>
  <c r="EU60" i="1" s="1"/>
  <c r="F151" i="1"/>
  <c r="EV60" i="1" s="1"/>
  <c r="F152" i="1"/>
  <c r="EW60" i="1" s="1"/>
  <c r="F153" i="1"/>
  <c r="EX60" i="1" s="1"/>
  <c r="F154" i="1"/>
  <c r="EY60" i="1" s="1"/>
  <c r="F155" i="1"/>
  <c r="EZ60" i="1" s="1"/>
  <c r="F156" i="1"/>
  <c r="FA60" i="1" s="1"/>
  <c r="F157" i="1"/>
  <c r="FB60" i="1" s="1"/>
  <c r="F158" i="1"/>
  <c r="FC60" i="1" s="1"/>
  <c r="F159" i="1"/>
  <c r="FD60" i="1" s="1"/>
  <c r="F160" i="1"/>
  <c r="FE60" i="1" s="1"/>
  <c r="F161" i="1"/>
  <c r="FF60" i="1" s="1"/>
  <c r="F162" i="1"/>
  <c r="FG60" i="1" s="1"/>
  <c r="F163" i="1"/>
  <c r="FH60" i="1" s="1"/>
  <c r="F164" i="1"/>
  <c r="FI60" i="1" s="1"/>
  <c r="F165" i="1"/>
  <c r="FJ60" i="1" s="1"/>
  <c r="F166" i="1"/>
  <c r="FK60" i="1" s="1"/>
  <c r="F167" i="1"/>
  <c r="FL60" i="1" s="1"/>
  <c r="F168" i="1"/>
  <c r="FM60" i="1" s="1"/>
  <c r="F169" i="1"/>
  <c r="FN60" i="1" s="1"/>
  <c r="F170" i="1"/>
  <c r="FO60" i="1" s="1"/>
  <c r="F171" i="1"/>
  <c r="FP60" i="1" s="1"/>
  <c r="F172" i="1"/>
  <c r="FQ60" i="1" s="1"/>
  <c r="F13" i="1"/>
  <c r="N60" i="1" s="1"/>
  <c r="B199" i="7"/>
  <c r="R17" i="2"/>
  <c r="B314" i="7" l="1"/>
  <c r="BT60" i="1"/>
  <c r="BG26" i="1"/>
  <c r="BG27" i="1" s="1"/>
  <c r="H43" i="2" s="1"/>
  <c r="DH60" i="1"/>
  <c r="W52" i="2"/>
  <c r="K60" i="1"/>
  <c r="B168" i="7"/>
  <c r="J60" i="1"/>
  <c r="X52" i="2"/>
  <c r="L60" i="1"/>
  <c r="AA25" i="1"/>
  <c r="H25" i="2" s="1"/>
  <c r="BR19" i="1"/>
  <c r="H16" i="2" s="1"/>
  <c r="AS22" i="1"/>
  <c r="H35" i="2" s="1"/>
  <c r="AW31" i="1"/>
  <c r="H37" i="2" s="1"/>
  <c r="H20" i="2"/>
  <c r="BM28" i="1"/>
  <c r="H46" i="2" s="1"/>
  <c r="H28" i="2"/>
  <c r="H34" i="2"/>
  <c r="BI45" i="1"/>
  <c r="H44" i="2" s="1"/>
  <c r="AO20" i="1"/>
  <c r="H33" i="2" s="1"/>
  <c r="U44" i="1"/>
  <c r="H22" i="2" s="1"/>
  <c r="O40" i="1"/>
  <c r="H19" i="2" s="1"/>
  <c r="AM41" i="1"/>
  <c r="H32" i="2" s="1"/>
  <c r="H40" i="2"/>
  <c r="BK36" i="1"/>
  <c r="H45" i="2" s="1"/>
  <c r="AY27" i="1"/>
  <c r="H38" i="2" s="1"/>
  <c r="AE46" i="1"/>
  <c r="H27" i="2" s="1"/>
  <c r="BC38" i="1"/>
  <c r="H41" i="2" s="1"/>
  <c r="BE37" i="1"/>
  <c r="H42" i="2" s="1"/>
  <c r="Y42" i="1"/>
  <c r="H24" i="2" s="1"/>
  <c r="BP20" i="1"/>
  <c r="H15" i="2" s="1"/>
  <c r="S51" i="1"/>
  <c r="H26" i="2"/>
  <c r="AU42" i="1"/>
  <c r="H36" i="2" s="1"/>
  <c r="W42" i="1"/>
  <c r="H23" i="2" s="1"/>
  <c r="AK35" i="1"/>
  <c r="H31" i="2" s="1"/>
  <c r="AI24" i="1"/>
  <c r="H29" i="2" s="1"/>
  <c r="M47" i="1"/>
  <c r="B306" i="7"/>
  <c r="B308" i="7"/>
  <c r="B294" i="7"/>
  <c r="B300" i="7"/>
  <c r="B298" i="7"/>
  <c r="B315" i="7"/>
  <c r="B140" i="7"/>
  <c r="V52" i="2"/>
  <c r="B292" i="7"/>
  <c r="B295" i="7"/>
  <c r="B313" i="7"/>
  <c r="B296" i="7"/>
  <c r="B312" i="7"/>
  <c r="B299" i="7"/>
  <c r="B297" i="7"/>
  <c r="B309" i="7"/>
  <c r="B307" i="7"/>
  <c r="B305" i="7"/>
  <c r="B303" i="7"/>
  <c r="B304" i="7"/>
  <c r="E54" i="2"/>
  <c r="M60" i="1"/>
  <c r="L2" i="7"/>
  <c r="H21" i="2" l="1"/>
  <c r="BV3" i="1"/>
  <c r="H14" i="2" s="1"/>
  <c r="D3" i="4" s="1"/>
  <c r="H18" i="2"/>
  <c r="Y52" i="2"/>
  <c r="L6" i="7"/>
  <c r="L7" i="7"/>
  <c r="L5" i="7"/>
  <c r="I35" i="2" a="1"/>
  <c r="I41" i="2" a="1"/>
  <c r="I45" i="2" a="1"/>
  <c r="I26" i="2" a="1"/>
  <c r="I46" i="2" a="1"/>
  <c r="I25" i="2" a="1"/>
  <c r="I43" i="2" a="1"/>
  <c r="I42" i="2" a="1"/>
  <c r="I31" i="2" a="1"/>
  <c r="I27" i="2" a="1"/>
  <c r="I44" i="2" a="1"/>
  <c r="I24" i="2" a="1"/>
  <c r="I16" i="2" a="1"/>
  <c r="I32" i="2" a="1"/>
  <c r="I38" i="2" a="1"/>
  <c r="I20" i="2" a="1"/>
  <c r="I23" i="2" a="1"/>
  <c r="I33" i="2" a="1"/>
  <c r="I21" i="2" a="1"/>
  <c r="I19" i="2" a="1"/>
  <c r="I40" i="2" a="1"/>
  <c r="I37" i="2" a="1"/>
  <c r="I34" i="2" a="1"/>
  <c r="I28" i="2" a="1"/>
  <c r="I36" i="2" a="1"/>
  <c r="I29" i="2" a="1"/>
  <c r="I22" i="2" a="1"/>
  <c r="I15" i="2" a="1"/>
  <c r="E8" i="4" l="1"/>
  <c r="E19" i="4"/>
  <c r="E18" i="4"/>
  <c r="E17" i="4"/>
  <c r="E14" i="4"/>
  <c r="E12" i="4"/>
  <c r="E11" i="4"/>
  <c r="E10" i="4"/>
  <c r="E9" i="4"/>
  <c r="E16" i="4"/>
  <c r="E13" i="4"/>
  <c r="E15" i="4"/>
  <c r="M2" i="7"/>
  <c r="N2" i="7" s="1"/>
  <c r="B10" i="7" s="1"/>
  <c r="Z52" i="2"/>
  <c r="A101" i="3"/>
  <c r="I44" i="2"/>
  <c r="D34" i="4" s="1"/>
  <c r="Q3" i="4" s="1"/>
  <c r="I46" i="2"/>
  <c r="D36" i="4" s="1"/>
  <c r="I45" i="2"/>
  <c r="D35" i="4" s="1"/>
  <c r="I34" i="2"/>
  <c r="D24" i="4" s="1"/>
  <c r="I16" i="2"/>
  <c r="L16" i="2" s="1"/>
  <c r="I25" i="2"/>
  <c r="D15" i="4" s="1"/>
  <c r="I28" i="2"/>
  <c r="D18" i="4" s="1"/>
  <c r="Z17" i="4" s="1"/>
  <c r="I24" i="2"/>
  <c r="D14" i="4" s="1"/>
  <c r="I15" i="2"/>
  <c r="I41" i="2"/>
  <c r="D31" i="4" s="1"/>
  <c r="G31" i="4" s="1"/>
  <c r="I36" i="2"/>
  <c r="D26" i="4" s="1"/>
  <c r="I22" i="2"/>
  <c r="D12" i="4" s="1"/>
  <c r="I37" i="2"/>
  <c r="D27" i="4" s="1"/>
  <c r="I38" i="2"/>
  <c r="D28" i="4" s="1"/>
  <c r="I29" i="2"/>
  <c r="D19" i="4" s="1"/>
  <c r="I32" i="2"/>
  <c r="D22" i="4" s="1"/>
  <c r="I21" i="2"/>
  <c r="D11" i="4" s="1"/>
  <c r="Z10" i="4" s="1"/>
  <c r="I23" i="2"/>
  <c r="D13" i="4" s="1"/>
  <c r="I20" i="2"/>
  <c r="D10" i="4" s="1"/>
  <c r="Z9" i="4" s="1"/>
  <c r="I26" i="2"/>
  <c r="D16" i="4" s="1"/>
  <c r="I19" i="2"/>
  <c r="D9" i="4" s="1"/>
  <c r="I27" i="2"/>
  <c r="D17" i="4" s="1"/>
  <c r="I35" i="2"/>
  <c r="D25" i="4" s="1"/>
  <c r="I42" i="2"/>
  <c r="D32" i="4" s="1"/>
  <c r="G32" i="4" s="1"/>
  <c r="I40" i="2"/>
  <c r="D30" i="4" s="1"/>
  <c r="I43" i="2"/>
  <c r="D33" i="4" s="1"/>
  <c r="G33" i="4" s="1"/>
  <c r="I33" i="2"/>
  <c r="D23" i="4" s="1"/>
  <c r="I31" i="2"/>
  <c r="D21" i="4" s="1"/>
  <c r="I18" i="2" a="1"/>
  <c r="Z8" i="4" l="1"/>
  <c r="G14" i="4"/>
  <c r="Z13" i="4"/>
  <c r="G15" i="4"/>
  <c r="Z14" i="4"/>
  <c r="G12" i="4"/>
  <c r="Z11" i="4"/>
  <c r="G13" i="4"/>
  <c r="Z12" i="4"/>
  <c r="G17" i="4"/>
  <c r="Z16" i="4"/>
  <c r="G16" i="4"/>
  <c r="Z15" i="4"/>
  <c r="G11" i="4"/>
  <c r="S16" i="2"/>
  <c r="N7" i="7" s="1"/>
  <c r="E5" i="4"/>
  <c r="L43" i="2"/>
  <c r="L41" i="2"/>
  <c r="L42" i="2"/>
  <c r="L15" i="2"/>
  <c r="AC52" i="2"/>
  <c r="E126" i="3"/>
  <c r="E104" i="3"/>
  <c r="E94" i="3"/>
  <c r="E103" i="3"/>
  <c r="E123" i="3"/>
  <c r="E112" i="3"/>
  <c r="E108" i="3"/>
  <c r="E117" i="3"/>
  <c r="E115" i="3"/>
  <c r="E110" i="3"/>
  <c r="E101" i="3"/>
  <c r="E99" i="3"/>
  <c r="E98" i="3"/>
  <c r="E125" i="3"/>
  <c r="E129" i="3"/>
  <c r="E119" i="3"/>
  <c r="E124" i="3"/>
  <c r="E118" i="3"/>
  <c r="E128" i="3"/>
  <c r="E116" i="3"/>
  <c r="E109" i="3"/>
  <c r="E121" i="3"/>
  <c r="E95" i="3"/>
  <c r="E122" i="3"/>
  <c r="E120" i="3"/>
  <c r="E107" i="3"/>
  <c r="E106" i="3"/>
  <c r="E102" i="3"/>
  <c r="E113" i="3"/>
  <c r="E114" i="3"/>
  <c r="E105" i="3"/>
  <c r="E92" i="3"/>
  <c r="E127" i="3"/>
  <c r="E111" i="3"/>
  <c r="E93" i="3"/>
  <c r="E97" i="3"/>
  <c r="E100" i="3"/>
  <c r="E96" i="3"/>
  <c r="E130" i="3"/>
  <c r="M7" i="7"/>
  <c r="I18" i="2"/>
  <c r="D8" i="4" s="1"/>
  <c r="Z7" i="4" s="1"/>
  <c r="F19" i="4" l="1"/>
  <c r="G19" i="4" s="1"/>
  <c r="F9" i="4"/>
  <c r="G9" i="4" s="1"/>
  <c r="R3" i="4"/>
  <c r="F21" i="4" s="1"/>
  <c r="G8" i="4"/>
  <c r="S15" i="2"/>
  <c r="N6" i="7" s="1"/>
  <c r="E4" i="4"/>
  <c r="E21" i="4" s="1"/>
  <c r="F10" i="4"/>
  <c r="G10" i="4" s="1"/>
  <c r="F18" i="4"/>
  <c r="G18" i="4" s="1"/>
  <c r="S41" i="2"/>
  <c r="N85" i="7" s="1"/>
  <c r="AY52" i="2"/>
  <c r="M85" i="7"/>
  <c r="S42" i="2"/>
  <c r="N86" i="7" s="1"/>
  <c r="AZ52" i="2"/>
  <c r="S43" i="2"/>
  <c r="N87" i="7" s="1"/>
  <c r="BA52" i="2"/>
  <c r="B27" i="7"/>
  <c r="AB52" i="2"/>
  <c r="M6" i="7"/>
  <c r="M86" i="7"/>
  <c r="M87" i="7"/>
  <c r="A99" i="3"/>
  <c r="A112" i="3"/>
  <c r="A124" i="3"/>
  <c r="A100" i="3"/>
  <c r="A113" i="3"/>
  <c r="A126" i="3"/>
  <c r="A102" i="3"/>
  <c r="A103" i="3"/>
  <c r="A128" i="3"/>
  <c r="A105" i="3"/>
  <c r="A129" i="3"/>
  <c r="A106" i="3"/>
  <c r="A130" i="3"/>
  <c r="A107" i="3"/>
  <c r="A95" i="3"/>
  <c r="A108" i="3"/>
  <c r="A120" i="3"/>
  <c r="A96" i="3"/>
  <c r="A109" i="3"/>
  <c r="A121" i="3"/>
  <c r="A98" i="3"/>
  <c r="A111" i="3"/>
  <c r="A123" i="3"/>
  <c r="A125" i="3"/>
  <c r="A114" i="3"/>
  <c r="A115" i="3"/>
  <c r="A127" i="3"/>
  <c r="A104" i="3"/>
  <c r="A116" i="3"/>
  <c r="A94" i="3"/>
  <c r="A117" i="3"/>
  <c r="A93" i="3"/>
  <c r="A118" i="3"/>
  <c r="A92" i="3"/>
  <c r="A119" i="3"/>
  <c r="A97" i="3"/>
  <c r="A110" i="3"/>
  <c r="A122" i="3"/>
  <c r="L19" i="2" l="1"/>
  <c r="F35" i="4"/>
  <c r="F36" i="4"/>
  <c r="K46" i="2" s="1"/>
  <c r="F27" i="4"/>
  <c r="F34" i="4"/>
  <c r="F22" i="4"/>
  <c r="E30" i="4"/>
  <c r="G30" i="4" s="1"/>
  <c r="E34" i="4"/>
  <c r="E35" i="4"/>
  <c r="E36" i="4"/>
  <c r="E24" i="4"/>
  <c r="G24" i="4" s="1"/>
  <c r="E25" i="4"/>
  <c r="G25" i="4" s="1"/>
  <c r="E23" i="4"/>
  <c r="G23" i="4" s="1"/>
  <c r="L33" i="2" s="1"/>
  <c r="E22" i="4"/>
  <c r="E26" i="4"/>
  <c r="G26" i="4" s="1"/>
  <c r="E27" i="4"/>
  <c r="E28" i="4"/>
  <c r="G28" i="4" s="1"/>
  <c r="B21" i="7"/>
  <c r="E131" i="3"/>
  <c r="I14" i="2" s="1"/>
  <c r="L14" i="2" s="1"/>
  <c r="A131" i="3"/>
  <c r="G36" i="4" l="1"/>
  <c r="G35" i="4"/>
  <c r="G27" i="4"/>
  <c r="G34" i="4"/>
  <c r="S33" i="2"/>
  <c r="N202" i="7" s="1"/>
  <c r="M202" i="7"/>
  <c r="AR52" i="2"/>
  <c r="G21" i="4"/>
  <c r="G22" i="4"/>
  <c r="J18" i="2"/>
  <c r="L18" i="2"/>
  <c r="J31" i="2"/>
  <c r="L34" i="2"/>
  <c r="J32" i="2"/>
  <c r="J37" i="2"/>
  <c r="S14" i="2"/>
  <c r="S18" i="2" l="1"/>
  <c r="AA52" i="2"/>
  <c r="N5" i="7"/>
  <c r="AD52" i="2"/>
  <c r="J35" i="2"/>
  <c r="L35" i="2"/>
  <c r="S35" i="2" s="1"/>
  <c r="J34" i="2"/>
  <c r="S34" i="2"/>
  <c r="J36" i="2"/>
  <c r="L36" i="2"/>
  <c r="S36" i="2" s="1"/>
  <c r="J20" i="2"/>
  <c r="J19" i="2"/>
  <c r="J29" i="2"/>
  <c r="J28" i="2"/>
  <c r="J46" i="2"/>
  <c r="J45" i="2"/>
  <c r="J44" i="2"/>
  <c r="J27" i="2"/>
  <c r="L27" i="2"/>
  <c r="J23" i="2"/>
  <c r="L23" i="2"/>
  <c r="S23" i="2" s="1"/>
  <c r="L25" i="2"/>
  <c r="S25" i="2" s="1"/>
  <c r="J25" i="2"/>
  <c r="J24" i="2"/>
  <c r="L24" i="2"/>
  <c r="S24" i="2" s="1"/>
  <c r="J22" i="2"/>
  <c r="L22" i="2"/>
  <c r="S22" i="2" s="1"/>
  <c r="J26" i="2"/>
  <c r="L26" i="2"/>
  <c r="S26" i="2" s="1"/>
  <c r="J21" i="2"/>
  <c r="L40" i="2"/>
  <c r="S40" i="2" s="1"/>
  <c r="J40" i="2"/>
  <c r="L38" i="2"/>
  <c r="S38" i="2" s="1"/>
  <c r="J38" i="2"/>
  <c r="M5" i="7"/>
  <c r="S27" i="2" l="1"/>
  <c r="N45" i="7" s="1"/>
  <c r="M45" i="7"/>
  <c r="B15" i="7"/>
  <c r="N84" i="7"/>
  <c r="L21" i="2"/>
  <c r="S21" i="2" s="1"/>
  <c r="AJ52" i="2"/>
  <c r="AM52" i="2"/>
  <c r="N44" i="7"/>
  <c r="AH52" i="2"/>
  <c r="AK52" i="2"/>
  <c r="AI52" i="2"/>
  <c r="N203" i="7"/>
  <c r="AL52" i="2"/>
  <c r="AX52" i="2"/>
  <c r="N207" i="7"/>
  <c r="AW52" i="2"/>
  <c r="AU52" i="2"/>
  <c r="N204" i="7"/>
  <c r="AT52" i="2"/>
  <c r="AS52" i="2"/>
  <c r="M204" i="7"/>
  <c r="M203" i="7"/>
  <c r="N205" i="7"/>
  <c r="M205" i="7"/>
  <c r="M207" i="7"/>
  <c r="M84" i="7"/>
  <c r="N42" i="7"/>
  <c r="M42" i="7"/>
  <c r="N43" i="7"/>
  <c r="M43" i="7"/>
  <c r="M44" i="7"/>
  <c r="N40" i="7"/>
  <c r="M40" i="7"/>
  <c r="N41" i="7"/>
  <c r="M41" i="7"/>
  <c r="N36" i="7"/>
  <c r="M36" i="7"/>
  <c r="AG52" i="2" l="1"/>
  <c r="N39" i="7"/>
  <c r="M39" i="7"/>
  <c r="K31" i="2" l="1"/>
  <c r="L32" i="2"/>
  <c r="S32" i="2" s="1"/>
  <c r="L46" i="2"/>
  <c r="S46" i="2" s="1"/>
  <c r="N201" i="7" l="1"/>
  <c r="N90" i="7"/>
  <c r="BD52" i="2"/>
  <c r="AQ52" i="2"/>
  <c r="K45" i="2"/>
  <c r="L45" i="2"/>
  <c r="S45" i="2" s="1"/>
  <c r="K37" i="2"/>
  <c r="L37" i="2"/>
  <c r="S37" i="2" s="1"/>
  <c r="K32" i="2"/>
  <c r="L31" i="2"/>
  <c r="S31" i="2" s="1"/>
  <c r="M201" i="7"/>
  <c r="M90" i="7"/>
  <c r="N200" i="7" l="1"/>
  <c r="BC52" i="2"/>
  <c r="AV52" i="2"/>
  <c r="AP52" i="2"/>
  <c r="N89" i="7"/>
  <c r="M200" i="7"/>
  <c r="M206" i="7"/>
  <c r="N206" i="7"/>
  <c r="M89" i="7"/>
  <c r="K203" i="7" l="1"/>
  <c r="K207" i="7"/>
  <c r="K201" i="7"/>
  <c r="K206" i="7"/>
  <c r="K200" i="7"/>
  <c r="K204" i="7"/>
  <c r="K205" i="7"/>
  <c r="K202" i="7"/>
  <c r="L227" i="7" l="1" a="1"/>
  <c r="L227" i="7" s="1"/>
  <c r="M227" i="7" a="1"/>
  <c r="M227" i="7" s="1"/>
  <c r="M228" i="7" a="1"/>
  <c r="M228" i="7" s="1"/>
  <c r="L228" i="7" a="1"/>
  <c r="L228" i="7" s="1"/>
  <c r="M221" i="7"/>
  <c r="M223" i="7"/>
  <c r="M222" i="7"/>
  <c r="M224" i="7"/>
  <c r="L221" i="7"/>
  <c r="B220" i="7" s="1"/>
  <c r="L224" i="7"/>
  <c r="L223" i="7"/>
  <c r="L222" i="7"/>
  <c r="N227" i="7" l="1"/>
  <c r="O227" i="7"/>
  <c r="N228" i="7"/>
  <c r="O228" i="7"/>
  <c r="N222" i="7"/>
  <c r="O222" i="7"/>
  <c r="N223" i="7"/>
  <c r="O223" i="7"/>
  <c r="N224" i="7"/>
  <c r="O224" i="7"/>
  <c r="N221" i="7"/>
  <c r="O221" i="7"/>
  <c r="K44" i="2"/>
  <c r="B204" i="7" l="1"/>
  <c r="B260" i="7"/>
  <c r="B269" i="7"/>
  <c r="B245" i="7"/>
  <c r="B234" i="7"/>
  <c r="B223" i="7"/>
  <c r="L44" i="2"/>
  <c r="S44" i="2" s="1"/>
  <c r="BB52" i="2" l="1"/>
  <c r="N88" i="7"/>
  <c r="L20" i="2"/>
  <c r="S20" i="2" s="1"/>
  <c r="M88" i="7"/>
  <c r="K85" i="7" l="1"/>
  <c r="K90" i="7"/>
  <c r="K20" i="2"/>
  <c r="K84" i="7"/>
  <c r="K86" i="7"/>
  <c r="K88" i="7"/>
  <c r="K87" i="7"/>
  <c r="K89" i="7"/>
  <c r="L121" i="7" l="1"/>
  <c r="AF52" i="2"/>
  <c r="L29" i="2"/>
  <c r="S29" i="2" s="1"/>
  <c r="K28" i="2"/>
  <c r="L28" i="2"/>
  <c r="S28" i="2" s="1"/>
  <c r="K19" i="2"/>
  <c r="K29" i="2"/>
  <c r="M38" i="7"/>
  <c r="N38" i="7"/>
  <c r="L123" i="7"/>
  <c r="M122" i="7"/>
  <c r="L122" i="7"/>
  <c r="M121" i="7"/>
  <c r="M123" i="7"/>
  <c r="E53" i="2" l="1"/>
  <c r="S19" i="2"/>
  <c r="N37" i="7" s="1"/>
  <c r="O121" i="7"/>
  <c r="N122" i="7"/>
  <c r="O122" i="7"/>
  <c r="N123" i="7"/>
  <c r="O123" i="7"/>
  <c r="AN52" i="2"/>
  <c r="AE52" i="2"/>
  <c r="M37" i="7"/>
  <c r="M46" i="7"/>
  <c r="N46" i="7"/>
  <c r="N121" i="7"/>
  <c r="B171" i="7" l="1"/>
  <c r="B183" i="7"/>
  <c r="B155" i="7"/>
  <c r="N47" i="7"/>
  <c r="M47" i="7"/>
  <c r="K36" i="7" s="1"/>
  <c r="AO52" i="2"/>
  <c r="B37" i="7" l="1"/>
  <c r="K37" i="7"/>
  <c r="K44" i="7"/>
  <c r="K38" i="7"/>
  <c r="K45" i="7"/>
  <c r="K40" i="7"/>
  <c r="K41" i="7"/>
  <c r="K47" i="7"/>
  <c r="K39" i="7"/>
  <c r="K42" i="7"/>
  <c r="K43" i="7"/>
  <c r="K46" i="7"/>
  <c r="L50" i="7" l="1"/>
  <c r="M50" i="7"/>
  <c r="L51" i="7"/>
  <c r="M51" i="7"/>
  <c r="L52" i="7"/>
  <c r="M52" i="7"/>
  <c r="M49" i="7"/>
  <c r="L49" i="7"/>
  <c r="N51" i="7" l="1"/>
  <c r="O51" i="7"/>
  <c r="N52" i="7"/>
  <c r="O52" i="7"/>
  <c r="N50" i="7"/>
  <c r="O50" i="7"/>
  <c r="N49" i="7"/>
  <c r="O49" i="7"/>
  <c r="B83" i="7"/>
  <c r="B65" i="7" l="1"/>
  <c r="B103" i="7"/>
  <c r="B119" i="7"/>
  <c r="B85"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C96B104-6931-4D16-9FE9-3368C1FF758B}" keepAlive="1" name="Consulta - Page095" description="Conexión a la consulta 'Page095' en el libro." type="5" refreshedVersion="0" background="1">
    <dbPr connection="Provider=Microsoft.Mashup.OleDb.1;Data Source=$Workbook$;Location=Page095;Extended Properties=&quot;&quot;" command="SELECT * FROM [Page095]"/>
  </connection>
  <connection id="2" xr16:uid="{05404C50-648C-4A36-A3DB-C3AF013A15E5}" keepAlive="1" name="Consulta - Page096" description="Conexión a la consulta 'Page096' en el libro." type="5" refreshedVersion="0" background="1">
    <dbPr connection="Provider=Microsoft.Mashup.OleDb.1;Data Source=$Workbook$;Location=Page096;Extended Properties=&quot;&quot;" command="SELECT * FROM [Page096]"/>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<sst xmlns="http://schemas.openxmlformats.org/spreadsheetml/2006/main" count="2757" uniqueCount="944">
  <si>
    <t>Yo prefiero mucho más seguir a otro en vez de mandar.</t>
  </si>
  <si>
    <t>Estoy bastante seguro de que sé quién soy y de lo que quiero en la vida.</t>
  </si>
  <si>
    <t>Yo no necesito tener amistades íntimas como los otros jóvenes.</t>
  </si>
  <si>
    <t>A menudo me fastidia hacer las cosas que los otros quieren que haga.</t>
  </si>
  <si>
    <t>Me esfuerzo al máximo para no herir los sentimientos de otras personas</t>
  </si>
  <si>
    <t>Puedo confiar en que mis padres serán comprensivos conmigo.</t>
  </si>
  <si>
    <t>Algunas personas piensan de mí que soy un poco creído.</t>
  </si>
  <si>
    <t>Nunca tomaría drogas, pasase lo que pasase.</t>
  </si>
  <si>
    <t>Siempre trato de hacer lo que es adecuado.</t>
  </si>
  <si>
    <t>Me gusta mi aspecto.</t>
  </si>
  <si>
    <t>Aunque a veces me descontrolo comiendo, odio cuando aumento de peso.</t>
  </si>
  <si>
    <t>Parece que nada de lo que pasa me hace sentir ni triste ni feliz</t>
  </si>
  <si>
    <t>Parece que tengo problemas para llevarme bien con otros adolescentes de mi edad.</t>
  </si>
  <si>
    <t>Nunca he hecho nada por lo que hubiera podido ser arrestado.</t>
  </si>
  <si>
    <t>Pienso que todos estarían mejor si yo estuviera muerto.</t>
  </si>
  <si>
    <t>A veces, cuando estoy lejos de mi casa, empiezo a sentirme tenso y con miedo.</t>
  </si>
  <si>
    <t>Generalmente actúo de forma rápida, sin pensar.</t>
  </si>
  <si>
    <t>Supongo que soy un quejica que espera que pase lo peor.</t>
  </si>
  <si>
    <t>No es raro sentirse solo y no deseado.</t>
  </si>
  <si>
    <t>El castigo nunca me ha frenado para hacer lo que yo quería.</t>
  </si>
  <si>
    <t>Parece ser que la bebida ha sido un problema para varios miembros de mi familia.</t>
  </si>
  <si>
    <t>Me gusta seguir instrucciones y hacer lo que otros esperan de mí.</t>
  </si>
  <si>
    <t>Me parece que encajo enseguida en cualquier grupo de chicos o chicas.</t>
  </si>
  <si>
    <t>Muy poco de lo que he hecho ha sido apreciado por los demás.</t>
  </si>
  <si>
    <t>Odio no tener ni el aspecto ni la inteligencia que quisiera tener.</t>
  </si>
  <si>
    <t>Me gusta mi hogar.</t>
  </si>
  <si>
    <t>Algunas veces meto miedo a otros chicos o chicas para que hagan lo que yo quiero.</t>
  </si>
  <si>
    <t>Aunque la gente me dice que estoy delgado, yo sigo creyendo que peso demasiado.</t>
  </si>
  <si>
    <t>Cuando tomo unas copas me siento más seguro de mí mismo.</t>
  </si>
  <si>
    <t>La mayoría de la gente es más atractiva que yo.</t>
  </si>
  <si>
    <t>Cuando estoy en medio de una multitud, a menudo siento que me va a dar un ataque de pánico o que me voy a desmayar</t>
  </si>
  <si>
    <t>A veces me provoco el vómito después de comer mucho.</t>
  </si>
  <si>
    <t>Con frecuencia me siento como si no tuviera rumbo, como perdido en la vida.</t>
  </si>
  <si>
    <t>Parece que no les caigo bien a la mayoría de los jóvenes.</t>
  </si>
  <si>
    <t>Cuando puedo elegir, prefiero hacer las cosas solo.</t>
  </si>
  <si>
    <t>Implicarse en los problemas de otros es una pérdida de tiempo.</t>
  </si>
  <si>
    <t>Muchas veces siento que otros no quieren ser amistosos conmigo.</t>
  </si>
  <si>
    <t>No me importa mucho lo que otros jóvenes piensan de mí.</t>
  </si>
  <si>
    <t>Solía “colocarme” tanto (con alcohol o drogas) que no sabía lo que estaba haciendo.</t>
  </si>
  <si>
    <t>No me importa decirle a la gente cosas que no le gusta oír.</t>
  </si>
  <si>
    <t>Me veo a mí mismo muy lejos de lo que en realidad me gustaría ser.</t>
  </si>
  <si>
    <t>Las cosas en mi vida van de mal en peor.</t>
  </si>
  <si>
    <t>Tan pronto como tengo el impulso de hacer algo, lo hago.</t>
  </si>
  <si>
    <t>A mí nunca me han llamado “delincuente juvenil”.</t>
  </si>
  <si>
    <t>Con frecuencia yo soy mi peor enemigo.</t>
  </si>
  <si>
    <t>Muy pocas cosas o actividades parecen darme placer.</t>
  </si>
  <si>
    <t>Siempre pienso en ponerme a dieta, aun cuando la gente me dice que estoy demasiado delgado.</t>
  </si>
  <si>
    <t>Es muy difícil, para mí, sentir lástima por las personas que siempre están preocupadas por alguna cosa.</t>
  </si>
  <si>
    <t>Es bueno tener una rutina para hacer la mayoría de las cosas.</t>
  </si>
  <si>
    <t>No creo tener tanto interés por el sexo como la gente de mi edad.</t>
  </si>
  <si>
    <t>No veo nada malo en utilizar a otros para conseguir lo que quiero.</t>
  </si>
  <si>
    <t>Preferiría estar en cualquier lugar en vez de en casa.</t>
  </si>
  <si>
    <t>A veces me siento tan desbordado que querría dañarme gravemente.</t>
  </si>
  <si>
    <t>Soy un tipo de persona teatral a quien le gusta llamar la atención.</t>
  </si>
  <si>
    <t>Puedo beber más cerveza o licor que la mayoría de mis amigos.</t>
  </si>
  <si>
    <t>Los padres y maestros son demasiado duros con los jóvenes que no siguen las reglas.</t>
  </si>
  <si>
    <t>Me gusta mucho coquetear (ligar).</t>
  </si>
  <si>
    <t>No me molesta ver a alguien sufriendo.</t>
  </si>
  <si>
    <t>Al parecer no tengo muchos sentimientos por los demás.</t>
  </si>
  <si>
    <t>Me preocupa mucho pensar en que me dejen solo y abandonado.</t>
  </si>
  <si>
    <t>Con frecuencia estoy triste y siento que nadie me quiere.</t>
  </si>
  <si>
    <t>Se supone que debo ser delgado, pero siento que mis muslos y mi trasero son demasiado grandes.</t>
  </si>
  <si>
    <t>Con frecuencia me lo merezco cuando los otros me critican.</t>
  </si>
  <si>
    <t>La gente me presiona para que haga más de lo que es justo.</t>
  </si>
  <si>
    <t>Creo que tengo un buen cuerpo.</t>
  </si>
  <si>
    <t>Socialmente, siento que me dejan de lado.</t>
  </si>
  <si>
    <t>Hago amigos y amigas fácilmente.</t>
  </si>
  <si>
    <t>Soy una persona un tanto asustadiza y ansiosa.</t>
  </si>
  <si>
    <t>No soy diferente a muchos jóvenes que roban cosas de vez en cuando.</t>
  </si>
  <si>
    <t>Prefiero actuar primero y pensarlo después.</t>
  </si>
  <si>
    <t>He pasado por periodos en lo que he fumado “canutos” varias veces a la semana.</t>
  </si>
  <si>
    <t>Hay tantas normas en mi camino, que es difícil hacer lo que quiero.</t>
  </si>
  <si>
    <t>Cuando las cosas se ponen aburridas, me gusta crear un poco de emoción.</t>
  </si>
  <si>
    <t>A veces yo haría algo cruel para hacer infeliz a alguien.</t>
  </si>
  <si>
    <t>Paso mucho tiempo preocupándome acerca de mi futuro.</t>
  </si>
  <si>
    <t>Con frecuencia siento que no me merezco las cosas buenas que hay en mi vida.</t>
  </si>
  <si>
    <t>Me da un poco de tristeza cuando veo a alguien que se siente solo.</t>
  </si>
  <si>
    <t>Como poco delante de otros, pero después me atiborro cuando estoy solo.</t>
  </si>
  <si>
    <t>Mi familia siempre está gritando o peleándose.</t>
  </si>
  <si>
    <t>A veces me siento muy infeliz de ser quien soy.</t>
  </si>
  <si>
    <t>Al parecer yo no disfruto estando con gente.</t>
  </si>
  <si>
    <t>Tengo ciertas capacidades que otros jóvenes quisieran tener.</t>
  </si>
  <si>
    <t>Me siento muy incómodo con la gente, a menos que esté seguro de que realmente les gusto.</t>
  </si>
  <si>
    <t>Matarme sería la manera más fácil de resolver mis problemas.</t>
  </si>
  <si>
    <t>A veces me confunde o me turba que la gente sea amable conmigo.</t>
  </si>
  <si>
    <t>La bebida parece que me ayuda mucho cuando me siento deprimido.</t>
  </si>
  <si>
    <t>Casi nunca espero algún acontecimiento con placer o emoción.</t>
  </si>
  <si>
    <t>Soy muy bueno inventando excusas para salir de los problemas.</t>
  </si>
  <si>
    <t>Es muy importante que los niños aprendan a obedecer a los mayores.</t>
  </si>
  <si>
    <t>El sexo es algo placentero.</t>
  </si>
  <si>
    <t>A nadie le importa realmente si yo vivo o si me muero.</t>
  </si>
  <si>
    <t>Deberíamos respetar a nuestros mayores y no pensar que nosotros sabemos más.</t>
  </si>
  <si>
    <t>A veces siento placer lastimando al alguien físicamente.</t>
  </si>
  <si>
    <t>A veces me siento mal después de que me haya pasado algo bueno.</t>
  </si>
  <si>
    <t>No creo que la gente me vea como una persona atractiva.</t>
  </si>
  <si>
    <t>Socialmente soy solitario, pero no me importa.</t>
  </si>
  <si>
    <t>Casi todo lo que intento me resulta fácil.</t>
  </si>
  <si>
    <t>Hay veces en las que siento que soy mucho más joven de lo que realmente soy.</t>
  </si>
  <si>
    <t>Me gusta ser el centro de atención.</t>
  </si>
  <si>
    <t>Si quiero hacer algo, simplemente lo hago, sin pensar en lo que pueda pasar.</t>
  </si>
  <si>
    <t>Tengo un temor terrible de que, por muy delgado que esté, volveré a subir de peso si como.</t>
  </si>
  <si>
    <t>No me acerco mucho a las personas porque me da miedo que se burlen de mí.</t>
  </si>
  <si>
    <t>Cada vez con más frecuencia he pensado en terminar con mi vida.</t>
  </si>
  <si>
    <t>A veces me rebajo a mí mismo para que otra persona se sienta mejor.</t>
  </si>
  <si>
    <t>Me da mucho miedo cuando pienso en estar completamente solo en el mundo.</t>
  </si>
  <si>
    <t xml:space="preserve">Las cosas buenas no duran. </t>
  </si>
  <si>
    <t>He tenido algunos choques con la ley.</t>
  </si>
  <si>
    <t>Me gustaría cambiar mi cuerpo por el de alguna otra persona.</t>
  </si>
  <si>
    <t>Hay muchas ocasiones en las que desearía ser mucho más joven de nuevo.</t>
  </si>
  <si>
    <t>Otras personas de mi edad parecen estar más seguras de saber quiénes son y de lo que quieren.</t>
  </si>
  <si>
    <t>Hago lo que quiero sin preocuparme de si afecta a otros.</t>
  </si>
  <si>
    <t>Muchas de las cosas que hoy parecen buenas, se volverán malas más adelante.</t>
  </si>
  <si>
    <t>Parece que la gente de mi edad nunca me llama para que salgamos juntos.</t>
  </si>
  <si>
    <t>Ha habido veces en las que no he podido pasar el día sin un “canuto”.</t>
  </si>
  <si>
    <t>Yo hago que mi vida sea peor de lo que debería ser.</t>
  </si>
  <si>
    <t>Prefiero que me digan lo que tengo que hacer en lugar de tener que decidir por mí mismo.</t>
  </si>
  <si>
    <t>He intentado suicidarme, en el pasado.</t>
  </si>
  <si>
    <t>Me pego grandes atracones de comida un par de veces a la semana.</t>
  </si>
  <si>
    <t>Últimamente parece que me deprimo por cosas pequeñas.</t>
  </si>
  <si>
    <t>Hay veces en las que preferiría ser otra persona.</t>
  </si>
  <si>
    <t>No me importa tratar mal a la gente para demostrar mi poder.</t>
  </si>
  <si>
    <t>Intento hacer todo lo que hago lo más perfectamente que puedo.</t>
  </si>
  <si>
    <t>Estoy contento con la forma en que mi cuerpo se ha desarrollado.</t>
  </si>
  <si>
    <t>Con frecuencia me asusto cuando pienso en las cosas que tengo que hacer.</t>
  </si>
  <si>
    <t>Últimamente me siento inquieto y nervioso casi todo el tiempo.</t>
  </si>
  <si>
    <t>Yo acostumbraba a probar drogas duras para ver el efecto que hacían.</t>
  </si>
  <si>
    <t>Con mi simpatía puedo conseguir que la gente me dé casi todo lo que quiero.</t>
  </si>
  <si>
    <t>Muchos otros jóvenes consiguen oportunidades que yo no consigo.</t>
  </si>
  <si>
    <t>Con frecuencia sigo comiendo hasta que me siento enfermo.</t>
  </si>
  <si>
    <t>En un grupo, yo me burlaría de alguien sólo para humillarle.</t>
  </si>
  <si>
    <t>No me gusta ser la persona en la que me he convertido.</t>
  </si>
  <si>
    <t>Al parecer siempre echo a perder las cosas buenas que me pasan.</t>
  </si>
  <si>
    <t>Aunque quiero tener amigos, no tengo casi ninguno.</t>
  </si>
  <si>
    <t>Soy capaz de pasar mucha hambre con tal de ser más delgado de lo que soy.</t>
  </si>
  <si>
    <t>Soy muy maduro y sé lo que quiero hacer en la vida.</t>
  </si>
  <si>
    <t>En muchas cosas me siento muy superior a la mayoría de la gente.</t>
  </si>
  <si>
    <t>Mi futuro me parece sin esperanza.</t>
  </si>
  <si>
    <t>A mis padres les ha costado mucho mantenerme en el camino recto.</t>
  </si>
  <si>
    <t>Cuando no me salgo con la mía, me descontrolo fácilmente.</t>
  </si>
  <si>
    <t>A veces me divierte hacer ciertas cosas que son ilegales.</t>
  </si>
  <si>
    <t>Supongo que dependo demasiado de otros para que me ayuden.</t>
  </si>
  <si>
    <t>Mis amigos y yo podemos acabar muy borrachos cuando lo estamos pasando bien.</t>
  </si>
  <si>
    <t>La mayor parte del tiempo me siento solo y vacío.</t>
  </si>
  <si>
    <t>Me siento totalmente sin objetivos y sin saber adónde voy.</t>
  </si>
  <si>
    <t>Decir mentiras es una cosa muy normal.</t>
  </si>
  <si>
    <t>He estado pensando en cómo y cuándo suicidarme.</t>
  </si>
  <si>
    <t>Me gusta provocar peleas.</t>
  </si>
  <si>
    <t>Hay veces en las que parece que no le importo a nadie en mi casa.</t>
  </si>
  <si>
    <t>Es bueno tener una forma regular de hacer las cosas para no cometer errores.</t>
  </si>
  <si>
    <t>Probablemente me merezco muchos de los problemas que tengo.</t>
  </si>
  <si>
    <t>Y</t>
  </si>
  <si>
    <t>Z</t>
  </si>
  <si>
    <t>2A</t>
  </si>
  <si>
    <t>2B</t>
  </si>
  <si>
    <t>6A</t>
  </si>
  <si>
    <t>6B</t>
  </si>
  <si>
    <t>8A</t>
  </si>
  <si>
    <t>8B</t>
  </si>
  <si>
    <t>A</t>
  </si>
  <si>
    <t>B</t>
  </si>
  <si>
    <t>C</t>
  </si>
  <si>
    <t>D</t>
  </si>
  <si>
    <t>E</t>
  </si>
  <si>
    <t>F</t>
  </si>
  <si>
    <t>G</t>
  </si>
  <si>
    <t>H</t>
  </si>
  <si>
    <t>AA</t>
  </si>
  <si>
    <t>BB</t>
  </si>
  <si>
    <t>CC</t>
  </si>
  <si>
    <t>DD</t>
  </si>
  <si>
    <t>EE</t>
  </si>
  <si>
    <t>FF</t>
  </si>
  <si>
    <t>GG</t>
  </si>
  <si>
    <t>Escala X</t>
  </si>
  <si>
    <t>Prototipos de Personalidad</t>
  </si>
  <si>
    <t>1.  Introversión</t>
  </si>
  <si>
    <t>2A. Inhibido</t>
  </si>
  <si>
    <t>2B. Pesimista</t>
  </si>
  <si>
    <t>3. Sumiso</t>
  </si>
  <si>
    <t>4. Histriónico</t>
  </si>
  <si>
    <t>5. Egocéntrico</t>
  </si>
  <si>
    <t>6A. Rebelde</t>
  </si>
  <si>
    <t>6B. Rudo</t>
  </si>
  <si>
    <t>7. Conformista</t>
  </si>
  <si>
    <t>8A. Oposicionista</t>
  </si>
  <si>
    <t>8B. Autopunitivo</t>
  </si>
  <si>
    <t>9. Tendencia límite</t>
  </si>
  <si>
    <t>Preocupaciones expresadas</t>
  </si>
  <si>
    <t>A. Difusión de la identidad</t>
  </si>
  <si>
    <t>B. Desvalorización de sí mismo</t>
  </si>
  <si>
    <t>C. Desagrado por el propio cuerpo</t>
  </si>
  <si>
    <t>D. Incomodidad respecto al sexo</t>
  </si>
  <si>
    <t>E. Inseguridad con los iguales</t>
  </si>
  <si>
    <t>F. Insensibilidad social</t>
  </si>
  <si>
    <t>G. Discordancia familiar</t>
  </si>
  <si>
    <t>H. Abusos en la infancia</t>
  </si>
  <si>
    <t>Síndromes clínicos</t>
  </si>
  <si>
    <t>AA. Trastornos de la alimentación</t>
  </si>
  <si>
    <t>BB. Inclinación al abuso de sustancias</t>
  </si>
  <si>
    <t>CC. Predisposición a la delincuencia</t>
  </si>
  <si>
    <t>DD. Propensión a la impulsividad</t>
  </si>
  <si>
    <t>EE. Sentimiento de ansiedad</t>
  </si>
  <si>
    <t>FF. Afecto depresivo</t>
  </si>
  <si>
    <t>GG. Tendencia al suicidio</t>
  </si>
  <si>
    <t>PD</t>
  </si>
  <si>
    <t>TB</t>
  </si>
  <si>
    <t>Ajuste X</t>
  </si>
  <si>
    <t>Ajuste A / D</t>
  </si>
  <si>
    <t>Ajuste D / D</t>
  </si>
  <si>
    <t>Ajuste D / C</t>
  </si>
  <si>
    <t>Ajuste A/D</t>
  </si>
  <si>
    <t>2b</t>
  </si>
  <si>
    <t>6a</t>
  </si>
  <si>
    <t>6b</t>
  </si>
  <si>
    <t>8a</t>
  </si>
  <si>
    <t>8b</t>
  </si>
  <si>
    <t>A_B</t>
  </si>
  <si>
    <t>A_C</t>
  </si>
  <si>
    <t>A_D</t>
  </si>
  <si>
    <t>A_E</t>
  </si>
  <si>
    <t>I</t>
  </si>
  <si>
    <t>J</t>
  </si>
  <si>
    <t>K</t>
  </si>
  <si>
    <t>T</t>
  </si>
  <si>
    <t>R</t>
  </si>
  <si>
    <t>P</t>
  </si>
  <si>
    <t>O</t>
  </si>
  <si>
    <t>U</t>
  </si>
  <si>
    <t>X</t>
  </si>
  <si>
    <t>V</t>
  </si>
  <si>
    <t>M</t>
  </si>
  <si>
    <t>N</t>
  </si>
  <si>
    <t>L</t>
  </si>
  <si>
    <t>Q</t>
  </si>
  <si>
    <t>Prototipos de personalidad</t>
  </si>
  <si>
    <t xml:space="preserve">2B </t>
  </si>
  <si>
    <t xml:space="preserve">6A </t>
  </si>
  <si>
    <t xml:space="preserve">6B </t>
  </si>
  <si>
    <t>Baremos americanos. Mujeres de 13 a 15 años</t>
  </si>
  <si>
    <t>Baremos americanos. Mujeres de 16 a 19 años</t>
  </si>
  <si>
    <t>Baremos americanos. Varones de 16 a 19 años</t>
  </si>
  <si>
    <t>Baremos españoles. Mujeres de 13 a 15</t>
  </si>
  <si>
    <t>Baremos españoles. Mujeres de 16 a 19</t>
  </si>
  <si>
    <t>Español</t>
  </si>
  <si>
    <t>A_F</t>
  </si>
  <si>
    <t>A_G</t>
  </si>
  <si>
    <t>A_H</t>
  </si>
  <si>
    <t>A_J</t>
  </si>
  <si>
    <t>Baremos españoles. Varones de 13 a 15</t>
  </si>
  <si>
    <t>Baremos españoles. Varones de 16 a 19</t>
  </si>
  <si>
    <t>Baremos americanos. Varones de  13 a 15 años</t>
  </si>
  <si>
    <t>Baremos españoles. Varones de 13 a 15 años</t>
  </si>
  <si>
    <t>Baremos españoles. Varones de 16 a 19 años</t>
  </si>
  <si>
    <t>Baremos españoles. Mujeres de 13 a 15 años</t>
  </si>
  <si>
    <t>Baremos españoles. Mujeres de 16 a 19 años</t>
  </si>
  <si>
    <t>Americano</t>
  </si>
  <si>
    <t>PD-X</t>
  </si>
  <si>
    <t>Escala</t>
  </si>
  <si>
    <t xml:space="preserve">Interpretacion </t>
  </si>
  <si>
    <t>Prototipos  de personalidad</t>
  </si>
  <si>
    <t>Edad</t>
  </si>
  <si>
    <t>15 años</t>
  </si>
  <si>
    <t>Baremos</t>
  </si>
  <si>
    <t>Base de Datos, Hoja no protegida, No tocar Datos</t>
  </si>
  <si>
    <t>16 años</t>
  </si>
  <si>
    <t>13 años</t>
  </si>
  <si>
    <t>14 años</t>
  </si>
  <si>
    <t>17 años</t>
  </si>
  <si>
    <t>12 años</t>
  </si>
  <si>
    <t>Baremos españoles. Varon de 13 a 15 años</t>
  </si>
  <si>
    <t>19 años</t>
  </si>
  <si>
    <t>Edgar Espinoza</t>
  </si>
  <si>
    <t>Sexo</t>
  </si>
  <si>
    <t>Nombre</t>
  </si>
  <si>
    <t>V.</t>
  </si>
  <si>
    <t>X.</t>
  </si>
  <si>
    <t>Y.</t>
  </si>
  <si>
    <t>Z.</t>
  </si>
  <si>
    <t>1.</t>
  </si>
  <si>
    <t>3.</t>
  </si>
  <si>
    <t>4.</t>
  </si>
  <si>
    <t>5.</t>
  </si>
  <si>
    <t>7.</t>
  </si>
  <si>
    <t>9.</t>
  </si>
  <si>
    <t>A.</t>
  </si>
  <si>
    <t>B.</t>
  </si>
  <si>
    <t>C.</t>
  </si>
  <si>
    <t>D.</t>
  </si>
  <si>
    <t>E.</t>
  </si>
  <si>
    <t>F.</t>
  </si>
  <si>
    <t>G.</t>
  </si>
  <si>
    <t>H.</t>
  </si>
  <si>
    <t>Nombre y apellido</t>
  </si>
  <si>
    <t>Mujer</t>
  </si>
  <si>
    <t>BASE DE DATOS TASAS BASE, "NO TOCAR"</t>
  </si>
  <si>
    <t>Liz Vania Romero Jiménez</t>
  </si>
  <si>
    <t>Nora Rodriguez Rios</t>
  </si>
  <si>
    <t>Delicia Flores Maita</t>
  </si>
  <si>
    <t>Arianna Mariel Cruz Luñez</t>
  </si>
  <si>
    <t>Rafael Mateo Olmos</t>
  </si>
  <si>
    <t xml:space="preserve">Cristian </t>
  </si>
  <si>
    <t xml:space="preserve">Antonio Colque Heredia </t>
  </si>
  <si>
    <t xml:space="preserve">Evelin Encinas Andrade </t>
  </si>
  <si>
    <t>No tiene nombre</t>
  </si>
  <si>
    <t>Lilian Lipa Villarroel</t>
  </si>
  <si>
    <t>Silvia Heredia Flores</t>
  </si>
  <si>
    <t>Olga Heredia Claros</t>
  </si>
  <si>
    <t>Naira Arias</t>
  </si>
  <si>
    <t>Carolina Coimbra Hinojosa</t>
  </si>
  <si>
    <t>Mayra Vallejos Claros</t>
  </si>
  <si>
    <t>Sonia Choque Aranibar</t>
  </si>
  <si>
    <t>Celina Tola Chura</t>
  </si>
  <si>
    <t>Zanaida Cruz Salvatierra</t>
  </si>
  <si>
    <t>Mariela Laka Carballo</t>
  </si>
  <si>
    <t>Jhasmin Coca Solis</t>
  </si>
  <si>
    <t>Marisol Silvestre</t>
  </si>
  <si>
    <t>Maria Leydi Heredia</t>
  </si>
  <si>
    <t>Victor Beyrmar Bustamante</t>
  </si>
  <si>
    <t>Mayte Cinthia Mamani</t>
  </si>
  <si>
    <t>Wendy Garcia Gandarillas</t>
  </si>
  <si>
    <t>Jhesica Garcia Gandarillas</t>
  </si>
  <si>
    <t>Brando Melgares</t>
  </si>
  <si>
    <t>Zelacia Jimenez Nuñez</t>
  </si>
  <si>
    <t>Cristian Calisaya Torrico</t>
  </si>
  <si>
    <t>Edson Lopez Arispe</t>
  </si>
  <si>
    <t>Evelyn Encinas Andrade</t>
  </si>
  <si>
    <t>Belinda Torrico Vallejos</t>
  </si>
  <si>
    <t>Santo Alvarez Varas</t>
  </si>
  <si>
    <t>Vanesa Flores Mayta</t>
  </si>
  <si>
    <t>Fabiola Ariana Aguirre</t>
  </si>
  <si>
    <t>Bruno Eltalsin Mariorka</t>
  </si>
  <si>
    <t>Anahi Gissel Solis Peredo</t>
  </si>
  <si>
    <t>Abril Dana Sumaya Arcienaga</t>
  </si>
  <si>
    <t>Zulma Quinteros G.</t>
  </si>
  <si>
    <t>Emanual Paredes Paco</t>
  </si>
  <si>
    <t>Jharaldy Foronda Rojas</t>
  </si>
  <si>
    <t>Karina Trujillo Rocha</t>
  </si>
  <si>
    <t>Jhamina Claros Melina</t>
  </si>
  <si>
    <t>Lizeth Rojas Arevalo</t>
  </si>
  <si>
    <t>Keila Siancas Ossio</t>
  </si>
  <si>
    <t>Jhoel Arvin Pajari</t>
  </si>
  <si>
    <t>Evelin Cabrera</t>
  </si>
  <si>
    <t>Maria Aleyda Flores Montaño</t>
  </si>
  <si>
    <t>Madai Arevalo Llano</t>
  </si>
  <si>
    <t xml:space="preserve">Ana Maria Veizaga </t>
  </si>
  <si>
    <t>Ruth Raquel</t>
  </si>
  <si>
    <t>Deymar Solis Orozco</t>
  </si>
  <si>
    <t>Varón</t>
  </si>
  <si>
    <t>Araly Quinteros Salvatierra</t>
  </si>
  <si>
    <t>Erlinda Meneses Arias</t>
  </si>
  <si>
    <t>Jhessica Rojas Garcia</t>
  </si>
  <si>
    <t>Noelia Taboada Calle</t>
  </si>
  <si>
    <t>Nayeli Ancaye Colque</t>
  </si>
  <si>
    <t>Gabriela Chispas Antezana</t>
  </si>
  <si>
    <t>Ezequiel  Nombela Tito</t>
  </si>
  <si>
    <t>Nelsy Trujillo Hinojoza</t>
  </si>
  <si>
    <t>Kevin Quinteros Bustamante</t>
  </si>
  <si>
    <t>15años</t>
  </si>
  <si>
    <t>Ericka Ustariz Fuentes</t>
  </si>
  <si>
    <t>Dayana Zulema Peñaloza Moreno</t>
  </si>
  <si>
    <t>Zulma Onofre Choque</t>
  </si>
  <si>
    <t>Validez (V)</t>
  </si>
  <si>
    <t>Transparencia  (X)</t>
  </si>
  <si>
    <t>Deseabilidad (Y)</t>
  </si>
  <si>
    <t>Alteración (Z)</t>
  </si>
  <si>
    <t>ACTITUD ANTE LA PRUEBA</t>
  </si>
  <si>
    <t>Los prototipos de personalidad en el MACI (Inventario Clínico para Adolescentes de Millon) miden patrones persistentes de pensamientos, sentimientos y comportamientos que caracterizan la forma en que un adolescente se relaciona consigo mismo y con los demás. En este apartado se detalla los patrones de personalidad en las que ha obtenido puntuaciones que indican la presencia de rasgos de personalidad:</t>
  </si>
  <si>
    <t>Introversión</t>
  </si>
  <si>
    <t>Inhibido</t>
  </si>
  <si>
    <t>Pesimista</t>
  </si>
  <si>
    <t>Sumiso</t>
  </si>
  <si>
    <t>Egocéntrico</t>
  </si>
  <si>
    <t>Histriónico</t>
  </si>
  <si>
    <t>Rebelde</t>
  </si>
  <si>
    <t>Rudo</t>
  </si>
  <si>
    <t>Oposicionista</t>
  </si>
  <si>
    <t>Conformista</t>
  </si>
  <si>
    <t>Autopunitivo</t>
  </si>
  <si>
    <t>Tendencia límite</t>
  </si>
  <si>
    <t>EJE I: SÍNDROMES CLÍNICOS</t>
  </si>
  <si>
    <t>Evalúa la tendencia a la anorexia o la bulimia nerviosas. Identifica patrones de alimentación problemáticos, preocupación excesiva por el peso y temor intenso a volverse obeso</t>
  </si>
  <si>
    <t>Trastornos de la alimentación</t>
  </si>
  <si>
    <t>Inclinación al abuso de sustancias</t>
  </si>
  <si>
    <t>Predisposición a la delincuencia</t>
  </si>
  <si>
    <t>Propensión a la impulsividad</t>
  </si>
  <si>
    <t>Sentimiento de ansiedad</t>
  </si>
  <si>
    <t>Afecto depresivo</t>
  </si>
  <si>
    <t>Tendencia al suicidio</t>
  </si>
  <si>
    <t>PREOCUPACIONES EXPRESADAS</t>
  </si>
  <si>
    <t>Mide patrones inadecuados de abuso de alcohol o drogas que han llevado a un deterioro significativo del rendimiento o comportamiento. Evalúa el tiempo dedicado a obtener sustancias, comportamientos socialmente inaceptables y persistencia en el consumo a pesar de consecuencias negativas</t>
  </si>
  <si>
    <t>Evalúa comportamientos que violan los derechos de otros o normas sociales. Incluye amenazas, uso de armas, engaño, robo y otras conductas antisociales</t>
  </si>
  <si>
    <t>Mide la tendencia a actuar con poca reflexión ante provocaciones mínimas. Evalúa el pobre control de impulsos sexuales y agresivos, y la propensión a reacciones emocionales intensas y repentinas</t>
  </si>
  <si>
    <t>Evalúa la presencia de aprensión, inquietud y nerviosismo generalizado. Mide la tendencia a estar constantemente alerta y temeroso ante posibles problemas o situaciones amenazantes</t>
  </si>
  <si>
    <t>Identifica síntomas de depresión como disminución de la actividad, sentimientos de culpa, fatiga, desesperanza, aislamiento social, pérdida de confianza y disminución de los sentimientos de adecuación y del propio atractivo</t>
  </si>
  <si>
    <t>Evalúa la presencia de ideación y planes suicidas. Mide sentimientos de falta de valor, ausencia de objetivos y la creencia de que los demás estarían mejor sin el adolescente</t>
  </si>
  <si>
    <t>INFORME INTERPRETATIVO</t>
  </si>
  <si>
    <t>Difusión de la identidad</t>
  </si>
  <si>
    <t>Desvalorización de sí mismo</t>
  </si>
  <si>
    <t>Desagrado por el propio cuerpo</t>
  </si>
  <si>
    <t>Incomodidad respecto al sexo</t>
  </si>
  <si>
    <t>Insensibilidad social</t>
  </si>
  <si>
    <t>Discordancia familiar</t>
  </si>
  <si>
    <t>Abusos en la infancia</t>
  </si>
  <si>
    <t>Inseguridad con los iguales</t>
  </si>
  <si>
    <t>RESPUESTAS DESTACADAS</t>
  </si>
  <si>
    <t>En esta sección se analizan las puntuaciones obtenidas por el adolescente en las escalas de Validez (V), Transparencia (X), Deseabilidad (Y) y Alteración (Z). Estos indicadores afectan a la fiabilidad y validez de este Inventario clínico y pretenden detectar estilos infrecuentes de respuestas.</t>
  </si>
  <si>
    <t>Yamile Camila Sejas Ledezma</t>
  </si>
  <si>
    <t>Evalúa la tendencia a ser hablador, socialmente encantador y emocionalmente expresivo. Los adolescentes con puntuaciones altas suelen mantener relaciones intensas pero breves, buscan experiencias excitantes y nuevas formas de estimulación, aburridos fácilmente con la rutina</t>
  </si>
  <si>
    <t>Mide la propensión a estar seguro de las propias capacidades y ser percibido como narcisista. Los adolescentes con puntuaciones elevadas raramente dudan de su propio valor, actúan con confianza en sí mismos y pueden ser arrogantes y explotadores</t>
  </si>
  <si>
    <t>Mide la propensión a ser duro, obstinado y dominante. Los adolescentes con puntuaciones elevadas tienden a abusar de los otros, cuestionar los derechos ajenos y preferir asumir el control en la mayoría de las situaciones</t>
  </si>
  <si>
    <t>Evalúa la confusión del adolescente sobre quién es y lo que quiere. Mide la inseguridad sobre la propia identidad, la falta de claridad en las metas futuras y los valores</t>
  </si>
  <si>
    <t>Mide la insatisfacción con la imagen de sí mismo y los sentimientos de baja autoestima. Evalúa la percepción de tener poco que admirar en uno mismo y el temor a no alcanzar las expectativas</t>
  </si>
  <si>
    <t>Evalúa el descontento con las deficiencias o desviaciones percibidas en la maduración o morfología corporal. Mide la insatisfacción con el atractivo físico y social</t>
  </si>
  <si>
    <t>Mide la confusión o desagrado respecto a pensamientos y sentimientos sexuales. Evalúa la inquietud por los impulsos sexuales y los conflictos respecto a los roles sexuales</t>
  </si>
  <si>
    <t>Evalúa la tristeza y consternación por ser rechazado por los compañeros. Mide el deseo de aprobación y la tendencia al aislamiento debido a la incapacidad de obtener aceptación</t>
  </si>
  <si>
    <t>Mide la frialdad e indiferencia hacia el bienestar de otros. Evalúa la falta de empatía y el escaso interés en construir vínculos personales cálidos o afectuosos</t>
  </si>
  <si>
    <t>Evalúa la percepción de la familia como fuente de tensión y conflicto. Mide el sentimiento de distanciamiento de los padres y la falta de apoyo familiar</t>
  </si>
  <si>
    <t>Leonardo Justiniano Mendez</t>
  </si>
  <si>
    <t>Maricela Cruz Arispe</t>
  </si>
  <si>
    <t>Evalúa la tendencia a ser formal, eficiente, respetuoso y consciente de las normas. Los adolescentes con puntuaciones altas intentan hacer lo «correcto» y lo «adecuado», contienen sus emociones y son muy controlados y tensos</t>
  </si>
  <si>
    <t>Evalúa la tendencia a comportamientos descontentos, hoscos y pasivo-agresivos</t>
  </si>
  <si>
    <t>Evalúa la tendencia a comportamientos autodestructivos. En esta escala suelen ser sus peores enemigos, actúan de forma lesiva para ellos mismos y, a veces, dan la sensación de que están contentos de sufrir</t>
  </si>
  <si>
    <t>Nombre:</t>
  </si>
  <si>
    <t>Responsable de la aplicación:</t>
  </si>
  <si>
    <t>Sexo:</t>
  </si>
  <si>
    <t>Edad:</t>
  </si>
  <si>
    <t>Baremo:</t>
  </si>
  <si>
    <t>Roy Andriu Lopez Angulo</t>
  </si>
  <si>
    <t>Jhuliana Cano Diaz</t>
  </si>
  <si>
    <t xml:space="preserve">Natalia Marquina Murillo </t>
  </si>
  <si>
    <t>Blanca Alarcon Huanda</t>
  </si>
  <si>
    <t>Maura Chino Franco</t>
  </si>
  <si>
    <t>Cristian Geovanni Guardia</t>
  </si>
  <si>
    <t>EJE II SEVERIDAD DEL PERFIL CLÍNICO</t>
  </si>
  <si>
    <t>PROTOTIPOS DE PERSONALIDAD</t>
  </si>
  <si>
    <t xml:space="preserve">PUNTOS FUERTES </t>
  </si>
  <si>
    <t>PUNTOS FUERTES</t>
  </si>
  <si>
    <t>A continuación, se presentan los puntos fuertes identificados con tasas base (TB) menores o iguales a 35.</t>
  </si>
  <si>
    <t>Objetivo</t>
  </si>
  <si>
    <t>x</t>
  </si>
  <si>
    <t>Puntaje</t>
  </si>
  <si>
    <t>Procura contestar con orden; comprueba la numeración de la frase en el Cuadernillo y de la respuesta en esta Hoja. Anota sólo una respuesta para cada frase e intenta no dejar frases sin contestar, aunque no estés totalmente seguro de tu respuesta. Si no  eres capaz de decidirte por     V     o     F      ,debes marcar el espacio de la letra     F   (Falso).</t>
  </si>
  <si>
    <t>Nivel de escolaridad</t>
  </si>
  <si>
    <t>Fecha de hoy</t>
  </si>
  <si>
    <t>Fecha de nacimiento</t>
  </si>
  <si>
    <t>¿Qué ocupacíon te gustaria desarrollar en el futuro?</t>
  </si>
  <si>
    <t>Vives con</t>
  </si>
  <si>
    <t>Problemas familiares</t>
  </si>
  <si>
    <t>Trabajo, estudios o empleo</t>
  </si>
  <si>
    <t>Soledad</t>
  </si>
  <si>
    <t>Estado de ánimo</t>
  </si>
  <si>
    <t xml:space="preserve">Confianza en ti mismo </t>
  </si>
  <si>
    <t>Cansancio o enfermedad</t>
  </si>
  <si>
    <t>Alcohol</t>
  </si>
  <si>
    <t>Drogas</t>
  </si>
  <si>
    <t>Problemas mentales</t>
  </si>
  <si>
    <t>Conducta antisocial</t>
  </si>
  <si>
    <t>Fabiana Perez Cadima</t>
  </si>
  <si>
    <t>13 de agosto del 2010</t>
  </si>
  <si>
    <t>Con mis padres</t>
  </si>
  <si>
    <t>Secundaria</t>
  </si>
  <si>
    <t>Karen Hidalgo</t>
  </si>
  <si>
    <t>Otros respuestas relevantes</t>
  </si>
  <si>
    <t>Otros (escribe cuáles)</t>
  </si>
  <si>
    <t>Evalúa la tendencia a ser apático, indiferente, distante y suelen ser reservados, mostrándose bastante tranquilos y poco emotivos. Suelen ser apáticos, indiferentes, distantes y poco sociables</t>
  </si>
  <si>
    <t>Mide la tendencia a ser bastante vergonzosos o a sentirse incómodos en las relaciones con los otros. A estas personas les gustaría la proximidad de los otros pero han aprendido que es mejor mantener su propia distancia y no confiar en la amistad de otros</t>
  </si>
  <si>
    <t>Evalúa la tendencia a sentirse abatidos y desanimados, a veces desde la infancia. Tienen una perspectiva vital pesimista, ven el futuro como algo amenazador y triste</t>
  </si>
  <si>
    <t>Evalúa la tendencia a comportamientos de ser bondadosos, sentimentales y amables en sus relaciones con los demás. Sin embargo, son extremadamente renuentes a imponerse y evitan tomar la iniciativa o asumir el rol de líder</t>
  </si>
  <si>
    <t>Evalúa la tendencia a actuar de forma antisocial antisociales y desafiantes, frecuentemente se resisten a los esfuerzos que se hacen para que se comporten de acuerdo con las normas socialmente aceptadas</t>
  </si>
  <si>
    <t>Mide la inestabilidad emocional significativa, con fluctuaciones en el estado de ánimo, dificultades en la identidad y comportamientos autodestructivos</t>
  </si>
  <si>
    <t>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t>
  </si>
  <si>
    <r>
      <t xml:space="preserve">Este apartado refleja la posible existencia de puntuaciones destacadas en las escalas de </t>
    </r>
    <r>
      <rPr>
        <b/>
        <sz val="12"/>
        <color theme="1"/>
        <rFont val="Arial Nova"/>
        <family val="2"/>
      </rPr>
      <t>Trastornos de la Personalidad Graves (Tendencias Límite):</t>
    </r>
  </si>
  <si>
    <r>
      <rPr>
        <sz val="12"/>
        <rFont val="Arial Nova"/>
        <family val="2"/>
      </rPr>
      <t>Me da mucha vergüenza contarle a otras personas cómo abusaron de mí.</t>
    </r>
    <r>
      <rPr>
        <b/>
        <sz val="12"/>
        <color rgb="FFFF0000"/>
        <rFont val="Arial Nova"/>
        <family val="2"/>
      </rPr>
      <t>*</t>
    </r>
  </si>
  <si>
    <r>
      <rPr>
        <sz val="12"/>
        <rFont val="Arial Nova"/>
        <family val="2"/>
      </rPr>
      <t>No creo haber sido abusado sexualmente.</t>
    </r>
    <r>
      <rPr>
        <b/>
        <sz val="12"/>
        <color rgb="FFFF0000"/>
        <rFont val="Arial Nova"/>
        <family val="2"/>
      </rPr>
      <t>*</t>
    </r>
  </si>
  <si>
    <r>
      <t>Disfruto pensando en el sexo.</t>
    </r>
    <r>
      <rPr>
        <sz val="12"/>
        <color rgb="FFFF0000"/>
        <rFont val="Arial Nova"/>
        <family val="2"/>
      </rPr>
      <t>*</t>
    </r>
  </si>
  <si>
    <r>
      <rPr>
        <sz val="12"/>
        <rFont val="Arial Nova"/>
        <family val="2"/>
      </rPr>
      <t>Odio recordar alguna de las formas en que abusaron de mí.</t>
    </r>
    <r>
      <rPr>
        <b/>
        <sz val="12"/>
        <color rgb="FFFF0000"/>
        <rFont val="Arial Nova"/>
        <family val="2"/>
      </rPr>
      <t>*</t>
    </r>
  </si>
  <si>
    <r>
      <t>No he visto un automóvil en los últimos diez años.</t>
    </r>
    <r>
      <rPr>
        <sz val="12"/>
        <color rgb="FFFF0000"/>
        <rFont val="Arial Nova"/>
        <family val="2"/>
      </rPr>
      <t>*</t>
    </r>
  </si>
  <si>
    <r>
      <rPr>
        <sz val="12"/>
        <rFont val="Arial Nova"/>
        <family val="2"/>
      </rPr>
      <t>Muchas veces me desconcierta pensar en el sexo.</t>
    </r>
    <r>
      <rPr>
        <b/>
        <sz val="12"/>
        <color rgb="FFFF0000"/>
        <rFont val="Arial Nova"/>
        <family val="2"/>
      </rPr>
      <t>*</t>
    </r>
  </si>
  <si>
    <r>
      <t>El año pasado crucé el Atlántico en avión 30 veces.</t>
    </r>
    <r>
      <rPr>
        <sz val="12"/>
        <color rgb="FFFF0000"/>
        <rFont val="Arial Nova"/>
        <family val="2"/>
      </rPr>
      <t>*</t>
    </r>
  </si>
  <si>
    <r>
      <t>Me avergüenzo de algunas cosas terribles que me han hecho los adultos.</t>
    </r>
    <r>
      <rPr>
        <sz val="12"/>
        <color rgb="FFFF0000"/>
        <rFont val="Arial Nova"/>
        <family val="2"/>
      </rPr>
      <t>*</t>
    </r>
  </si>
  <si>
    <r>
      <rPr>
        <sz val="12"/>
        <rFont val="Arial Nova"/>
        <family val="2"/>
      </rPr>
      <t>Hubo personas que hicieron cosas sexuales conmigo cuando yo, todavía, no podía entender.</t>
    </r>
    <r>
      <rPr>
        <b/>
        <sz val="12"/>
        <color rgb="FFFF0000"/>
        <rFont val="Arial Nova"/>
        <family val="2"/>
      </rPr>
      <t>*</t>
    </r>
  </si>
  <si>
    <r>
      <t>Me agrada que ahora los sentimientos acerca del sexo se hayan convertido en una parte de mi vida.</t>
    </r>
    <r>
      <rPr>
        <sz val="12"/>
        <color rgb="FFFF0000"/>
        <rFont val="Arial Nova"/>
        <family val="2"/>
      </rPr>
      <t>*</t>
    </r>
  </si>
  <si>
    <r>
      <t xml:space="preserve">A continuación encontrarás una serie de problemas que suelen preocupar a las personas. Si crees que alguno de ellos es </t>
    </r>
    <r>
      <rPr>
        <b/>
        <sz val="11"/>
        <color rgb="FFDA9AA5"/>
        <rFont val="Arial Nova"/>
        <family val="2"/>
      </rPr>
      <t>TU PRINCIPAL PROBLEMA</t>
    </r>
    <r>
      <rPr>
        <sz val="11"/>
        <color theme="1"/>
        <rFont val="Arial Nova"/>
        <family val="2"/>
      </rPr>
      <t xml:space="preserve">, márcalo con un 1 y si piensas en ello, pero </t>
    </r>
    <r>
      <rPr>
        <b/>
        <sz val="11"/>
        <color rgb="FFDA9AA5"/>
        <rFont val="Arial Nova"/>
        <family val="2"/>
      </rPr>
      <t>NO TE PREOCUPA</t>
    </r>
    <r>
      <rPr>
        <sz val="11"/>
        <color theme="1"/>
        <rFont val="Arial Nova"/>
        <family val="2"/>
      </rPr>
      <t>, márcalo con un 2.</t>
    </r>
  </si>
  <si>
    <t/>
  </si>
  <si>
    <t>Amy Bridgit Cotrina Alvarado</t>
  </si>
  <si>
    <t>Medicina</t>
  </si>
  <si>
    <t>Items</t>
  </si>
  <si>
    <t>1(1)</t>
  </si>
  <si>
    <t>38(2)</t>
  </si>
  <si>
    <t>100(3)</t>
  </si>
  <si>
    <t>147(1)</t>
  </si>
  <si>
    <t>3(3)</t>
  </si>
  <si>
    <t>39(1)</t>
  </si>
  <si>
    <t>102(2)</t>
  </si>
  <si>
    <t>154(2)</t>
  </si>
  <si>
    <t>12(3)</t>
  </si>
  <si>
    <t>47(2)</t>
  </si>
  <si>
    <t>115(1)</t>
  </si>
  <si>
    <t>13(1)</t>
  </si>
  <si>
    <t>51(1)</t>
  </si>
  <si>
    <t>116(1)</t>
  </si>
  <si>
    <t>15(1)</t>
  </si>
  <si>
    <t>61(3)</t>
  </si>
  <si>
    <t>118(2)</t>
  </si>
  <si>
    <t>17(1)</t>
  </si>
  <si>
    <t>69(1)</t>
  </si>
  <si>
    <t>119(2)</t>
  </si>
  <si>
    <t>32(2)</t>
  </si>
  <si>
    <t>132(2)</t>
  </si>
  <si>
    <t>34(1)</t>
  </si>
  <si>
    <t>85(3)</t>
  </si>
  <si>
    <t>136(1)</t>
  </si>
  <si>
    <t>35(1)</t>
  </si>
  <si>
    <t>91(2)</t>
  </si>
  <si>
    <t>141(2)</t>
  </si>
  <si>
    <t>36(3)</t>
  </si>
  <si>
    <t>99(1)</t>
  </si>
  <si>
    <t>142(1)</t>
  </si>
  <si>
    <t>80(2)</t>
  </si>
  <si>
    <t>2(2)</t>
  </si>
  <si>
    <t>146(1)</t>
  </si>
  <si>
    <t>24(1)</t>
  </si>
  <si>
    <t>152(1)</t>
  </si>
  <si>
    <t>56(1)</t>
  </si>
  <si>
    <t>59(2)</t>
  </si>
  <si>
    <t>70(2)</t>
  </si>
  <si>
    <t>77(2)</t>
  </si>
  <si>
    <t>86(1)</t>
  </si>
  <si>
    <t>111(1)</t>
  </si>
  <si>
    <t>143(1)</t>
  </si>
  <si>
    <t>145(2)</t>
  </si>
  <si>
    <t>71(3)</t>
  </si>
  <si>
    <t>127(1)</t>
  </si>
  <si>
    <t>26(1)</t>
  </si>
  <si>
    <t>132(1)</t>
  </si>
  <si>
    <t>31(2)</t>
  </si>
  <si>
    <t>84(2)</t>
  </si>
  <si>
    <t>140(2)</t>
  </si>
  <si>
    <t>85(1)</t>
  </si>
  <si>
    <t>142(3)</t>
  </si>
  <si>
    <t>35(2)</t>
  </si>
  <si>
    <t>87(3)</t>
  </si>
  <si>
    <t>153(2)</t>
  </si>
  <si>
    <t>36(2)</t>
  </si>
  <si>
    <t>99(3)</t>
  </si>
  <si>
    <t>156(1)</t>
  </si>
  <si>
    <t>38(3)</t>
  </si>
  <si>
    <t>100(1)</t>
  </si>
  <si>
    <t>106(3)</t>
  </si>
  <si>
    <t>64(2)</t>
  </si>
  <si>
    <t>69(2)</t>
  </si>
  <si>
    <t>10(2)</t>
  </si>
  <si>
    <t>149(2)</t>
  </si>
  <si>
    <t>18(1)</t>
  </si>
  <si>
    <t>24(2)</t>
  </si>
  <si>
    <t>62(1)</t>
  </si>
  <si>
    <t>68(1)</t>
  </si>
  <si>
    <t>77(1)</t>
  </si>
  <si>
    <t>117(2)</t>
  </si>
  <si>
    <t>143(2)</t>
  </si>
  <si>
    <t>19(1)</t>
  </si>
  <si>
    <t>147(2)</t>
  </si>
  <si>
    <t>20(3)</t>
  </si>
  <si>
    <t>153(3)</t>
  </si>
  <si>
    <t>25(2)</t>
  </si>
  <si>
    <t>91(3)</t>
  </si>
  <si>
    <t>154(1)</t>
  </si>
  <si>
    <t>42(2)</t>
  </si>
  <si>
    <t>95(2)</t>
  </si>
  <si>
    <t>158(1)</t>
  </si>
  <si>
    <t>43(2)</t>
  </si>
  <si>
    <t>98(3)</t>
  </si>
  <si>
    <t>47(3)</t>
  </si>
  <si>
    <t>107(2)</t>
  </si>
  <si>
    <t>54(2)</t>
  </si>
  <si>
    <t>110(2)</t>
  </si>
  <si>
    <t>63(1)</t>
  </si>
  <si>
    <t>64(3)</t>
  </si>
  <si>
    <t>121(3)</t>
  </si>
  <si>
    <t>79(2)</t>
  </si>
  <si>
    <t>140(1)</t>
  </si>
  <si>
    <t>1(3)</t>
  </si>
  <si>
    <t>81(1)</t>
  </si>
  <si>
    <t>151(3)</t>
  </si>
  <si>
    <t>5(2)</t>
  </si>
  <si>
    <t>87(2)</t>
  </si>
  <si>
    <t>6(2)</t>
  </si>
  <si>
    <t>93(1)</t>
  </si>
  <si>
    <t>8(2)</t>
  </si>
  <si>
    <t>96(2)</t>
  </si>
  <si>
    <t>9(2)</t>
  </si>
  <si>
    <t>102(3)</t>
  </si>
  <si>
    <t>23(2)</t>
  </si>
  <si>
    <t>109(3)</t>
  </si>
  <si>
    <t>29(2)</t>
  </si>
  <si>
    <t>113(3)</t>
  </si>
  <si>
    <t>63(3)</t>
  </si>
  <si>
    <t>122(3)</t>
  </si>
  <si>
    <t>71(2)</t>
  </si>
  <si>
    <t>130(1)</t>
  </si>
  <si>
    <t>79(1)</t>
  </si>
  <si>
    <t>3(1)</t>
  </si>
  <si>
    <t>68(2)</t>
  </si>
  <si>
    <t>4(1)</t>
  </si>
  <si>
    <t>75(1)</t>
  </si>
  <si>
    <t>148(1)</t>
  </si>
  <si>
    <t>10(1)</t>
  </si>
  <si>
    <t>78(2)</t>
  </si>
  <si>
    <t>150(2)</t>
  </si>
  <si>
    <t>88(1)</t>
  </si>
  <si>
    <t>155(1)</t>
  </si>
  <si>
    <t>21(2)</t>
  </si>
  <si>
    <t>92(2)</t>
  </si>
  <si>
    <t>157(2)</t>
  </si>
  <si>
    <t>28(2)</t>
  </si>
  <si>
    <t>97(2)</t>
  </si>
  <si>
    <t>41(2)</t>
  </si>
  <si>
    <t>101(1)</t>
  </si>
  <si>
    <t>160(1)</t>
  </si>
  <si>
    <t>44(1)</t>
  </si>
  <si>
    <t>117(1)</t>
  </si>
  <si>
    <t>52(2)</t>
  </si>
  <si>
    <t>128(2)</t>
  </si>
  <si>
    <t>60(1)</t>
  </si>
  <si>
    <t>131(2)</t>
  </si>
  <si>
    <t>92(1)</t>
  </si>
  <si>
    <t>24(3)</t>
  </si>
  <si>
    <t>101(2)</t>
  </si>
  <si>
    <t>28(1)</t>
  </si>
  <si>
    <t>103(3)</t>
  </si>
  <si>
    <t>40(1)</t>
  </si>
  <si>
    <t>56(3)</t>
  </si>
  <si>
    <t>135(1)</t>
  </si>
  <si>
    <t>59(3)</t>
  </si>
  <si>
    <t>70(3)</t>
  </si>
  <si>
    <t>77(3)</t>
  </si>
  <si>
    <t>86(2)</t>
  </si>
  <si>
    <t>84(1)</t>
  </si>
  <si>
    <t>85(2)</t>
  </si>
  <si>
    <t>142(2)</t>
  </si>
  <si>
    <t>87(1)</t>
  </si>
  <si>
    <t>153(1)</t>
  </si>
  <si>
    <t>89(1)</t>
  </si>
  <si>
    <t>99(2)</t>
  </si>
  <si>
    <t>36(1)</t>
  </si>
  <si>
    <t>106(1)</t>
  </si>
  <si>
    <t>43(1)</t>
  </si>
  <si>
    <t>110(1)</t>
  </si>
  <si>
    <t>47(1)</t>
  </si>
  <si>
    <t>2(1)</t>
  </si>
  <si>
    <t>70(1)</t>
  </si>
  <si>
    <t>146(3)</t>
  </si>
  <si>
    <t>7(3)</t>
  </si>
  <si>
    <t>86(3)</t>
  </si>
  <si>
    <t>94(1)</t>
  </si>
  <si>
    <t>101(3)</t>
  </si>
  <si>
    <t>103(2)</t>
  </si>
  <si>
    <t>41(1)</t>
  </si>
  <si>
    <t>104(1)</t>
  </si>
  <si>
    <t>52(3)</t>
  </si>
  <si>
    <t>131(1)</t>
  </si>
  <si>
    <t>56(2)</t>
  </si>
  <si>
    <t>135(3)</t>
  </si>
  <si>
    <t>59(1)</t>
  </si>
  <si>
    <t>139(1)</t>
  </si>
  <si>
    <t>71(1)</t>
  </si>
  <si>
    <t>20(1)</t>
  </si>
  <si>
    <t>91(1)</t>
  </si>
  <si>
    <t>25(1)</t>
  </si>
  <si>
    <t>127(2)</t>
  </si>
  <si>
    <t>151(1)</t>
  </si>
  <si>
    <t>63(2)</t>
  </si>
  <si>
    <t>18(2)</t>
  </si>
  <si>
    <t>21(3)</t>
  </si>
  <si>
    <t>73(2)</t>
  </si>
  <si>
    <t>148(3)</t>
  </si>
  <si>
    <t>76(3)</t>
  </si>
  <si>
    <t>39(3)</t>
  </si>
  <si>
    <t>150(1)</t>
  </si>
  <si>
    <t>92(3)</t>
  </si>
  <si>
    <t>44(2)</t>
  </si>
  <si>
    <t>104(2)</t>
  </si>
  <si>
    <t>155(3)</t>
  </si>
  <si>
    <t>52(1)</t>
  </si>
  <si>
    <t>111(2)</t>
  </si>
  <si>
    <t>57(2)</t>
  </si>
  <si>
    <t>117(3)</t>
  </si>
  <si>
    <t>58(3)</t>
  </si>
  <si>
    <t>120(1)</t>
  </si>
  <si>
    <t>15(2)</t>
  </si>
  <si>
    <t>45(2)</t>
  </si>
  <si>
    <t>93(2)</t>
  </si>
  <si>
    <t>96(1)</t>
  </si>
  <si>
    <t>128(3)</t>
  </si>
  <si>
    <t>28(3)</t>
  </si>
  <si>
    <t>139(3)</t>
  </si>
  <si>
    <t>41(3)</t>
  </si>
  <si>
    <t>148(2)</t>
  </si>
  <si>
    <t>60(2)</t>
  </si>
  <si>
    <t>74(1)</t>
  </si>
  <si>
    <t>157(3)</t>
  </si>
  <si>
    <t>78(3)</t>
  </si>
  <si>
    <t>97(3)</t>
  </si>
  <si>
    <t>9(1)</t>
  </si>
  <si>
    <t>50(1)</t>
  </si>
  <si>
    <t>81(2)</t>
  </si>
  <si>
    <t>6(1)</t>
  </si>
  <si>
    <t>159(3)</t>
  </si>
  <si>
    <t>9(3)</t>
  </si>
  <si>
    <t>23(3)</t>
  </si>
  <si>
    <t>27(1)</t>
  </si>
  <si>
    <t>50(3)</t>
  </si>
  <si>
    <t>93(3)</t>
  </si>
  <si>
    <t>96(3)</t>
  </si>
  <si>
    <t>130(3)</t>
  </si>
  <si>
    <t>74(2)</t>
  </si>
  <si>
    <t>118(1)</t>
  </si>
  <si>
    <t>76(1)</t>
  </si>
  <si>
    <t>133(1)</t>
  </si>
  <si>
    <t>78(1)</t>
  </si>
  <si>
    <t>90(1)</t>
  </si>
  <si>
    <t>149(1)</t>
  </si>
  <si>
    <t>97(1)</t>
  </si>
  <si>
    <t>157(1)</t>
  </si>
  <si>
    <t>53(2)</t>
  </si>
  <si>
    <t>58(1)</t>
  </si>
  <si>
    <t>4(3)</t>
  </si>
  <si>
    <t>128(1)</t>
  </si>
  <si>
    <t>16(1)</t>
  </si>
  <si>
    <t>49(1)</t>
  </si>
  <si>
    <t>134(1)</t>
  </si>
  <si>
    <t>136(3)</t>
  </si>
  <si>
    <t>19(2)</t>
  </si>
  <si>
    <t>57(1)</t>
  </si>
  <si>
    <t>22(1)</t>
  </si>
  <si>
    <t>66(2)</t>
  </si>
  <si>
    <t>105(1)</t>
  </si>
  <si>
    <t>25(3)</t>
  </si>
  <si>
    <t>67(3)</t>
  </si>
  <si>
    <t>28(1</t>
  </si>
  <si>
    <t>110(3)</t>
  </si>
  <si>
    <t>37(2)</t>
  </si>
  <si>
    <t>118(3)</t>
  </si>
  <si>
    <t>39(2)</t>
  </si>
  <si>
    <t>88(2)</t>
  </si>
  <si>
    <t>5(1)</t>
  </si>
  <si>
    <t>45(1)</t>
  </si>
  <si>
    <t>130(2)</t>
  </si>
  <si>
    <t>64(1)</t>
  </si>
  <si>
    <t>107(1)</t>
  </si>
  <si>
    <t>137(2)</t>
  </si>
  <si>
    <t>19(3)</t>
  </si>
  <si>
    <t>66(3)</t>
  </si>
  <si>
    <t>108(3)</t>
  </si>
  <si>
    <t>20(2)</t>
  </si>
  <si>
    <t>141(3)</t>
  </si>
  <si>
    <t>112(2)</t>
  </si>
  <si>
    <t>80(3)</t>
  </si>
  <si>
    <t>151(2)</t>
  </si>
  <si>
    <t>33(1)</t>
  </si>
  <si>
    <t>121(1)</t>
  </si>
  <si>
    <t>34(2)</t>
  </si>
  <si>
    <t>89(3)</t>
  </si>
  <si>
    <t>158(2)</t>
  </si>
  <si>
    <t>46(3)</t>
  </si>
  <si>
    <t>160(3)</t>
  </si>
  <si>
    <t>54(1)</t>
  </si>
  <si>
    <t>106(2)</t>
  </si>
  <si>
    <t>4(2)</t>
  </si>
  <si>
    <t>115(2)</t>
  </si>
  <si>
    <t>141(1)</t>
  </si>
  <si>
    <t>12(2)</t>
  </si>
  <si>
    <t>66(1)</t>
  </si>
  <si>
    <t>154(3)</t>
  </si>
  <si>
    <t>29(1)</t>
  </si>
  <si>
    <t>95(1)</t>
  </si>
  <si>
    <t>155(2)</t>
  </si>
  <si>
    <t>115(3)</t>
  </si>
  <si>
    <t>42(1)</t>
  </si>
  <si>
    <t>122(2)</t>
  </si>
  <si>
    <t>140(3)</t>
  </si>
  <si>
    <t>109(1)</t>
  </si>
  <si>
    <t>26(3)</t>
  </si>
  <si>
    <t>82(1)</t>
  </si>
  <si>
    <t>84(3)</t>
  </si>
  <si>
    <t>119(1)</t>
  </si>
  <si>
    <t>42(3)</t>
  </si>
  <si>
    <t>125(1)</t>
  </si>
  <si>
    <t>46(1)</t>
  </si>
  <si>
    <t>127(3)</t>
  </si>
  <si>
    <t>145(1)</t>
  </si>
  <si>
    <t>11(1)</t>
  </si>
  <si>
    <t>123(1)</t>
  </si>
  <si>
    <t>10(3)</t>
  </si>
  <si>
    <t>14(1)</t>
  </si>
  <si>
    <t>124(1)</t>
  </si>
  <si>
    <t>68(3)</t>
  </si>
  <si>
    <t>138(1)</t>
  </si>
  <si>
    <t>131(3)</t>
  </si>
  <si>
    <t>144(2)</t>
  </si>
  <si>
    <t>31(3)</t>
  </si>
  <si>
    <t>48(2)</t>
  </si>
  <si>
    <t>65(2)</t>
  </si>
  <si>
    <t>112(3)</t>
  </si>
  <si>
    <t>116(3)</t>
  </si>
  <si>
    <t>129(2)</t>
  </si>
  <si>
    <t>14(2)</t>
  </si>
  <si>
    <t>31(1)</t>
  </si>
  <si>
    <t>51(3)</t>
  </si>
  <si>
    <t>72(1)</t>
  </si>
  <si>
    <t>7(1)</t>
  </si>
  <si>
    <t>62(3)</t>
  </si>
  <si>
    <t>76(2)</t>
  </si>
  <si>
    <t>83(1)</t>
  </si>
  <si>
    <t>94(3)</t>
  </si>
  <si>
    <t>160(2)</t>
  </si>
  <si>
    <t>55(2)</t>
  </si>
  <si>
    <t>61(1)</t>
  </si>
  <si>
    <t>143(3)</t>
  </si>
  <si>
    <t>13(3)</t>
  </si>
  <si>
    <t>119(3)</t>
  </si>
  <si>
    <t>35(3)</t>
  </si>
  <si>
    <t>69(3)</t>
  </si>
  <si>
    <t>83(3)</t>
  </si>
  <si>
    <t>21(1)</t>
  </si>
  <si>
    <t>103(1)</t>
  </si>
  <si>
    <t>53(3)</t>
  </si>
  <si>
    <t>158(3)</t>
  </si>
  <si>
    <t>6(3)</t>
  </si>
  <si>
    <t>23(1)</t>
  </si>
  <si>
    <t>27(3)</t>
  </si>
  <si>
    <t>60(3)</t>
  </si>
  <si>
    <t>37(3)</t>
  </si>
  <si>
    <t>49(3)</t>
  </si>
  <si>
    <t>135(2)</t>
  </si>
  <si>
    <t>5(3)</t>
  </si>
  <si>
    <t>81(3)</t>
  </si>
  <si>
    <t>26(2)</t>
  </si>
  <si>
    <t>38(1)</t>
  </si>
  <si>
    <t>14(3)</t>
  </si>
  <si>
    <t>72(3)</t>
  </si>
  <si>
    <t>129(3)</t>
  </si>
  <si>
    <t>137(3)</t>
  </si>
  <si>
    <t>55(3)</t>
  </si>
  <si>
    <t>11(3)</t>
  </si>
  <si>
    <t>105(3)</t>
  </si>
  <si>
    <t>29(3)</t>
  </si>
  <si>
    <t>124(3)</t>
  </si>
  <si>
    <t>33(3)</t>
  </si>
  <si>
    <t>48(3)</t>
  </si>
  <si>
    <t>138(3)</t>
  </si>
  <si>
    <t>144(3)</t>
  </si>
  <si>
    <t>65(3)</t>
  </si>
  <si>
    <t>82(3)</t>
  </si>
  <si>
    <t>61(2)</t>
  </si>
  <si>
    <t>73(1)</t>
  </si>
  <si>
    <t>120(3)</t>
  </si>
  <si>
    <t>22(3)</t>
  </si>
  <si>
    <t>75(3)</t>
  </si>
  <si>
    <t>134(3)</t>
  </si>
  <si>
    <t>30(3)</t>
  </si>
  <si>
    <t>40(3)</t>
  </si>
  <si>
    <t>90(3)</t>
  </si>
  <si>
    <t>152(3)</t>
  </si>
  <si>
    <t>57(3)</t>
  </si>
  <si>
    <t>8(3)</t>
  </si>
  <si>
    <t>12(1)</t>
  </si>
  <si>
    <t>111(3)</t>
  </si>
  <si>
    <t>150(3)</t>
  </si>
  <si>
    <t>73(3)</t>
  </si>
  <si>
    <t>8(1)</t>
  </si>
  <si>
    <t>15(3)</t>
  </si>
  <si>
    <t>32(1)</t>
  </si>
  <si>
    <t>125(2)</t>
  </si>
  <si>
    <t>45(3)</t>
  </si>
  <si>
    <t>65(1)</t>
  </si>
  <si>
    <t>18(3)</t>
  </si>
  <si>
    <t>104(3)</t>
  </si>
  <si>
    <t>44(3)</t>
  </si>
  <si>
    <t>53(1)</t>
  </si>
  <si>
    <t>74(3)</t>
  </si>
  <si>
    <t>149(3)</t>
  </si>
  <si>
    <t>132(3)</t>
  </si>
  <si>
    <t>17(3)</t>
  </si>
  <si>
    <t>133(3)</t>
  </si>
  <si>
    <t>32(3)</t>
  </si>
  <si>
    <t>79(3)</t>
  </si>
  <si>
    <t>75(2)</t>
  </si>
  <si>
    <t>125(3)</t>
  </si>
  <si>
    <t>16(3</t>
  </si>
  <si>
    <t>95(3)</t>
  </si>
  <si>
    <t>98(1)</t>
  </si>
  <si>
    <t>43(3)</t>
  </si>
  <si>
    <t>147(3)</t>
  </si>
  <si>
    <t>112(1)</t>
  </si>
  <si>
    <t>16(2)</t>
  </si>
  <si>
    <t>88(3</t>
  </si>
  <si>
    <t>156(3)</t>
  </si>
  <si>
    <t>107(3)</t>
  </si>
  <si>
    <t>54(3)</t>
  </si>
  <si>
    <t>123(3)</t>
  </si>
  <si>
    <t>129(1)</t>
  </si>
  <si>
    <t>55(1)</t>
  </si>
  <si>
    <t>VV</t>
  </si>
  <si>
    <t>159(1)</t>
  </si>
  <si>
    <t>80(1)</t>
  </si>
  <si>
    <t>114(1)</t>
  </si>
  <si>
    <t>126(1)</t>
  </si>
  <si>
    <t>34(3)</t>
  </si>
  <si>
    <t>2(3)</t>
  </si>
  <si>
    <t>145(3)</t>
  </si>
  <si>
    <t>Disclosure Adjustment</t>
  </si>
  <si>
    <t>Raw Score on Scale X</t>
  </si>
  <si>
    <t>Reporte invalido</t>
  </si>
  <si>
    <t>A/D Value</t>
  </si>
  <si>
    <t>A/D Adjustment</t>
  </si>
  <si>
    <t>Escala Y</t>
  </si>
  <si>
    <t>Escala Z</t>
  </si>
  <si>
    <t>Difference Y-Z</t>
  </si>
  <si>
    <t>BR Adjustment</t>
  </si>
  <si>
    <t>A/D</t>
  </si>
  <si>
    <t>TB FINAL</t>
  </si>
  <si>
    <t>D/C</t>
  </si>
  <si>
    <t>Jerarquia</t>
  </si>
  <si>
    <t>Celda auxiliar calculo D/C</t>
  </si>
  <si>
    <t>110 (1)</t>
  </si>
  <si>
    <t>PTJ</t>
  </si>
  <si>
    <t>Baremo</t>
  </si>
  <si>
    <t>W</t>
  </si>
  <si>
    <t>Fiabilidad</t>
  </si>
  <si>
    <t xml:space="preserve"> Introversión</t>
  </si>
  <si>
    <t>Transparencia</t>
  </si>
  <si>
    <t>Deseabilidad</t>
  </si>
  <si>
    <t>Alteración</t>
  </si>
  <si>
    <t>PERFIL</t>
  </si>
  <si>
    <t>Varones de 13 a 15 años (España)</t>
  </si>
  <si>
    <t>Varones de 16 a 19 años (España)</t>
  </si>
  <si>
    <t>Mujeres de 16 a 19 años (España)</t>
  </si>
  <si>
    <t>Varones de  13 a 15 años (EEUU)</t>
  </si>
  <si>
    <t>Varones de 16 a 19 años (EEUU)</t>
  </si>
  <si>
    <t>Mujeres de 13 a 15 años (EEUU)</t>
  </si>
  <si>
    <t>Mujeres de 16 a 19 años (EEUU)</t>
  </si>
  <si>
    <t>Mujeres de 13 a 15 años (España)</t>
  </si>
  <si>
    <t>Fecha de aplicación: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</si>
</sst>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 &quot;años&quot;"/>
    <numFmt numFmtId="165" formatCode="[$-400A]d&quot; de &quot;mmmm&quot; de &quot;yyyy;@"/>
  </numFmts>
  <fonts count="38" x14ac:knownFonts="1">
    <font>
      <sz val="11"/>
      <color theme="1"/>
      <name val="Calibri"/>
      <family val="2"/>
      <scheme val="minor"/>
    </font>
    <font>
      <b/>
      <sz val="11"/>
      <name val="Arial"/>
      <family val="2"/>
    </font>
    <font>
      <b/>
      <sz val="11"/>
      <color theme="0"/>
      <name val="Arial"/>
      <family val="2"/>
    </font>
    <font>
      <sz val="10"/>
      <color theme="0"/>
      <name val="Arial"/>
      <family val="2"/>
    </font>
    <font>
      <sz val="11"/>
      <color theme="1"/>
      <name val="Arial"/>
      <family val="2"/>
    </font>
    <font>
      <b/>
      <sz val="11"/>
      <color theme="1"/>
      <name val="Arial"/>
      <family val="2"/>
    </font>
    <font>
      <b/>
      <sz val="10"/>
      <color theme="0"/>
      <name val="Arial"/>
      <family val="2"/>
    </font>
    <font>
      <sz val="11"/>
      <color theme="0"/>
      <name val="Arial"/>
      <family val="2"/>
    </font>
    <font>
      <b/>
      <sz val="22"/>
      <color theme="1"/>
      <name val="Arial"/>
      <family val="2"/>
    </font>
    <font>
      <b/>
      <sz val="11"/>
      <color rgb="FF000000"/>
      <name val="Calibri"/>
      <family val="2"/>
    </font>
    <font>
      <sz val="11"/>
      <name val="Arial"/>
      <family val="2"/>
    </font>
    <font>
      <sz val="11"/>
      <name val="Calibri"/>
      <family val="2"/>
      <scheme val="minor"/>
    </font>
    <font>
      <sz val="8"/>
      <color rgb="FF000000"/>
      <name val="Segoe UI"/>
      <family val="2"/>
    </font>
    <font>
      <b/>
      <sz val="11"/>
      <color theme="0"/>
      <name val="Calibri"/>
      <family val="2"/>
      <scheme val="minor"/>
    </font>
    <font>
      <b/>
      <sz val="22"/>
      <color theme="1"/>
      <name val="Calibri"/>
      <family val="2"/>
      <scheme val="minor"/>
    </font>
    <font>
      <sz val="11"/>
      <color rgb="FFFF0000"/>
      <name val="Arial"/>
      <family val="2"/>
    </font>
    <font>
      <sz val="12"/>
      <color theme="1"/>
      <name val="Arial Nova"/>
      <family val="2"/>
    </font>
    <font>
      <b/>
      <sz val="12"/>
      <name val="Arial Nova"/>
      <family val="2"/>
    </font>
    <font>
      <b/>
      <sz val="12"/>
      <color theme="1"/>
      <name val="Arial Nova"/>
      <family val="2"/>
    </font>
    <font>
      <sz val="12"/>
      <name val="Arial Nova"/>
      <family val="2"/>
    </font>
    <font>
      <sz val="11"/>
      <color theme="1"/>
      <name val="Arial Nova"/>
      <family val="2"/>
    </font>
    <font>
      <sz val="11"/>
      <color theme="0"/>
      <name val="Arial Nova"/>
      <family val="2"/>
    </font>
    <font>
      <sz val="11"/>
      <color rgb="FFFF0000"/>
      <name val="Arial Nova"/>
      <family val="2"/>
    </font>
    <font>
      <sz val="11"/>
      <name val="Arial Nova"/>
      <family val="2"/>
    </font>
    <font>
      <b/>
      <sz val="10"/>
      <color rgb="FF740000"/>
      <name val="Arial Nova"/>
      <family val="2"/>
    </font>
    <font>
      <sz val="10"/>
      <name val="Arial Nova"/>
      <family val="2"/>
    </font>
    <font>
      <b/>
      <sz val="11"/>
      <name val="Arial Nova"/>
      <family val="2"/>
    </font>
    <font>
      <sz val="12"/>
      <color rgb="FFC00000"/>
      <name val="Arial Nova"/>
      <family val="2"/>
    </font>
    <font>
      <b/>
      <sz val="12"/>
      <color rgb="FFE6C3CA"/>
      <name val="Arial Nova"/>
      <family val="2"/>
    </font>
    <font>
      <b/>
      <sz val="12"/>
      <color rgb="FFFF0000"/>
      <name val="Arial Nova"/>
      <family val="2"/>
    </font>
    <font>
      <sz val="12"/>
      <color rgb="FFFF0000"/>
      <name val="Arial Nova"/>
      <family val="2"/>
    </font>
    <font>
      <b/>
      <sz val="12"/>
      <color rgb="FFFFFFFF"/>
      <name val="Arial Nova"/>
      <family val="2"/>
    </font>
    <font>
      <b/>
      <sz val="11"/>
      <color theme="1"/>
      <name val="Arial Nova"/>
      <family val="2"/>
    </font>
    <font>
      <b/>
      <sz val="11"/>
      <color rgb="FFDA9AA5"/>
      <name val="Arial Nova"/>
      <family val="2"/>
    </font>
    <font>
      <b/>
      <sz val="10"/>
      <name val="Arial Nova"/>
      <family val="2"/>
    </font>
    <font>
      <b/>
      <sz val="9"/>
      <name val="Arial Nova"/>
      <family val="2"/>
    </font>
    <font>
      <b/>
      <sz val="16"/>
      <name val="Arial Nova"/>
      <family val="2"/>
    </font>
    <font>
      <sz val="10"/>
      <color theme="1"/>
      <name val="Arial Nova"/>
      <family val="2"/>
    </font>
  </fonts>
  <fills count="10">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rgb="FF5E69AA"/>
        <bgColor indexed="64"/>
      </patternFill>
    </fill>
    <fill>
      <patternFill patternType="solid">
        <fgColor rgb="FFD6D9EA"/>
        <bgColor indexed="64"/>
      </patternFill>
    </fill>
    <fill>
      <patternFill patternType="solid">
        <fgColor theme="0"/>
        <bgColor rgb="FF000000"/>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6EAEC"/>
        <bgColor indexed="64"/>
      </patternFill>
    </fill>
  </fills>
  <borders count="14">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ck">
        <color theme="0"/>
      </right>
      <top/>
      <bottom/>
      <diagonal/>
    </border>
    <border>
      <left style="thin">
        <color rgb="FF9AA0C9"/>
      </left>
      <right/>
      <top/>
      <bottom/>
      <diagonal/>
    </border>
    <border>
      <left/>
      <right/>
      <top/>
      <bottom style="thin">
        <color rgb="FF9AA0C9"/>
      </bottom>
      <diagonal/>
    </border>
    <border>
      <left style="thin">
        <color rgb="FF9AA0C9"/>
      </left>
      <right/>
      <top/>
      <bottom style="thin">
        <color rgb="FF9AA0C9"/>
      </bottom>
      <diagonal/>
    </border>
    <border>
      <left/>
      <right style="medium">
        <color indexed="64"/>
      </right>
      <top/>
      <bottom/>
      <diagonal/>
    </border>
  </borders>
  <cellStyleXfs count="1">
    <xf numFmtId="0" fontId="0" fillId="0" borderId="0"/>
  </cellStyleXfs>
  <cellXfs count="234">
    <xf numFmtId="0" fontId="0" fillId="0" borderId="0" xfId="0"/>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4" fillId="0" borderId="3" xfId="0" applyFont="1" applyBorder="1" applyAlignment="1">
      <alignment horizontal="center" vertical="center"/>
    </xf>
    <xf numFmtId="0" fontId="5" fillId="0" borderId="0" xfId="0" applyFont="1" applyAlignment="1">
      <alignment horizontal="center" vertical="center"/>
    </xf>
    <xf numFmtId="0" fontId="2" fillId="3" borderId="0" xfId="0" applyFont="1" applyFill="1" applyAlignment="1">
      <alignment horizontal="center" vertical="center"/>
    </xf>
    <xf numFmtId="0" fontId="3" fillId="3" borderId="0" xfId="0" applyFont="1" applyFill="1" applyAlignment="1">
      <alignment horizontal="center" vertical="center"/>
    </xf>
    <xf numFmtId="0" fontId="6" fillId="3" borderId="0" xfId="0" applyFont="1" applyFill="1" applyAlignment="1">
      <alignment horizontal="center" vertical="center"/>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4" xfId="0" applyFont="1" applyFill="1" applyBorder="1" applyAlignment="1">
      <alignment horizontal="center" vertical="center"/>
    </xf>
    <xf numFmtId="0" fontId="7" fillId="0" borderId="0" xfId="0" applyFont="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5" fillId="0" borderId="0" xfId="0" applyFont="1"/>
    <xf numFmtId="0" fontId="2" fillId="4" borderId="0" xfId="0" applyFont="1" applyFill="1" applyAlignment="1">
      <alignment horizontal="center" vertical="center"/>
    </xf>
    <xf numFmtId="0" fontId="4" fillId="2" borderId="0" xfId="0" applyFont="1" applyFill="1"/>
    <xf numFmtId="1" fontId="4"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pplyProtection="1">
      <alignment horizontal="center" vertical="center"/>
      <protection hidden="1"/>
    </xf>
    <xf numFmtId="0" fontId="4" fillId="0" borderId="0" xfId="0" applyFont="1" applyAlignment="1" applyProtection="1">
      <alignment horizontal="center"/>
      <protection hidden="1"/>
    </xf>
    <xf numFmtId="0" fontId="10" fillId="2" borderId="0" xfId="0" applyFont="1" applyFill="1" applyAlignment="1">
      <alignment horizontal="center" vertical="center"/>
    </xf>
    <xf numFmtId="0" fontId="10" fillId="2" borderId="0" xfId="0" applyFont="1" applyFill="1"/>
    <xf numFmtId="0" fontId="4" fillId="0" borderId="0" xfId="0" applyFont="1" applyAlignment="1">
      <alignment horizontal="center"/>
    </xf>
    <xf numFmtId="0" fontId="4" fillId="0" borderId="0" xfId="0" applyFont="1" applyAlignment="1">
      <alignment horizontal="left"/>
    </xf>
    <xf numFmtId="0" fontId="4" fillId="2" borderId="0" xfId="0" applyFont="1" applyFill="1" applyAlignment="1">
      <alignment horizontal="left"/>
    </xf>
    <xf numFmtId="0" fontId="10" fillId="2" borderId="0" xfId="0" applyFont="1" applyFill="1" applyAlignment="1">
      <alignment horizontal="left" vertical="center"/>
    </xf>
    <xf numFmtId="0" fontId="4" fillId="2" borderId="0" xfId="0" applyFont="1" applyFill="1" applyAlignment="1">
      <alignment horizontal="left" vertical="center"/>
    </xf>
    <xf numFmtId="0" fontId="2" fillId="4" borderId="0" xfId="0" applyFont="1" applyFill="1" applyAlignment="1">
      <alignment horizontal="left" vertical="center"/>
    </xf>
    <xf numFmtId="0" fontId="11" fillId="2" borderId="0" xfId="0" applyFont="1" applyFill="1" applyAlignment="1">
      <alignment horizontal="center" vertical="center"/>
    </xf>
    <xf numFmtId="0" fontId="10" fillId="2" borderId="0" xfId="0" applyFont="1" applyFill="1" applyAlignment="1">
      <alignment vertical="center"/>
    </xf>
    <xf numFmtId="0" fontId="0" fillId="2" borderId="0" xfId="0" applyFill="1" applyAlignment="1">
      <alignment horizontal="center" vertical="center"/>
    </xf>
    <xf numFmtId="0" fontId="11" fillId="2" borderId="0" xfId="0" applyFont="1" applyFill="1" applyAlignment="1">
      <alignment horizontal="left" vertical="center"/>
    </xf>
    <xf numFmtId="0" fontId="0" fillId="0" borderId="0" xfId="0" applyAlignment="1">
      <alignment horizontal="center" vertical="center"/>
    </xf>
    <xf numFmtId="0" fontId="13" fillId="4" borderId="0" xfId="0" applyFont="1" applyFill="1" applyAlignment="1">
      <alignment horizontal="center" vertical="center"/>
    </xf>
    <xf numFmtId="0" fontId="10" fillId="2" borderId="0" xfId="0" applyFont="1" applyFill="1" applyAlignment="1">
      <alignment horizontal="left"/>
    </xf>
    <xf numFmtId="0" fontId="2" fillId="4" borderId="0" xfId="0" applyFont="1" applyFill="1" applyAlignment="1">
      <alignment horizontal="center"/>
    </xf>
    <xf numFmtId="0" fontId="10" fillId="2" borderId="0" xfId="0" applyFont="1" applyFill="1" applyAlignment="1">
      <alignment horizontal="center"/>
    </xf>
    <xf numFmtId="0" fontId="4" fillId="2" borderId="0" xfId="0" applyFont="1" applyFill="1" applyAlignment="1">
      <alignment horizontal="center"/>
    </xf>
    <xf numFmtId="0" fontId="13" fillId="4" borderId="0" xfId="0" applyFont="1" applyFill="1" applyAlignment="1">
      <alignment vertical="center"/>
    </xf>
    <xf numFmtId="0" fontId="11" fillId="2" borderId="0" xfId="0" applyFont="1" applyFill="1" applyAlignment="1">
      <alignment vertical="center"/>
    </xf>
    <xf numFmtId="0" fontId="0" fillId="2" borderId="0" xfId="0" applyFill="1" applyAlignment="1">
      <alignment vertical="center"/>
    </xf>
    <xf numFmtId="0" fontId="15" fillId="2" borderId="0" xfId="0" applyFont="1" applyFill="1" applyAlignment="1">
      <alignment horizontal="left"/>
    </xf>
    <xf numFmtId="0" fontId="16" fillId="0" borderId="0" xfId="0" applyFont="1" applyProtection="1">
      <protection hidden="1"/>
    </xf>
    <xf numFmtId="0" fontId="16" fillId="0" borderId="0" xfId="0" applyFont="1" applyAlignment="1" applyProtection="1">
      <alignment horizontal="left" vertical="center"/>
      <protection hidden="1"/>
    </xf>
    <xf numFmtId="0" fontId="16" fillId="0" borderId="0" xfId="0" applyFont="1" applyAlignment="1" applyProtection="1">
      <alignment horizontal="center" vertical="center"/>
      <protection hidden="1"/>
    </xf>
    <xf numFmtId="0" fontId="17" fillId="2" borderId="0" xfId="0" applyFont="1" applyFill="1" applyAlignment="1" applyProtection="1">
      <alignment horizontal="left" vertical="top"/>
      <protection hidden="1"/>
    </xf>
    <xf numFmtId="0" fontId="17" fillId="2" borderId="0" xfId="0" applyFont="1" applyFill="1" applyAlignment="1" applyProtection="1">
      <alignment vertical="center"/>
      <protection hidden="1"/>
    </xf>
    <xf numFmtId="0" fontId="18" fillId="0" borderId="0" xfId="0" applyFont="1" applyAlignment="1" applyProtection="1">
      <alignment horizontal="left" vertical="center"/>
      <protection hidden="1"/>
    </xf>
    <xf numFmtId="0" fontId="18" fillId="0" borderId="0" xfId="0" applyFont="1" applyAlignment="1" applyProtection="1">
      <alignment horizontal="center" vertical="center"/>
      <protection hidden="1"/>
    </xf>
    <xf numFmtId="0" fontId="18" fillId="0" borderId="0" xfId="0" applyFont="1" applyProtection="1">
      <protection hidden="1"/>
    </xf>
    <xf numFmtId="0" fontId="16" fillId="0" borderId="0" xfId="0" applyFont="1" applyAlignment="1" applyProtection="1">
      <alignment horizontal="justify" vertical="top" wrapText="1"/>
      <protection hidden="1"/>
    </xf>
    <xf numFmtId="0" fontId="16" fillId="0" borderId="0" xfId="0" applyFont="1" applyAlignment="1" applyProtection="1">
      <alignment vertical="center"/>
      <protection hidden="1"/>
    </xf>
    <xf numFmtId="0" fontId="18" fillId="0" borderId="0" xfId="0" applyFont="1" applyAlignment="1" applyProtection="1">
      <alignment horizontal="justify" vertical="top" wrapText="1"/>
      <protection hidden="1"/>
    </xf>
    <xf numFmtId="0" fontId="18" fillId="0" borderId="0" xfId="0" applyFont="1" applyAlignment="1" applyProtection="1">
      <alignment horizontal="justify" vertical="top"/>
      <protection hidden="1"/>
    </xf>
    <xf numFmtId="0" fontId="16" fillId="0" borderId="0" xfId="0" applyFont="1" applyAlignment="1" applyProtection="1">
      <alignment horizontal="justify" vertical="top"/>
      <protection hidden="1"/>
    </xf>
    <xf numFmtId="0" fontId="18" fillId="0" borderId="0" xfId="0" applyFont="1" applyAlignment="1" applyProtection="1">
      <alignment horizontal="left" vertical="top"/>
      <protection hidden="1"/>
    </xf>
    <xf numFmtId="0" fontId="16" fillId="2" borderId="0" xfId="0" applyFont="1" applyFill="1" applyProtection="1">
      <protection hidden="1"/>
    </xf>
    <xf numFmtId="0" fontId="16" fillId="0" borderId="0" xfId="0" applyFont="1" applyAlignment="1" applyProtection="1">
      <alignment vertical="top" wrapText="1"/>
      <protection hidden="1"/>
    </xf>
    <xf numFmtId="0" fontId="16" fillId="0" borderId="0" xfId="0" applyFont="1" applyAlignment="1" applyProtection="1">
      <alignment horizontal="left" vertical="top"/>
      <protection hidden="1"/>
    </xf>
    <xf numFmtId="0" fontId="16" fillId="0" borderId="0" xfId="0" applyFont="1" applyAlignment="1" applyProtection="1">
      <alignment horizontal="justify" vertical="top" wrapText="1" readingOrder="1"/>
      <protection hidden="1"/>
    </xf>
    <xf numFmtId="0" fontId="16" fillId="0" borderId="0" xfId="0" applyFont="1" applyAlignment="1" applyProtection="1">
      <alignment horizontal="left" vertical="top" wrapText="1"/>
      <protection hidden="1"/>
    </xf>
    <xf numFmtId="0" fontId="18" fillId="2" borderId="3" xfId="0" applyFont="1" applyFill="1" applyBorder="1" applyAlignment="1" applyProtection="1">
      <alignment vertical="center"/>
      <protection hidden="1"/>
    </xf>
    <xf numFmtId="0" fontId="17" fillId="2" borderId="3" xfId="0" applyFont="1" applyFill="1" applyBorder="1" applyAlignment="1" applyProtection="1">
      <alignment vertical="center"/>
      <protection hidden="1"/>
    </xf>
    <xf numFmtId="0" fontId="18" fillId="0" borderId="3" xfId="0" applyFont="1" applyBorder="1" applyProtection="1">
      <protection hidden="1"/>
    </xf>
    <xf numFmtId="0" fontId="16" fillId="0" borderId="3" xfId="0" applyFont="1" applyBorder="1" applyProtection="1">
      <protection hidden="1"/>
    </xf>
    <xf numFmtId="0" fontId="21" fillId="0" borderId="0" xfId="0" applyFont="1" applyProtection="1">
      <protection locked="0"/>
    </xf>
    <xf numFmtId="0" fontId="22" fillId="0" borderId="0" xfId="0" applyFont="1" applyProtection="1">
      <protection locked="0"/>
    </xf>
    <xf numFmtId="0" fontId="22" fillId="0" borderId="0" xfId="0" applyFont="1" applyProtection="1">
      <protection hidden="1"/>
    </xf>
    <xf numFmtId="0" fontId="20" fillId="0" borderId="0" xfId="0" applyFont="1" applyProtection="1">
      <protection hidden="1"/>
    </xf>
    <xf numFmtId="0" fontId="23" fillId="0" borderId="0" xfId="0" applyFont="1" applyProtection="1">
      <protection locked="0"/>
    </xf>
    <xf numFmtId="0" fontId="20" fillId="0" borderId="0" xfId="0" applyFont="1" applyProtection="1">
      <protection locked="0"/>
    </xf>
    <xf numFmtId="0" fontId="23" fillId="0" borderId="0" xfId="0" applyFont="1" applyAlignment="1" applyProtection="1">
      <alignment horizontal="left" vertical="center"/>
      <protection locked="0"/>
    </xf>
    <xf numFmtId="0" fontId="20" fillId="0" borderId="0" xfId="0" applyFont="1" applyAlignment="1" applyProtection="1">
      <alignment horizontal="left" vertical="center"/>
      <protection locked="0"/>
    </xf>
    <xf numFmtId="0" fontId="23" fillId="0" borderId="0" xfId="0" applyFont="1" applyAlignment="1" applyProtection="1">
      <alignment horizontal="center" vertical="center"/>
      <protection locked="0"/>
    </xf>
    <xf numFmtId="0" fontId="22" fillId="5" borderId="0" xfId="0" applyFont="1" applyFill="1" applyProtection="1">
      <protection locked="0"/>
    </xf>
    <xf numFmtId="0" fontId="20" fillId="5" borderId="0" xfId="0" applyFont="1" applyFill="1" applyProtection="1">
      <protection locked="0"/>
    </xf>
    <xf numFmtId="0" fontId="23" fillId="0" borderId="0" xfId="0" applyFont="1" applyAlignment="1" applyProtection="1">
      <alignment vertical="center"/>
      <protection locked="0"/>
    </xf>
    <xf numFmtId="0" fontId="21" fillId="0" borderId="0" xfId="0" applyFont="1" applyProtection="1">
      <protection hidden="1"/>
    </xf>
    <xf numFmtId="0" fontId="26" fillId="2" borderId="0" xfId="0" applyFont="1" applyFill="1" applyAlignment="1" applyProtection="1">
      <alignment horizontal="left" vertical="center"/>
      <protection hidden="1"/>
    </xf>
    <xf numFmtId="0" fontId="26" fillId="2" borderId="0" xfId="0" applyFont="1" applyFill="1" applyAlignment="1" applyProtection="1">
      <alignment horizontal="center" vertical="center"/>
      <protection hidden="1"/>
    </xf>
    <xf numFmtId="0" fontId="23" fillId="0" borderId="0" xfId="0" applyFont="1" applyProtection="1">
      <protection hidden="1"/>
    </xf>
    <xf numFmtId="0" fontId="23" fillId="2" borderId="0" xfId="0" applyFont="1" applyFill="1" applyAlignment="1" applyProtection="1">
      <alignment horizontal="center" vertical="center"/>
      <protection hidden="1"/>
    </xf>
    <xf numFmtId="0" fontId="23" fillId="2" borderId="10" xfId="0" applyFont="1" applyFill="1" applyBorder="1" applyAlignment="1" applyProtection="1">
      <alignment horizontal="center" vertical="center"/>
      <protection hidden="1"/>
    </xf>
    <xf numFmtId="1" fontId="20" fillId="2" borderId="0" xfId="0" applyNumberFormat="1" applyFont="1" applyFill="1" applyAlignment="1" applyProtection="1">
      <alignment horizontal="center" vertical="center"/>
      <protection hidden="1"/>
    </xf>
    <xf numFmtId="0" fontId="20" fillId="2" borderId="0" xfId="0" applyFont="1" applyFill="1" applyAlignment="1" applyProtection="1">
      <alignment horizontal="center" vertical="center"/>
      <protection hidden="1"/>
    </xf>
    <xf numFmtId="0" fontId="20" fillId="2" borderId="10" xfId="0" applyFont="1" applyFill="1" applyBorder="1" applyAlignment="1" applyProtection="1">
      <alignment horizontal="center" vertical="center"/>
      <protection hidden="1"/>
    </xf>
    <xf numFmtId="0" fontId="20" fillId="2" borderId="11" xfId="0" applyFont="1" applyFill="1" applyBorder="1" applyAlignment="1" applyProtection="1">
      <alignment horizontal="center" vertical="center"/>
      <protection hidden="1"/>
    </xf>
    <xf numFmtId="0" fontId="20" fillId="2" borderId="12" xfId="0" applyFont="1" applyFill="1" applyBorder="1" applyAlignment="1" applyProtection="1">
      <alignment horizontal="center" vertical="center"/>
      <protection hidden="1"/>
    </xf>
    <xf numFmtId="0" fontId="26" fillId="5" borderId="0" xfId="0" applyFont="1" applyFill="1" applyAlignment="1" applyProtection="1">
      <alignment horizontal="center" vertical="center"/>
      <protection hidden="1"/>
    </xf>
    <xf numFmtId="0" fontId="26" fillId="2" borderId="10" xfId="0" applyFont="1" applyFill="1" applyBorder="1" applyAlignment="1" applyProtection="1">
      <alignment horizontal="center" vertical="center"/>
      <protection hidden="1"/>
    </xf>
    <xf numFmtId="0" fontId="20" fillId="0" borderId="0" xfId="0" applyFont="1" applyAlignment="1" applyProtection="1">
      <alignment horizontal="center" vertical="center"/>
      <protection hidden="1"/>
    </xf>
    <xf numFmtId="0" fontId="20" fillId="0" borderId="0" xfId="0" applyFont="1" applyAlignment="1" applyProtection="1">
      <alignment horizontal="center" vertical="center"/>
      <protection locked="0"/>
    </xf>
    <xf numFmtId="0" fontId="26" fillId="0" borderId="0" xfId="0" applyFont="1" applyAlignment="1" applyProtection="1">
      <alignment horizontal="left" vertical="center"/>
      <protection locked="0"/>
    </xf>
    <xf numFmtId="0" fontId="26" fillId="0" borderId="0" xfId="0" applyFont="1" applyProtection="1">
      <protection locked="0"/>
    </xf>
    <xf numFmtId="0" fontId="23" fillId="0" borderId="0" xfId="0" applyFont="1" applyAlignment="1" applyProtection="1">
      <alignment vertical="center"/>
      <protection hidden="1"/>
    </xf>
    <xf numFmtId="0" fontId="23" fillId="0" borderId="0" xfId="0" applyFont="1" applyAlignment="1" applyProtection="1">
      <alignment horizontal="center" vertical="center"/>
      <protection hidden="1"/>
    </xf>
    <xf numFmtId="0" fontId="23" fillId="0" borderId="0" xfId="0" applyFont="1" applyAlignment="1" applyProtection="1">
      <alignment horizontal="left" vertical="center"/>
      <protection hidden="1"/>
    </xf>
    <xf numFmtId="0" fontId="16" fillId="2" borderId="0" xfId="0" applyFont="1" applyFill="1" applyProtection="1">
      <protection locked="0"/>
    </xf>
    <xf numFmtId="0" fontId="17" fillId="2" borderId="0" xfId="0" applyFont="1" applyFill="1" applyProtection="1">
      <protection locked="0"/>
    </xf>
    <xf numFmtId="0" fontId="16" fillId="2" borderId="0" xfId="0" applyFont="1" applyFill="1" applyAlignment="1" applyProtection="1">
      <alignment horizontal="center" vertical="center"/>
      <protection locked="0"/>
    </xf>
    <xf numFmtId="0" fontId="19" fillId="2" borderId="0" xfId="0" applyFont="1" applyFill="1" applyAlignment="1" applyProtection="1">
      <alignment horizontal="center" vertical="center"/>
      <protection locked="0"/>
    </xf>
    <xf numFmtId="0" fontId="19" fillId="2" borderId="0" xfId="0" applyFont="1" applyFill="1" applyProtection="1">
      <protection locked="0"/>
    </xf>
    <xf numFmtId="0" fontId="17" fillId="6" borderId="0" xfId="0" applyFont="1" applyFill="1" applyAlignment="1" applyProtection="1">
      <alignment horizontal="center" vertical="center" wrapText="1"/>
      <protection hidden="1"/>
    </xf>
    <xf numFmtId="0" fontId="16" fillId="2" borderId="0" xfId="0" applyFont="1" applyFill="1" applyAlignment="1" applyProtection="1">
      <alignment horizontal="center" vertical="center"/>
      <protection hidden="1"/>
    </xf>
    <xf numFmtId="0" fontId="27" fillId="6" borderId="0" xfId="0" applyFont="1" applyFill="1" applyAlignment="1" applyProtection="1">
      <alignment horizontal="right" vertical="center" wrapText="1"/>
      <protection hidden="1"/>
    </xf>
    <xf numFmtId="0" fontId="18" fillId="2" borderId="0" xfId="0" applyFont="1" applyFill="1" applyAlignment="1" applyProtection="1">
      <alignment horizontal="center" vertical="center"/>
      <protection locked="0"/>
    </xf>
    <xf numFmtId="0" fontId="27" fillId="6" borderId="0" xfId="0" applyFont="1" applyFill="1" applyAlignment="1" applyProtection="1">
      <alignment horizontal="right" vertical="center" wrapText="1"/>
      <protection locked="0"/>
    </xf>
    <xf numFmtId="0" fontId="17" fillId="6" borderId="0" xfId="0" applyFont="1" applyFill="1" applyAlignment="1" applyProtection="1">
      <alignment horizontal="center" vertical="center"/>
      <protection hidden="1"/>
    </xf>
    <xf numFmtId="0" fontId="19" fillId="2" borderId="0" xfId="0" applyFont="1" applyFill="1" applyProtection="1">
      <protection hidden="1"/>
    </xf>
    <xf numFmtId="1" fontId="17" fillId="6" borderId="0" xfId="0" applyNumberFormat="1" applyFont="1" applyFill="1" applyAlignment="1" applyProtection="1">
      <alignment horizontal="center" vertical="center"/>
      <protection locked="0"/>
    </xf>
    <xf numFmtId="0" fontId="28" fillId="6" borderId="0" xfId="0" applyFont="1" applyFill="1" applyAlignment="1" applyProtection="1">
      <alignment horizontal="center"/>
      <protection hidden="1"/>
    </xf>
    <xf numFmtId="0" fontId="19" fillId="6" borderId="0" xfId="0" applyFont="1" applyFill="1" applyAlignment="1" applyProtection="1">
      <alignment horizontal="left"/>
      <protection hidden="1"/>
    </xf>
    <xf numFmtId="0" fontId="17" fillId="6" borderId="0" xfId="0" applyFont="1" applyFill="1" applyAlignment="1" applyProtection="1">
      <alignment horizontal="center" vertical="center"/>
      <protection locked="0"/>
    </xf>
    <xf numFmtId="0" fontId="28" fillId="6" borderId="0" xfId="0" applyFont="1" applyFill="1" applyAlignment="1" applyProtection="1">
      <alignment horizontal="center" vertical="center"/>
      <protection hidden="1"/>
    </xf>
    <xf numFmtId="1" fontId="17" fillId="6" borderId="0" xfId="0" applyNumberFormat="1" applyFont="1" applyFill="1" applyAlignment="1" applyProtection="1">
      <alignment horizontal="center"/>
      <protection locked="0"/>
    </xf>
    <xf numFmtId="0" fontId="17" fillId="2" borderId="0" xfId="0" applyFont="1" applyFill="1" applyAlignment="1" applyProtection="1">
      <alignment horizontal="center" vertical="center"/>
      <protection locked="0"/>
    </xf>
    <xf numFmtId="1" fontId="16" fillId="2" borderId="0" xfId="0" applyNumberFormat="1" applyFont="1" applyFill="1" applyAlignment="1" applyProtection="1">
      <alignment horizontal="center" vertical="center"/>
      <protection locked="0"/>
    </xf>
    <xf numFmtId="0" fontId="29" fillId="6" borderId="0" xfId="0" applyFont="1" applyFill="1" applyAlignment="1" applyProtection="1">
      <alignment horizontal="left"/>
      <protection hidden="1"/>
    </xf>
    <xf numFmtId="0" fontId="18" fillId="2" borderId="0" xfId="0" applyFont="1" applyFill="1" applyProtection="1">
      <protection locked="0"/>
    </xf>
    <xf numFmtId="0" fontId="19" fillId="2" borderId="0" xfId="0" applyFont="1" applyFill="1" applyAlignment="1" applyProtection="1">
      <alignment horizontal="left" vertical="center"/>
      <protection locked="0"/>
    </xf>
    <xf numFmtId="0" fontId="31" fillId="6" borderId="0" xfId="0" applyFont="1" applyFill="1" applyAlignment="1" applyProtection="1">
      <alignment horizontal="center"/>
      <protection locked="0"/>
    </xf>
    <xf numFmtId="0" fontId="19" fillId="6" borderId="0" xfId="0" applyFont="1" applyFill="1" applyAlignment="1" applyProtection="1">
      <alignment horizontal="left"/>
      <protection locked="0"/>
    </xf>
    <xf numFmtId="0" fontId="31" fillId="6" borderId="0" xfId="0" applyFont="1" applyFill="1" applyAlignment="1" applyProtection="1">
      <alignment horizontal="center" vertical="center"/>
      <protection locked="0"/>
    </xf>
    <xf numFmtId="0" fontId="32" fillId="9" borderId="0" xfId="0" applyFont="1" applyFill="1" applyAlignment="1" applyProtection="1">
      <alignment horizontal="right"/>
      <protection hidden="1"/>
    </xf>
    <xf numFmtId="0" fontId="20" fillId="9" borderId="0" xfId="0" applyFont="1" applyFill="1" applyProtection="1">
      <protection hidden="1"/>
    </xf>
    <xf numFmtId="0" fontId="32" fillId="9" borderId="0" xfId="0" applyFont="1" applyFill="1" applyProtection="1">
      <protection hidden="1"/>
    </xf>
    <xf numFmtId="0" fontId="20" fillId="9" borderId="3" xfId="0" applyFont="1" applyFill="1" applyBorder="1" applyAlignment="1" applyProtection="1">
      <alignment vertical="center" wrapText="1"/>
      <protection locked="0"/>
    </xf>
    <xf numFmtId="0" fontId="20" fillId="9" borderId="0" xfId="0" applyFont="1" applyFill="1" applyAlignment="1" applyProtection="1">
      <alignment vertical="center" wrapText="1"/>
      <protection hidden="1"/>
    </xf>
    <xf numFmtId="0" fontId="20" fillId="9" borderId="0" xfId="0" applyFont="1" applyFill="1" applyProtection="1">
      <protection locked="0"/>
    </xf>
    <xf numFmtId="0" fontId="18" fillId="2" borderId="0" xfId="0" applyFont="1" applyFill="1" applyAlignment="1" applyProtection="1">
      <alignment horizontal="center"/>
      <protection locked="0"/>
    </xf>
    <xf numFmtId="0" fontId="16" fillId="2" borderId="0" xfId="0" applyFont="1" applyFill="1" applyAlignment="1" applyProtection="1">
      <alignment horizontal="center"/>
      <protection locked="0"/>
    </xf>
    <xf numFmtId="0" fontId="16" fillId="2" borderId="0" xfId="0" applyFont="1" applyFill="1" applyAlignment="1" applyProtection="1">
      <alignment vertical="center"/>
      <protection hidden="1"/>
    </xf>
    <xf numFmtId="0" fontId="16" fillId="2" borderId="0" xfId="0" applyFont="1" applyFill="1" applyAlignment="1" applyProtection="1">
      <alignment vertical="center"/>
      <protection locked="0"/>
    </xf>
    <xf numFmtId="0" fontId="17" fillId="2" borderId="0" xfId="0" applyFont="1" applyFill="1" applyAlignment="1" applyProtection="1">
      <alignment vertical="center"/>
      <protection locked="0"/>
    </xf>
    <xf numFmtId="0" fontId="19" fillId="2" borderId="0" xfId="0" applyFont="1" applyFill="1" applyAlignment="1" applyProtection="1">
      <alignment vertical="center"/>
      <protection locked="0"/>
    </xf>
    <xf numFmtId="0" fontId="4" fillId="2" borderId="0" xfId="0" applyFont="1" applyFill="1" applyAlignment="1" applyProtection="1">
      <alignment horizontal="center"/>
      <protection hidden="1"/>
    </xf>
    <xf numFmtId="0" fontId="4" fillId="2" borderId="0" xfId="0" applyFont="1" applyFill="1" applyAlignment="1" applyProtection="1">
      <alignment horizontal="center" vertical="center"/>
      <protection hidden="1"/>
    </xf>
    <xf numFmtId="1" fontId="4" fillId="2" borderId="0" xfId="0" applyNumberFormat="1" applyFont="1" applyFill="1" applyAlignment="1" applyProtection="1">
      <alignment horizontal="center"/>
      <protection hidden="1"/>
    </xf>
    <xf numFmtId="0" fontId="10" fillId="0" borderId="0" xfId="0" applyFont="1" applyAlignment="1" applyProtection="1">
      <alignment horizontal="center"/>
      <protection hidden="1"/>
    </xf>
    <xf numFmtId="1" fontId="4" fillId="0" borderId="0" xfId="0" applyNumberFormat="1" applyFont="1" applyAlignment="1" applyProtection="1">
      <alignment horizontal="center"/>
      <protection hidden="1"/>
    </xf>
    <xf numFmtId="1" fontId="4" fillId="0" borderId="0" xfId="0" applyNumberFormat="1" applyFont="1" applyAlignment="1" applyProtection="1">
      <alignment horizontal="center" vertical="center"/>
      <protection hidden="1"/>
    </xf>
    <xf numFmtId="0" fontId="23" fillId="2" borderId="11" xfId="0" applyFont="1" applyFill="1" applyBorder="1" applyAlignment="1" applyProtection="1">
      <alignment horizontal="center" vertical="center"/>
      <protection hidden="1"/>
    </xf>
    <xf numFmtId="0" fontId="23" fillId="2" borderId="12" xfId="0" applyFont="1" applyFill="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5" fillId="0" borderId="0" xfId="0" applyFont="1" applyAlignment="1" applyProtection="1">
      <alignment horizontal="center"/>
      <protection hidden="1"/>
    </xf>
    <xf numFmtId="0" fontId="5" fillId="0" borderId="0" xfId="0" applyFont="1" applyAlignment="1" applyProtection="1">
      <alignment horizontal="left" vertical="center"/>
      <protection hidden="1"/>
    </xf>
    <xf numFmtId="0" fontId="5" fillId="0" borderId="0" xfId="0" applyFont="1" applyAlignment="1" applyProtection="1">
      <alignment horizontal="center" vertical="center" wrapText="1"/>
      <protection hidden="1"/>
    </xf>
    <xf numFmtId="0" fontId="5" fillId="0" borderId="0" xfId="0" applyFont="1" applyAlignment="1" applyProtection="1">
      <alignment horizontal="center" wrapText="1"/>
      <protection hidden="1"/>
    </xf>
    <xf numFmtId="0" fontId="5" fillId="0" borderId="0" xfId="0" applyFont="1" applyAlignment="1" applyProtection="1">
      <alignment vertical="center"/>
      <protection hidden="1"/>
    </xf>
    <xf numFmtId="0" fontId="4" fillId="2" borderId="0" xfId="0" applyFont="1" applyFill="1" applyAlignment="1" applyProtection="1">
      <alignment horizontal="left"/>
      <protection hidden="1"/>
    </xf>
    <xf numFmtId="0" fontId="4" fillId="0" borderId="0" xfId="0" applyFont="1" applyAlignment="1" applyProtection="1">
      <alignment horizontal="left"/>
      <protection hidden="1"/>
    </xf>
    <xf numFmtId="0" fontId="5" fillId="2" borderId="0" xfId="0" applyFont="1" applyFill="1" applyAlignment="1" applyProtection="1">
      <alignment horizontal="center"/>
      <protection hidden="1"/>
    </xf>
    <xf numFmtId="0" fontId="1" fillId="2" borderId="0" xfId="0" applyFont="1" applyFill="1" applyAlignment="1" applyProtection="1">
      <alignment horizontal="center" vertical="center"/>
      <protection hidden="1"/>
    </xf>
    <xf numFmtId="0" fontId="25" fillId="2" borderId="0" xfId="0" applyFont="1" applyFill="1" applyAlignment="1" applyProtection="1">
      <alignment vertical="center"/>
      <protection hidden="1"/>
    </xf>
    <xf numFmtId="0" fontId="25" fillId="2" borderId="11" xfId="0" applyFont="1" applyFill="1" applyBorder="1" applyAlignment="1" applyProtection="1">
      <alignment vertical="center"/>
      <protection hidden="1"/>
    </xf>
    <xf numFmtId="0" fontId="26" fillId="5" borderId="0" xfId="0" applyFont="1" applyFill="1" applyAlignment="1" applyProtection="1">
      <alignment vertical="center"/>
      <protection hidden="1"/>
    </xf>
    <xf numFmtId="0" fontId="35" fillId="2" borderId="0" xfId="0" applyFont="1" applyFill="1" applyAlignment="1" applyProtection="1">
      <alignment horizontal="center" vertical="center"/>
      <protection hidden="1"/>
    </xf>
    <xf numFmtId="0" fontId="35" fillId="2" borderId="11" xfId="0" applyFont="1" applyFill="1" applyBorder="1" applyAlignment="1" applyProtection="1">
      <alignment horizontal="center" vertical="center"/>
      <protection hidden="1"/>
    </xf>
    <xf numFmtId="0" fontId="35" fillId="5" borderId="0" xfId="0" applyFont="1" applyFill="1" applyAlignment="1" applyProtection="1">
      <alignment horizontal="center" vertical="center"/>
      <protection hidden="1"/>
    </xf>
    <xf numFmtId="0" fontId="22" fillId="2" borderId="0" xfId="0" applyFont="1" applyFill="1" applyProtection="1">
      <protection hidden="1"/>
    </xf>
    <xf numFmtId="0" fontId="20" fillId="2" borderId="0" xfId="0" applyFont="1" applyFill="1" applyProtection="1">
      <protection hidden="1"/>
    </xf>
    <xf numFmtId="0" fontId="22" fillId="2" borderId="0" xfId="0" applyFont="1" applyFill="1" applyAlignment="1" applyProtection="1">
      <alignment horizontal="center" vertical="center"/>
      <protection locked="0"/>
    </xf>
    <xf numFmtId="0" fontId="22" fillId="2" borderId="0" xfId="0" applyFont="1" applyFill="1" applyProtection="1">
      <protection locked="0"/>
    </xf>
    <xf numFmtId="0" fontId="21" fillId="2" borderId="0" xfId="0" applyFont="1" applyFill="1" applyProtection="1">
      <protection hidden="1"/>
    </xf>
    <xf numFmtId="0" fontId="22" fillId="2" borderId="0" xfId="0" applyFont="1" applyFill="1" applyAlignment="1" applyProtection="1">
      <alignment horizontal="left" vertical="center"/>
      <protection hidden="1"/>
    </xf>
    <xf numFmtId="0" fontId="24" fillId="2" borderId="0" xfId="0" applyFont="1" applyFill="1" applyAlignment="1" applyProtection="1">
      <alignment horizontal="left" vertical="center"/>
      <protection hidden="1"/>
    </xf>
    <xf numFmtId="0" fontId="22" fillId="2" borderId="0" xfId="0" applyFont="1" applyFill="1" applyAlignment="1" applyProtection="1">
      <alignment horizontal="left" vertical="center"/>
      <protection locked="0"/>
    </xf>
    <xf numFmtId="0" fontId="20" fillId="2" borderId="0" xfId="0" applyFont="1" applyFill="1" applyAlignment="1" applyProtection="1">
      <alignment horizontal="left" vertical="center"/>
      <protection locked="0"/>
    </xf>
    <xf numFmtId="0" fontId="24" fillId="2" borderId="0" xfId="0" applyFont="1" applyFill="1" applyAlignment="1" applyProtection="1">
      <alignment vertical="center"/>
      <protection hidden="1"/>
    </xf>
    <xf numFmtId="0" fontId="34" fillId="2" borderId="0" xfId="0" applyFont="1" applyFill="1" applyAlignment="1" applyProtection="1">
      <alignment horizontal="left" vertical="center"/>
      <protection hidden="1"/>
    </xf>
    <xf numFmtId="0" fontId="34" fillId="2" borderId="0" xfId="0" applyFont="1" applyFill="1" applyAlignment="1" applyProtection="1">
      <alignment vertical="center"/>
      <protection hidden="1"/>
    </xf>
    <xf numFmtId="0" fontId="23" fillId="2" borderId="9" xfId="0" applyFont="1" applyFill="1" applyBorder="1" applyProtection="1">
      <protection hidden="1"/>
    </xf>
    <xf numFmtId="0" fontId="23" fillId="2" borderId="0" xfId="0" applyFont="1" applyFill="1" applyAlignment="1" applyProtection="1">
      <alignment horizontal="left" vertical="center"/>
      <protection locked="0"/>
    </xf>
    <xf numFmtId="0" fontId="23" fillId="7" borderId="0" xfId="0" applyFont="1" applyFill="1" applyAlignment="1" applyProtection="1">
      <alignment horizontal="left" vertical="center"/>
      <protection locked="0"/>
    </xf>
    <xf numFmtId="14" fontId="37" fillId="2" borderId="0" xfId="0" applyNumberFormat="1" applyFont="1" applyFill="1" applyAlignment="1" applyProtection="1">
      <alignment horizontal="left" vertical="center"/>
      <protection locked="0"/>
    </xf>
    <xf numFmtId="0" fontId="25" fillId="2" borderId="0" xfId="0" applyFont="1" applyFill="1" applyAlignment="1" applyProtection="1">
      <alignment vertical="center"/>
      <protection locked="0"/>
    </xf>
    <xf numFmtId="0" fontId="23" fillId="2" borderId="0" xfId="0" applyFont="1" applyFill="1" applyProtection="1">
      <protection locked="0"/>
    </xf>
    <xf numFmtId="0" fontId="20" fillId="2" borderId="0" xfId="0" applyFont="1" applyFill="1" applyProtection="1">
      <protection locked="0"/>
    </xf>
    <xf numFmtId="0" fontId="21" fillId="2" borderId="0" xfId="0" applyFont="1" applyFill="1" applyProtection="1">
      <protection locked="0"/>
    </xf>
    <xf numFmtId="0" fontId="22" fillId="2" borderId="0" xfId="0" applyFont="1" applyFill="1" applyAlignment="1" applyProtection="1">
      <alignment vertical="center"/>
      <protection locked="0"/>
    </xf>
    <xf numFmtId="164" fontId="25" fillId="2" borderId="0" xfId="0" applyNumberFormat="1" applyFont="1" applyFill="1" applyAlignment="1" applyProtection="1">
      <alignment vertical="center"/>
      <protection locked="0"/>
    </xf>
    <xf numFmtId="0" fontId="24" fillId="2" borderId="0" xfId="0" applyFont="1" applyFill="1" applyAlignment="1" applyProtection="1">
      <alignment horizontal="left" vertical="center"/>
      <protection locked="0"/>
    </xf>
    <xf numFmtId="0" fontId="21" fillId="2" borderId="0" xfId="0" applyFont="1" applyFill="1" applyAlignment="1" applyProtection="1">
      <alignment vertical="center"/>
      <protection locked="0"/>
    </xf>
    <xf numFmtId="0" fontId="0" fillId="0" borderId="0" xfId="0" applyProtection="1">
      <protection locked="0"/>
    </xf>
    <xf numFmtId="0" fontId="22" fillId="5" borderId="9" xfId="0" applyFont="1" applyFill="1" applyBorder="1" applyProtection="1">
      <protection locked="0"/>
    </xf>
    <xf numFmtId="0" fontId="22" fillId="5" borderId="0" xfId="0" applyFont="1" applyFill="1" applyAlignment="1" applyProtection="1">
      <alignment horizontal="center" vertical="center"/>
      <protection locked="0"/>
    </xf>
    <xf numFmtId="0" fontId="22" fillId="5" borderId="0" xfId="0" applyFont="1" applyFill="1" applyAlignment="1" applyProtection="1">
      <alignment vertical="center"/>
      <protection locked="0"/>
    </xf>
    <xf numFmtId="0" fontId="20" fillId="8" borderId="0" xfId="0" applyFont="1" applyFill="1" applyProtection="1">
      <protection locked="0"/>
    </xf>
    <xf numFmtId="0" fontId="20" fillId="0" borderId="0" xfId="0" applyFont="1" applyAlignment="1" applyProtection="1">
      <alignment horizontal="left" vertical="center"/>
      <protection hidden="1"/>
    </xf>
    <xf numFmtId="0" fontId="22" fillId="2" borderId="9" xfId="0" applyFont="1" applyFill="1" applyBorder="1" applyProtection="1">
      <protection locked="0"/>
    </xf>
    <xf numFmtId="0" fontId="16" fillId="0" borderId="0" xfId="0" applyFont="1" applyAlignment="1" applyProtection="1">
      <alignment horizontal="justify" vertical="top" wrapText="1"/>
      <protection hidden="1"/>
    </xf>
    <xf numFmtId="0" fontId="16" fillId="0" borderId="0" xfId="0" applyFont="1" applyAlignment="1" applyProtection="1">
      <alignment horizontal="left" vertical="center"/>
      <protection hidden="1"/>
    </xf>
    <xf numFmtId="0" fontId="16" fillId="0" borderId="0" xfId="0" applyFont="1" applyAlignment="1" applyProtection="1">
      <alignment horizontal="justify" vertical="top" wrapText="1" readingOrder="1"/>
      <protection hidden="1"/>
    </xf>
    <xf numFmtId="0" fontId="18" fillId="0" borderId="0" xfId="0" applyFont="1" applyAlignment="1" applyProtection="1">
      <alignment horizontal="left" vertical="center"/>
      <protection hidden="1"/>
    </xf>
    <xf numFmtId="0" fontId="16" fillId="0" borderId="0" xfId="0" applyFont="1" applyAlignment="1" applyProtection="1">
      <alignment horizontal="left" vertical="top" wrapText="1"/>
      <protection hidden="1"/>
    </xf>
    <xf numFmtId="0" fontId="17" fillId="2" borderId="0" xfId="0" applyFont="1" applyFill="1" applyAlignment="1" applyProtection="1">
      <alignment horizontal="left"/>
      <protection hidden="1"/>
    </xf>
    <xf numFmtId="0" fontId="16" fillId="0" borderId="0" xfId="0" applyFont="1" applyAlignment="1" applyProtection="1">
      <alignment horizontal="justify" vertical="top"/>
      <protection hidden="1"/>
    </xf>
    <xf numFmtId="0" fontId="16" fillId="0" borderId="4" xfId="0" applyFont="1" applyBorder="1" applyAlignment="1" applyProtection="1">
      <alignment horizontal="left" vertical="center"/>
      <protection hidden="1"/>
    </xf>
    <xf numFmtId="0" fontId="18" fillId="2" borderId="3" xfId="0" applyFont="1" applyFill="1" applyBorder="1" applyAlignment="1" applyProtection="1">
      <alignment horizontal="left" vertical="center"/>
      <protection hidden="1"/>
    </xf>
    <xf numFmtId="0" fontId="17" fillId="2" borderId="3" xfId="0" applyFont="1" applyFill="1" applyBorder="1" applyAlignment="1" applyProtection="1">
      <alignment horizontal="left" vertical="center"/>
      <protection hidden="1"/>
    </xf>
    <xf numFmtId="0" fontId="19" fillId="2" borderId="0" xfId="0" applyFont="1" applyFill="1" applyAlignment="1" applyProtection="1">
      <alignment horizontal="justify" vertical="top" wrapText="1"/>
      <protection hidden="1"/>
    </xf>
    <xf numFmtId="0" fontId="20" fillId="9" borderId="3" xfId="0" applyFont="1" applyFill="1" applyBorder="1" applyAlignment="1" applyProtection="1">
      <alignment horizontal="left"/>
      <protection locked="0"/>
    </xf>
    <xf numFmtId="0" fontId="32" fillId="9" borderId="0" xfId="0" applyFont="1" applyFill="1" applyAlignment="1" applyProtection="1">
      <alignment horizontal="left" vertical="center"/>
      <protection hidden="1"/>
    </xf>
    <xf numFmtId="0" fontId="20" fillId="9" borderId="3" xfId="0" applyFont="1" applyFill="1" applyBorder="1" applyAlignment="1" applyProtection="1">
      <alignment horizontal="left" vertical="center" wrapText="1"/>
      <protection locked="0"/>
    </xf>
    <xf numFmtId="0" fontId="32" fillId="9" borderId="0" xfId="0" applyFont="1" applyFill="1" applyAlignment="1" applyProtection="1">
      <alignment horizontal="left"/>
      <protection hidden="1"/>
    </xf>
    <xf numFmtId="49" fontId="20" fillId="9" borderId="3" xfId="0" applyNumberFormat="1" applyFont="1" applyFill="1" applyBorder="1" applyAlignment="1" applyProtection="1">
      <alignment horizontal="left"/>
      <protection locked="0"/>
    </xf>
    <xf numFmtId="165" fontId="20" fillId="9" borderId="3" xfId="0" applyNumberFormat="1" applyFont="1" applyFill="1" applyBorder="1" applyAlignment="1" applyProtection="1">
      <alignment horizontal="left" vertical="center"/>
      <protection locked="0"/>
    </xf>
    <xf numFmtId="0" fontId="20" fillId="9" borderId="3" xfId="0" applyFont="1" applyFill="1" applyBorder="1" applyAlignment="1" applyProtection="1">
      <alignment horizontal="left" vertical="center"/>
      <protection locked="0"/>
    </xf>
    <xf numFmtId="0" fontId="20" fillId="2" borderId="4" xfId="0" applyFont="1" applyFill="1" applyBorder="1" applyAlignment="1" applyProtection="1">
      <alignment horizontal="justify" vertical="top" wrapText="1" readingOrder="1"/>
      <protection locked="0"/>
    </xf>
    <xf numFmtId="0" fontId="20" fillId="2" borderId="0" xfId="0" applyFont="1" applyFill="1" applyAlignment="1" applyProtection="1">
      <alignment horizontal="justify" vertical="top" wrapText="1" readingOrder="1"/>
      <protection locked="0"/>
    </xf>
    <xf numFmtId="0" fontId="20" fillId="9" borderId="0" xfId="0" applyFont="1" applyFill="1" applyAlignment="1" applyProtection="1">
      <alignment horizontal="justify" vertical="top" wrapText="1" readingOrder="1"/>
      <protection hidden="1"/>
    </xf>
    <xf numFmtId="0" fontId="32" fillId="9" borderId="0" xfId="0" applyFont="1" applyFill="1" applyAlignment="1" applyProtection="1">
      <alignment horizontal="right" vertical="center" wrapText="1"/>
      <protection hidden="1"/>
    </xf>
    <xf numFmtId="0" fontId="19" fillId="6" borderId="0" xfId="0" applyFont="1" applyFill="1" applyAlignment="1" applyProtection="1">
      <alignment horizontal="justify" vertical="top" wrapText="1" readingOrder="1"/>
      <protection hidden="1"/>
    </xf>
    <xf numFmtId="0" fontId="36" fillId="2" borderId="13" xfId="0" applyFont="1" applyFill="1" applyBorder="1" applyAlignment="1" applyProtection="1">
      <alignment horizontal="right" vertical="center" textRotation="90"/>
      <protection hidden="1"/>
    </xf>
    <xf numFmtId="0" fontId="25" fillId="2" borderId="0" xfId="0" applyFont="1" applyFill="1" applyAlignment="1" applyProtection="1">
      <alignment horizontal="left" vertical="center"/>
      <protection locked="0"/>
    </xf>
    <xf numFmtId="0" fontId="22" fillId="2" borderId="0" xfId="0" applyFont="1" applyFill="1" applyAlignment="1" applyProtection="1">
      <alignment horizontal="center" vertical="center"/>
      <protection locked="0"/>
    </xf>
    <xf numFmtId="0" fontId="5" fillId="0" borderId="0" xfId="0" applyFont="1" applyAlignment="1" applyProtection="1">
      <alignment horizontal="center" vertical="center" wrapText="1"/>
      <protection hidden="1"/>
    </xf>
    <xf numFmtId="0" fontId="8" fillId="0" borderId="0" xfId="0" applyFont="1" applyAlignment="1">
      <alignment horizontal="center" vertical="center"/>
    </xf>
    <xf numFmtId="0" fontId="14" fillId="0" borderId="0" xfId="0" applyFont="1" applyAlignment="1">
      <alignment horizontal="center" vertical="center"/>
    </xf>
    <xf numFmtId="0" fontId="5" fillId="0" borderId="0" xfId="0" applyFont="1" applyAlignment="1">
      <alignment horizontal="center" vertical="center"/>
    </xf>
    <xf numFmtId="0" fontId="1" fillId="0" borderId="0" xfId="0" applyFont="1" applyAlignment="1">
      <alignment horizontal="center" vertical="center"/>
    </xf>
    <xf numFmtId="0" fontId="7" fillId="3" borderId="0" xfId="0" applyFont="1" applyFill="1" applyAlignment="1">
      <alignment horizontal="center" vertical="center"/>
    </xf>
    <xf numFmtId="0" fontId="2" fillId="3" borderId="0" xfId="0" applyFont="1" applyFill="1" applyAlignment="1">
      <alignment horizontal="center" vertical="center"/>
    </xf>
    <xf numFmtId="0" fontId="6" fillId="3" borderId="0" xfId="0" applyFont="1" applyFill="1" applyAlignment="1">
      <alignment horizontal="center" vertical="center"/>
    </xf>
  </cellXfs>
  <cellStyles count="1">
    <cellStyle name="Normal" xfId="0" builtinId="0"/>
  </cellStyles>
  <dxfs count="2">
    <dxf>
      <fill>
        <patternFill>
          <bgColor rgb="FFFFEBED"/>
        </patternFill>
      </fill>
      <border>
        <left style="hair">
          <color auto="1"/>
        </left>
        <right style="hair">
          <color auto="1"/>
        </right>
        <top style="hair">
          <color auto="1"/>
        </top>
        <bottom style="hair">
          <color auto="1"/>
        </bottom>
      </border>
    </dxf>
    <dxf>
      <fill>
        <patternFill>
          <bgColor rgb="FFFFEBED"/>
        </patternFill>
      </fill>
      <border>
        <left style="hair">
          <color auto="1"/>
        </left>
        <right style="hair">
          <color auto="1"/>
        </right>
        <top style="hair">
          <color auto="1"/>
        </top>
        <bottom style="hair">
          <color auto="1"/>
        </bottom>
      </border>
    </dxf>
  </dxfs>
  <tableStyles count="1" defaultTableStyle="TableStyleMedium2" defaultPivotStyle="PivotStyleLight16">
    <tableStyle name="Invisible" pivot="0" table="0" count="0" xr9:uid="{0D2BB89D-00B4-47F0-9B19-0B58359BB26E}"/>
  </tableStyles>
  <colors>
    <mruColors>
      <color rgb="FFDA9AA5"/>
      <color rgb="FFFFEBED"/>
      <color rgb="FFE6C3CA"/>
      <color rgb="FFF6EAEC"/>
      <color rgb="FF740000"/>
      <color rgb="FF9AA0C9"/>
      <color rgb="FF5E69AA"/>
      <color rgb="FFD6D9EA"/>
      <color rgb="FFB8BCDA"/>
      <color rgb="FF8A2D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1663759567"/>
        <c:axId val="1846358896"/>
      </c:scatterChart>
      <c:valAx>
        <c:axId val="1663759567"/>
        <c:scaling>
          <c:orientation val="minMax"/>
          <c:max val="115"/>
          <c:min val="0"/>
        </c:scaling>
        <c:delete val="1"/>
        <c:axPos val="t"/>
        <c:numFmt formatCode="General" sourceLinked="1"/>
        <c:majorTickMark val="out"/>
        <c:minorTickMark val="none"/>
        <c:tickLblPos val="nextTo"/>
        <c:crossAx val="1846358896"/>
        <c:crosses val="autoZero"/>
        <c:crossBetween val="midCat"/>
        <c:majorUnit val="5"/>
      </c:valAx>
      <c:valAx>
        <c:axId val="1846358896"/>
        <c:scaling>
          <c:orientation val="maxMin"/>
          <c:max val="3"/>
          <c:min val="1"/>
        </c:scaling>
        <c:delete val="1"/>
        <c:axPos val="l"/>
        <c:numFmt formatCode="General" sourceLinked="1"/>
        <c:majorTickMark val="out"/>
        <c:minorTickMark val="none"/>
        <c:tickLblPos val="nextTo"/>
        <c:crossAx val="1663759567"/>
        <c:crosses val="autoZero"/>
        <c:crossBetween val="midCat"/>
        <c:majorUnit val="1"/>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0.23119762859183707"/>
          <c:w val="0.91752562899492052"/>
          <c:h val="0.62746473526275659"/>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Perfil!$L$14:$L$16</c:f>
              <c:numCache>
                <c:formatCode>General</c:formatCode>
                <c:ptCount val="3"/>
                <c:pt idx="0">
                  <c:v>90</c:v>
                </c:pt>
                <c:pt idx="1">
                  <c:v>67</c:v>
                </c:pt>
                <c:pt idx="2">
                  <c:v>99</c:v>
                </c:pt>
              </c:numCache>
            </c:numRef>
          </c:xVal>
          <c:yVal>
            <c:numRef>
              <c:f>Perfil!$Q$14:$Q$16</c:f>
              <c:numCache>
                <c:formatCode>General</c:formatCode>
                <c:ptCount val="3"/>
                <c:pt idx="0">
                  <c:v>1</c:v>
                </c:pt>
                <c:pt idx="1">
                  <c:v>2</c:v>
                </c:pt>
                <c:pt idx="2">
                  <c:v>3</c:v>
                </c:pt>
              </c:numCache>
            </c:numRef>
          </c:yVal>
          <c:smooth val="0"/>
          <c:extLst>
            <c:ext xmlns:c16="http://schemas.microsoft.com/office/drawing/2014/chart" uri="{C3380CC4-5D6E-409C-BE32-E72D297353CC}">
              <c16:uniqueId val="{0000000B-8C80-4E60-80E2-A6630AB788E4}"/>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3"/>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4.3490585405249076E-2"/>
          <c:w val="0.91752562899492052"/>
          <c:h val="0.9269670017086028"/>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Perfil!$L$18:$L$28</c:f>
              <c:numCache>
                <c:formatCode>General</c:formatCode>
                <c:ptCount val="11"/>
                <c:pt idx="0">
                  <c:v>80</c:v>
                </c:pt>
                <c:pt idx="1">
                  <c:v>110</c:v>
                </c:pt>
                <c:pt idx="2">
                  <c:v>113</c:v>
                </c:pt>
                <c:pt idx="3">
                  <c:v>31</c:v>
                </c:pt>
                <c:pt idx="4">
                  <c:v>1</c:v>
                </c:pt>
                <c:pt idx="5">
                  <c:v>10</c:v>
                </c:pt>
                <c:pt idx="6">
                  <c:v>41</c:v>
                </c:pt>
                <c:pt idx="7">
                  <c:v>35</c:v>
                </c:pt>
                <c:pt idx="8">
                  <c:v>14</c:v>
                </c:pt>
                <c:pt idx="9">
                  <c:v>99</c:v>
                </c:pt>
                <c:pt idx="10">
                  <c:v>115</c:v>
                </c:pt>
              </c:numCache>
            </c:numRef>
          </c:xVal>
          <c:yVal>
            <c:numRef>
              <c:f>Perfil!$Q$18:$Q$28</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yVal>
          <c:smooth val="0"/>
          <c:extLst>
            <c:ext xmlns:c16="http://schemas.microsoft.com/office/drawing/2014/chart" uri="{C3380CC4-5D6E-409C-BE32-E72D297353CC}">
              <c16:uniqueId val="{00000000-BFCC-4D40-9ECE-C5516BB0419F}"/>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11"/>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0.40000209974855511"/>
          <c:w val="0.91752562899492052"/>
          <c:h val="0.51618643667420827"/>
        </c:manualLayout>
      </c:layout>
      <c:scatterChart>
        <c:scatterStyle val="lineMarker"/>
        <c:varyColors val="0"/>
        <c:ser>
          <c:idx val="0"/>
          <c:order val="0"/>
          <c:spPr>
            <a:ln w="25400" cap="rnd">
              <a:solidFill>
                <a:schemeClr val="tx1"/>
              </a:solidFill>
              <a:round/>
            </a:ln>
            <a:effectLst/>
          </c:spPr>
          <c:marker>
            <c:symbol val="circle"/>
            <c:size val="5"/>
            <c:spPr>
              <a:solidFill>
                <a:schemeClr val="tx1"/>
              </a:solidFill>
              <a:ln w="53975">
                <a:solidFill>
                  <a:schemeClr val="tx1"/>
                </a:solidFill>
              </a:ln>
              <a:effectLst/>
            </c:spPr>
          </c:marker>
          <c:xVal>
            <c:numRef>
              <c:f>Perfil!$L$29</c:f>
              <c:numCache>
                <c:formatCode>General</c:formatCode>
                <c:ptCount val="1"/>
                <c:pt idx="0">
                  <c:v>89</c:v>
                </c:pt>
              </c:numCache>
            </c:numRef>
          </c:xVal>
          <c:yVal>
            <c:numRef>
              <c:f>Perfil!$Q$29</c:f>
              <c:numCache>
                <c:formatCode>General</c:formatCode>
                <c:ptCount val="1"/>
                <c:pt idx="0">
                  <c:v>1</c:v>
                </c:pt>
              </c:numCache>
            </c:numRef>
          </c:yVal>
          <c:smooth val="0"/>
          <c:extLst>
            <c:ext xmlns:c16="http://schemas.microsoft.com/office/drawing/2014/chart" uri="{C3380CC4-5D6E-409C-BE32-E72D297353CC}">
              <c16:uniqueId val="{00000000-1D6A-4D68-926E-D8E703D27F38}"/>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2"/>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4.6913856609682413E-2"/>
          <c:w val="0.91752562899492052"/>
          <c:h val="0.89140645551302589"/>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Perfil!$L$31:$L$38</c:f>
              <c:numCache>
                <c:formatCode>General</c:formatCode>
                <c:ptCount val="8"/>
                <c:pt idx="0">
                  <c:v>65</c:v>
                </c:pt>
                <c:pt idx="1">
                  <c:v>98</c:v>
                </c:pt>
                <c:pt idx="2">
                  <c:v>107</c:v>
                </c:pt>
                <c:pt idx="3">
                  <c:v>63</c:v>
                </c:pt>
                <c:pt idx="4">
                  <c:v>79</c:v>
                </c:pt>
                <c:pt idx="5">
                  <c:v>3</c:v>
                </c:pt>
                <c:pt idx="6">
                  <c:v>72</c:v>
                </c:pt>
                <c:pt idx="7">
                  <c:v>111</c:v>
                </c:pt>
              </c:numCache>
            </c:numRef>
          </c:xVal>
          <c:yVal>
            <c:numRef>
              <c:f>Perfil!$Q$31:$Q$38</c:f>
              <c:numCache>
                <c:formatCode>General</c:formatCode>
                <c:ptCount val="8"/>
                <c:pt idx="0">
                  <c:v>1</c:v>
                </c:pt>
                <c:pt idx="1">
                  <c:v>2</c:v>
                </c:pt>
                <c:pt idx="2">
                  <c:v>3</c:v>
                </c:pt>
                <c:pt idx="3">
                  <c:v>4</c:v>
                </c:pt>
                <c:pt idx="4">
                  <c:v>5</c:v>
                </c:pt>
                <c:pt idx="5">
                  <c:v>6</c:v>
                </c:pt>
                <c:pt idx="6">
                  <c:v>7</c:v>
                </c:pt>
                <c:pt idx="7">
                  <c:v>8</c:v>
                </c:pt>
              </c:numCache>
            </c:numRef>
          </c:yVal>
          <c:smooth val="0"/>
          <c:extLst>
            <c:ext xmlns:c16="http://schemas.microsoft.com/office/drawing/2014/chart" uri="{C3380CC4-5D6E-409C-BE32-E72D297353CC}">
              <c16:uniqueId val="{00000000-9645-40F1-8DAF-21F44DCAE28F}"/>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8"/>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7.0720817359765709E-2"/>
          <c:w val="0.91752562899492052"/>
          <c:h val="0.88302686037314082"/>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Perfil!$L$39:$L$46</c:f>
              <c:numCache>
                <c:formatCode>General</c:formatCode>
                <c:ptCount val="7"/>
                <c:pt idx="0">
                  <c:v>110</c:v>
                </c:pt>
                <c:pt idx="1">
                  <c:v>50</c:v>
                </c:pt>
                <c:pt idx="2">
                  <c:v>6</c:v>
                </c:pt>
                <c:pt idx="3">
                  <c:v>70</c:v>
                </c:pt>
                <c:pt idx="4">
                  <c:v>96</c:v>
                </c:pt>
                <c:pt idx="5">
                  <c:v>105</c:v>
                </c:pt>
                <c:pt idx="6">
                  <c:v>108</c:v>
                </c:pt>
              </c:numCache>
            </c:numRef>
          </c:xVal>
          <c:yVal>
            <c:numRef>
              <c:f>Perfil!$Q$39:$Q$46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0-BB72-44A9-AF12-414B1E1EF5B2}"/>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7"/>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O$3" lockText="1"/>
</file>

<file path=xl/ctrlProps/ctrlProp2.xml><?xml version="1.0" encoding="utf-8"?>
<formControlPr xmlns="http://schemas.microsoft.com/office/spreadsheetml/2009/9/main" objectType="CheckBox" fmlaLink="$O$4" lockText="1"/>
</file>

<file path=xl/ctrlProps/ctrlProp3.xml><?xml version="1.0" encoding="utf-8"?>
<formControlPr xmlns="http://schemas.microsoft.com/office/spreadsheetml/2009/9/main" objectType="CheckBox" checked="Checked" fmlaLink="$N$21" lockText="1"/>
</file>

<file path=xl/ctrlProps/ctrlProp4.xml><?xml version="1.0" encoding="utf-8"?>
<formControlPr xmlns="http://schemas.microsoft.com/office/spreadsheetml/2009/9/main" objectType="CheckBox" fmlaLink="$P$21" lockText="1"/>
</file>

<file path=xl/ctrlProps/ctrlProp5.xml><?xml version="1.0" encoding="utf-8"?>
<formControlPr xmlns="http://schemas.microsoft.com/office/spreadsheetml/2009/9/main" objectType="CheckBox" checked="Checked" fmlaLink="$N$22"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checked="Checked" fmlaLink="$N$23"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checked="Checked" fmlaLink="$N$24"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checked="Checked" fmlaLink="$N$25"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checked="Checked" fmlaLink="$N$26" lockText="1"/>
</file>

<file path=xl/ctrlProps/ctrlProp15.xml><?xml version="1.0" encoding="utf-8"?>
<formControlPr xmlns="http://schemas.microsoft.com/office/spreadsheetml/2009/9/main" objectType="CheckBox" checked="Checked" lockText="1"/>
</file>

<file path=xl/ctrlProps/ctrlProp16.xml><?xml version="1.0" encoding="utf-8"?>
<formControlPr xmlns="http://schemas.microsoft.com/office/spreadsheetml/2009/9/main" objectType="CheckBox" fmlaLink="$N$27" lockText="1"/>
</file>

<file path=xl/ctrlProps/ctrlProp17.xml><?xml version="1.0" encoding="utf-8"?>
<formControlPr xmlns="http://schemas.microsoft.com/office/spreadsheetml/2009/9/main" objectType="CheckBox" checked="Checked" lockText="1"/>
</file>

<file path=xl/ctrlProps/ctrlProp18.xml><?xml version="1.0" encoding="utf-8"?>
<formControlPr xmlns="http://schemas.microsoft.com/office/spreadsheetml/2009/9/main" objectType="CheckBox" fmlaLink="$N$28"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checked="Checked" fmlaLink="$N$29"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checked="Checked" fmlaLink="$N$30"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31" fmlaLink="$A$2" fmlaRange="$S$2:$S$9" sel="1" val="0"/>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Ingreso de Datos'!A1"/><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erfil!A1"/></Relationships>
</file>

<file path=xl/drawings/_rels/drawing3.xml.rels><?xml version="1.0" encoding="UTF-8" standalone="yes"?>
<Relationships xmlns="http://schemas.openxmlformats.org/package/2006/relationships"><Relationship Id="rId8" Type="http://schemas.openxmlformats.org/officeDocument/2006/relationships/hyperlink" Target="#Informe!A1"/><Relationship Id="rId3" Type="http://schemas.openxmlformats.org/officeDocument/2006/relationships/chart" Target="../charts/chart3.xml"/><Relationship Id="rId7" Type="http://schemas.openxmlformats.org/officeDocument/2006/relationships/image" Target="../media/image9.png"/><Relationship Id="rId12" Type="http://schemas.openxmlformats.org/officeDocument/2006/relationships/image" Target="../media/image1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2.png"/><Relationship Id="rId5" Type="http://schemas.openxmlformats.org/officeDocument/2006/relationships/chart" Target="../charts/chart5.xml"/><Relationship Id="rId10" Type="http://schemas.openxmlformats.org/officeDocument/2006/relationships/image" Target="../media/image11.svg"/><Relationship Id="rId4" Type="http://schemas.openxmlformats.org/officeDocument/2006/relationships/chart" Target="../charts/chart4.xml"/><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6</xdr:col>
      <xdr:colOff>373959</xdr:colOff>
      <xdr:row>0</xdr:row>
      <xdr:rowOff>0</xdr:rowOff>
    </xdr:from>
    <xdr:to>
      <xdr:col>9</xdr:col>
      <xdr:colOff>152400</xdr:colOff>
      <xdr:row>6</xdr:row>
      <xdr:rowOff>9525</xdr:rowOff>
    </xdr:to>
    <xdr:pic>
      <xdr:nvPicPr>
        <xdr:cNvPr id="2" name="Imagen 1">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35" t="19354" r="4671" b="36981"/>
        <a:stretch/>
      </xdr:blipFill>
      <xdr:spPr bwMode="auto">
        <a:xfrm>
          <a:off x="4622109" y="0"/>
          <a:ext cx="2340666" cy="1095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47625</xdr:colOff>
          <xdr:row>10</xdr:row>
          <xdr:rowOff>9525</xdr:rowOff>
        </xdr:from>
        <xdr:to>
          <xdr:col>2</xdr:col>
          <xdr:colOff>609600</xdr:colOff>
          <xdr:row>11</xdr:row>
          <xdr:rowOff>9525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Varón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10</xdr:row>
          <xdr:rowOff>19050</xdr:rowOff>
        </xdr:from>
        <xdr:to>
          <xdr:col>3</xdr:col>
          <xdr:colOff>685800</xdr:colOff>
          <xdr:row>11</xdr:row>
          <xdr:rowOff>9525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Mujer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19</xdr:row>
          <xdr:rowOff>190500</xdr:rowOff>
        </xdr:from>
        <xdr:to>
          <xdr:col>4</xdr:col>
          <xdr:colOff>19050</xdr:colOff>
          <xdr:row>21</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456727</xdr:colOff>
      <xdr:row>19</xdr:row>
      <xdr:rowOff>71231</xdr:rowOff>
    </xdr:from>
    <xdr:to>
      <xdr:col>7</xdr:col>
      <xdr:colOff>622379</xdr:colOff>
      <xdr:row>20</xdr:row>
      <xdr:rowOff>13253</xdr:rowOff>
    </xdr:to>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5915913" y="3690731"/>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1</a:t>
          </a:r>
        </a:p>
      </xdr:txBody>
    </xdr:sp>
    <xdr:clientData/>
  </xdr:twoCellAnchor>
  <xdr:twoCellAnchor>
    <xdr:from>
      <xdr:col>7</xdr:col>
      <xdr:colOff>715142</xdr:colOff>
      <xdr:row>19</xdr:row>
      <xdr:rowOff>65788</xdr:rowOff>
    </xdr:from>
    <xdr:to>
      <xdr:col>8</xdr:col>
      <xdr:colOff>20823</xdr:colOff>
      <xdr:row>20</xdr:row>
      <xdr:rowOff>7810</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174328" y="3685288"/>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2</a:t>
          </a:r>
        </a:p>
      </xdr:txBody>
    </xdr:sp>
    <xdr:clientData/>
  </xdr:twoCellAnchor>
  <mc:AlternateContent xmlns:mc="http://schemas.openxmlformats.org/markup-compatibility/2006">
    <mc:Choice xmlns:a14="http://schemas.microsoft.com/office/drawing/2010/main" Requires="a14">
      <xdr:twoCellAnchor editAs="oneCell">
        <xdr:from>
          <xdr:col>4</xdr:col>
          <xdr:colOff>66675</xdr:colOff>
          <xdr:row>19</xdr:row>
          <xdr:rowOff>190500</xdr:rowOff>
        </xdr:from>
        <xdr:to>
          <xdr:col>4</xdr:col>
          <xdr:colOff>342900</xdr:colOff>
          <xdr:row>21</xdr:row>
          <xdr:rowOff>38100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21</xdr:row>
          <xdr:rowOff>133350</xdr:rowOff>
        </xdr:from>
        <xdr:to>
          <xdr:col>4</xdr:col>
          <xdr:colOff>19050</xdr:colOff>
          <xdr:row>23</xdr:row>
          <xdr:rowOff>38100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21</xdr:row>
          <xdr:rowOff>133350</xdr:rowOff>
        </xdr:from>
        <xdr:to>
          <xdr:col>4</xdr:col>
          <xdr:colOff>342900</xdr:colOff>
          <xdr:row>23</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23</xdr:row>
          <xdr:rowOff>104775</xdr:rowOff>
        </xdr:from>
        <xdr:to>
          <xdr:col>4</xdr:col>
          <xdr:colOff>19050</xdr:colOff>
          <xdr:row>25</xdr:row>
          <xdr:rowOff>66675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23</xdr:row>
          <xdr:rowOff>104775</xdr:rowOff>
        </xdr:from>
        <xdr:to>
          <xdr:col>4</xdr:col>
          <xdr:colOff>342900</xdr:colOff>
          <xdr:row>25</xdr:row>
          <xdr:rowOff>66675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25</xdr:row>
          <xdr:rowOff>104775</xdr:rowOff>
        </xdr:from>
        <xdr:to>
          <xdr:col>4</xdr:col>
          <xdr:colOff>19050</xdr:colOff>
          <xdr:row>27</xdr:row>
          <xdr:rowOff>66675</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28</xdr:row>
          <xdr:rowOff>38100</xdr:rowOff>
        </xdr:from>
        <xdr:to>
          <xdr:col>4</xdr:col>
          <xdr:colOff>285750</xdr:colOff>
          <xdr:row>29</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28</xdr:row>
          <xdr:rowOff>19050</xdr:rowOff>
        </xdr:from>
        <xdr:to>
          <xdr:col>4</xdr:col>
          <xdr:colOff>19050</xdr:colOff>
          <xdr:row>29</xdr:row>
          <xdr:rowOff>38100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25</xdr:row>
          <xdr:rowOff>133350</xdr:rowOff>
        </xdr:from>
        <xdr:to>
          <xdr:col>4</xdr:col>
          <xdr:colOff>285750</xdr:colOff>
          <xdr:row>27</xdr:row>
          <xdr:rowOff>38100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30</xdr:row>
          <xdr:rowOff>28575</xdr:rowOff>
        </xdr:from>
        <xdr:to>
          <xdr:col>4</xdr:col>
          <xdr:colOff>266700</xdr:colOff>
          <xdr:row>31</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30</xdr:row>
          <xdr:rowOff>28575</xdr:rowOff>
        </xdr:from>
        <xdr:to>
          <xdr:col>3</xdr:col>
          <xdr:colOff>685800</xdr:colOff>
          <xdr:row>31</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20</xdr:row>
          <xdr:rowOff>19050</xdr:rowOff>
        </xdr:from>
        <xdr:to>
          <xdr:col>8</xdr:col>
          <xdr:colOff>47625</xdr:colOff>
          <xdr:row>21</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9525</xdr:rowOff>
        </xdr:from>
        <xdr:to>
          <xdr:col>7</xdr:col>
          <xdr:colOff>609600</xdr:colOff>
          <xdr:row>21</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22</xdr:row>
          <xdr:rowOff>28575</xdr:rowOff>
        </xdr:from>
        <xdr:to>
          <xdr:col>8</xdr:col>
          <xdr:colOff>47625</xdr:colOff>
          <xdr:row>23</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22</xdr:row>
          <xdr:rowOff>28575</xdr:rowOff>
        </xdr:from>
        <xdr:to>
          <xdr:col>7</xdr:col>
          <xdr:colOff>609600</xdr:colOff>
          <xdr:row>23</xdr:row>
          <xdr:rowOff>19050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24</xdr:row>
          <xdr:rowOff>19050</xdr:rowOff>
        </xdr:from>
        <xdr:to>
          <xdr:col>8</xdr:col>
          <xdr:colOff>47625</xdr:colOff>
          <xdr:row>25</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24</xdr:row>
          <xdr:rowOff>19050</xdr:rowOff>
        </xdr:from>
        <xdr:to>
          <xdr:col>7</xdr:col>
          <xdr:colOff>600075</xdr:colOff>
          <xdr:row>25</xdr:row>
          <xdr:rowOff>9525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26</xdr:row>
          <xdr:rowOff>28575</xdr:rowOff>
        </xdr:from>
        <xdr:to>
          <xdr:col>8</xdr:col>
          <xdr:colOff>47625</xdr:colOff>
          <xdr:row>27</xdr:row>
          <xdr:rowOff>9525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26</xdr:row>
          <xdr:rowOff>19050</xdr:rowOff>
        </xdr:from>
        <xdr:to>
          <xdr:col>7</xdr:col>
          <xdr:colOff>600075</xdr:colOff>
          <xdr:row>27</xdr:row>
          <xdr:rowOff>9525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533400</xdr:colOff>
      <xdr:row>19</xdr:row>
      <xdr:rowOff>97972</xdr:rowOff>
    </xdr:from>
    <xdr:to>
      <xdr:col>3</xdr:col>
      <xdr:colOff>699052</xdr:colOff>
      <xdr:row>20</xdr:row>
      <xdr:rowOff>39994</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819400" y="3717472"/>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1</a:t>
          </a:r>
        </a:p>
      </xdr:txBody>
    </xdr:sp>
    <xdr:clientData/>
  </xdr:twoCellAnchor>
  <xdr:twoCellAnchor>
    <xdr:from>
      <xdr:col>4</xdr:col>
      <xdr:colOff>89688</xdr:colOff>
      <xdr:row>19</xdr:row>
      <xdr:rowOff>92529</xdr:rowOff>
    </xdr:from>
    <xdr:to>
      <xdr:col>4</xdr:col>
      <xdr:colOff>255340</xdr:colOff>
      <xdr:row>20</xdr:row>
      <xdr:rowOff>34551</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3137688" y="3712029"/>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2</a:t>
          </a:r>
        </a:p>
      </xdr:txBody>
    </xdr:sp>
    <xdr:clientData/>
  </xdr:twoCellAnchor>
  <xdr:twoCellAnchor editAs="oneCell">
    <xdr:from>
      <xdr:col>0</xdr:col>
      <xdr:colOff>400049</xdr:colOff>
      <xdr:row>0</xdr:row>
      <xdr:rowOff>76201</xdr:rowOff>
    </xdr:from>
    <xdr:to>
      <xdr:col>5</xdr:col>
      <xdr:colOff>276224</xdr:colOff>
      <xdr:row>5</xdr:row>
      <xdr:rowOff>164418</xdr:rowOff>
    </xdr:to>
    <xdr:pic>
      <xdr:nvPicPr>
        <xdr:cNvPr id="7" name="Imagen 6">
          <a:extLst>
            <a:ext uri="{FF2B5EF4-FFF2-40B4-BE49-F238E27FC236}">
              <a16:creationId xmlns:a16="http://schemas.microsoft.com/office/drawing/2014/main" id="{00000000-0008-0000-0000-00000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200" t="6800" r="12800" b="69200"/>
        <a:stretch/>
      </xdr:blipFill>
      <xdr:spPr bwMode="auto">
        <a:xfrm>
          <a:off x="400049" y="76201"/>
          <a:ext cx="3362325" cy="9930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0</xdr:rowOff>
    </xdr:from>
    <xdr:to>
      <xdr:col>1</xdr:col>
      <xdr:colOff>476250</xdr:colOff>
      <xdr:row>40</xdr:row>
      <xdr:rowOff>0</xdr:rowOff>
    </xdr:to>
    <xdr:pic>
      <xdr:nvPicPr>
        <xdr:cNvPr id="9" name="Gráfico 8" descr="Portapapeles con relleno sólid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7334250"/>
          <a:ext cx="914400" cy="0"/>
        </a:xfrm>
        <a:prstGeom prst="rect">
          <a:avLst/>
        </a:prstGeom>
      </xdr:spPr>
    </xdr:pic>
    <xdr:clientData/>
  </xdr:twoCellAnchor>
  <xdr:twoCellAnchor editAs="oneCell">
    <xdr:from>
      <xdr:col>8</xdr:col>
      <xdr:colOff>0</xdr:colOff>
      <xdr:row>35</xdr:row>
      <xdr:rowOff>0</xdr:rowOff>
    </xdr:from>
    <xdr:to>
      <xdr:col>8</xdr:col>
      <xdr:colOff>733425</xdr:colOff>
      <xdr:row>39</xdr:row>
      <xdr:rowOff>9525</xdr:rowOff>
    </xdr:to>
    <xdr:pic>
      <xdr:nvPicPr>
        <xdr:cNvPr id="11" name="Gráfico 10" descr="Lista de comprobación con relleno sólido">
          <a:hlinkClick xmlns:r="http://schemas.openxmlformats.org/officeDocument/2006/relationships" r:id="rId5"/>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991225" y="6381750"/>
          <a:ext cx="733425" cy="733425"/>
        </a:xfrm>
        <a:prstGeom prst="rect">
          <a:avLst/>
        </a:prstGeom>
      </xdr:spPr>
    </xdr:pic>
    <xdr:clientData/>
  </xdr:twoCellAnchor>
  <xdr:twoCellAnchor>
    <xdr:from>
      <xdr:col>7</xdr:col>
      <xdr:colOff>466725</xdr:colOff>
      <xdr:row>38</xdr:row>
      <xdr:rowOff>85725</xdr:rowOff>
    </xdr:from>
    <xdr:to>
      <xdr:col>10</xdr:col>
      <xdr:colOff>142875</xdr:colOff>
      <xdr:row>39</xdr:row>
      <xdr:rowOff>114300</xdr:rowOff>
    </xdr:to>
    <xdr:sp macro="" textlink="">
      <xdr:nvSpPr>
        <xdr:cNvPr id="12" name="CuadroTexto 11">
          <a:extLst>
            <a:ext uri="{FF2B5EF4-FFF2-40B4-BE49-F238E27FC236}">
              <a16:creationId xmlns:a16="http://schemas.microsoft.com/office/drawing/2014/main" id="{00000000-0008-0000-0000-00000C000000}"/>
            </a:ext>
          </a:extLst>
        </xdr:cNvPr>
        <xdr:cNvSpPr txBox="1"/>
      </xdr:nvSpPr>
      <xdr:spPr>
        <a:xfrm>
          <a:off x="5600700" y="7038975"/>
          <a:ext cx="14859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Pase a las frases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5029200</xdr:colOff>
          <xdr:row>0</xdr:row>
          <xdr:rowOff>28575</xdr:rowOff>
        </xdr:from>
        <xdr:to>
          <xdr:col>1</xdr:col>
          <xdr:colOff>6324600</xdr:colOff>
          <xdr:row>0</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1" i="0" u="none" strike="noStrike" baseline="0">
                  <a:solidFill>
                    <a:srgbClr val="000000"/>
                  </a:solidFill>
                  <a:latin typeface="Calibri"/>
                  <a:ea typeface="Calibri"/>
                  <a:cs typeface="Calibri"/>
                </a:rPr>
                <a:t>Guardar/Datos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6429375</xdr:colOff>
          <xdr:row>0</xdr:row>
          <xdr:rowOff>28575</xdr:rowOff>
        </xdr:from>
        <xdr:to>
          <xdr:col>2</xdr:col>
          <xdr:colOff>28575</xdr:colOff>
          <xdr:row>0</xdr:row>
          <xdr:rowOff>342900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1" i="0" u="none" strike="noStrike" baseline="0">
                  <a:solidFill>
                    <a:srgbClr val="000000"/>
                  </a:solidFill>
                  <a:latin typeface="Calibri"/>
                  <a:ea typeface="Calibri"/>
                  <a:cs typeface="Calibri"/>
                </a:rPr>
                <a:t>Borrar/Respuestas</a:t>
              </a:r>
            </a:p>
          </xdr:txBody>
        </xdr:sp>
        <xdr:clientData fPrintsWithSheet="0"/>
      </xdr:twoCellAnchor>
    </mc:Choice>
    <mc:Fallback/>
  </mc:AlternateContent>
  <xdr:twoCellAnchor>
    <xdr:from>
      <xdr:col>1</xdr:col>
      <xdr:colOff>904875</xdr:colOff>
      <xdr:row>5</xdr:row>
      <xdr:rowOff>9526</xdr:rowOff>
    </xdr:from>
    <xdr:to>
      <xdr:col>1</xdr:col>
      <xdr:colOff>3476625</xdr:colOff>
      <xdr:row>5</xdr:row>
      <xdr:rowOff>200026</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1247775" y="1200151"/>
          <a:ext cx="25717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BO" sz="1100">
              <a:latin typeface="Arial Nova" panose="020B0504020202020204" pitchFamily="34" charset="0"/>
            </a:rPr>
            <a:t>Soy un ser humano 		</a:t>
          </a:r>
        </a:p>
      </xdr:txBody>
    </xdr:sp>
    <xdr:clientData/>
  </xdr:twoCellAnchor>
  <xdr:twoCellAnchor>
    <xdr:from>
      <xdr:col>1</xdr:col>
      <xdr:colOff>552449</xdr:colOff>
      <xdr:row>6</xdr:row>
      <xdr:rowOff>19050</xdr:rowOff>
    </xdr:from>
    <xdr:to>
      <xdr:col>1</xdr:col>
      <xdr:colOff>914400</xdr:colOff>
      <xdr:row>6</xdr:row>
      <xdr:rowOff>200025</xdr:rowOff>
    </xdr:to>
    <xdr:sp macro="" textlink="">
      <xdr:nvSpPr>
        <xdr:cNvPr id="11" name="Diagrama de flujo: terminador 10">
          <a:extLst>
            <a:ext uri="{FF2B5EF4-FFF2-40B4-BE49-F238E27FC236}">
              <a16:creationId xmlns:a16="http://schemas.microsoft.com/office/drawing/2014/main" id="{00000000-0008-0000-0100-00000B000000}"/>
            </a:ext>
          </a:extLst>
        </xdr:cNvPr>
        <xdr:cNvSpPr/>
      </xdr:nvSpPr>
      <xdr:spPr>
        <a:xfrm>
          <a:off x="847724" y="1247775"/>
          <a:ext cx="361951" cy="180975"/>
        </a:xfrm>
        <a:prstGeom prst="flowChartTerminator">
          <a:avLst/>
        </a:prstGeom>
        <a:solidFill>
          <a:schemeClr val="bg1"/>
        </a:solidFill>
        <a:ln>
          <a:solidFill>
            <a:srgbClr val="E6C3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2</a:t>
          </a:r>
        </a:p>
      </xdr:txBody>
    </xdr:sp>
    <xdr:clientData/>
  </xdr:twoCellAnchor>
  <xdr:twoCellAnchor>
    <xdr:from>
      <xdr:col>1</xdr:col>
      <xdr:colOff>904875</xdr:colOff>
      <xdr:row>5</xdr:row>
      <xdr:rowOff>190501</xdr:rowOff>
    </xdr:from>
    <xdr:to>
      <xdr:col>1</xdr:col>
      <xdr:colOff>3152775</xdr:colOff>
      <xdr:row>6</xdr:row>
      <xdr:rowOff>219075</xdr:rowOff>
    </xdr:to>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1200150" y="1381126"/>
          <a:ext cx="2247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BO" sz="1100">
              <a:latin typeface="Arial Nova" panose="020B0504020202020204" pitchFamily="34" charset="0"/>
            </a:rPr>
            <a:t>Mido más</a:t>
          </a:r>
          <a:r>
            <a:rPr lang="es-BO" sz="1100" baseline="0">
              <a:latin typeface="Arial Nova" panose="020B0504020202020204" pitchFamily="34" charset="0"/>
            </a:rPr>
            <a:t> de tres metros</a:t>
          </a:r>
          <a:r>
            <a:rPr lang="es-BO" sz="1100">
              <a:latin typeface="Aptos Narrow" panose="020B0004020202020204" pitchFamily="34" charset="0"/>
            </a:rPr>
            <a:t>		</a:t>
          </a:r>
        </a:p>
      </xdr:txBody>
    </xdr:sp>
    <xdr:clientData/>
  </xdr:twoCellAnchor>
  <xdr:twoCellAnchor>
    <xdr:from>
      <xdr:col>1</xdr:col>
      <xdr:colOff>552449</xdr:colOff>
      <xdr:row>5</xdr:row>
      <xdr:rowOff>19050</xdr:rowOff>
    </xdr:from>
    <xdr:to>
      <xdr:col>1</xdr:col>
      <xdr:colOff>914400</xdr:colOff>
      <xdr:row>5</xdr:row>
      <xdr:rowOff>200025</xdr:rowOff>
    </xdr:to>
    <xdr:sp macro="" textlink="">
      <xdr:nvSpPr>
        <xdr:cNvPr id="13" name="Diagrama de flujo: terminador 12">
          <a:extLst>
            <a:ext uri="{FF2B5EF4-FFF2-40B4-BE49-F238E27FC236}">
              <a16:creationId xmlns:a16="http://schemas.microsoft.com/office/drawing/2014/main" id="{00000000-0008-0000-0100-00000D000000}"/>
            </a:ext>
          </a:extLst>
        </xdr:cNvPr>
        <xdr:cNvSpPr/>
      </xdr:nvSpPr>
      <xdr:spPr>
        <a:xfrm>
          <a:off x="847724" y="1019175"/>
          <a:ext cx="361951" cy="180975"/>
        </a:xfrm>
        <a:prstGeom prst="flowChartTerminator">
          <a:avLst/>
        </a:prstGeom>
        <a:solidFill>
          <a:schemeClr val="bg1"/>
        </a:solidFill>
        <a:ln>
          <a:solidFill>
            <a:srgbClr val="E6C3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1</a:t>
          </a:r>
        </a:p>
      </xdr:txBody>
    </xdr:sp>
    <xdr:clientData/>
  </xdr:twoCellAnchor>
  <xdr:twoCellAnchor>
    <xdr:from>
      <xdr:col>2</xdr:col>
      <xdr:colOff>76200</xdr:colOff>
      <xdr:row>3</xdr:row>
      <xdr:rowOff>123825</xdr:rowOff>
    </xdr:from>
    <xdr:to>
      <xdr:col>2</xdr:col>
      <xdr:colOff>361950</xdr:colOff>
      <xdr:row>4</xdr:row>
      <xdr:rowOff>190500</xdr:rowOff>
    </xdr:to>
    <xdr:grpSp>
      <xdr:nvGrpSpPr>
        <xdr:cNvPr id="18" name="Grupo 17">
          <a:extLst>
            <a:ext uri="{FF2B5EF4-FFF2-40B4-BE49-F238E27FC236}">
              <a16:creationId xmlns:a16="http://schemas.microsoft.com/office/drawing/2014/main" id="{00000000-0008-0000-0100-000012000000}"/>
            </a:ext>
          </a:extLst>
        </xdr:cNvPr>
        <xdr:cNvGrpSpPr/>
      </xdr:nvGrpSpPr>
      <xdr:grpSpPr>
        <a:xfrm>
          <a:off x="9217726" y="915513"/>
          <a:ext cx="285750" cy="264597"/>
          <a:chOff x="7258050" y="723900"/>
          <a:chExt cx="285750" cy="266700"/>
        </a:xfrm>
      </xdr:grpSpPr>
      <xdr:sp macro="" textlink="">
        <xdr:nvSpPr>
          <xdr:cNvPr id="6" name="Diagrama de flujo: conector 5">
            <a:extLst>
              <a:ext uri="{FF2B5EF4-FFF2-40B4-BE49-F238E27FC236}">
                <a16:creationId xmlns:a16="http://schemas.microsoft.com/office/drawing/2014/main" id="{00000000-0008-0000-0100-000006000000}"/>
              </a:ext>
            </a:extLst>
          </xdr:cNvPr>
          <xdr:cNvSpPr/>
        </xdr:nvSpPr>
        <xdr:spPr>
          <a:xfrm>
            <a:off x="7258050"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7267575" y="762000"/>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V</a:t>
            </a:r>
          </a:p>
        </xdr:txBody>
      </xdr:sp>
    </xdr:grpSp>
    <xdr:clientData/>
  </xdr:twoCellAnchor>
  <xdr:twoCellAnchor>
    <xdr:from>
      <xdr:col>3</xdr:col>
      <xdr:colOff>57150</xdr:colOff>
      <xdr:row>3</xdr:row>
      <xdr:rowOff>123825</xdr:rowOff>
    </xdr:from>
    <xdr:to>
      <xdr:col>3</xdr:col>
      <xdr:colOff>342900</xdr:colOff>
      <xdr:row>4</xdr:row>
      <xdr:rowOff>180975</xdr:rowOff>
    </xdr:to>
    <xdr:grpSp>
      <xdr:nvGrpSpPr>
        <xdr:cNvPr id="19" name="Grupo 18">
          <a:extLst>
            <a:ext uri="{FF2B5EF4-FFF2-40B4-BE49-F238E27FC236}">
              <a16:creationId xmlns:a16="http://schemas.microsoft.com/office/drawing/2014/main" id="{00000000-0008-0000-0100-000013000000}"/>
            </a:ext>
          </a:extLst>
        </xdr:cNvPr>
        <xdr:cNvGrpSpPr/>
      </xdr:nvGrpSpPr>
      <xdr:grpSpPr>
        <a:xfrm>
          <a:off x="9631631" y="915513"/>
          <a:ext cx="285750" cy="255072"/>
          <a:chOff x="7667625" y="723900"/>
          <a:chExt cx="285750" cy="257175"/>
        </a:xfrm>
      </xdr:grpSpPr>
      <xdr:sp macro="" textlink="">
        <xdr:nvSpPr>
          <xdr:cNvPr id="7" name="Diagrama de flujo: conector 6">
            <a:extLst>
              <a:ext uri="{FF2B5EF4-FFF2-40B4-BE49-F238E27FC236}">
                <a16:creationId xmlns:a16="http://schemas.microsoft.com/office/drawing/2014/main" id="{00000000-0008-0000-0100-000007000000}"/>
              </a:ext>
            </a:extLst>
          </xdr:cNvPr>
          <xdr:cNvSpPr/>
        </xdr:nvSpPr>
        <xdr:spPr>
          <a:xfrm>
            <a:off x="7667625"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7677150" y="752475"/>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F</a:t>
            </a:r>
          </a:p>
        </xdr:txBody>
      </xdr:sp>
    </xdr:grpSp>
    <xdr:clientData/>
  </xdr:twoCellAnchor>
  <xdr:twoCellAnchor>
    <xdr:from>
      <xdr:col>2</xdr:col>
      <xdr:colOff>76200</xdr:colOff>
      <xdr:row>10</xdr:row>
      <xdr:rowOff>192740</xdr:rowOff>
    </xdr:from>
    <xdr:to>
      <xdr:col>2</xdr:col>
      <xdr:colOff>361950</xdr:colOff>
      <xdr:row>11</xdr:row>
      <xdr:rowOff>143995</xdr:rowOff>
    </xdr:to>
    <xdr:grpSp>
      <xdr:nvGrpSpPr>
        <xdr:cNvPr id="26" name="Grupo 25">
          <a:extLst>
            <a:ext uri="{FF2B5EF4-FFF2-40B4-BE49-F238E27FC236}">
              <a16:creationId xmlns:a16="http://schemas.microsoft.com/office/drawing/2014/main" id="{00000000-0008-0000-0100-00001A000000}"/>
            </a:ext>
          </a:extLst>
        </xdr:cNvPr>
        <xdr:cNvGrpSpPr/>
      </xdr:nvGrpSpPr>
      <xdr:grpSpPr>
        <a:xfrm>
          <a:off x="9217726" y="2493584"/>
          <a:ext cx="285750" cy="260508"/>
          <a:chOff x="7258050" y="723900"/>
          <a:chExt cx="285750" cy="266700"/>
        </a:xfrm>
      </xdr:grpSpPr>
      <xdr:sp macro="" textlink="">
        <xdr:nvSpPr>
          <xdr:cNvPr id="27" name="Diagrama de flujo: conector 26">
            <a:extLst>
              <a:ext uri="{FF2B5EF4-FFF2-40B4-BE49-F238E27FC236}">
                <a16:creationId xmlns:a16="http://schemas.microsoft.com/office/drawing/2014/main" id="{00000000-0008-0000-0100-00001B000000}"/>
              </a:ext>
            </a:extLst>
          </xdr:cNvPr>
          <xdr:cNvSpPr/>
        </xdr:nvSpPr>
        <xdr:spPr>
          <a:xfrm>
            <a:off x="7258050"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7267575" y="762000"/>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V</a:t>
            </a:r>
          </a:p>
        </xdr:txBody>
      </xdr:sp>
    </xdr:grpSp>
    <xdr:clientData/>
  </xdr:twoCellAnchor>
  <xdr:twoCellAnchor>
    <xdr:from>
      <xdr:col>3</xdr:col>
      <xdr:colOff>57150</xdr:colOff>
      <xdr:row>10</xdr:row>
      <xdr:rowOff>181534</xdr:rowOff>
    </xdr:from>
    <xdr:to>
      <xdr:col>3</xdr:col>
      <xdr:colOff>342900</xdr:colOff>
      <xdr:row>11</xdr:row>
      <xdr:rowOff>123264</xdr:rowOff>
    </xdr:to>
    <xdr:grpSp>
      <xdr:nvGrpSpPr>
        <xdr:cNvPr id="29" name="Grupo 28">
          <a:extLst>
            <a:ext uri="{FF2B5EF4-FFF2-40B4-BE49-F238E27FC236}">
              <a16:creationId xmlns:a16="http://schemas.microsoft.com/office/drawing/2014/main" id="{00000000-0008-0000-0100-00001D000000}"/>
            </a:ext>
          </a:extLst>
        </xdr:cNvPr>
        <xdr:cNvGrpSpPr/>
      </xdr:nvGrpSpPr>
      <xdr:grpSpPr>
        <a:xfrm>
          <a:off x="9631631" y="2482378"/>
          <a:ext cx="285750" cy="250983"/>
          <a:chOff x="7667625" y="723900"/>
          <a:chExt cx="285750" cy="257175"/>
        </a:xfrm>
      </xdr:grpSpPr>
      <xdr:sp macro="" textlink="">
        <xdr:nvSpPr>
          <xdr:cNvPr id="30" name="Diagrama de flujo: conector 29">
            <a:extLst>
              <a:ext uri="{FF2B5EF4-FFF2-40B4-BE49-F238E27FC236}">
                <a16:creationId xmlns:a16="http://schemas.microsoft.com/office/drawing/2014/main" id="{00000000-0008-0000-0100-00001E000000}"/>
              </a:ext>
            </a:extLst>
          </xdr:cNvPr>
          <xdr:cNvSpPr/>
        </xdr:nvSpPr>
        <xdr:spPr>
          <a:xfrm>
            <a:off x="7667625"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7677150" y="752475"/>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F</a:t>
            </a:r>
          </a:p>
        </xdr:txBody>
      </xdr:sp>
    </xdr:grpSp>
    <xdr:clientData/>
  </xdr:twoCellAnchor>
  <xdr:twoCellAnchor>
    <xdr:from>
      <xdr:col>0</xdr:col>
      <xdr:colOff>313844</xdr:colOff>
      <xdr:row>9</xdr:row>
      <xdr:rowOff>160564</xdr:rowOff>
    </xdr:from>
    <xdr:to>
      <xdr:col>1</xdr:col>
      <xdr:colOff>204987</xdr:colOff>
      <xdr:row>10</xdr:row>
      <xdr:rowOff>160564</xdr:rowOff>
    </xdr:to>
    <xdr:sp macro="" textlink="">
      <xdr:nvSpPr>
        <xdr:cNvPr id="32" name="Diagrama de flujo: conector 31">
          <a:extLst>
            <a:ext uri="{FF2B5EF4-FFF2-40B4-BE49-F238E27FC236}">
              <a16:creationId xmlns:a16="http://schemas.microsoft.com/office/drawing/2014/main" id="{00000000-0008-0000-0100-000020000000}"/>
            </a:ext>
          </a:extLst>
        </xdr:cNvPr>
        <xdr:cNvSpPr/>
      </xdr:nvSpPr>
      <xdr:spPr>
        <a:xfrm>
          <a:off x="313844" y="2265589"/>
          <a:ext cx="234043"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514110</xdr:colOff>
      <xdr:row>9</xdr:row>
      <xdr:rowOff>175532</xdr:rowOff>
    </xdr:from>
    <xdr:to>
      <xdr:col>1</xdr:col>
      <xdr:colOff>752235</xdr:colOff>
      <xdr:row>10</xdr:row>
      <xdr:rowOff>175532</xdr:rowOff>
    </xdr:to>
    <xdr:sp macro="" textlink="">
      <xdr:nvSpPr>
        <xdr:cNvPr id="33" name="Diagrama de flujo: conector 32">
          <a:extLst>
            <a:ext uri="{FF2B5EF4-FFF2-40B4-BE49-F238E27FC236}">
              <a16:creationId xmlns:a16="http://schemas.microsoft.com/office/drawing/2014/main" id="{00000000-0008-0000-0100-000021000000}"/>
            </a:ext>
          </a:extLst>
        </xdr:cNvPr>
        <xdr:cNvSpPr/>
      </xdr:nvSpPr>
      <xdr:spPr>
        <a:xfrm>
          <a:off x="857010" y="2280557"/>
          <a:ext cx="238125"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3409072</xdr:colOff>
      <xdr:row>9</xdr:row>
      <xdr:rowOff>173851</xdr:rowOff>
    </xdr:from>
    <xdr:to>
      <xdr:col>1</xdr:col>
      <xdr:colOff>3647197</xdr:colOff>
      <xdr:row>10</xdr:row>
      <xdr:rowOff>173851</xdr:rowOff>
    </xdr:to>
    <xdr:sp macro="" textlink="">
      <xdr:nvSpPr>
        <xdr:cNvPr id="34" name="Diagrama de flujo: conector 33">
          <a:extLst>
            <a:ext uri="{FF2B5EF4-FFF2-40B4-BE49-F238E27FC236}">
              <a16:creationId xmlns:a16="http://schemas.microsoft.com/office/drawing/2014/main" id="{00000000-0008-0000-0100-000022000000}"/>
            </a:ext>
          </a:extLst>
        </xdr:cNvPr>
        <xdr:cNvSpPr/>
      </xdr:nvSpPr>
      <xdr:spPr>
        <a:xfrm>
          <a:off x="3751972" y="2278876"/>
          <a:ext cx="238125"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7258049</xdr:colOff>
      <xdr:row>173</xdr:row>
      <xdr:rowOff>133350</xdr:rowOff>
    </xdr:from>
    <xdr:to>
      <xdr:col>1</xdr:col>
      <xdr:colOff>8629650</xdr:colOff>
      <xdr:row>178</xdr:row>
      <xdr:rowOff>0</xdr:rowOff>
    </xdr:to>
    <xdr:grpSp>
      <xdr:nvGrpSpPr>
        <xdr:cNvPr id="40" name="Grupo 39">
          <a:hlinkClick xmlns:r="http://schemas.openxmlformats.org/officeDocument/2006/relationships" r:id="rId1"/>
          <a:extLst>
            <a:ext uri="{FF2B5EF4-FFF2-40B4-BE49-F238E27FC236}">
              <a16:creationId xmlns:a16="http://schemas.microsoft.com/office/drawing/2014/main" id="{00000000-0008-0000-0100-000028000000}"/>
            </a:ext>
          </a:extLst>
        </xdr:cNvPr>
        <xdr:cNvGrpSpPr/>
      </xdr:nvGrpSpPr>
      <xdr:grpSpPr>
        <a:xfrm>
          <a:off x="7604413" y="34856305"/>
          <a:ext cx="1371601" cy="856260"/>
          <a:chOff x="7553324" y="35232975"/>
          <a:chExt cx="1352551" cy="1085850"/>
        </a:xfrm>
      </xdr:grpSpPr>
      <xdr:sp macro="" textlink="">
        <xdr:nvSpPr>
          <xdr:cNvPr id="37" name="CuadroTexto 36">
            <a:extLst>
              <a:ext uri="{FF2B5EF4-FFF2-40B4-BE49-F238E27FC236}">
                <a16:creationId xmlns:a16="http://schemas.microsoft.com/office/drawing/2014/main" id="{00000000-0008-0000-0100-000025000000}"/>
              </a:ext>
            </a:extLst>
          </xdr:cNvPr>
          <xdr:cNvSpPr txBox="1"/>
        </xdr:nvSpPr>
        <xdr:spPr>
          <a:xfrm>
            <a:off x="7553324" y="36014025"/>
            <a:ext cx="13525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Aptos Narrow" panose="020B0004020202020204" pitchFamily="34" charset="0"/>
              </a:rPr>
              <a:t>Ir a Informe Perfil</a:t>
            </a:r>
          </a:p>
        </xdr:txBody>
      </xdr:sp>
      <xdr:pic>
        <xdr:nvPicPr>
          <xdr:cNvPr id="39" name="Gráfico 38" descr="Presentación con gráfico de barras con relleno sólido">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24775" y="35232975"/>
            <a:ext cx="914400" cy="9144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18434</xdr:colOff>
      <xdr:row>12</xdr:row>
      <xdr:rowOff>8660</xdr:rowOff>
    </xdr:from>
    <xdr:to>
      <xdr:col>17</xdr:col>
      <xdr:colOff>2081</xdr:colOff>
      <xdr:row>45</xdr:row>
      <xdr:rowOff>212480</xdr:rowOff>
    </xdr:to>
    <xdr:grpSp>
      <xdr:nvGrpSpPr>
        <xdr:cNvPr id="50" name="Grupo 49">
          <a:extLst>
            <a:ext uri="{FF2B5EF4-FFF2-40B4-BE49-F238E27FC236}">
              <a16:creationId xmlns:a16="http://schemas.microsoft.com/office/drawing/2014/main" id="{00000000-0008-0000-0200-000032000000}"/>
            </a:ext>
          </a:extLst>
        </xdr:cNvPr>
        <xdr:cNvGrpSpPr/>
      </xdr:nvGrpSpPr>
      <xdr:grpSpPr>
        <a:xfrm>
          <a:off x="4996380" y="1584821"/>
          <a:ext cx="2569005" cy="6678552"/>
          <a:chOff x="6116684" y="1665493"/>
          <a:chExt cx="4611005" cy="764470"/>
        </a:xfrm>
      </xdr:grpSpPr>
      <xdr:grpSp>
        <xdr:nvGrpSpPr>
          <xdr:cNvPr id="49" name="Grupo 48">
            <a:extLst>
              <a:ext uri="{FF2B5EF4-FFF2-40B4-BE49-F238E27FC236}">
                <a16:creationId xmlns:a16="http://schemas.microsoft.com/office/drawing/2014/main" id="{00000000-0008-0000-0200-000031000000}"/>
              </a:ext>
            </a:extLst>
          </xdr:cNvPr>
          <xdr:cNvGrpSpPr/>
        </xdr:nvGrpSpPr>
        <xdr:grpSpPr>
          <a:xfrm>
            <a:off x="6116684" y="1665493"/>
            <a:ext cx="3303340" cy="764470"/>
            <a:chOff x="6116684" y="1665493"/>
            <a:chExt cx="3303340" cy="764470"/>
          </a:xfrm>
        </xdr:grpSpPr>
        <xdr:grpSp>
          <xdr:nvGrpSpPr>
            <xdr:cNvPr id="48" name="Grupo 47">
              <a:extLst>
                <a:ext uri="{FF2B5EF4-FFF2-40B4-BE49-F238E27FC236}">
                  <a16:creationId xmlns:a16="http://schemas.microsoft.com/office/drawing/2014/main" id="{00000000-0008-0000-0200-000030000000}"/>
                </a:ext>
              </a:extLst>
            </xdr:cNvPr>
            <xdr:cNvGrpSpPr/>
          </xdr:nvGrpSpPr>
          <xdr:grpSpPr>
            <a:xfrm>
              <a:off x="6116684" y="1665493"/>
              <a:ext cx="2947715" cy="764470"/>
              <a:chOff x="6116684" y="1665493"/>
              <a:chExt cx="2947715" cy="764470"/>
            </a:xfrm>
          </xdr:grpSpPr>
          <xdr:sp macro="" textlink="">
            <xdr:nvSpPr>
              <xdr:cNvPr id="44" name="Rectángulo 43">
                <a:extLst>
                  <a:ext uri="{FF2B5EF4-FFF2-40B4-BE49-F238E27FC236}">
                    <a16:creationId xmlns:a16="http://schemas.microsoft.com/office/drawing/2014/main" id="{00000000-0008-0000-0200-00002C000000}"/>
                  </a:ext>
                </a:extLst>
              </xdr:cNvPr>
              <xdr:cNvSpPr/>
            </xdr:nvSpPr>
            <xdr:spPr>
              <a:xfrm>
                <a:off x="6116684" y="1665494"/>
                <a:ext cx="2371939" cy="764469"/>
              </a:xfrm>
              <a:prstGeom prst="rect">
                <a:avLst/>
              </a:prstGeom>
              <a:solidFill>
                <a:srgbClr val="D6D9EA"/>
              </a:solidFill>
              <a:ln>
                <a:solidFill>
                  <a:srgbClr val="D6D9E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45" name="Rectángulo 44">
                <a:extLst>
                  <a:ext uri="{FF2B5EF4-FFF2-40B4-BE49-F238E27FC236}">
                    <a16:creationId xmlns:a16="http://schemas.microsoft.com/office/drawing/2014/main" id="{00000000-0008-0000-0200-00002D000000}"/>
                  </a:ext>
                </a:extLst>
              </xdr:cNvPr>
              <xdr:cNvSpPr/>
            </xdr:nvSpPr>
            <xdr:spPr>
              <a:xfrm>
                <a:off x="8501472" y="1665493"/>
                <a:ext cx="562927" cy="764468"/>
              </a:xfrm>
              <a:prstGeom prst="rect">
                <a:avLst/>
              </a:prstGeom>
              <a:solidFill>
                <a:srgbClr val="B8BCDA"/>
              </a:solidFill>
              <a:ln>
                <a:solidFill>
                  <a:srgbClr val="B8BC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46" name="Rectángulo 45">
              <a:extLst>
                <a:ext uri="{FF2B5EF4-FFF2-40B4-BE49-F238E27FC236}">
                  <a16:creationId xmlns:a16="http://schemas.microsoft.com/office/drawing/2014/main" id="{00000000-0008-0000-0200-00002E000000}"/>
                </a:ext>
              </a:extLst>
            </xdr:cNvPr>
            <xdr:cNvSpPr/>
          </xdr:nvSpPr>
          <xdr:spPr>
            <a:xfrm>
              <a:off x="9060347" y="1665494"/>
              <a:ext cx="359677" cy="764467"/>
            </a:xfrm>
            <a:prstGeom prst="rect">
              <a:avLst/>
            </a:prstGeom>
            <a:solidFill>
              <a:srgbClr val="9AA0C9"/>
            </a:solidFill>
            <a:ln>
              <a:solidFill>
                <a:srgbClr val="9AA0C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47" name="Rectángulo 46">
            <a:extLst>
              <a:ext uri="{FF2B5EF4-FFF2-40B4-BE49-F238E27FC236}">
                <a16:creationId xmlns:a16="http://schemas.microsoft.com/office/drawing/2014/main" id="{00000000-0008-0000-0200-00002F000000}"/>
              </a:ext>
            </a:extLst>
          </xdr:cNvPr>
          <xdr:cNvSpPr/>
        </xdr:nvSpPr>
        <xdr:spPr>
          <a:xfrm>
            <a:off x="9437272" y="1665493"/>
            <a:ext cx="1290417" cy="764468"/>
          </a:xfrm>
          <a:prstGeom prst="rect">
            <a:avLst/>
          </a:prstGeom>
          <a:solidFill>
            <a:srgbClr val="5E69AA"/>
          </a:solidFill>
          <a:ln>
            <a:solidFill>
              <a:srgbClr val="5E69A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13</xdr:col>
      <xdr:colOff>24847</xdr:colOff>
      <xdr:row>12</xdr:row>
      <xdr:rowOff>24848</xdr:rowOff>
    </xdr:from>
    <xdr:to>
      <xdr:col>17</xdr:col>
      <xdr:colOff>22362</xdr:colOff>
      <xdr:row>17</xdr:row>
      <xdr:rowOff>24848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205893</xdr:colOff>
      <xdr:row>52</xdr:row>
      <xdr:rowOff>21677</xdr:rowOff>
    </xdr:from>
    <xdr:to>
      <xdr:col>3</xdr:col>
      <xdr:colOff>533888</xdr:colOff>
      <xdr:row>52</xdr:row>
      <xdr:rowOff>175848</xdr:rowOff>
    </xdr:to>
    <xdr:sp macro="" textlink="">
      <xdr:nvSpPr>
        <xdr:cNvPr id="39" name="Flecha: a la derecha 38">
          <a:extLst>
            <a:ext uri="{FF2B5EF4-FFF2-40B4-BE49-F238E27FC236}">
              <a16:creationId xmlns:a16="http://schemas.microsoft.com/office/drawing/2014/main" id="{00000000-0008-0000-0200-000027000000}"/>
            </a:ext>
          </a:extLst>
        </xdr:cNvPr>
        <xdr:cNvSpPr/>
      </xdr:nvSpPr>
      <xdr:spPr>
        <a:xfrm>
          <a:off x="1033835" y="9510042"/>
          <a:ext cx="327995" cy="154171"/>
        </a:xfrm>
        <a:prstGeom prst="right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11</xdr:col>
      <xdr:colOff>314329</xdr:colOff>
      <xdr:row>12</xdr:row>
      <xdr:rowOff>104107</xdr:rowOff>
    </xdr:from>
    <xdr:to>
      <xdr:col>17</xdr:col>
      <xdr:colOff>19836</xdr:colOff>
      <xdr:row>17</xdr:row>
      <xdr:rowOff>21980</xdr:rowOff>
    </xdr:to>
    <xdr:graphicFrame macro="">
      <xdr:nvGraphicFramePr>
        <xdr:cNvPr id="2" name="Gráfic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xdr:colOff>
          <xdr:row>5</xdr:row>
          <xdr:rowOff>47625</xdr:rowOff>
        </xdr:from>
        <xdr:to>
          <xdr:col>9</xdr:col>
          <xdr:colOff>268514</xdr:colOff>
          <xdr:row>7</xdr:row>
          <xdr:rowOff>47625</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9525</xdr:rowOff>
        </xdr:from>
        <xdr:to>
          <xdr:col>3</xdr:col>
          <xdr:colOff>333375</xdr:colOff>
          <xdr:row>51</xdr:row>
          <xdr:rowOff>161925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1" i="0" u="none" strike="noStrike" baseline="0">
                  <a:solidFill>
                    <a:srgbClr val="000000"/>
                  </a:solidFill>
                  <a:latin typeface="Calibri"/>
                  <a:ea typeface="Calibri"/>
                  <a:cs typeface="Calibri"/>
                </a:rPr>
                <a:t>Guardar Perfíl</a:t>
              </a:r>
            </a:p>
          </xdr:txBody>
        </xdr:sp>
        <xdr:clientData fPrintsWithSheet="0"/>
      </xdr:twoCellAnchor>
    </mc:Choice>
    <mc:Fallback/>
  </mc:AlternateContent>
  <xdr:twoCellAnchor>
    <xdr:from>
      <xdr:col>12</xdr:col>
      <xdr:colOff>3683</xdr:colOff>
      <xdr:row>15</xdr:row>
      <xdr:rowOff>209550</xdr:rowOff>
    </xdr:from>
    <xdr:to>
      <xdr:col>17</xdr:col>
      <xdr:colOff>46626</xdr:colOff>
      <xdr:row>28</xdr:row>
      <xdr:rowOff>11291</xdr:rowOff>
    </xdr:to>
    <xdr:graphicFrame macro="">
      <xdr:nvGraphicFramePr>
        <xdr:cNvPr id="94" name="Gráfico 93">
          <a:extLst>
            <a:ext uri="{FF2B5EF4-FFF2-40B4-BE49-F238E27FC236}">
              <a16:creationId xmlns:a16="http://schemas.microsoft.com/office/drawing/2014/main" id="{00000000-0008-0000-02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295058</xdr:colOff>
      <xdr:row>28</xdr:row>
      <xdr:rowOff>28576</xdr:rowOff>
    </xdr:from>
    <xdr:to>
      <xdr:col>17</xdr:col>
      <xdr:colOff>27143</xdr:colOff>
      <xdr:row>28</xdr:row>
      <xdr:rowOff>219075</xdr:rowOff>
    </xdr:to>
    <xdr:graphicFrame macro="">
      <xdr:nvGraphicFramePr>
        <xdr:cNvPr id="102" name="Gráfico 101">
          <a:extLst>
            <a:ext uri="{FF2B5EF4-FFF2-40B4-BE49-F238E27FC236}">
              <a16:creationId xmlns:a16="http://schemas.microsoft.com/office/drawing/2014/main" id="{00000000-0008-0000-0200-00006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319558</xdr:colOff>
      <xdr:row>30</xdr:row>
      <xdr:rowOff>19050</xdr:rowOff>
    </xdr:from>
    <xdr:to>
      <xdr:col>17</xdr:col>
      <xdr:colOff>33342</xdr:colOff>
      <xdr:row>39</xdr:row>
      <xdr:rowOff>26527</xdr:rowOff>
    </xdr:to>
    <xdr:graphicFrame macro="">
      <xdr:nvGraphicFramePr>
        <xdr:cNvPr id="103" name="Gráfico 102">
          <a:extLst>
            <a:ext uri="{FF2B5EF4-FFF2-40B4-BE49-F238E27FC236}">
              <a16:creationId xmlns:a16="http://schemas.microsoft.com/office/drawing/2014/main" id="{00000000-0008-0000-02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318936</xdr:colOff>
      <xdr:row>39</xdr:row>
      <xdr:rowOff>9525</xdr:rowOff>
    </xdr:from>
    <xdr:to>
      <xdr:col>17</xdr:col>
      <xdr:colOff>45530</xdr:colOff>
      <xdr:row>46</xdr:row>
      <xdr:rowOff>9523</xdr:rowOff>
    </xdr:to>
    <xdr:graphicFrame macro="">
      <xdr:nvGraphicFramePr>
        <xdr:cNvPr id="104" name="Gráfico 103">
          <a:extLst>
            <a:ext uri="{FF2B5EF4-FFF2-40B4-BE49-F238E27FC236}">
              <a16:creationId xmlns:a16="http://schemas.microsoft.com/office/drawing/2014/main" id="{00000000-0008-0000-02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64157</xdr:colOff>
      <xdr:row>10</xdr:row>
      <xdr:rowOff>85725</xdr:rowOff>
    </xdr:from>
    <xdr:to>
      <xdr:col>6</xdr:col>
      <xdr:colOff>191178</xdr:colOff>
      <xdr:row>11</xdr:row>
      <xdr:rowOff>142875</xdr:rowOff>
    </xdr:to>
    <xdr:pic>
      <xdr:nvPicPr>
        <xdr:cNvPr id="109" name="Imagen 108">
          <a:extLst>
            <a:ext uri="{FF2B5EF4-FFF2-40B4-BE49-F238E27FC236}">
              <a16:creationId xmlns:a16="http://schemas.microsoft.com/office/drawing/2014/main" id="{00000000-0008-0000-0200-00006D000000}"/>
            </a:ext>
          </a:extLst>
        </xdr:cNvPr>
        <xdr:cNvPicPr>
          <a:picLocks noChangeAspect="1"/>
        </xdr:cNvPicPr>
      </xdr:nvPicPr>
      <xdr:blipFill>
        <a:blip xmlns:r="http://schemas.openxmlformats.org/officeDocument/2006/relationships" r:embed="rId7"/>
        <a:stretch>
          <a:fillRect/>
        </a:stretch>
      </xdr:blipFill>
      <xdr:spPr>
        <a:xfrm>
          <a:off x="311807" y="1209675"/>
          <a:ext cx="2317771" cy="219075"/>
        </a:xfrm>
        <a:prstGeom prst="rect">
          <a:avLst/>
        </a:prstGeom>
      </xdr:spPr>
    </xdr:pic>
    <xdr:clientData/>
  </xdr:twoCellAnchor>
  <xdr:twoCellAnchor>
    <xdr:from>
      <xdr:col>6</xdr:col>
      <xdr:colOff>240196</xdr:colOff>
      <xdr:row>11</xdr:row>
      <xdr:rowOff>118023</xdr:rowOff>
    </xdr:from>
    <xdr:to>
      <xdr:col>8</xdr:col>
      <xdr:colOff>0</xdr:colOff>
      <xdr:row>11</xdr:row>
      <xdr:rowOff>281609</xdr:rowOff>
    </xdr:to>
    <xdr:sp macro="" textlink="">
      <xdr:nvSpPr>
        <xdr:cNvPr id="5" name="Rectángulo 4">
          <a:extLst>
            <a:ext uri="{FF2B5EF4-FFF2-40B4-BE49-F238E27FC236}">
              <a16:creationId xmlns:a16="http://schemas.microsoft.com/office/drawing/2014/main" id="{00000000-0008-0000-0200-000005000000}"/>
            </a:ext>
          </a:extLst>
        </xdr:cNvPr>
        <xdr:cNvSpPr/>
      </xdr:nvSpPr>
      <xdr:spPr>
        <a:xfrm>
          <a:off x="2675283" y="1410110"/>
          <a:ext cx="347869" cy="163586"/>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PD</a:t>
          </a:r>
        </a:p>
      </xdr:txBody>
    </xdr:sp>
    <xdr:clientData/>
  </xdr:twoCellAnchor>
  <xdr:twoCellAnchor>
    <xdr:from>
      <xdr:col>8</xdr:col>
      <xdr:colOff>3043</xdr:colOff>
      <xdr:row>11</xdr:row>
      <xdr:rowOff>118241</xdr:rowOff>
    </xdr:from>
    <xdr:to>
      <xdr:col>12</xdr:col>
      <xdr:colOff>19610</xdr:colOff>
      <xdr:row>11</xdr:row>
      <xdr:rowOff>283837</xdr:rowOff>
    </xdr:to>
    <xdr:sp macro="" textlink="">
      <xdr:nvSpPr>
        <xdr:cNvPr id="6" name="Rectángulo 5">
          <a:extLst>
            <a:ext uri="{FF2B5EF4-FFF2-40B4-BE49-F238E27FC236}">
              <a16:creationId xmlns:a16="http://schemas.microsoft.com/office/drawing/2014/main" id="{00000000-0008-0000-0200-000006000000}"/>
            </a:ext>
          </a:extLst>
        </xdr:cNvPr>
        <xdr:cNvSpPr/>
      </xdr:nvSpPr>
      <xdr:spPr>
        <a:xfrm>
          <a:off x="2910239" y="1476589"/>
          <a:ext cx="1557132" cy="165596"/>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TB</a:t>
          </a:r>
        </a:p>
      </xdr:txBody>
    </xdr:sp>
    <xdr:clientData/>
  </xdr:twoCellAnchor>
  <xdr:twoCellAnchor>
    <xdr:from>
      <xdr:col>12</xdr:col>
      <xdr:colOff>16809</xdr:colOff>
      <xdr:row>11</xdr:row>
      <xdr:rowOff>118419</xdr:rowOff>
    </xdr:from>
    <xdr:to>
      <xdr:col>17</xdr:col>
      <xdr:colOff>3395</xdr:colOff>
      <xdr:row>11</xdr:row>
      <xdr:rowOff>283029</xdr:rowOff>
    </xdr:to>
    <xdr:sp macro="" textlink="">
      <xdr:nvSpPr>
        <xdr:cNvPr id="7" name="Rectángulo 6">
          <a:extLst>
            <a:ext uri="{FF2B5EF4-FFF2-40B4-BE49-F238E27FC236}">
              <a16:creationId xmlns:a16="http://schemas.microsoft.com/office/drawing/2014/main" id="{00000000-0008-0000-0200-000007000000}"/>
            </a:ext>
          </a:extLst>
        </xdr:cNvPr>
        <xdr:cNvSpPr/>
      </xdr:nvSpPr>
      <xdr:spPr>
        <a:xfrm>
          <a:off x="3319667" y="1464791"/>
          <a:ext cx="2460512" cy="164610"/>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s-AR" sz="1100" b="1">
            <a:solidFill>
              <a:sysClr val="windowText" lastClr="000000"/>
            </a:solidFill>
          </a:endParaRPr>
        </a:p>
      </xdr:txBody>
    </xdr:sp>
    <xdr:clientData/>
  </xdr:twoCellAnchor>
  <xdr:twoCellAnchor>
    <xdr:from>
      <xdr:col>12</xdr:col>
      <xdr:colOff>4186</xdr:colOff>
      <xdr:row>11</xdr:row>
      <xdr:rowOff>80550</xdr:rowOff>
    </xdr:from>
    <xdr:to>
      <xdr:col>12</xdr:col>
      <xdr:colOff>223630</xdr:colOff>
      <xdr:row>12</xdr:row>
      <xdr:rowOff>26087</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3118447" y="1314659"/>
          <a:ext cx="219444" cy="2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0</a:t>
          </a:r>
        </a:p>
      </xdr:txBody>
    </xdr:sp>
    <xdr:clientData/>
  </xdr:twoCellAnchor>
  <xdr:twoCellAnchor>
    <xdr:from>
      <xdr:col>14</xdr:col>
      <xdr:colOff>305533</xdr:colOff>
      <xdr:row>11</xdr:row>
      <xdr:rowOff>91480</xdr:rowOff>
    </xdr:from>
    <xdr:to>
      <xdr:col>14</xdr:col>
      <xdr:colOff>637442</xdr:colOff>
      <xdr:row>12</xdr:row>
      <xdr:rowOff>25538</xdr:rowOff>
    </xdr:to>
    <xdr:sp macro="" textlink="">
      <xdr:nvSpPr>
        <xdr:cNvPr id="16" name="CuadroTexto 15">
          <a:extLst>
            <a:ext uri="{FF2B5EF4-FFF2-40B4-BE49-F238E27FC236}">
              <a16:creationId xmlns:a16="http://schemas.microsoft.com/office/drawing/2014/main" id="{00000000-0008-0000-0200-000010000000}"/>
            </a:ext>
          </a:extLst>
        </xdr:cNvPr>
        <xdr:cNvSpPr txBox="1"/>
      </xdr:nvSpPr>
      <xdr:spPr>
        <a:xfrm>
          <a:off x="4553683" y="1320205"/>
          <a:ext cx="331909" cy="21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60</a:t>
          </a:r>
        </a:p>
      </xdr:txBody>
    </xdr:sp>
    <xdr:clientData/>
  </xdr:twoCellAnchor>
  <xdr:twoCellAnchor>
    <xdr:from>
      <xdr:col>14</xdr:col>
      <xdr:colOff>615715</xdr:colOff>
      <xdr:row>11</xdr:row>
      <xdr:rowOff>89472</xdr:rowOff>
    </xdr:from>
    <xdr:to>
      <xdr:col>15</xdr:col>
      <xdr:colOff>262387</xdr:colOff>
      <xdr:row>12</xdr:row>
      <xdr:rowOff>33055</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4858003" y="1327722"/>
          <a:ext cx="467288" cy="229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75</a:t>
          </a:r>
        </a:p>
      </xdr:txBody>
    </xdr:sp>
    <xdr:clientData/>
  </xdr:twoCellAnchor>
  <xdr:twoCellAnchor>
    <xdr:from>
      <xdr:col>15</xdr:col>
      <xdr:colOff>51550</xdr:colOff>
      <xdr:row>11</xdr:row>
      <xdr:rowOff>84236</xdr:rowOff>
    </xdr:from>
    <xdr:to>
      <xdr:col>15</xdr:col>
      <xdr:colOff>386634</xdr:colOff>
      <xdr:row>12</xdr:row>
      <xdr:rowOff>21469</xdr:rowOff>
    </xdr:to>
    <xdr:sp macro="" textlink="">
      <xdr:nvSpPr>
        <xdr:cNvPr id="18" name="CuadroTexto 17">
          <a:extLst>
            <a:ext uri="{FF2B5EF4-FFF2-40B4-BE49-F238E27FC236}">
              <a16:creationId xmlns:a16="http://schemas.microsoft.com/office/drawing/2014/main" id="{00000000-0008-0000-0200-000012000000}"/>
            </a:ext>
          </a:extLst>
        </xdr:cNvPr>
        <xdr:cNvSpPr txBox="1"/>
      </xdr:nvSpPr>
      <xdr:spPr>
        <a:xfrm>
          <a:off x="4937875" y="1427261"/>
          <a:ext cx="335084" cy="222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85</a:t>
          </a:r>
        </a:p>
      </xdr:txBody>
    </xdr:sp>
    <xdr:clientData/>
  </xdr:twoCellAnchor>
  <xdr:twoCellAnchor>
    <xdr:from>
      <xdr:col>15</xdr:col>
      <xdr:colOff>578069</xdr:colOff>
      <xdr:row>11</xdr:row>
      <xdr:rowOff>86325</xdr:rowOff>
    </xdr:from>
    <xdr:to>
      <xdr:col>17</xdr:col>
      <xdr:colOff>88809</xdr:colOff>
      <xdr:row>12</xdr:row>
      <xdr:rowOff>18185</xdr:rowOff>
    </xdr:to>
    <xdr:sp macro="" textlink="">
      <xdr:nvSpPr>
        <xdr:cNvPr id="19" name="CuadroTexto 18">
          <a:extLst>
            <a:ext uri="{FF2B5EF4-FFF2-40B4-BE49-F238E27FC236}">
              <a16:creationId xmlns:a16="http://schemas.microsoft.com/office/drawing/2014/main" id="{00000000-0008-0000-0200-000013000000}"/>
            </a:ext>
          </a:extLst>
        </xdr:cNvPr>
        <xdr:cNvSpPr txBox="1"/>
      </xdr:nvSpPr>
      <xdr:spPr>
        <a:xfrm>
          <a:off x="5464394" y="1429350"/>
          <a:ext cx="406090" cy="217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115</a:t>
          </a:r>
        </a:p>
      </xdr:txBody>
    </xdr:sp>
    <xdr:clientData/>
  </xdr:twoCellAnchor>
  <xdr:twoCellAnchor>
    <xdr:from>
      <xdr:col>6</xdr:col>
      <xdr:colOff>240197</xdr:colOff>
      <xdr:row>46</xdr:row>
      <xdr:rowOff>1722</xdr:rowOff>
    </xdr:from>
    <xdr:to>
      <xdr:col>8</xdr:col>
      <xdr:colOff>0</xdr:colOff>
      <xdr:row>46</xdr:row>
      <xdr:rowOff>173935</xdr:rowOff>
    </xdr:to>
    <xdr:sp macro="" textlink="">
      <xdr:nvSpPr>
        <xdr:cNvPr id="20" name="Rectángulo 19">
          <a:extLst>
            <a:ext uri="{FF2B5EF4-FFF2-40B4-BE49-F238E27FC236}">
              <a16:creationId xmlns:a16="http://schemas.microsoft.com/office/drawing/2014/main" id="{00000000-0008-0000-0200-000014000000}"/>
            </a:ext>
          </a:extLst>
        </xdr:cNvPr>
        <xdr:cNvSpPr/>
      </xdr:nvSpPr>
      <xdr:spPr>
        <a:xfrm>
          <a:off x="2675284" y="8276048"/>
          <a:ext cx="347868" cy="172213"/>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PD</a:t>
          </a:r>
        </a:p>
      </xdr:txBody>
    </xdr:sp>
    <xdr:clientData/>
  </xdr:twoCellAnchor>
  <xdr:twoCellAnchor>
    <xdr:from>
      <xdr:col>8</xdr:col>
      <xdr:colOff>0</xdr:colOff>
      <xdr:row>46</xdr:row>
      <xdr:rowOff>1722</xdr:rowOff>
    </xdr:from>
    <xdr:to>
      <xdr:col>12</xdr:col>
      <xdr:colOff>9217</xdr:colOff>
      <xdr:row>46</xdr:row>
      <xdr:rowOff>176141</xdr:rowOff>
    </xdr:to>
    <xdr:sp macro="" textlink="">
      <xdr:nvSpPr>
        <xdr:cNvPr id="21" name="Rectángulo 20">
          <a:extLst>
            <a:ext uri="{FF2B5EF4-FFF2-40B4-BE49-F238E27FC236}">
              <a16:creationId xmlns:a16="http://schemas.microsoft.com/office/drawing/2014/main" id="{00000000-0008-0000-0200-000015000000}"/>
            </a:ext>
          </a:extLst>
        </xdr:cNvPr>
        <xdr:cNvSpPr/>
      </xdr:nvSpPr>
      <xdr:spPr>
        <a:xfrm>
          <a:off x="2905125" y="8431347"/>
          <a:ext cx="409267" cy="174419"/>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TB</a:t>
          </a:r>
        </a:p>
      </xdr:txBody>
    </xdr:sp>
    <xdr:clientData/>
  </xdr:twoCellAnchor>
  <xdr:twoCellAnchor>
    <xdr:from>
      <xdr:col>12</xdr:col>
      <xdr:colOff>9217</xdr:colOff>
      <xdr:row>46</xdr:row>
      <xdr:rowOff>27</xdr:rowOff>
    </xdr:from>
    <xdr:to>
      <xdr:col>17</xdr:col>
      <xdr:colOff>1928</xdr:colOff>
      <xdr:row>46</xdr:row>
      <xdr:rowOff>175847</xdr:rowOff>
    </xdr:to>
    <xdr:sp macro="" textlink="">
      <xdr:nvSpPr>
        <xdr:cNvPr id="22" name="Rectángulo 21">
          <a:extLst>
            <a:ext uri="{FF2B5EF4-FFF2-40B4-BE49-F238E27FC236}">
              <a16:creationId xmlns:a16="http://schemas.microsoft.com/office/drawing/2014/main" id="{00000000-0008-0000-0200-000016000000}"/>
            </a:ext>
          </a:extLst>
        </xdr:cNvPr>
        <xdr:cNvSpPr/>
      </xdr:nvSpPr>
      <xdr:spPr>
        <a:xfrm>
          <a:off x="4720429" y="8345392"/>
          <a:ext cx="2608422" cy="175820"/>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s-AR" sz="1100" b="1">
            <a:solidFill>
              <a:sysClr val="windowText" lastClr="000000"/>
            </a:solidFill>
          </a:endParaRPr>
        </a:p>
      </xdr:txBody>
    </xdr:sp>
    <xdr:clientData/>
  </xdr:twoCellAnchor>
  <xdr:twoCellAnchor>
    <xdr:from>
      <xdr:col>11</xdr:col>
      <xdr:colOff>318429</xdr:colOff>
      <xdr:row>46</xdr:row>
      <xdr:rowOff>2691</xdr:rowOff>
    </xdr:from>
    <xdr:to>
      <xdr:col>12</xdr:col>
      <xdr:colOff>198782</xdr:colOff>
      <xdr:row>46</xdr:row>
      <xdr:rowOff>182216</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3341581" y="8277017"/>
          <a:ext cx="203375" cy="179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0</a:t>
          </a:r>
        </a:p>
      </xdr:txBody>
    </xdr:sp>
    <xdr:clientData/>
  </xdr:twoCellAnchor>
  <xdr:twoCellAnchor>
    <xdr:from>
      <xdr:col>14</xdr:col>
      <xdr:colOff>301451</xdr:colOff>
      <xdr:row>46</xdr:row>
      <xdr:rowOff>14630</xdr:rowOff>
    </xdr:from>
    <xdr:to>
      <xdr:col>14</xdr:col>
      <xdr:colOff>633360</xdr:colOff>
      <xdr:row>46</xdr:row>
      <xdr:rowOff>162917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4549601" y="8329955"/>
          <a:ext cx="331909" cy="148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60</a:t>
          </a:r>
        </a:p>
      </xdr:txBody>
    </xdr:sp>
    <xdr:clientData/>
  </xdr:twoCellAnchor>
  <xdr:twoCellAnchor>
    <xdr:from>
      <xdr:col>14</xdr:col>
      <xdr:colOff>599587</xdr:colOff>
      <xdr:row>46</xdr:row>
      <xdr:rowOff>5964</xdr:rowOff>
    </xdr:from>
    <xdr:to>
      <xdr:col>15</xdr:col>
      <xdr:colOff>252905</xdr:colOff>
      <xdr:row>46</xdr:row>
      <xdr:rowOff>163776</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4847737" y="8321289"/>
          <a:ext cx="472468" cy="157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75</a:t>
          </a:r>
        </a:p>
      </xdr:txBody>
    </xdr:sp>
    <xdr:clientData/>
  </xdr:twoCellAnchor>
  <xdr:twoCellAnchor>
    <xdr:from>
      <xdr:col>15</xdr:col>
      <xdr:colOff>38589</xdr:colOff>
      <xdr:row>46</xdr:row>
      <xdr:rowOff>10977</xdr:rowOff>
    </xdr:from>
    <xdr:to>
      <xdr:col>15</xdr:col>
      <xdr:colOff>370498</xdr:colOff>
      <xdr:row>46</xdr:row>
      <xdr:rowOff>162439</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4924914" y="8440602"/>
          <a:ext cx="331909" cy="15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85</a:t>
          </a:r>
        </a:p>
      </xdr:txBody>
    </xdr:sp>
    <xdr:clientData/>
  </xdr:twoCellAnchor>
  <xdr:twoCellAnchor>
    <xdr:from>
      <xdr:col>15</xdr:col>
      <xdr:colOff>558362</xdr:colOff>
      <xdr:row>46</xdr:row>
      <xdr:rowOff>6330</xdr:rowOff>
    </xdr:from>
    <xdr:to>
      <xdr:col>17</xdr:col>
      <xdr:colOff>84479</xdr:colOff>
      <xdr:row>46</xdr:row>
      <xdr:rowOff>166148</xdr:rowOff>
    </xdr:to>
    <xdr:sp macro="" textlink="">
      <xdr:nvSpPr>
        <xdr:cNvPr id="43" name="CuadroTexto 42">
          <a:extLst>
            <a:ext uri="{FF2B5EF4-FFF2-40B4-BE49-F238E27FC236}">
              <a16:creationId xmlns:a16="http://schemas.microsoft.com/office/drawing/2014/main" id="{00000000-0008-0000-0200-00002B000000}"/>
            </a:ext>
          </a:extLst>
        </xdr:cNvPr>
        <xdr:cNvSpPr txBox="1"/>
      </xdr:nvSpPr>
      <xdr:spPr>
        <a:xfrm>
          <a:off x="5444687" y="8435955"/>
          <a:ext cx="421467" cy="159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115</a:t>
          </a:r>
        </a:p>
      </xdr:txBody>
    </xdr:sp>
    <xdr:clientData/>
  </xdr:twoCellAnchor>
  <xdr:twoCellAnchor>
    <xdr:from>
      <xdr:col>3</xdr:col>
      <xdr:colOff>202718</xdr:colOff>
      <xdr:row>53</xdr:row>
      <xdr:rowOff>21677</xdr:rowOff>
    </xdr:from>
    <xdr:to>
      <xdr:col>3</xdr:col>
      <xdr:colOff>533888</xdr:colOff>
      <xdr:row>53</xdr:row>
      <xdr:rowOff>179023</xdr:rowOff>
    </xdr:to>
    <xdr:sp macro="" textlink="">
      <xdr:nvSpPr>
        <xdr:cNvPr id="51" name="Flecha: a la derecha 50">
          <a:extLst>
            <a:ext uri="{FF2B5EF4-FFF2-40B4-BE49-F238E27FC236}">
              <a16:creationId xmlns:a16="http://schemas.microsoft.com/office/drawing/2014/main" id="{00000000-0008-0000-0200-000033000000}"/>
            </a:ext>
          </a:extLst>
        </xdr:cNvPr>
        <xdr:cNvSpPr/>
      </xdr:nvSpPr>
      <xdr:spPr>
        <a:xfrm>
          <a:off x="1030660" y="9693215"/>
          <a:ext cx="331170" cy="157346"/>
        </a:xfrm>
        <a:prstGeom prst="right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14</xdr:col>
      <xdr:colOff>438149</xdr:colOff>
      <xdr:row>47</xdr:row>
      <xdr:rowOff>161925</xdr:rowOff>
    </xdr:from>
    <xdr:to>
      <xdr:col>17</xdr:col>
      <xdr:colOff>314324</xdr:colOff>
      <xdr:row>53</xdr:row>
      <xdr:rowOff>828</xdr:rowOff>
    </xdr:to>
    <xdr:grpSp>
      <xdr:nvGrpSpPr>
        <xdr:cNvPr id="12" name="Grupo 11">
          <a:hlinkClick xmlns:r="http://schemas.openxmlformats.org/officeDocument/2006/relationships" r:id="rId8"/>
          <a:extLst>
            <a:ext uri="{FF2B5EF4-FFF2-40B4-BE49-F238E27FC236}">
              <a16:creationId xmlns:a16="http://schemas.microsoft.com/office/drawing/2014/main" id="{00000000-0008-0000-0200-00000C000000}"/>
            </a:ext>
          </a:extLst>
        </xdr:cNvPr>
        <xdr:cNvGrpSpPr/>
      </xdr:nvGrpSpPr>
      <xdr:grpSpPr>
        <a:xfrm>
          <a:off x="6300560" y="8609693"/>
          <a:ext cx="1558018" cy="927474"/>
          <a:chOff x="4680916" y="8678517"/>
          <a:chExt cx="1585379" cy="1075911"/>
        </a:xfrm>
      </xdr:grpSpPr>
      <xdr:pic>
        <xdr:nvPicPr>
          <xdr:cNvPr id="10" name="Gráfico 9" descr="Documento con relleno sólido">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020503" y="8678517"/>
            <a:ext cx="911087" cy="917223"/>
          </a:xfrm>
          <a:prstGeom prst="rect">
            <a:avLst/>
          </a:prstGeom>
        </xdr:spPr>
      </xdr:pic>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4680916" y="9450870"/>
            <a:ext cx="1585379" cy="303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Aptos Narrow" panose="020B0004020202020204" pitchFamily="34" charset="0"/>
              </a:rPr>
              <a:t>Ir a Informe Informe</a:t>
            </a:r>
          </a:p>
        </xdr:txBody>
      </xdr:sp>
    </xdr:grpSp>
    <xdr:clientData/>
  </xdr:twoCellAnchor>
  <xdr:twoCellAnchor editAs="oneCell">
    <xdr:from>
      <xdr:col>3</xdr:col>
      <xdr:colOff>38101</xdr:colOff>
      <xdr:row>2</xdr:row>
      <xdr:rowOff>46687</xdr:rowOff>
    </xdr:from>
    <xdr:to>
      <xdr:col>3</xdr:col>
      <xdr:colOff>737187</xdr:colOff>
      <xdr:row>8</xdr:row>
      <xdr:rowOff>114370</xdr:rowOff>
    </xdr:to>
    <xdr:pic>
      <xdr:nvPicPr>
        <xdr:cNvPr id="9" name="Imagen 8">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71526" y="332437"/>
          <a:ext cx="699086" cy="715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694313</xdr:colOff>
      <xdr:row>0</xdr:row>
      <xdr:rowOff>68034</xdr:rowOff>
    </xdr:from>
    <xdr:to>
      <xdr:col>16</xdr:col>
      <xdr:colOff>103413</xdr:colOff>
      <xdr:row>1</xdr:row>
      <xdr:rowOff>100693</xdr:rowOff>
    </xdr:to>
    <xdr:pic>
      <xdr:nvPicPr>
        <xdr:cNvPr id="13" name="Imagen 12">
          <a:extLst>
            <a:ext uri="{FF2B5EF4-FFF2-40B4-BE49-F238E27FC236}">
              <a16:creationId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5575" t="24070" r="11358" b="-3153"/>
        <a:stretch>
          <a:fillRect/>
        </a:stretch>
      </xdr:blipFill>
      <xdr:spPr bwMode="auto">
        <a:xfrm>
          <a:off x="4942463" y="68034"/>
          <a:ext cx="914049" cy="2136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21983</xdr:colOff>
      <xdr:row>16</xdr:row>
      <xdr:rowOff>2931</xdr:rowOff>
    </xdr:from>
    <xdr:to>
      <xdr:col>16</xdr:col>
      <xdr:colOff>205154</xdr:colOff>
      <xdr:row>16</xdr:row>
      <xdr:rowOff>2931</xdr:rowOff>
    </xdr:to>
    <xdr:cxnSp macro="">
      <xdr:nvCxnSpPr>
        <xdr:cNvPr id="15" name="Conector recto 14">
          <a:extLst>
            <a:ext uri="{FF2B5EF4-FFF2-40B4-BE49-F238E27FC236}">
              <a16:creationId xmlns:a16="http://schemas.microsoft.com/office/drawing/2014/main" id="{00000000-0008-0000-0200-00000F000000}"/>
            </a:ext>
          </a:extLst>
        </xdr:cNvPr>
        <xdr:cNvCxnSpPr/>
      </xdr:nvCxnSpPr>
      <xdr:spPr>
        <a:xfrm>
          <a:off x="3374783" y="2393706"/>
          <a:ext cx="258347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29311</xdr:colOff>
      <xdr:row>29</xdr:row>
      <xdr:rowOff>733</xdr:rowOff>
    </xdr:from>
    <xdr:to>
      <xdr:col>17</xdr:col>
      <xdr:colOff>2</xdr:colOff>
      <xdr:row>29</xdr:row>
      <xdr:rowOff>733</xdr:rowOff>
    </xdr:to>
    <xdr:cxnSp macro="">
      <xdr:nvCxnSpPr>
        <xdr:cNvPr id="56" name="Conector recto 55">
          <a:extLst>
            <a:ext uri="{FF2B5EF4-FFF2-40B4-BE49-F238E27FC236}">
              <a16:creationId xmlns:a16="http://schemas.microsoft.com/office/drawing/2014/main" id="{00000000-0008-0000-0200-000038000000}"/>
            </a:ext>
          </a:extLst>
        </xdr:cNvPr>
        <xdr:cNvCxnSpPr/>
      </xdr:nvCxnSpPr>
      <xdr:spPr>
        <a:xfrm>
          <a:off x="3382111" y="5029933"/>
          <a:ext cx="258054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31509</xdr:colOff>
      <xdr:row>38</xdr:row>
      <xdr:rowOff>0</xdr:rowOff>
    </xdr:from>
    <xdr:to>
      <xdr:col>17</xdr:col>
      <xdr:colOff>5130</xdr:colOff>
      <xdr:row>38</xdr:row>
      <xdr:rowOff>0</xdr:rowOff>
    </xdr:to>
    <xdr:cxnSp macro="">
      <xdr:nvCxnSpPr>
        <xdr:cNvPr id="57" name="Conector recto 56">
          <a:extLst>
            <a:ext uri="{FF2B5EF4-FFF2-40B4-BE49-F238E27FC236}">
              <a16:creationId xmlns:a16="http://schemas.microsoft.com/office/drawing/2014/main" id="{00000000-0008-0000-0200-000039000000}"/>
            </a:ext>
          </a:extLst>
        </xdr:cNvPr>
        <xdr:cNvCxnSpPr/>
      </xdr:nvCxnSpPr>
      <xdr:spPr>
        <a:xfrm>
          <a:off x="3384309" y="6781800"/>
          <a:ext cx="258347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30554</xdr:colOff>
      <xdr:row>16</xdr:row>
      <xdr:rowOff>2485</xdr:rowOff>
    </xdr:from>
    <xdr:to>
      <xdr:col>17</xdr:col>
      <xdr:colOff>1245</xdr:colOff>
      <xdr:row>16</xdr:row>
      <xdr:rowOff>2485</xdr:rowOff>
    </xdr:to>
    <xdr:cxnSp macro="">
      <xdr:nvCxnSpPr>
        <xdr:cNvPr id="55" name="Conector recto 54">
          <a:extLst>
            <a:ext uri="{FF2B5EF4-FFF2-40B4-BE49-F238E27FC236}">
              <a16:creationId xmlns:a16="http://schemas.microsoft.com/office/drawing/2014/main" id="{00000000-0008-0000-0200-000037000000}"/>
            </a:ext>
          </a:extLst>
        </xdr:cNvPr>
        <xdr:cNvCxnSpPr/>
      </xdr:nvCxnSpPr>
      <xdr:spPr>
        <a:xfrm>
          <a:off x="3376728" y="2445855"/>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21029</xdr:colOff>
      <xdr:row>29</xdr:row>
      <xdr:rowOff>1242</xdr:rowOff>
    </xdr:from>
    <xdr:to>
      <xdr:col>16</xdr:col>
      <xdr:colOff>198786</xdr:colOff>
      <xdr:row>29</xdr:row>
      <xdr:rowOff>1242</xdr:rowOff>
    </xdr:to>
    <xdr:cxnSp macro="">
      <xdr:nvCxnSpPr>
        <xdr:cNvPr id="60" name="Conector recto 59">
          <a:extLst>
            <a:ext uri="{FF2B5EF4-FFF2-40B4-BE49-F238E27FC236}">
              <a16:creationId xmlns:a16="http://schemas.microsoft.com/office/drawing/2014/main" id="{00000000-0008-0000-0200-00003C000000}"/>
            </a:ext>
          </a:extLst>
        </xdr:cNvPr>
        <xdr:cNvCxnSpPr/>
      </xdr:nvCxnSpPr>
      <xdr:spPr>
        <a:xfrm>
          <a:off x="3367203" y="5045351"/>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25584</xdr:colOff>
      <xdr:row>29</xdr:row>
      <xdr:rowOff>828</xdr:rowOff>
    </xdr:from>
    <xdr:to>
      <xdr:col>16</xdr:col>
      <xdr:colOff>203341</xdr:colOff>
      <xdr:row>29</xdr:row>
      <xdr:rowOff>828</xdr:rowOff>
    </xdr:to>
    <xdr:cxnSp macro="">
      <xdr:nvCxnSpPr>
        <xdr:cNvPr id="62" name="Conector recto 61">
          <a:extLst>
            <a:ext uri="{FF2B5EF4-FFF2-40B4-BE49-F238E27FC236}">
              <a16:creationId xmlns:a16="http://schemas.microsoft.com/office/drawing/2014/main" id="{00000000-0008-0000-0200-00003E000000}"/>
            </a:ext>
          </a:extLst>
        </xdr:cNvPr>
        <xdr:cNvCxnSpPr/>
      </xdr:nvCxnSpPr>
      <xdr:spPr>
        <a:xfrm>
          <a:off x="3378384" y="5087178"/>
          <a:ext cx="2578057"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30554</xdr:colOff>
      <xdr:row>28</xdr:row>
      <xdr:rowOff>1242</xdr:rowOff>
    </xdr:from>
    <xdr:to>
      <xdr:col>16</xdr:col>
      <xdr:colOff>208311</xdr:colOff>
      <xdr:row>28</xdr:row>
      <xdr:rowOff>1242</xdr:rowOff>
    </xdr:to>
    <xdr:cxnSp macro="">
      <xdr:nvCxnSpPr>
        <xdr:cNvPr id="59" name="Conector recto 58">
          <a:extLst>
            <a:ext uri="{FF2B5EF4-FFF2-40B4-BE49-F238E27FC236}">
              <a16:creationId xmlns:a16="http://schemas.microsoft.com/office/drawing/2014/main" id="{00000000-0008-0000-0200-00003B000000}"/>
            </a:ext>
          </a:extLst>
        </xdr:cNvPr>
        <xdr:cNvCxnSpPr/>
      </xdr:nvCxnSpPr>
      <xdr:spPr>
        <a:xfrm>
          <a:off x="3383354" y="4858992"/>
          <a:ext cx="2578057"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37181</xdr:colOff>
      <xdr:row>29</xdr:row>
      <xdr:rowOff>0</xdr:rowOff>
    </xdr:from>
    <xdr:to>
      <xdr:col>17</xdr:col>
      <xdr:colOff>7872</xdr:colOff>
      <xdr:row>29</xdr:row>
      <xdr:rowOff>0</xdr:rowOff>
    </xdr:to>
    <xdr:cxnSp macro="">
      <xdr:nvCxnSpPr>
        <xdr:cNvPr id="4" name="Conector recto 3">
          <a:extLst>
            <a:ext uri="{FF2B5EF4-FFF2-40B4-BE49-F238E27FC236}">
              <a16:creationId xmlns:a16="http://schemas.microsoft.com/office/drawing/2014/main" id="{00000000-0008-0000-0200-000004000000}"/>
            </a:ext>
          </a:extLst>
        </xdr:cNvPr>
        <xdr:cNvCxnSpPr/>
      </xdr:nvCxnSpPr>
      <xdr:spPr>
        <a:xfrm>
          <a:off x="3383355" y="5044109"/>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37181</xdr:colOff>
      <xdr:row>28</xdr:row>
      <xdr:rowOff>229013</xdr:rowOff>
    </xdr:from>
    <xdr:to>
      <xdr:col>17</xdr:col>
      <xdr:colOff>7872</xdr:colOff>
      <xdr:row>28</xdr:row>
      <xdr:rowOff>229013</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3383355" y="5041209"/>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37180</xdr:colOff>
      <xdr:row>37</xdr:row>
      <xdr:rowOff>214934</xdr:rowOff>
    </xdr:from>
    <xdr:to>
      <xdr:col>17</xdr:col>
      <xdr:colOff>7871</xdr:colOff>
      <xdr:row>37</xdr:row>
      <xdr:rowOff>214934</xdr:rowOff>
    </xdr:to>
    <xdr:cxnSp macro="">
      <xdr:nvCxnSpPr>
        <xdr:cNvPr id="63" name="Conector recto 62">
          <a:extLst>
            <a:ext uri="{FF2B5EF4-FFF2-40B4-BE49-F238E27FC236}">
              <a16:creationId xmlns:a16="http://schemas.microsoft.com/office/drawing/2014/main" id="{00000000-0008-0000-0200-00003F000000}"/>
            </a:ext>
          </a:extLst>
        </xdr:cNvPr>
        <xdr:cNvCxnSpPr/>
      </xdr:nvCxnSpPr>
      <xdr:spPr>
        <a:xfrm>
          <a:off x="3383354" y="6766477"/>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37180</xdr:colOff>
      <xdr:row>15</xdr:row>
      <xdr:rowOff>212448</xdr:rowOff>
    </xdr:from>
    <xdr:to>
      <xdr:col>17</xdr:col>
      <xdr:colOff>7871</xdr:colOff>
      <xdr:row>15</xdr:row>
      <xdr:rowOff>212448</xdr:rowOff>
    </xdr:to>
    <xdr:cxnSp macro="">
      <xdr:nvCxnSpPr>
        <xdr:cNvPr id="23" name="Conector recto 22">
          <a:extLst>
            <a:ext uri="{FF2B5EF4-FFF2-40B4-BE49-F238E27FC236}">
              <a16:creationId xmlns:a16="http://schemas.microsoft.com/office/drawing/2014/main" id="{00000000-0008-0000-0200-000017000000}"/>
            </a:ext>
          </a:extLst>
        </xdr:cNvPr>
        <xdr:cNvCxnSpPr/>
      </xdr:nvCxnSpPr>
      <xdr:spPr>
        <a:xfrm>
          <a:off x="3383354" y="2440470"/>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1D2F2-E121-47B7-BCFD-2F6BA550C00C}">
  <sheetPr codeName="Hoja8"/>
  <dimension ref="A1:Q41"/>
  <sheetViews>
    <sheetView showGridLines="0" topLeftCell="A4" zoomScaleNormal="100" workbookViewId="0">
      <selection activeCell="K25" sqref="K25"/>
    </sheetView>
  </sheetViews>
  <sheetFormatPr baseColWidth="10" defaultColWidth="0" defaultRowHeight="14.25" zeroHeight="1" x14ac:dyDescent="0.2"/>
  <cols>
    <col min="1" max="1" width="6.5703125" style="80" customWidth="1"/>
    <col min="2" max="6" width="11.42578125" style="80" customWidth="1"/>
    <col min="7" max="7" width="14.140625" style="80" customWidth="1"/>
    <col min="8" max="8" width="12.85546875" style="80" customWidth="1"/>
    <col min="9" max="9" width="11.42578125" style="80" customWidth="1"/>
    <col min="10" max="10" width="2.85546875" style="80" customWidth="1"/>
    <col min="11" max="11" width="11.42578125" style="80" customWidth="1"/>
    <col min="12" max="14" width="11.42578125" style="80" hidden="1" customWidth="1"/>
    <col min="15" max="15" width="13.5703125" style="80" hidden="1" customWidth="1"/>
    <col min="16" max="17" width="0" style="80" hidden="1" customWidth="1"/>
    <col min="18" max="16384" width="11.42578125" style="80" hidden="1"/>
  </cols>
  <sheetData>
    <row r="1" spans="1:17" x14ac:dyDescent="0.2">
      <c r="A1" s="78"/>
      <c r="B1" s="78"/>
      <c r="C1" s="78"/>
      <c r="D1" s="78"/>
      <c r="E1" s="78"/>
      <c r="F1" s="78"/>
      <c r="G1" s="78"/>
      <c r="H1" s="78"/>
      <c r="I1" s="78"/>
      <c r="J1" s="78"/>
      <c r="K1" s="78"/>
    </row>
    <row r="2" spans="1:17" x14ac:dyDescent="0.2">
      <c r="A2" s="78"/>
      <c r="B2" s="78"/>
      <c r="C2" s="78"/>
      <c r="D2" s="78"/>
      <c r="E2" s="78"/>
      <c r="F2" s="78"/>
      <c r="G2" s="78"/>
      <c r="H2" s="78"/>
      <c r="I2" s="78"/>
      <c r="J2" s="78"/>
      <c r="K2" s="78"/>
    </row>
    <row r="3" spans="1:17" x14ac:dyDescent="0.2">
      <c r="A3" s="78"/>
      <c r="B3" s="78"/>
      <c r="C3" s="78"/>
      <c r="D3" s="78"/>
      <c r="E3" s="78"/>
      <c r="F3" s="78"/>
      <c r="G3" s="78"/>
      <c r="H3" s="78"/>
      <c r="I3" s="78"/>
      <c r="J3" s="78"/>
      <c r="K3" s="78"/>
      <c r="O3" s="80" t="b">
        <v>1</v>
      </c>
      <c r="P3" s="80" t="str">
        <f>IF(O3=TRUE,"Varón","")</f>
        <v>Varón</v>
      </c>
    </row>
    <row r="4" spans="1:17" x14ac:dyDescent="0.2">
      <c r="A4" s="78"/>
      <c r="B4" s="78"/>
      <c r="C4" s="78"/>
      <c r="D4" s="78"/>
      <c r="E4" s="78"/>
      <c r="F4" s="78"/>
      <c r="G4" s="78"/>
      <c r="H4" s="78"/>
      <c r="I4" s="78"/>
      <c r="J4" s="78"/>
      <c r="K4" s="78"/>
      <c r="O4" s="80" t="b">
        <v>0</v>
      </c>
      <c r="P4" s="80" t="str">
        <f>IF(O4=TRUE,"Mujer","")</f>
        <v/>
      </c>
    </row>
    <row r="5" spans="1:17" x14ac:dyDescent="0.2">
      <c r="A5" s="78"/>
      <c r="B5" s="78"/>
      <c r="C5" s="78"/>
      <c r="D5" s="78"/>
      <c r="E5" s="78"/>
      <c r="F5" s="78"/>
      <c r="G5" s="78"/>
      <c r="H5" s="78"/>
      <c r="I5" s="78"/>
      <c r="J5" s="78"/>
      <c r="K5" s="78"/>
    </row>
    <row r="6" spans="1:17" x14ac:dyDescent="0.2">
      <c r="A6" s="78"/>
      <c r="B6" s="78"/>
      <c r="C6" s="78"/>
      <c r="D6" s="78"/>
      <c r="E6" s="78"/>
      <c r="F6" s="78"/>
      <c r="G6" s="78"/>
      <c r="H6" s="78"/>
      <c r="I6" s="78"/>
      <c r="J6" s="78"/>
      <c r="K6" s="78"/>
    </row>
    <row r="7" spans="1:17" x14ac:dyDescent="0.2">
      <c r="B7" s="214" t="s">
        <v>444</v>
      </c>
      <c r="C7" s="214"/>
      <c r="D7" s="215" t="s">
        <v>458</v>
      </c>
      <c r="E7" s="215"/>
      <c r="F7" s="215"/>
      <c r="G7" s="133" t="s">
        <v>443</v>
      </c>
      <c r="H7" s="216">
        <f ca="1">+TODAY()</f>
        <v>46167</v>
      </c>
      <c r="I7" s="216"/>
      <c r="J7" s="138"/>
      <c r="O7" s="79"/>
      <c r="P7" s="79"/>
      <c r="Q7" s="79"/>
    </row>
    <row r="8" spans="1:17" x14ac:dyDescent="0.2">
      <c r="B8" s="134"/>
      <c r="C8" s="134"/>
      <c r="D8" s="134"/>
      <c r="E8" s="134"/>
      <c r="F8" s="134"/>
      <c r="G8" s="134"/>
      <c r="H8" s="134"/>
      <c r="I8" s="134"/>
      <c r="J8" s="134"/>
      <c r="O8" s="81"/>
      <c r="P8" s="81"/>
      <c r="Q8" s="81"/>
    </row>
    <row r="9" spans="1:17" x14ac:dyDescent="0.2">
      <c r="B9" s="135" t="s">
        <v>273</v>
      </c>
      <c r="C9" s="217" t="s">
        <v>484</v>
      </c>
      <c r="D9" s="217"/>
      <c r="E9" s="217"/>
      <c r="F9" s="217"/>
      <c r="G9" s="133" t="s">
        <v>260</v>
      </c>
      <c r="H9" s="211" t="s">
        <v>266</v>
      </c>
      <c r="I9" s="211"/>
      <c r="J9" s="134"/>
      <c r="O9" s="79"/>
      <c r="P9" s="79"/>
      <c r="Q9" s="83"/>
    </row>
    <row r="10" spans="1:17" x14ac:dyDescent="0.2">
      <c r="B10" s="134"/>
      <c r="C10" s="134"/>
      <c r="D10" s="134"/>
      <c r="E10" s="134"/>
      <c r="F10" s="134"/>
      <c r="G10" s="134"/>
      <c r="H10" s="134"/>
      <c r="I10" s="134"/>
      <c r="J10" s="134"/>
      <c r="O10" s="81" t="str">
        <f>+IF(P3="Varón","Varón",IF(P4="Mujer","Mujer","Ingresar sexo"))</f>
        <v>Varón</v>
      </c>
      <c r="P10" s="81"/>
      <c r="Q10" s="81"/>
    </row>
    <row r="11" spans="1:17" ht="15" customHeight="1" x14ac:dyDescent="0.2">
      <c r="B11" s="135" t="s">
        <v>424</v>
      </c>
      <c r="C11" s="136"/>
      <c r="D11" s="136"/>
      <c r="E11" s="221" t="s">
        <v>442</v>
      </c>
      <c r="F11" s="221"/>
      <c r="G11" s="213" t="s">
        <v>460</v>
      </c>
      <c r="H11" s="213"/>
      <c r="I11" s="213"/>
      <c r="J11" s="134"/>
      <c r="O11" s="79"/>
      <c r="P11" s="79"/>
      <c r="Q11" s="79"/>
    </row>
    <row r="12" spans="1:17" x14ac:dyDescent="0.2">
      <c r="B12" s="137"/>
      <c r="C12" s="137"/>
      <c r="D12" s="137"/>
      <c r="E12" s="137"/>
      <c r="F12" s="137"/>
      <c r="G12" s="137"/>
      <c r="H12" s="137"/>
      <c r="I12" s="134"/>
      <c r="J12" s="134"/>
    </row>
    <row r="13" spans="1:17" x14ac:dyDescent="0.2">
      <c r="B13" s="212" t="s">
        <v>445</v>
      </c>
      <c r="C13" s="212"/>
      <c r="D13" s="212"/>
      <c r="E13" s="212"/>
      <c r="F13" s="212"/>
      <c r="G13" s="213" t="s">
        <v>485</v>
      </c>
      <c r="H13" s="213"/>
      <c r="I13" s="213"/>
      <c r="J13" s="134"/>
    </row>
    <row r="14" spans="1:17" x14ac:dyDescent="0.2">
      <c r="B14" s="137"/>
      <c r="C14" s="137"/>
      <c r="D14" s="137"/>
      <c r="E14" s="137"/>
      <c r="F14" s="137"/>
      <c r="G14" s="137"/>
      <c r="H14" s="137"/>
      <c r="I14" s="134"/>
      <c r="J14" s="134"/>
    </row>
    <row r="15" spans="1:17" x14ac:dyDescent="0.2">
      <c r="B15" s="135" t="s">
        <v>446</v>
      </c>
      <c r="C15" s="217" t="s">
        <v>459</v>
      </c>
      <c r="D15" s="217"/>
      <c r="E15" s="217"/>
      <c r="F15" s="217"/>
      <c r="G15" s="217"/>
      <c r="H15" s="217"/>
      <c r="I15" s="217"/>
      <c r="J15" s="134"/>
    </row>
    <row r="16" spans="1:17" x14ac:dyDescent="0.2">
      <c r="B16" s="134"/>
      <c r="C16" s="134"/>
      <c r="D16" s="134"/>
      <c r="E16" s="134"/>
      <c r="F16" s="134"/>
      <c r="G16" s="134"/>
      <c r="H16" s="134"/>
      <c r="I16" s="134"/>
      <c r="J16" s="134"/>
    </row>
    <row r="17" spans="2:16" x14ac:dyDescent="0.2">
      <c r="B17" s="220" t="s">
        <v>482</v>
      </c>
      <c r="C17" s="220"/>
      <c r="D17" s="220"/>
      <c r="E17" s="220"/>
      <c r="F17" s="220"/>
      <c r="G17" s="220"/>
      <c r="H17" s="220"/>
      <c r="I17" s="220"/>
      <c r="J17" s="134"/>
    </row>
    <row r="18" spans="2:16" x14ac:dyDescent="0.2">
      <c r="B18" s="220"/>
      <c r="C18" s="220"/>
      <c r="D18" s="220"/>
      <c r="E18" s="220"/>
      <c r="F18" s="220"/>
      <c r="G18" s="220"/>
      <c r="H18" s="220"/>
      <c r="I18" s="220"/>
      <c r="J18" s="134"/>
    </row>
    <row r="19" spans="2:16" x14ac:dyDescent="0.2">
      <c r="B19" s="220"/>
      <c r="C19" s="220"/>
      <c r="D19" s="220"/>
      <c r="E19" s="220"/>
      <c r="F19" s="220"/>
      <c r="G19" s="220"/>
      <c r="H19" s="220"/>
      <c r="I19" s="220"/>
      <c r="J19" s="134"/>
    </row>
    <row r="20" spans="2:16" x14ac:dyDescent="0.2">
      <c r="B20" s="134"/>
      <c r="C20" s="134"/>
      <c r="D20" s="134"/>
      <c r="E20" s="134"/>
      <c r="F20" s="134"/>
      <c r="G20" s="134"/>
      <c r="H20" s="134"/>
      <c r="I20" s="134"/>
      <c r="J20" s="134"/>
    </row>
    <row r="21" spans="2:16" x14ac:dyDescent="0.2">
      <c r="B21" s="134" t="s">
        <v>447</v>
      </c>
      <c r="C21" s="134"/>
      <c r="D21" s="138"/>
      <c r="E21" s="138"/>
      <c r="F21" s="134"/>
      <c r="G21" s="134" t="s">
        <v>453</v>
      </c>
      <c r="H21" s="138"/>
      <c r="I21" s="138"/>
      <c r="J21" s="134"/>
      <c r="N21" s="80" t="b">
        <v>1</v>
      </c>
      <c r="O21" s="80" t="str">
        <f>+IF(N21=TRUE,B21,"")</f>
        <v>Problemas familiares</v>
      </c>
      <c r="P21" s="80" t="b">
        <v>0</v>
      </c>
    </row>
    <row r="22" spans="2:16" ht="10.5" customHeight="1" x14ac:dyDescent="0.2">
      <c r="B22" s="134"/>
      <c r="C22" s="134"/>
      <c r="D22" s="138"/>
      <c r="E22" s="138"/>
      <c r="F22" s="138"/>
      <c r="G22" s="134"/>
      <c r="H22" s="138"/>
      <c r="I22" s="138"/>
      <c r="J22" s="134"/>
      <c r="N22" s="80" t="b">
        <v>1</v>
      </c>
      <c r="O22" s="80" t="str">
        <f>+IF(N22=TRUE,B23,"")</f>
        <v>Trabajo, estudios o empleo</v>
      </c>
    </row>
    <row r="23" spans="2:16" x14ac:dyDescent="0.2">
      <c r="B23" s="134" t="s">
        <v>448</v>
      </c>
      <c r="C23" s="134"/>
      <c r="D23" s="138"/>
      <c r="E23" s="138"/>
      <c r="F23" s="138"/>
      <c r="G23" s="134" t="s">
        <v>454</v>
      </c>
      <c r="H23" s="138"/>
      <c r="I23" s="138"/>
      <c r="J23" s="134"/>
      <c r="N23" s="80" t="b">
        <v>1</v>
      </c>
      <c r="O23" s="80" t="str">
        <f>+IF(N23=TRUE,B25,"")</f>
        <v>Soledad</v>
      </c>
    </row>
    <row r="24" spans="2:16" ht="10.5" customHeight="1" x14ac:dyDescent="0.2">
      <c r="B24" s="134"/>
      <c r="C24" s="134"/>
      <c r="D24" s="138"/>
      <c r="E24" s="138"/>
      <c r="F24" s="138"/>
      <c r="G24" s="134"/>
      <c r="H24" s="138"/>
      <c r="I24" s="138"/>
      <c r="J24" s="134"/>
      <c r="N24" s="80" t="b">
        <v>1</v>
      </c>
      <c r="O24" s="80" t="str">
        <f>+IF(N24=TRUE,B27,"")</f>
        <v>Estado de ánimo</v>
      </c>
    </row>
    <row r="25" spans="2:16" x14ac:dyDescent="0.2">
      <c r="B25" s="134" t="s">
        <v>449</v>
      </c>
      <c r="C25" s="134"/>
      <c r="D25" s="138"/>
      <c r="E25" s="138"/>
      <c r="F25" s="138"/>
      <c r="G25" s="134" t="s">
        <v>455</v>
      </c>
      <c r="H25" s="138"/>
      <c r="I25" s="138"/>
      <c r="J25" s="134"/>
      <c r="N25" s="80" t="b">
        <v>1</v>
      </c>
      <c r="O25" s="80" t="str">
        <f>+IF(N25=TRUE,B29,"")</f>
        <v xml:space="preserve">Confianza en ti mismo </v>
      </c>
    </row>
    <row r="26" spans="2:16" ht="10.5" customHeight="1" x14ac:dyDescent="0.2">
      <c r="B26" s="134"/>
      <c r="C26" s="134"/>
      <c r="D26" s="138"/>
      <c r="E26" s="138"/>
      <c r="F26" s="138"/>
      <c r="G26" s="134"/>
      <c r="H26" s="138"/>
      <c r="I26" s="138"/>
      <c r="J26" s="134"/>
      <c r="N26" s="80" t="b">
        <v>1</v>
      </c>
      <c r="O26" s="80" t="str">
        <f>+IF(N26=TRUE,B31,"")</f>
        <v>Cansancio o enfermedad</v>
      </c>
    </row>
    <row r="27" spans="2:16" x14ac:dyDescent="0.2">
      <c r="B27" s="134" t="s">
        <v>450</v>
      </c>
      <c r="C27" s="134"/>
      <c r="D27" s="138"/>
      <c r="E27" s="138"/>
      <c r="F27" s="138"/>
      <c r="G27" s="134" t="s">
        <v>456</v>
      </c>
      <c r="H27" s="138"/>
      <c r="I27" s="138"/>
      <c r="J27" s="134"/>
      <c r="N27" s="80" t="b">
        <v>0</v>
      </c>
      <c r="O27" s="80" t="str">
        <f>+IF(N27=TRUE,G21,"")</f>
        <v/>
      </c>
    </row>
    <row r="28" spans="2:16" ht="10.5" customHeight="1" x14ac:dyDescent="0.2">
      <c r="B28" s="134"/>
      <c r="C28" s="134"/>
      <c r="D28" s="138"/>
      <c r="E28" s="138"/>
      <c r="F28" s="138"/>
      <c r="G28" s="134"/>
      <c r="H28" s="138"/>
      <c r="I28" s="138"/>
      <c r="J28" s="134"/>
      <c r="N28" s="80" t="b">
        <v>0</v>
      </c>
      <c r="O28" s="80" t="str">
        <f>+IF(N28=TRUE,G23,"")</f>
        <v/>
      </c>
    </row>
    <row r="29" spans="2:16" x14ac:dyDescent="0.2">
      <c r="B29" s="134" t="s">
        <v>451</v>
      </c>
      <c r="C29" s="134"/>
      <c r="D29" s="138"/>
      <c r="E29" s="138"/>
      <c r="F29" s="138"/>
      <c r="G29" s="135" t="s">
        <v>463</v>
      </c>
      <c r="H29" s="138"/>
      <c r="I29" s="138"/>
      <c r="J29" s="134"/>
      <c r="N29" s="80" t="b">
        <v>1</v>
      </c>
      <c r="O29" s="80" t="str">
        <f>+IF(N29=TRUE,G25,"")</f>
        <v>Problemas mentales</v>
      </c>
    </row>
    <row r="30" spans="2:16" ht="10.5" customHeight="1" x14ac:dyDescent="0.2">
      <c r="B30" s="134"/>
      <c r="C30" s="134"/>
      <c r="D30" s="138"/>
      <c r="E30" s="138"/>
      <c r="F30" s="138"/>
      <c r="G30" s="218"/>
      <c r="H30" s="218"/>
      <c r="I30" s="218"/>
      <c r="J30" s="134"/>
      <c r="N30" s="80" t="b">
        <v>1</v>
      </c>
      <c r="O30" s="80" t="str">
        <f>+IF(N30=TRUE,G27,"")</f>
        <v>Conducta antisocial</v>
      </c>
    </row>
    <row r="31" spans="2:16" x14ac:dyDescent="0.2">
      <c r="B31" s="134" t="s">
        <v>452</v>
      </c>
      <c r="C31" s="134"/>
      <c r="D31" s="138"/>
      <c r="E31" s="138"/>
      <c r="F31" s="138"/>
      <c r="G31" s="219"/>
      <c r="H31" s="219"/>
      <c r="I31" s="219"/>
      <c r="J31" s="134"/>
      <c r="O31" s="80">
        <f>+G30</f>
        <v>0</v>
      </c>
    </row>
    <row r="32" spans="2:16" x14ac:dyDescent="0.2">
      <c r="B32" s="134"/>
      <c r="C32" s="134"/>
      <c r="D32" s="134"/>
      <c r="E32" s="134"/>
      <c r="F32" s="134"/>
      <c r="G32" s="219"/>
      <c r="H32" s="219"/>
      <c r="I32" s="219"/>
      <c r="J32" s="134"/>
    </row>
    <row r="33" spans="2:10" x14ac:dyDescent="0.2">
      <c r="B33" s="134"/>
      <c r="C33" s="134"/>
      <c r="D33" s="134"/>
      <c r="E33" s="134"/>
      <c r="F33" s="134"/>
      <c r="G33" s="219"/>
      <c r="H33" s="219"/>
      <c r="I33" s="219"/>
      <c r="J33" s="134"/>
    </row>
    <row r="34" spans="2:10" x14ac:dyDescent="0.2">
      <c r="B34" s="134"/>
      <c r="C34" s="134"/>
      <c r="D34" s="134"/>
      <c r="E34" s="134"/>
      <c r="F34" s="134"/>
      <c r="G34" s="138"/>
      <c r="H34" s="138"/>
      <c r="I34" s="138"/>
      <c r="J34" s="134"/>
    </row>
    <row r="35" spans="2:10" x14ac:dyDescent="0.2"/>
    <row r="36" spans="2:10" x14ac:dyDescent="0.2"/>
    <row r="37" spans="2:10" x14ac:dyDescent="0.2"/>
    <row r="38" spans="2:10" x14ac:dyDescent="0.2"/>
    <row r="39" spans="2:10" x14ac:dyDescent="0.2"/>
    <row r="40" spans="2:10" x14ac:dyDescent="0.2"/>
    <row r="41" spans="2:10" x14ac:dyDescent="0.2"/>
  </sheetData>
  <sheetProtection algorithmName="SHA-512" hashValue="xI+o3lEvTUfj0lc4pWKbjmbeq7sasZEZAi2UVq7/bCgnYFwzLjoR2x5TCj6txXEDSSDRpeaaGj7CYO2x3oic9Q==" saltValue="aQplH5fdXlrr/x9/CTImNg==" spinCount="100000" sheet="1" objects="1" scenarios="1"/>
  <mergeCells count="12">
    <mergeCell ref="G30:I33"/>
    <mergeCell ref="C15:I15"/>
    <mergeCell ref="B17:I19"/>
    <mergeCell ref="E11:F11"/>
    <mergeCell ref="G11:I11"/>
    <mergeCell ref="H9:I9"/>
    <mergeCell ref="B13:F13"/>
    <mergeCell ref="G13:I13"/>
    <mergeCell ref="B7:C7"/>
    <mergeCell ref="D7:F7"/>
    <mergeCell ref="H7:I7"/>
    <mergeCell ref="C9:F9"/>
  </mergeCells>
  <pageMargins left="0.7" right="0.7" top="0.75" bottom="0.75" header="0.3" footer="0.3"/>
  <ignoredErrors>
    <ignoredError sqref="H7"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Check Box 1">
              <controlPr defaultSize="0" autoFill="0" autoLine="0" autoPict="0">
                <anchor moveWithCells="1">
                  <from>
                    <xdr:col>2</xdr:col>
                    <xdr:colOff>47625</xdr:colOff>
                    <xdr:row>10</xdr:row>
                    <xdr:rowOff>9525</xdr:rowOff>
                  </from>
                  <to>
                    <xdr:col>2</xdr:col>
                    <xdr:colOff>609600</xdr:colOff>
                    <xdr:row>11</xdr:row>
                    <xdr:rowOff>9525</xdr:rowOff>
                  </to>
                </anchor>
              </controlPr>
            </control>
          </mc:Choice>
        </mc:AlternateContent>
        <mc:AlternateContent xmlns:mc="http://schemas.openxmlformats.org/markup-compatibility/2006">
          <mc:Choice Requires="x14">
            <control shapeId="1026" r:id="rId4" name="Check Box 2">
              <controlPr defaultSize="0" autoFill="0" autoLine="0" autoPict="0">
                <anchor moveWithCells="1">
                  <from>
                    <xdr:col>2</xdr:col>
                    <xdr:colOff>762000</xdr:colOff>
                    <xdr:row>10</xdr:row>
                    <xdr:rowOff>19050</xdr:rowOff>
                  </from>
                  <to>
                    <xdr:col>3</xdr:col>
                    <xdr:colOff>685800</xdr:colOff>
                    <xdr:row>11</xdr:row>
                    <xdr:rowOff>9525</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3</xdr:col>
                    <xdr:colOff>504825</xdr:colOff>
                    <xdr:row>19</xdr:row>
                    <xdr:rowOff>190500</xdr:rowOff>
                  </from>
                  <to>
                    <xdr:col>4</xdr:col>
                    <xdr:colOff>19050</xdr:colOff>
                    <xdr:row>21</xdr:row>
                    <xdr:rowOff>38100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4</xdr:col>
                    <xdr:colOff>66675</xdr:colOff>
                    <xdr:row>19</xdr:row>
                    <xdr:rowOff>190500</xdr:rowOff>
                  </from>
                  <to>
                    <xdr:col>4</xdr:col>
                    <xdr:colOff>342900</xdr:colOff>
                    <xdr:row>21</xdr:row>
                    <xdr:rowOff>38100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504825</xdr:colOff>
                    <xdr:row>21</xdr:row>
                    <xdr:rowOff>133350</xdr:rowOff>
                  </from>
                  <to>
                    <xdr:col>4</xdr:col>
                    <xdr:colOff>19050</xdr:colOff>
                    <xdr:row>23</xdr:row>
                    <xdr:rowOff>38100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4</xdr:col>
                    <xdr:colOff>66675</xdr:colOff>
                    <xdr:row>21</xdr:row>
                    <xdr:rowOff>133350</xdr:rowOff>
                  </from>
                  <to>
                    <xdr:col>4</xdr:col>
                    <xdr:colOff>342900</xdr:colOff>
                    <xdr:row>23</xdr:row>
                    <xdr:rowOff>38100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3</xdr:col>
                    <xdr:colOff>504825</xdr:colOff>
                    <xdr:row>23</xdr:row>
                    <xdr:rowOff>104775</xdr:rowOff>
                  </from>
                  <to>
                    <xdr:col>4</xdr:col>
                    <xdr:colOff>19050</xdr:colOff>
                    <xdr:row>25</xdr:row>
                    <xdr:rowOff>66675</xdr:rowOff>
                  </to>
                </anchor>
              </controlPr>
            </control>
          </mc:Choice>
        </mc:AlternateContent>
        <mc:AlternateContent xmlns:mc="http://schemas.openxmlformats.org/markup-compatibility/2006">
          <mc:Choice Requires="x14">
            <control shapeId="1033" r:id="rId10" name="Check Box 9">
              <controlPr defaultSize="0" autoFill="0" autoLine="0" autoPict="0">
                <anchor moveWithCells="1">
                  <from>
                    <xdr:col>4</xdr:col>
                    <xdr:colOff>66675</xdr:colOff>
                    <xdr:row>23</xdr:row>
                    <xdr:rowOff>104775</xdr:rowOff>
                  </from>
                  <to>
                    <xdr:col>4</xdr:col>
                    <xdr:colOff>342900</xdr:colOff>
                    <xdr:row>25</xdr:row>
                    <xdr:rowOff>66675</xdr:rowOff>
                  </to>
                </anchor>
              </controlPr>
            </control>
          </mc:Choice>
        </mc:AlternateContent>
        <mc:AlternateContent xmlns:mc="http://schemas.openxmlformats.org/markup-compatibility/2006">
          <mc:Choice Requires="x14">
            <control shapeId="1034" r:id="rId11" name="Check Box 10">
              <controlPr defaultSize="0" autoFill="0" autoLine="0" autoPict="0">
                <anchor moveWithCells="1">
                  <from>
                    <xdr:col>3</xdr:col>
                    <xdr:colOff>504825</xdr:colOff>
                    <xdr:row>25</xdr:row>
                    <xdr:rowOff>104775</xdr:rowOff>
                  </from>
                  <to>
                    <xdr:col>4</xdr:col>
                    <xdr:colOff>19050</xdr:colOff>
                    <xdr:row>27</xdr:row>
                    <xdr:rowOff>66675</xdr:rowOff>
                  </to>
                </anchor>
              </controlPr>
            </control>
          </mc:Choice>
        </mc:AlternateContent>
        <mc:AlternateContent xmlns:mc="http://schemas.openxmlformats.org/markup-compatibility/2006">
          <mc:Choice Requires="x14">
            <control shapeId="1035" r:id="rId12" name="Check Box 11">
              <controlPr defaultSize="0" autoFill="0" autoLine="0" autoPict="0">
                <anchor moveWithCells="1">
                  <from>
                    <xdr:col>4</xdr:col>
                    <xdr:colOff>66675</xdr:colOff>
                    <xdr:row>28</xdr:row>
                    <xdr:rowOff>38100</xdr:rowOff>
                  </from>
                  <to>
                    <xdr:col>4</xdr:col>
                    <xdr:colOff>285750</xdr:colOff>
                    <xdr:row>29</xdr:row>
                    <xdr:rowOff>19050</xdr:rowOff>
                  </to>
                </anchor>
              </controlPr>
            </control>
          </mc:Choice>
        </mc:AlternateContent>
        <mc:AlternateContent xmlns:mc="http://schemas.openxmlformats.org/markup-compatibility/2006">
          <mc:Choice Requires="x14">
            <control shapeId="1036" r:id="rId13" name="Check Box 12">
              <controlPr defaultSize="0" autoFill="0" autoLine="0" autoPict="0">
                <anchor moveWithCells="1">
                  <from>
                    <xdr:col>3</xdr:col>
                    <xdr:colOff>504825</xdr:colOff>
                    <xdr:row>28</xdr:row>
                    <xdr:rowOff>19050</xdr:rowOff>
                  </from>
                  <to>
                    <xdr:col>4</xdr:col>
                    <xdr:colOff>19050</xdr:colOff>
                    <xdr:row>29</xdr:row>
                    <xdr:rowOff>38100</xdr:rowOff>
                  </to>
                </anchor>
              </controlPr>
            </control>
          </mc:Choice>
        </mc:AlternateContent>
        <mc:AlternateContent xmlns:mc="http://schemas.openxmlformats.org/markup-compatibility/2006">
          <mc:Choice Requires="x14">
            <control shapeId="1037" r:id="rId14" name="Check Box 13">
              <controlPr defaultSize="0" autoFill="0" autoLine="0" autoPict="0">
                <anchor moveWithCells="1">
                  <from>
                    <xdr:col>4</xdr:col>
                    <xdr:colOff>66675</xdr:colOff>
                    <xdr:row>25</xdr:row>
                    <xdr:rowOff>133350</xdr:rowOff>
                  </from>
                  <to>
                    <xdr:col>4</xdr:col>
                    <xdr:colOff>285750</xdr:colOff>
                    <xdr:row>27</xdr:row>
                    <xdr:rowOff>38100</xdr:rowOff>
                  </to>
                </anchor>
              </controlPr>
            </control>
          </mc:Choice>
        </mc:AlternateContent>
        <mc:AlternateContent xmlns:mc="http://schemas.openxmlformats.org/markup-compatibility/2006">
          <mc:Choice Requires="x14">
            <control shapeId="1038" r:id="rId15" name="Check Box 14">
              <controlPr defaultSize="0" autoFill="0" autoLine="0" autoPict="0">
                <anchor moveWithCells="1">
                  <from>
                    <xdr:col>4</xdr:col>
                    <xdr:colOff>47625</xdr:colOff>
                    <xdr:row>30</xdr:row>
                    <xdr:rowOff>28575</xdr:rowOff>
                  </from>
                  <to>
                    <xdr:col>4</xdr:col>
                    <xdr:colOff>266700</xdr:colOff>
                    <xdr:row>31</xdr:row>
                    <xdr:rowOff>9525</xdr:rowOff>
                  </to>
                </anchor>
              </controlPr>
            </control>
          </mc:Choice>
        </mc:AlternateContent>
        <mc:AlternateContent xmlns:mc="http://schemas.openxmlformats.org/markup-compatibility/2006">
          <mc:Choice Requires="x14">
            <control shapeId="1039" r:id="rId16" name="Check Box 15">
              <controlPr defaultSize="0" autoFill="0" autoLine="0" autoPict="0">
                <anchor moveWithCells="1">
                  <from>
                    <xdr:col>3</xdr:col>
                    <xdr:colOff>514350</xdr:colOff>
                    <xdr:row>30</xdr:row>
                    <xdr:rowOff>28575</xdr:rowOff>
                  </from>
                  <to>
                    <xdr:col>3</xdr:col>
                    <xdr:colOff>685800</xdr:colOff>
                    <xdr:row>31</xdr:row>
                    <xdr:rowOff>9525</xdr:rowOff>
                  </to>
                </anchor>
              </controlPr>
            </control>
          </mc:Choice>
        </mc:AlternateContent>
        <mc:AlternateContent xmlns:mc="http://schemas.openxmlformats.org/markup-compatibility/2006">
          <mc:Choice Requires="x14">
            <control shapeId="1040" r:id="rId17" name="Check Box 16">
              <controlPr defaultSize="0" autoFill="0" autoLine="0" autoPict="0">
                <anchor moveWithCells="1">
                  <from>
                    <xdr:col>7</xdr:col>
                    <xdr:colOff>685800</xdr:colOff>
                    <xdr:row>20</xdr:row>
                    <xdr:rowOff>19050</xdr:rowOff>
                  </from>
                  <to>
                    <xdr:col>8</xdr:col>
                    <xdr:colOff>47625</xdr:colOff>
                    <xdr:row>21</xdr:row>
                    <xdr:rowOff>0</xdr:rowOff>
                  </to>
                </anchor>
              </controlPr>
            </control>
          </mc:Choice>
        </mc:AlternateContent>
        <mc:AlternateContent xmlns:mc="http://schemas.openxmlformats.org/markup-compatibility/2006">
          <mc:Choice Requires="x14">
            <control shapeId="1041" r:id="rId18" name="Check Box 17">
              <controlPr defaultSize="0" autoFill="0" autoLine="0" autoPict="0">
                <anchor moveWithCells="1">
                  <from>
                    <xdr:col>7</xdr:col>
                    <xdr:colOff>438150</xdr:colOff>
                    <xdr:row>20</xdr:row>
                    <xdr:rowOff>9525</xdr:rowOff>
                  </from>
                  <to>
                    <xdr:col>7</xdr:col>
                    <xdr:colOff>609600</xdr:colOff>
                    <xdr:row>21</xdr:row>
                    <xdr:rowOff>0</xdr:rowOff>
                  </to>
                </anchor>
              </controlPr>
            </control>
          </mc:Choice>
        </mc:AlternateContent>
        <mc:AlternateContent xmlns:mc="http://schemas.openxmlformats.org/markup-compatibility/2006">
          <mc:Choice Requires="x14">
            <control shapeId="1042" r:id="rId19" name="Check Box 18">
              <controlPr defaultSize="0" autoFill="0" autoLine="0" autoPict="0">
                <anchor moveWithCells="1">
                  <from>
                    <xdr:col>7</xdr:col>
                    <xdr:colOff>685800</xdr:colOff>
                    <xdr:row>22</xdr:row>
                    <xdr:rowOff>28575</xdr:rowOff>
                  </from>
                  <to>
                    <xdr:col>8</xdr:col>
                    <xdr:colOff>47625</xdr:colOff>
                    <xdr:row>23</xdr:row>
                    <xdr:rowOff>9525</xdr:rowOff>
                  </to>
                </anchor>
              </controlPr>
            </control>
          </mc:Choice>
        </mc:AlternateContent>
        <mc:AlternateContent xmlns:mc="http://schemas.openxmlformats.org/markup-compatibility/2006">
          <mc:Choice Requires="x14">
            <control shapeId="1043" r:id="rId20" name="Check Box 19">
              <controlPr defaultSize="0" autoFill="0" autoLine="0" autoPict="0">
                <anchor moveWithCells="1">
                  <from>
                    <xdr:col>7</xdr:col>
                    <xdr:colOff>438150</xdr:colOff>
                    <xdr:row>22</xdr:row>
                    <xdr:rowOff>28575</xdr:rowOff>
                  </from>
                  <to>
                    <xdr:col>7</xdr:col>
                    <xdr:colOff>609600</xdr:colOff>
                    <xdr:row>23</xdr:row>
                    <xdr:rowOff>19050</xdr:rowOff>
                  </to>
                </anchor>
              </controlPr>
            </control>
          </mc:Choice>
        </mc:AlternateContent>
        <mc:AlternateContent xmlns:mc="http://schemas.openxmlformats.org/markup-compatibility/2006">
          <mc:Choice Requires="x14">
            <control shapeId="1044" r:id="rId21" name="Check Box 20">
              <controlPr defaultSize="0" autoFill="0" autoLine="0" autoPict="0">
                <anchor moveWithCells="1">
                  <from>
                    <xdr:col>7</xdr:col>
                    <xdr:colOff>685800</xdr:colOff>
                    <xdr:row>24</xdr:row>
                    <xdr:rowOff>19050</xdr:rowOff>
                  </from>
                  <to>
                    <xdr:col>8</xdr:col>
                    <xdr:colOff>47625</xdr:colOff>
                    <xdr:row>25</xdr:row>
                    <xdr:rowOff>0</xdr:rowOff>
                  </to>
                </anchor>
              </controlPr>
            </control>
          </mc:Choice>
        </mc:AlternateContent>
        <mc:AlternateContent xmlns:mc="http://schemas.openxmlformats.org/markup-compatibility/2006">
          <mc:Choice Requires="x14">
            <control shapeId="1045" r:id="rId22" name="Check Box 21">
              <controlPr defaultSize="0" autoFill="0" autoLine="0" autoPict="0">
                <anchor moveWithCells="1">
                  <from>
                    <xdr:col>7</xdr:col>
                    <xdr:colOff>428625</xdr:colOff>
                    <xdr:row>24</xdr:row>
                    <xdr:rowOff>19050</xdr:rowOff>
                  </from>
                  <to>
                    <xdr:col>7</xdr:col>
                    <xdr:colOff>600075</xdr:colOff>
                    <xdr:row>25</xdr:row>
                    <xdr:rowOff>9525</xdr:rowOff>
                  </to>
                </anchor>
              </controlPr>
            </control>
          </mc:Choice>
        </mc:AlternateContent>
        <mc:AlternateContent xmlns:mc="http://schemas.openxmlformats.org/markup-compatibility/2006">
          <mc:Choice Requires="x14">
            <control shapeId="1046" r:id="rId23" name="Check Box 22">
              <controlPr defaultSize="0" autoFill="0" autoLine="0" autoPict="0">
                <anchor moveWithCells="1">
                  <from>
                    <xdr:col>7</xdr:col>
                    <xdr:colOff>685800</xdr:colOff>
                    <xdr:row>26</xdr:row>
                    <xdr:rowOff>28575</xdr:rowOff>
                  </from>
                  <to>
                    <xdr:col>8</xdr:col>
                    <xdr:colOff>47625</xdr:colOff>
                    <xdr:row>27</xdr:row>
                    <xdr:rowOff>9525</xdr:rowOff>
                  </to>
                </anchor>
              </controlPr>
            </control>
          </mc:Choice>
        </mc:AlternateContent>
        <mc:AlternateContent xmlns:mc="http://schemas.openxmlformats.org/markup-compatibility/2006">
          <mc:Choice Requires="x14">
            <control shapeId="1047" r:id="rId24" name="Check Box 23">
              <controlPr defaultSize="0" autoFill="0" autoLine="0" autoPict="0">
                <anchor moveWithCells="1">
                  <from>
                    <xdr:col>7</xdr:col>
                    <xdr:colOff>428625</xdr:colOff>
                    <xdr:row>26</xdr:row>
                    <xdr:rowOff>19050</xdr:rowOff>
                  </from>
                  <to>
                    <xdr:col>7</xdr:col>
                    <xdr:colOff>600075</xdr:colOff>
                    <xdr:row>27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7D1AE-64B5-41C6-9028-B7585DA621F4}">
  <sheetPr codeName="Hoja1">
    <tabColor rgb="FFE6C3CA"/>
  </sheetPr>
  <dimension ref="A1:GQ173"/>
  <sheetViews>
    <sheetView showGridLines="0" topLeftCell="A82" zoomScale="77" zoomScaleNormal="77" workbookViewId="0">
      <selection activeCell="O17" sqref="O17"/>
    </sheetView>
  </sheetViews>
  <sheetFormatPr baseColWidth="10" defaultColWidth="11.42578125" defaultRowHeight="15.75" x14ac:dyDescent="0.25"/>
  <cols>
    <col min="1" max="1" width="5.140625" style="107" bestFit="1" customWidth="1"/>
    <col min="2" max="2" width="132" style="107" customWidth="1"/>
    <col min="3" max="4" width="6.42578125" style="107" customWidth="1"/>
    <col min="5" max="5" width="6.7109375" style="107" customWidth="1"/>
    <col min="6" max="6" width="8.28515625" style="108" customWidth="1"/>
    <col min="7" max="7" width="4.28515625" style="109" customWidth="1"/>
    <col min="8" max="8" width="8.85546875" style="109" customWidth="1"/>
    <col min="9" max="9" width="7.42578125" style="109" customWidth="1"/>
    <col min="10" max="10" width="11.28515625" style="109" customWidth="1"/>
    <col min="11" max="11" width="6.42578125" style="109" customWidth="1"/>
    <col min="12" max="12" width="7.42578125" style="109" customWidth="1"/>
    <col min="13" max="13" width="6.28515625" style="110" customWidth="1"/>
    <col min="14" max="14" width="8.42578125" style="110" customWidth="1"/>
    <col min="15" max="15" width="6.42578125" style="110" customWidth="1"/>
    <col min="16" max="16" width="7.28515625" style="110" customWidth="1"/>
    <col min="17" max="17" width="9.28515625" style="110" customWidth="1"/>
    <col min="18" max="18" width="8" style="110" customWidth="1"/>
    <col min="19" max="19" width="6.42578125" style="110" customWidth="1"/>
    <col min="20" max="20" width="8.140625" style="110" customWidth="1"/>
    <col min="21" max="21" width="6.42578125" style="110" customWidth="1"/>
    <col min="22" max="22" width="7.28515625" style="110" customWidth="1"/>
    <col min="23" max="23" width="6.42578125" style="110" customWidth="1"/>
    <col min="24" max="24" width="7.28515625" style="110" customWidth="1"/>
    <col min="25" max="25" width="6.42578125" style="110" customWidth="1"/>
    <col min="26" max="26" width="7.28515625" style="110" customWidth="1"/>
    <col min="27" max="27" width="6.42578125" style="110" customWidth="1"/>
    <col min="28" max="28" width="7.7109375" style="110" customWidth="1"/>
    <col min="29" max="29" width="6.42578125" style="110" customWidth="1"/>
    <col min="30" max="30" width="7.42578125" style="110" customWidth="1"/>
    <col min="31" max="31" width="6.42578125" style="110" customWidth="1"/>
    <col min="32" max="32" width="7.28515625" style="110" customWidth="1"/>
    <col min="33" max="33" width="6.42578125" style="110" customWidth="1"/>
    <col min="34" max="34" width="7.28515625" style="110" customWidth="1"/>
    <col min="35" max="35" width="6.42578125" style="110" customWidth="1"/>
    <col min="36" max="36" width="7.28515625" style="110" customWidth="1"/>
    <col min="37" max="37" width="6.42578125" style="110" customWidth="1"/>
    <col min="38" max="38" width="7.28515625" style="110" customWidth="1"/>
    <col min="39" max="39" width="5.42578125" style="110" customWidth="1"/>
    <col min="40" max="40" width="7.28515625" style="110" customWidth="1"/>
    <col min="41" max="41" width="6.140625" style="110" customWidth="1"/>
    <col min="42" max="42" width="7.28515625" style="110" customWidth="1"/>
    <col min="43" max="43" width="6.140625" style="110" customWidth="1"/>
    <col min="44" max="44" width="7.28515625" style="110" customWidth="1"/>
    <col min="45" max="45" width="6.140625" style="110" customWidth="1"/>
    <col min="46" max="46" width="7.28515625" style="110" customWidth="1"/>
    <col min="47" max="47" width="6.140625" style="110" customWidth="1"/>
    <col min="48" max="48" width="7.28515625" style="110" customWidth="1"/>
    <col min="49" max="49" width="6.140625" style="110" customWidth="1"/>
    <col min="50" max="50" width="7.28515625" style="110" customWidth="1"/>
    <col min="51" max="51" width="6.140625" style="110" customWidth="1"/>
    <col min="52" max="52" width="7.28515625" style="110" customWidth="1"/>
    <col min="53" max="53" width="6.140625" style="110" customWidth="1"/>
    <col min="54" max="54" width="7.28515625" style="110" customWidth="1"/>
    <col min="55" max="55" width="6.140625" style="110" customWidth="1"/>
    <col min="56" max="56" width="7.28515625" style="110" customWidth="1"/>
    <col min="57" max="57" width="6.140625" style="110" customWidth="1"/>
    <col min="58" max="58" width="7.28515625" style="110" customWidth="1"/>
    <col min="59" max="59" width="6.140625" style="110" customWidth="1"/>
    <col min="60" max="60" width="7.28515625" style="110" customWidth="1"/>
    <col min="61" max="61" width="6.140625" style="110" customWidth="1"/>
    <col min="62" max="62" width="7.28515625" style="110" customWidth="1"/>
    <col min="63" max="63" width="6.140625" style="110" customWidth="1"/>
    <col min="64" max="64" width="7.28515625" style="110" customWidth="1"/>
    <col min="65" max="65" width="6.140625" style="110" customWidth="1"/>
    <col min="66" max="66" width="6.42578125" style="111" customWidth="1"/>
    <col min="67" max="67" width="7.85546875" style="111" customWidth="1"/>
    <col min="68" max="68" width="6.7109375" style="110" customWidth="1"/>
    <col min="69" max="69" width="6.42578125" style="111" customWidth="1"/>
    <col min="70" max="70" width="6.7109375" style="110" customWidth="1"/>
    <col min="71" max="71" width="8.140625" style="111" customWidth="1"/>
    <col min="72" max="72" width="6.7109375" style="110" customWidth="1"/>
    <col min="73" max="199" width="6.42578125" style="111" customWidth="1"/>
    <col min="200" max="16384" width="11.42578125" style="111"/>
  </cols>
  <sheetData>
    <row r="1" spans="1:74" ht="30.75" customHeight="1" x14ac:dyDescent="0.25">
      <c r="A1" s="107" t="s">
        <v>228</v>
      </c>
      <c r="B1" s="107" t="s">
        <v>228</v>
      </c>
      <c r="C1" s="107" t="s">
        <v>228</v>
      </c>
      <c r="D1" s="107" t="s">
        <v>228</v>
      </c>
    </row>
    <row r="2" spans="1:74" s="144" customFormat="1" ht="15.75" customHeight="1" x14ac:dyDescent="0.25">
      <c r="A2" s="141" t="s">
        <v>228</v>
      </c>
      <c r="B2" s="222" t="s">
        <v>228</v>
      </c>
      <c r="C2" s="222"/>
      <c r="D2" s="222"/>
      <c r="E2" s="142"/>
      <c r="F2" s="143"/>
      <c r="G2" s="109"/>
      <c r="H2" s="109"/>
      <c r="I2" s="115"/>
      <c r="J2" s="115"/>
      <c r="K2" s="115"/>
      <c r="L2" s="115" t="s">
        <v>486</v>
      </c>
      <c r="M2" s="115">
        <v>1</v>
      </c>
      <c r="N2" s="115" t="s">
        <v>486</v>
      </c>
      <c r="O2" s="125" t="s">
        <v>152</v>
      </c>
      <c r="P2" s="115" t="s">
        <v>486</v>
      </c>
      <c r="Q2" s="125" t="s">
        <v>153</v>
      </c>
      <c r="R2" s="115" t="s">
        <v>486</v>
      </c>
      <c r="S2" s="125">
        <v>3</v>
      </c>
      <c r="T2" s="115" t="s">
        <v>486</v>
      </c>
      <c r="U2" s="125">
        <v>4</v>
      </c>
      <c r="V2" s="115" t="s">
        <v>486</v>
      </c>
      <c r="W2" s="125">
        <v>5</v>
      </c>
      <c r="X2" s="115" t="s">
        <v>486</v>
      </c>
      <c r="Y2" s="125" t="s">
        <v>154</v>
      </c>
      <c r="Z2" s="115" t="s">
        <v>486</v>
      </c>
      <c r="AA2" s="125" t="s">
        <v>155</v>
      </c>
      <c r="AB2" s="115" t="s">
        <v>486</v>
      </c>
      <c r="AC2" s="125">
        <v>7</v>
      </c>
      <c r="AD2" s="115" t="s">
        <v>486</v>
      </c>
      <c r="AE2" s="125" t="s">
        <v>156</v>
      </c>
      <c r="AF2" s="115" t="s">
        <v>486</v>
      </c>
      <c r="AG2" s="125" t="s">
        <v>157</v>
      </c>
      <c r="AH2" s="115" t="s">
        <v>486</v>
      </c>
      <c r="AI2" s="125">
        <v>9</v>
      </c>
      <c r="AJ2" s="115" t="s">
        <v>486</v>
      </c>
      <c r="AK2" s="125" t="s">
        <v>158</v>
      </c>
      <c r="AL2" s="115" t="s">
        <v>486</v>
      </c>
      <c r="AM2" s="125" t="s">
        <v>159</v>
      </c>
      <c r="AN2" s="115" t="s">
        <v>486</v>
      </c>
      <c r="AO2" s="125" t="s">
        <v>160</v>
      </c>
      <c r="AP2" s="115" t="s">
        <v>486</v>
      </c>
      <c r="AQ2" s="125" t="s">
        <v>161</v>
      </c>
      <c r="AR2" s="115" t="s">
        <v>486</v>
      </c>
      <c r="AS2" s="125" t="s">
        <v>162</v>
      </c>
      <c r="AT2" s="115" t="s">
        <v>486</v>
      </c>
      <c r="AU2" s="125" t="s">
        <v>163</v>
      </c>
      <c r="AV2" s="115" t="s">
        <v>486</v>
      </c>
      <c r="AW2" s="125" t="s">
        <v>164</v>
      </c>
      <c r="AX2" s="115" t="s">
        <v>486</v>
      </c>
      <c r="AY2" s="125" t="s">
        <v>165</v>
      </c>
      <c r="AZ2" s="115" t="s">
        <v>486</v>
      </c>
      <c r="BA2" s="125" t="s">
        <v>166</v>
      </c>
      <c r="BB2" s="115" t="s">
        <v>486</v>
      </c>
      <c r="BC2" s="125" t="s">
        <v>167</v>
      </c>
      <c r="BD2" s="115" t="s">
        <v>486</v>
      </c>
      <c r="BE2" s="125" t="s">
        <v>168</v>
      </c>
      <c r="BF2" s="115" t="s">
        <v>486</v>
      </c>
      <c r="BG2" s="125" t="s">
        <v>169</v>
      </c>
      <c r="BH2" s="115" t="s">
        <v>486</v>
      </c>
      <c r="BI2" s="125" t="s">
        <v>170</v>
      </c>
      <c r="BJ2" s="115" t="s">
        <v>486</v>
      </c>
      <c r="BK2" s="125" t="s">
        <v>171</v>
      </c>
      <c r="BL2" s="115" t="s">
        <v>486</v>
      </c>
      <c r="BM2" s="125" t="s">
        <v>172</v>
      </c>
      <c r="BO2" s="115" t="s">
        <v>486</v>
      </c>
      <c r="BP2" s="110" t="s">
        <v>150</v>
      </c>
      <c r="BQ2" s="143" t="s">
        <v>486</v>
      </c>
      <c r="BR2" s="125" t="s">
        <v>151</v>
      </c>
      <c r="BS2" s="143" t="s">
        <v>486</v>
      </c>
      <c r="BT2" s="125" t="s">
        <v>903</v>
      </c>
      <c r="BV2" s="125" t="s">
        <v>228</v>
      </c>
    </row>
    <row r="3" spans="1:74" x14ac:dyDescent="0.25">
      <c r="A3" s="66" t="s">
        <v>228</v>
      </c>
      <c r="B3" s="222"/>
      <c r="C3" s="222"/>
      <c r="D3" s="222"/>
      <c r="L3" s="109" t="s">
        <v>487</v>
      </c>
      <c r="M3" s="110">
        <f>+IF(C13="X",1,0)</f>
        <v>0</v>
      </c>
      <c r="N3" s="110" t="s">
        <v>498</v>
      </c>
      <c r="O3" s="110">
        <f>+IF(C25="X",1,0)</f>
        <v>0</v>
      </c>
      <c r="P3" s="110" t="s">
        <v>560</v>
      </c>
      <c r="Q3" s="110">
        <f>+IF(C31="X",1,0)</f>
        <v>1</v>
      </c>
      <c r="R3" s="110" t="s">
        <v>581</v>
      </c>
      <c r="S3" s="110">
        <f>+IF(C13="X",3,0)</f>
        <v>0</v>
      </c>
      <c r="T3" s="110" t="s">
        <v>551</v>
      </c>
      <c r="U3" s="110">
        <f>+IF(C22="X",2,0)</f>
        <v>2</v>
      </c>
      <c r="V3" s="110" t="s">
        <v>649</v>
      </c>
      <c r="W3" s="110">
        <f>+IF(C14="X",1,0)</f>
        <v>1</v>
      </c>
      <c r="X3" s="110" t="s">
        <v>672</v>
      </c>
      <c r="Y3" s="110">
        <f>+IF(C30="X",2,0)</f>
        <v>2</v>
      </c>
      <c r="Z3" s="110" t="s">
        <v>553</v>
      </c>
      <c r="AA3" s="110">
        <f>+IF(C30="X",1,0)</f>
        <v>1</v>
      </c>
      <c r="AB3" s="110" t="s">
        <v>706</v>
      </c>
      <c r="AC3" s="110">
        <f>+IF(C18="X",1,0)</f>
        <v>1</v>
      </c>
      <c r="AD3" s="110" t="s">
        <v>726</v>
      </c>
      <c r="AE3" s="110">
        <f>+IF(C16="X",3,0)</f>
        <v>3</v>
      </c>
      <c r="AF3" s="110" t="s">
        <v>553</v>
      </c>
      <c r="AG3" s="110">
        <f>+IF(C30="X",1,0)</f>
        <v>1</v>
      </c>
      <c r="AH3" s="110" t="s">
        <v>768</v>
      </c>
      <c r="AI3" s="110">
        <f>+IF(C16="X",2,0)</f>
        <v>2</v>
      </c>
      <c r="AJ3" s="110" t="s">
        <v>601</v>
      </c>
      <c r="AK3" s="110">
        <f>+IF(C15="X",1,0)</f>
        <v>1</v>
      </c>
      <c r="AL3" s="110" t="s">
        <v>768</v>
      </c>
      <c r="AM3" s="110">
        <f>+IF(C16="X",2,0)</f>
        <v>2</v>
      </c>
      <c r="AN3" s="110" t="s">
        <v>791</v>
      </c>
      <c r="AO3" s="110">
        <f>+IF(C23="X",1,0)</f>
        <v>1</v>
      </c>
      <c r="AP3" s="110" t="s">
        <v>649</v>
      </c>
      <c r="AQ3" s="110">
        <f>+IF(C14="X",1,0)</f>
        <v>1</v>
      </c>
      <c r="AR3" s="110" t="s">
        <v>819</v>
      </c>
      <c r="AS3" s="110">
        <f>+IF(C25="X",3,0)</f>
        <v>0</v>
      </c>
      <c r="AT3" s="110" t="s">
        <v>606</v>
      </c>
      <c r="AU3" s="110">
        <f>+IF(C22="X",1,0)</f>
        <v>1</v>
      </c>
      <c r="AV3" s="110" t="s">
        <v>553</v>
      </c>
      <c r="AW3" s="110">
        <f>+IF(C30="X",1,0)</f>
        <v>1</v>
      </c>
      <c r="AX3" s="110" t="s">
        <v>839</v>
      </c>
      <c r="AY3" s="110">
        <f>+IF(C26="X",3,0)</f>
        <v>3</v>
      </c>
      <c r="AZ3" s="110" t="s">
        <v>844</v>
      </c>
      <c r="BA3" s="110">
        <f>+IF(C23="X",3,0)</f>
        <v>3</v>
      </c>
      <c r="BB3" s="110" t="s">
        <v>603</v>
      </c>
      <c r="BC3" s="110">
        <f>+IF(C16="X",1,0)</f>
        <v>1</v>
      </c>
      <c r="BD3" s="110" t="s">
        <v>606</v>
      </c>
      <c r="BE3" s="110">
        <f>+IF(C22="X",1,0)</f>
        <v>1</v>
      </c>
      <c r="BF3" s="110" t="s">
        <v>876</v>
      </c>
      <c r="BG3" s="110">
        <f>+IF(C30="X",3,0)</f>
        <v>3</v>
      </c>
      <c r="BH3" s="110" t="s">
        <v>870</v>
      </c>
      <c r="BI3" s="110">
        <f>+IF(C20="X",1,0)</f>
        <v>1</v>
      </c>
      <c r="BJ3" s="110" t="s">
        <v>487</v>
      </c>
      <c r="BK3" s="110">
        <f>+IF(C13="X",1,0)</f>
        <v>0</v>
      </c>
      <c r="BL3" s="110" t="s">
        <v>794</v>
      </c>
      <c r="BM3" s="110">
        <f>+IF(C26="X",1,0)</f>
        <v>1</v>
      </c>
      <c r="BO3" s="111" t="s">
        <v>649</v>
      </c>
      <c r="BP3" s="110">
        <f>+IF(C14="X",1,0)</f>
        <v>1</v>
      </c>
      <c r="BQ3" s="111" t="s">
        <v>668</v>
      </c>
      <c r="BR3" s="110">
        <f>+IF(C37="X",1,0)</f>
        <v>1</v>
      </c>
      <c r="BS3" s="111" t="s">
        <v>906</v>
      </c>
      <c r="BT3" s="110">
        <f>+IF(C126="X",1,0)</f>
        <v>0</v>
      </c>
      <c r="BV3" s="110">
        <f>ROUND((1.5*M47)+(1.5*O40)+(2*Q27)+(0.7*S51)+(0.7*U44)+W42+Y42+(3*AA25)+(0.7*AC42)+AE46+AG47, 0)</f>
        <v>487</v>
      </c>
    </row>
    <row r="4" spans="1:74" x14ac:dyDescent="0.25">
      <c r="A4" s="66" t="s">
        <v>228</v>
      </c>
      <c r="B4" s="222"/>
      <c r="C4" s="222"/>
      <c r="D4" s="222"/>
      <c r="L4" s="109" t="s">
        <v>491</v>
      </c>
      <c r="M4" s="110">
        <f>+IF(C15="X",3,0)</f>
        <v>3</v>
      </c>
      <c r="N4" s="110" t="s">
        <v>533</v>
      </c>
      <c r="O4" s="110">
        <f>+IF(C38="X",1,0)</f>
        <v>1</v>
      </c>
      <c r="P4" s="110" t="s">
        <v>562</v>
      </c>
      <c r="Q4" s="110">
        <f>+IF(C32="X",3,0)</f>
        <v>3</v>
      </c>
      <c r="R4" s="110" t="s">
        <v>584</v>
      </c>
      <c r="S4" s="110">
        <f>+IF(C17="X",2,0)</f>
        <v>2</v>
      </c>
      <c r="T4" s="110" t="s">
        <v>626</v>
      </c>
      <c r="U4" s="110">
        <f>+IF(C36="X",3,0)</f>
        <v>0</v>
      </c>
      <c r="V4" s="110" t="s">
        <v>652</v>
      </c>
      <c r="W4" s="110">
        <f>+IF(C19="X",3,0)</f>
        <v>3</v>
      </c>
      <c r="X4" s="110" t="s">
        <v>673</v>
      </c>
      <c r="Y4" s="110">
        <f>+IF(C33="X",3,0)</f>
        <v>3</v>
      </c>
      <c r="Z4" s="110" t="s">
        <v>611</v>
      </c>
      <c r="AA4" s="110">
        <f>+IF(C33="X",2,0)</f>
        <v>2</v>
      </c>
      <c r="AB4" s="110" t="s">
        <v>708</v>
      </c>
      <c r="AC4" s="110">
        <f>+IF(C21="X",3,0)</f>
        <v>3</v>
      </c>
      <c r="AD4" s="110" t="s">
        <v>728</v>
      </c>
      <c r="AE4" s="110">
        <f>+IF(C28="X",1,0)</f>
        <v>1</v>
      </c>
      <c r="AF4" s="110" t="s">
        <v>751</v>
      </c>
      <c r="AG4" s="110">
        <f>+IF(C31="X",3,0)</f>
        <v>3</v>
      </c>
      <c r="AH4" s="110" t="s">
        <v>672</v>
      </c>
      <c r="AI4" s="110">
        <f>+IF(C30="X",2,0)</f>
        <v>2</v>
      </c>
      <c r="AJ4" s="110" t="s">
        <v>771</v>
      </c>
      <c r="AK4" s="110">
        <f>+IF(C24="X",2,0)</f>
        <v>2</v>
      </c>
      <c r="AL4" s="110" t="s">
        <v>732</v>
      </c>
      <c r="AM4" s="110">
        <f>+IF(C31="X",2,0)</f>
        <v>2</v>
      </c>
      <c r="AN4" s="110" t="s">
        <v>794</v>
      </c>
      <c r="AO4" s="110">
        <f>+IF(C26="X",1,0)</f>
        <v>1</v>
      </c>
      <c r="AP4" s="110" t="s">
        <v>745</v>
      </c>
      <c r="AQ4" s="110">
        <f>+IF(C17="X",1,0)</f>
        <v>1</v>
      </c>
      <c r="AR4" s="110" t="s">
        <v>507</v>
      </c>
      <c r="AS4" s="110">
        <f>+IF(C44="X",2,0)</f>
        <v>2</v>
      </c>
      <c r="AT4" s="110" t="s">
        <v>553</v>
      </c>
      <c r="AU4" s="110">
        <f>+IF(C30="X",1,0)</f>
        <v>1</v>
      </c>
      <c r="AV4" s="110" t="s">
        <v>824</v>
      </c>
      <c r="AW4" s="110">
        <f>+IF(C33="X",1,0)</f>
        <v>1</v>
      </c>
      <c r="AX4" s="110" t="s">
        <v>734</v>
      </c>
      <c r="AY4" s="110">
        <f>+IF(C34="X",1,0)</f>
        <v>0</v>
      </c>
      <c r="AZ4" s="110" t="s">
        <v>533</v>
      </c>
      <c r="BA4" s="110">
        <f>+IF(C38="X",1,0)</f>
        <v>1</v>
      </c>
      <c r="BB4" s="110" t="s">
        <v>672</v>
      </c>
      <c r="BC4" s="110">
        <f>+IF(C30="X",2,0)</f>
        <v>2</v>
      </c>
      <c r="BD4" s="110" t="s">
        <v>866</v>
      </c>
      <c r="BE4" s="110">
        <f>+IF(C24="X",1,0)</f>
        <v>1</v>
      </c>
      <c r="BF4" s="110" t="s">
        <v>560</v>
      </c>
      <c r="BG4" s="110">
        <f>+IF(C31="X",1,0)</f>
        <v>1</v>
      </c>
      <c r="BH4" s="110" t="s">
        <v>501</v>
      </c>
      <c r="BI4" s="110">
        <f>+IF(C27="X",1,0)</f>
        <v>1</v>
      </c>
      <c r="BJ4" s="110" t="s">
        <v>501</v>
      </c>
      <c r="BK4" s="110">
        <f>+IF(C27="X",1,0)</f>
        <v>1</v>
      </c>
      <c r="BL4" s="110" t="s">
        <v>895</v>
      </c>
      <c r="BM4" s="110">
        <f>+IF(C28="X",2,0)</f>
        <v>2</v>
      </c>
      <c r="BO4" s="111" t="s">
        <v>745</v>
      </c>
      <c r="BP4" s="110">
        <f>+IF(C17="X",1,0)</f>
        <v>1</v>
      </c>
      <c r="BQ4" s="111" t="s">
        <v>509</v>
      </c>
      <c r="BR4" s="110">
        <f>+IF(C46="X",1,0)</f>
        <v>1</v>
      </c>
      <c r="BS4" s="111" t="s">
        <v>907</v>
      </c>
      <c r="BT4" s="110">
        <f>+IF(C138="X",1,0)</f>
        <v>0</v>
      </c>
    </row>
    <row r="5" spans="1:74" x14ac:dyDescent="0.25">
      <c r="A5" s="107" t="s">
        <v>228</v>
      </c>
      <c r="B5" s="112" t="s">
        <v>228</v>
      </c>
      <c r="C5" s="113" t="s">
        <v>228</v>
      </c>
      <c r="D5" s="113" t="s">
        <v>228</v>
      </c>
      <c r="E5" s="66"/>
      <c r="L5" s="109" t="s">
        <v>495</v>
      </c>
      <c r="M5" s="110">
        <f>+IF(C24="X",3,0)</f>
        <v>3</v>
      </c>
      <c r="N5" s="110" t="s">
        <v>535</v>
      </c>
      <c r="O5" s="110">
        <f>+IF(C43="X",2,0)</f>
        <v>2</v>
      </c>
      <c r="P5" s="110" t="s">
        <v>564</v>
      </c>
      <c r="Q5" s="110">
        <f>+IF(C37="X",2,0)</f>
        <v>2</v>
      </c>
      <c r="R5" s="110" t="s">
        <v>586</v>
      </c>
      <c r="S5" s="110">
        <f>+IF(C18="X",2,0)</f>
        <v>2</v>
      </c>
      <c r="T5" s="110" t="s">
        <v>628</v>
      </c>
      <c r="U5" s="110">
        <f>+IF(C40="X",1,0)</f>
        <v>0</v>
      </c>
      <c r="V5" s="110" t="s">
        <v>551</v>
      </c>
      <c r="W5" s="110">
        <f>+IF(C22="X",2,0)</f>
        <v>2</v>
      </c>
      <c r="X5" s="110" t="s">
        <v>614</v>
      </c>
      <c r="Y5" s="110">
        <f>+IF(C40="X",2,0)</f>
        <v>0</v>
      </c>
      <c r="Z5" s="110" t="s">
        <v>694</v>
      </c>
      <c r="AA5" s="110">
        <f>+IF(C40="X",3,0)</f>
        <v>0</v>
      </c>
      <c r="AB5" s="110" t="s">
        <v>689</v>
      </c>
      <c r="AC5" s="110">
        <f>+IF(C27="X",2,0)</f>
        <v>2</v>
      </c>
      <c r="AD5" s="110" t="s">
        <v>553</v>
      </c>
      <c r="AE5" s="110">
        <f>+IF(C30="X",1,0)</f>
        <v>1</v>
      </c>
      <c r="AF5" s="110" t="s">
        <v>754</v>
      </c>
      <c r="AG5" s="110">
        <f>+IF(C32="X",2,0)</f>
        <v>2</v>
      </c>
      <c r="AH5" s="110" t="s">
        <v>761</v>
      </c>
      <c r="AI5" s="110">
        <f>+IF(C46="X",2,0)</f>
        <v>2</v>
      </c>
      <c r="AJ5" s="110" t="s">
        <v>504</v>
      </c>
      <c r="AK5" s="110">
        <f>+IF(C29="X",1,0)</f>
        <v>0</v>
      </c>
      <c r="AL5" s="110" t="s">
        <v>666</v>
      </c>
      <c r="AM5" s="110">
        <f>+IF(C32="X",1,0)</f>
        <v>1</v>
      </c>
      <c r="AN5" s="110" t="s">
        <v>533</v>
      </c>
      <c r="AO5" s="110">
        <f>+IF(C38="X",1,0)</f>
        <v>1</v>
      </c>
      <c r="AP5" s="110" t="s">
        <v>703</v>
      </c>
      <c r="AQ5" s="110">
        <f>+IF(C21="X",1,0)</f>
        <v>1</v>
      </c>
      <c r="AR5" s="110" t="s">
        <v>821</v>
      </c>
      <c r="AS5" s="110">
        <f>+IF(C47="X",3,0)</f>
        <v>3</v>
      </c>
      <c r="AT5" s="110" t="s">
        <v>824</v>
      </c>
      <c r="AU5" s="110">
        <f>+IF(C33="X",1,0)</f>
        <v>1</v>
      </c>
      <c r="AV5" s="110" t="s">
        <v>734</v>
      </c>
      <c r="AW5" s="110">
        <f>+IF(C34="X",1,0)</f>
        <v>0</v>
      </c>
      <c r="AX5" s="110" t="s">
        <v>668</v>
      </c>
      <c r="AY5" s="110">
        <f>+IF(C37="X",1,0)</f>
        <v>1</v>
      </c>
      <c r="AZ5" s="110" t="s">
        <v>846</v>
      </c>
      <c r="BA5" s="110">
        <f>+IF(C41="X",3,0)</f>
        <v>0</v>
      </c>
      <c r="BB5" s="110" t="s">
        <v>611</v>
      </c>
      <c r="BC5" s="110">
        <f>+IF(C33="X",2,0)</f>
        <v>2</v>
      </c>
      <c r="BD5" s="110" t="s">
        <v>611</v>
      </c>
      <c r="BE5" s="110">
        <f>+IF(C33="X",2,0)</f>
        <v>2</v>
      </c>
      <c r="BF5" s="110" t="s">
        <v>824</v>
      </c>
      <c r="BG5" s="110">
        <f>+IF(C33="X",1,0)</f>
        <v>1</v>
      </c>
      <c r="BH5" s="110" t="s">
        <v>883</v>
      </c>
      <c r="BI5" s="110">
        <f>+IF(C29="X",3,0)</f>
        <v>0</v>
      </c>
      <c r="BJ5" s="110" t="s">
        <v>889</v>
      </c>
      <c r="BK5" s="110">
        <f>+IF(C28="X",3,0)</f>
        <v>3</v>
      </c>
      <c r="BL5" s="110" t="s">
        <v>560</v>
      </c>
      <c r="BM5" s="110">
        <f>+IF(C31="X",1,0)</f>
        <v>1</v>
      </c>
      <c r="BO5" s="111" t="s">
        <v>703</v>
      </c>
      <c r="BP5" s="110">
        <f>+IF(C21="X",1,0)</f>
        <v>1</v>
      </c>
      <c r="BQ5" s="111" t="s">
        <v>646</v>
      </c>
      <c r="BR5" s="110">
        <f>+IF(C55="X",1,0)</f>
        <v>1</v>
      </c>
      <c r="BT5" s="125">
        <f>SUM(BT3:BT4)</f>
        <v>0</v>
      </c>
    </row>
    <row r="6" spans="1:74" ht="18" customHeight="1" x14ac:dyDescent="0.25">
      <c r="A6" s="107" t="s">
        <v>228</v>
      </c>
      <c r="B6" s="114" t="s">
        <v>228</v>
      </c>
      <c r="C6" s="115" t="s">
        <v>228</v>
      </c>
      <c r="D6" s="115" t="s">
        <v>228</v>
      </c>
      <c r="L6" s="109" t="s">
        <v>498</v>
      </c>
      <c r="M6" s="110">
        <f>+IF(C25="X",1,0)</f>
        <v>0</v>
      </c>
      <c r="N6" s="110" t="s">
        <v>507</v>
      </c>
      <c r="O6" s="110">
        <f>+IF(C44="X",2,0)</f>
        <v>2</v>
      </c>
      <c r="P6" s="110" t="s">
        <v>567</v>
      </c>
      <c r="Q6" s="110">
        <f>+IF(C54="X",2,0)</f>
        <v>0</v>
      </c>
      <c r="R6" s="110" t="s">
        <v>588</v>
      </c>
      <c r="S6" s="110">
        <f>+IF(C20="X",2,0)</f>
        <v>2</v>
      </c>
      <c r="T6" s="110" t="s">
        <v>630</v>
      </c>
      <c r="U6" s="110">
        <f>+IF(C52="X",1,0)</f>
        <v>0</v>
      </c>
      <c r="V6" s="110" t="s">
        <v>554</v>
      </c>
      <c r="W6" s="110">
        <f>+IF(C36="X",2,0)</f>
        <v>0</v>
      </c>
      <c r="X6" s="110" t="s">
        <v>677</v>
      </c>
      <c r="Y6" s="110">
        <f>+IF(C51="X",3,0)</f>
        <v>0</v>
      </c>
      <c r="Z6" s="110" t="s">
        <v>696</v>
      </c>
      <c r="AA6" s="110">
        <f>+IF(C53="X",3,0)</f>
        <v>0</v>
      </c>
      <c r="AB6" s="110" t="s">
        <v>709</v>
      </c>
      <c r="AC6" s="110">
        <f>+IF(C35="X",3,0)</f>
        <v>0</v>
      </c>
      <c r="AD6" s="110" t="s">
        <v>732</v>
      </c>
      <c r="AE6" s="110">
        <f>+IF(C31="X",2,0)</f>
        <v>2</v>
      </c>
      <c r="AF6" s="110" t="s">
        <v>668</v>
      </c>
      <c r="AG6" s="110">
        <f>+IF(C37="X",1,0)</f>
        <v>1</v>
      </c>
      <c r="AH6" s="110" t="s">
        <v>680</v>
      </c>
      <c r="AI6" s="110">
        <f>+IF(C56="X",2,0)</f>
        <v>2</v>
      </c>
      <c r="AJ6" s="110" t="s">
        <v>666</v>
      </c>
      <c r="AK6" s="110">
        <f>+IF(C32="X",1,0)</f>
        <v>1</v>
      </c>
      <c r="AL6" s="110" t="s">
        <v>564</v>
      </c>
      <c r="AM6" s="110">
        <f>+IF(C37="X",2,0)</f>
        <v>2</v>
      </c>
      <c r="AN6" s="110" t="s">
        <v>594</v>
      </c>
      <c r="AO6" s="110">
        <f>+IF(C41="X",2,0)</f>
        <v>0</v>
      </c>
      <c r="AP6" s="110" t="s">
        <v>806</v>
      </c>
      <c r="AQ6" s="110">
        <f>+IF(C26="X",2,0)</f>
        <v>2</v>
      </c>
      <c r="AR6" s="110" t="s">
        <v>644</v>
      </c>
      <c r="AS6" s="110">
        <f>+IF(C48="X",1,0)</f>
        <v>1</v>
      </c>
      <c r="AT6" s="110" t="s">
        <v>628</v>
      </c>
      <c r="AU6" s="110">
        <f>+IF(C40="X",1,0)</f>
        <v>0</v>
      </c>
      <c r="AV6" s="110" t="s">
        <v>521</v>
      </c>
      <c r="AW6" s="110">
        <f>+IF(C36="X",1,0)</f>
        <v>0</v>
      </c>
      <c r="AX6" s="110" t="s">
        <v>759</v>
      </c>
      <c r="AY6" s="110">
        <f>+IF(C45="X",1,0)</f>
        <v>1</v>
      </c>
      <c r="AZ6" s="110" t="s">
        <v>807</v>
      </c>
      <c r="BA6" s="110">
        <f>+IF(C43="X",1,0)</f>
        <v>1</v>
      </c>
      <c r="BB6" s="110" t="s">
        <v>857</v>
      </c>
      <c r="BC6" s="110">
        <f>+IF(C34="X",3,0)</f>
        <v>0</v>
      </c>
      <c r="BD6" s="110" t="s">
        <v>628</v>
      </c>
      <c r="BE6" s="110">
        <f>+IF(C40="X",1,0)</f>
        <v>0</v>
      </c>
      <c r="BF6" s="110" t="s">
        <v>878</v>
      </c>
      <c r="BG6" s="110">
        <f>+IF(C56="X",3,0)</f>
        <v>3</v>
      </c>
      <c r="BH6" s="110" t="s">
        <v>829</v>
      </c>
      <c r="BI6" s="110">
        <f>+IF(C35="X",1,0)</f>
        <v>0</v>
      </c>
      <c r="BJ6" s="110" t="s">
        <v>837</v>
      </c>
      <c r="BK6" s="110">
        <f>+IF(C38="X",2,0)</f>
        <v>2</v>
      </c>
      <c r="BL6" s="110" t="s">
        <v>564</v>
      </c>
      <c r="BM6" s="110">
        <f>+IF(C37="X",2,0)</f>
        <v>2</v>
      </c>
      <c r="BO6" s="111" t="s">
        <v>606</v>
      </c>
      <c r="BP6" s="110">
        <f>+IF(C22="X",1,0)</f>
        <v>1</v>
      </c>
      <c r="BQ6" s="111" t="s">
        <v>748</v>
      </c>
      <c r="BR6" s="110">
        <f>+IF(C76="X",1,0)</f>
        <v>1</v>
      </c>
    </row>
    <row r="7" spans="1:74" ht="18" customHeight="1" x14ac:dyDescent="0.25">
      <c r="A7" s="107" t="s">
        <v>228</v>
      </c>
      <c r="B7" s="114" t="s">
        <v>228</v>
      </c>
      <c r="C7" s="115" t="s">
        <v>228</v>
      </c>
      <c r="D7" s="115" t="s">
        <v>228</v>
      </c>
      <c r="L7" s="109" t="s">
        <v>501</v>
      </c>
      <c r="M7" s="110">
        <f>+IF(C27="X",1,0)</f>
        <v>1</v>
      </c>
      <c r="N7" s="110" t="s">
        <v>540</v>
      </c>
      <c r="O7" s="110">
        <f>+IF(C47="X",2,0)</f>
        <v>2</v>
      </c>
      <c r="P7" s="110" t="s">
        <v>570</v>
      </c>
      <c r="Q7" s="110">
        <f>+IF(C55="X",2,0)</f>
        <v>2</v>
      </c>
      <c r="R7" s="110" t="s">
        <v>590</v>
      </c>
      <c r="S7" s="110">
        <f>+IF(C21="X",2,0)</f>
        <v>2</v>
      </c>
      <c r="T7" s="110" t="s">
        <v>631</v>
      </c>
      <c r="U7" s="110">
        <f>+IF(C68="X",3,0)</f>
        <v>0</v>
      </c>
      <c r="V7" s="110" t="s">
        <v>492</v>
      </c>
      <c r="W7" s="110">
        <f>+IF(C51="X",1,0)</f>
        <v>0</v>
      </c>
      <c r="X7" s="110" t="s">
        <v>616</v>
      </c>
      <c r="Y7" s="110">
        <f>+IF(C53="X",2,0)</f>
        <v>0</v>
      </c>
      <c r="Z7" s="110" t="s">
        <v>621</v>
      </c>
      <c r="AA7" s="110">
        <f>+IF(C64="X",2,0)</f>
        <v>0</v>
      </c>
      <c r="AB7" s="110" t="s">
        <v>710</v>
      </c>
      <c r="AC7" s="110">
        <f>+IF(C39="X",1,0)</f>
        <v>1</v>
      </c>
      <c r="AD7" s="110" t="s">
        <v>734</v>
      </c>
      <c r="AE7" s="110">
        <f>+IF(C34="X",1,0)</f>
        <v>0</v>
      </c>
      <c r="AF7" s="110" t="s">
        <v>533</v>
      </c>
      <c r="AG7" s="110">
        <f>+IF(C38="X",1,0)</f>
        <v>1</v>
      </c>
      <c r="AH7" s="110" t="s">
        <v>574</v>
      </c>
      <c r="AI7" s="110">
        <f>+IF(C66="X",2,0)</f>
        <v>2</v>
      </c>
      <c r="AJ7" s="110" t="s">
        <v>774</v>
      </c>
      <c r="AK7" s="110">
        <f>+IF(C41="X",1,0)</f>
        <v>0</v>
      </c>
      <c r="AL7" s="110" t="s">
        <v>782</v>
      </c>
      <c r="AM7" s="110">
        <f>+IF(C38="X",3,0)</f>
        <v>3</v>
      </c>
      <c r="AN7" s="110" t="s">
        <v>800</v>
      </c>
      <c r="AO7" s="110">
        <f>+IF(C43="X",3,0)</f>
        <v>3</v>
      </c>
      <c r="AP7" s="110" t="s">
        <v>774</v>
      </c>
      <c r="AQ7" s="110">
        <f>+IF(C41="X",1,0)</f>
        <v>0</v>
      </c>
      <c r="AR7" s="110" t="s">
        <v>488</v>
      </c>
      <c r="AS7" s="110">
        <f>+IF(C50="X",2,0)</f>
        <v>2</v>
      </c>
      <c r="AT7" s="110" t="s">
        <v>832</v>
      </c>
      <c r="AU7" s="110">
        <f>+IF(C49="X",3,0)</f>
        <v>0</v>
      </c>
      <c r="AV7" s="110" t="s">
        <v>826</v>
      </c>
      <c r="AW7" s="110">
        <f>+IF(C65="X",3,0)</f>
        <v>3</v>
      </c>
      <c r="AX7" s="110" t="s">
        <v>509</v>
      </c>
      <c r="AY7" s="110">
        <f>+IF(C46="X",1,0)</f>
        <v>1</v>
      </c>
      <c r="AZ7" s="110" t="s">
        <v>848</v>
      </c>
      <c r="BA7" s="110">
        <f>+IF(C45="X",3,0)</f>
        <v>3</v>
      </c>
      <c r="BB7" s="110" t="s">
        <v>860</v>
      </c>
      <c r="BC7" s="110">
        <f>+IF(C42="X",3,0)</f>
        <v>0</v>
      </c>
      <c r="BD7" s="110" t="s">
        <v>657</v>
      </c>
      <c r="BE7" s="110">
        <f>+IF(C53="X",1,0)</f>
        <v>0</v>
      </c>
      <c r="BF7" s="110" t="s">
        <v>879</v>
      </c>
      <c r="BG7" s="110">
        <f>+IF(C65="X",1,0)</f>
        <v>1</v>
      </c>
      <c r="BH7" s="110" t="s">
        <v>885</v>
      </c>
      <c r="BI7" s="110">
        <f>+IF(C44="X",3,0)</f>
        <v>3</v>
      </c>
      <c r="BJ7" s="110" t="s">
        <v>807</v>
      </c>
      <c r="BK7" s="110">
        <f>+IF(C43="X",1,0)</f>
        <v>1</v>
      </c>
      <c r="BL7" s="110" t="s">
        <v>533</v>
      </c>
      <c r="BM7" s="110">
        <f>+IF(C38="X",1,0)</f>
        <v>1</v>
      </c>
      <c r="BO7" s="111" t="s">
        <v>829</v>
      </c>
      <c r="BP7" s="110">
        <f>+IF(C35="X",1,0)</f>
        <v>0</v>
      </c>
      <c r="BQ7" s="111" t="s">
        <v>665</v>
      </c>
      <c r="BR7" s="110">
        <f>+IF(C83="X",1,0)</f>
        <v>1</v>
      </c>
    </row>
    <row r="8" spans="1:74" ht="18" customHeight="1" x14ac:dyDescent="0.25">
      <c r="B8" s="116"/>
      <c r="C8" s="109"/>
      <c r="D8" s="109"/>
      <c r="L8" s="109" t="s">
        <v>504</v>
      </c>
      <c r="M8" s="110">
        <f>+IF(C29="X",1,0)</f>
        <v>0</v>
      </c>
      <c r="N8" s="110" t="s">
        <v>543</v>
      </c>
      <c r="O8" s="110">
        <f>+IF(C48="X",2,0)</f>
        <v>2</v>
      </c>
      <c r="P8" s="110" t="s">
        <v>572</v>
      </c>
      <c r="Q8" s="110">
        <f>+IF(C59="X",3,0)</f>
        <v>0</v>
      </c>
      <c r="R8" s="110" t="s">
        <v>592</v>
      </c>
      <c r="S8" s="110">
        <f>+IF(C35="X",2,0)</f>
        <v>0</v>
      </c>
      <c r="T8" s="110" t="s">
        <v>633</v>
      </c>
      <c r="U8" s="110">
        <f>+IF(C71="X",3,0)</f>
        <v>0</v>
      </c>
      <c r="V8" s="110" t="s">
        <v>657</v>
      </c>
      <c r="W8" s="110">
        <f>+IF(C53="X",1,0)</f>
        <v>0</v>
      </c>
      <c r="X8" s="110" t="s">
        <v>680</v>
      </c>
      <c r="Y8" s="110">
        <f>+IF(C56="X",2,0)</f>
        <v>2</v>
      </c>
      <c r="Z8" s="110" t="s">
        <v>698</v>
      </c>
      <c r="AA8" s="110">
        <f>+IF(C72="X",2,0)</f>
        <v>2</v>
      </c>
      <c r="AB8" s="110" t="s">
        <v>711</v>
      </c>
      <c r="AC8" s="110">
        <f>+IF(C62="X",3,0)</f>
        <v>3</v>
      </c>
      <c r="AD8" s="110" t="s">
        <v>737</v>
      </c>
      <c r="AE8" s="110">
        <f>+IF(C37="X",3,0)</f>
        <v>3</v>
      </c>
      <c r="AF8" s="110" t="s">
        <v>759</v>
      </c>
      <c r="AG8" s="110">
        <f>+IF(C45="X",1,0)</f>
        <v>1</v>
      </c>
      <c r="AH8" s="110" t="s">
        <v>671</v>
      </c>
      <c r="AI8" s="110">
        <f>+IF(C75="X",2,0)</f>
        <v>2</v>
      </c>
      <c r="AJ8" s="110" t="s">
        <v>908</v>
      </c>
      <c r="AK8" s="110">
        <f>+IF(C46="X",3,0)</f>
        <v>3</v>
      </c>
      <c r="AL8" s="110" t="s">
        <v>535</v>
      </c>
      <c r="AM8" s="110">
        <f>+IF(C43="X",2,0)</f>
        <v>2</v>
      </c>
      <c r="AN8" s="110" t="s">
        <v>801</v>
      </c>
      <c r="AO8" s="110">
        <f>+IF(C60="X",2,0)</f>
        <v>0</v>
      </c>
      <c r="AP8" s="110" t="s">
        <v>807</v>
      </c>
      <c r="AQ8" s="110">
        <f>+IF(C43="X",1,0)</f>
        <v>1</v>
      </c>
      <c r="AR8" s="110" t="s">
        <v>748</v>
      </c>
      <c r="AS8" s="110">
        <f>+IF(C76="X",1,0)</f>
        <v>1</v>
      </c>
      <c r="AT8" s="110" t="s">
        <v>743</v>
      </c>
      <c r="AU8" s="110">
        <f>+IF(C51="X",2,0)</f>
        <v>0</v>
      </c>
      <c r="AV8" s="110" t="s">
        <v>523</v>
      </c>
      <c r="AW8" s="110">
        <f>+IF(C68="X",1,0)</f>
        <v>0</v>
      </c>
      <c r="AX8" s="110" t="s">
        <v>512</v>
      </c>
      <c r="AY8" s="110">
        <f>+IF(C47="X",1,0)</f>
        <v>1</v>
      </c>
      <c r="AZ8" s="110" t="s">
        <v>849</v>
      </c>
      <c r="BA8" s="110">
        <f>+IF(C60="X",3,0)</f>
        <v>0</v>
      </c>
      <c r="BB8" s="110" t="s">
        <v>861</v>
      </c>
      <c r="BC8" s="110">
        <f>+IF(C52="X",3,0)</f>
        <v>0</v>
      </c>
      <c r="BD8" s="110" t="s">
        <v>556</v>
      </c>
      <c r="BE8" s="110">
        <f>+IF(C80="X",1,0)</f>
        <v>0</v>
      </c>
      <c r="BF8" s="110" t="s">
        <v>556</v>
      </c>
      <c r="BG8" s="110">
        <f>+IF(C80="X",1,0)</f>
        <v>0</v>
      </c>
      <c r="BH8" s="110" t="s">
        <v>746</v>
      </c>
      <c r="BI8" s="110">
        <f>+IF(C57="X",1,0)</f>
        <v>1</v>
      </c>
      <c r="BJ8" s="110" t="s">
        <v>567</v>
      </c>
      <c r="BK8" s="110">
        <f>+IF(C54="X",2,0)</f>
        <v>0</v>
      </c>
      <c r="BL8" s="110" t="s">
        <v>509</v>
      </c>
      <c r="BM8" s="110">
        <f>+IF(C46="X",1,0)</f>
        <v>1</v>
      </c>
      <c r="BO8" s="111" t="s">
        <v>521</v>
      </c>
      <c r="BP8" s="110">
        <f>+IF(C36="X",1,0)</f>
        <v>0</v>
      </c>
      <c r="BQ8" s="111" t="s">
        <v>600</v>
      </c>
      <c r="BR8" s="110">
        <f>+IF(C91="X",1,0)</f>
        <v>1</v>
      </c>
    </row>
    <row r="9" spans="1:74" ht="18" customHeight="1" x14ac:dyDescent="0.25">
      <c r="B9" s="222" t="s">
        <v>441</v>
      </c>
      <c r="C9" s="222"/>
      <c r="D9" s="222"/>
      <c r="L9" s="109" t="s">
        <v>507</v>
      </c>
      <c r="M9" s="110">
        <f>+IF(C44="X",2,0)</f>
        <v>2</v>
      </c>
      <c r="N9" s="110" t="s">
        <v>546</v>
      </c>
      <c r="O9" s="110">
        <f>+IF(C50="X",3,0)</f>
        <v>3</v>
      </c>
      <c r="P9" s="110" t="s">
        <v>574</v>
      </c>
      <c r="Q9" s="110">
        <f>+IF(C66="X",2,0)</f>
        <v>2</v>
      </c>
      <c r="R9" s="110" t="s">
        <v>594</v>
      </c>
      <c r="S9" s="110">
        <f>+IF(C41="X",2,0)</f>
        <v>0</v>
      </c>
      <c r="T9" s="110" t="s">
        <v>634</v>
      </c>
      <c r="U9" s="110">
        <f>+IF(C82="X",3,0)</f>
        <v>3</v>
      </c>
      <c r="V9" s="110" t="s">
        <v>659</v>
      </c>
      <c r="W9" s="110">
        <f>+IF(C64="X",3,0)</f>
        <v>0</v>
      </c>
      <c r="X9" s="110" t="s">
        <v>683</v>
      </c>
      <c r="Y9" s="110">
        <f>+IF(C64="X",1,0)</f>
        <v>0</v>
      </c>
      <c r="Z9" s="110" t="s">
        <v>699</v>
      </c>
      <c r="AA9" s="110">
        <f>+IF(C86="X",1,0)</f>
        <v>0</v>
      </c>
      <c r="AB9" s="110" t="s">
        <v>712</v>
      </c>
      <c r="AC9" s="110">
        <f>+IF(C105="X",3,0)</f>
        <v>0</v>
      </c>
      <c r="AD9" s="110" t="s">
        <v>739</v>
      </c>
      <c r="AE9" s="110">
        <f>+IF(C40="X",1,0)</f>
        <v>0</v>
      </c>
      <c r="AF9" s="110" t="s">
        <v>761</v>
      </c>
      <c r="AG9" s="110">
        <f>+IF(C46="X",2,0)</f>
        <v>2</v>
      </c>
      <c r="AH9" s="110" t="s">
        <v>549</v>
      </c>
      <c r="AI9" s="110">
        <f>+IF(C76="X",2,0)</f>
        <v>2</v>
      </c>
      <c r="AJ9" s="110" t="s">
        <v>657</v>
      </c>
      <c r="AK9" s="110">
        <f>+IF(C53="X",1,0)</f>
        <v>0</v>
      </c>
      <c r="AL9" s="110" t="s">
        <v>540</v>
      </c>
      <c r="AM9" s="110">
        <f>+IF(C47="X",2,0)</f>
        <v>2</v>
      </c>
      <c r="AN9" s="110" t="s">
        <v>802</v>
      </c>
      <c r="AO9" s="110">
        <f>+IF(C77="X",2,0)</f>
        <v>2</v>
      </c>
      <c r="AP9" s="110" t="s">
        <v>808</v>
      </c>
      <c r="AQ9" s="110">
        <f>+IF(C63="X",3,0)</f>
        <v>3</v>
      </c>
      <c r="AR9" s="110" t="s">
        <v>772</v>
      </c>
      <c r="AS9" s="110">
        <f>+IF(C78="X",1,0)</f>
        <v>0</v>
      </c>
      <c r="AT9" s="110" t="s">
        <v>616</v>
      </c>
      <c r="AU9" s="110">
        <f>+IF(C53="X",2,0)</f>
        <v>0</v>
      </c>
      <c r="AV9" s="110" t="s">
        <v>549</v>
      </c>
      <c r="AW9" s="110">
        <f>+IF(C76="X",2,0)</f>
        <v>2</v>
      </c>
      <c r="AX9" s="110" t="s">
        <v>630</v>
      </c>
      <c r="AY9" s="110">
        <f>+IF(C52="X",1,0)</f>
        <v>0</v>
      </c>
      <c r="AZ9" s="110" t="s">
        <v>576</v>
      </c>
      <c r="BA9" s="110">
        <f>+IF(C75="X",1,0)</f>
        <v>1</v>
      </c>
      <c r="BB9" s="110" t="s">
        <v>646</v>
      </c>
      <c r="BC9" s="110">
        <f>+IF(C55="X",1,0)</f>
        <v>1</v>
      </c>
      <c r="BD9" s="110" t="s">
        <v>869</v>
      </c>
      <c r="BE9" s="110">
        <f>+IF(C85="X",3,0)</f>
        <v>3</v>
      </c>
      <c r="BF9" s="110" t="s">
        <v>674</v>
      </c>
      <c r="BG9" s="110">
        <f>+IF(C85="X",2,0)</f>
        <v>2</v>
      </c>
      <c r="BH9" s="110" t="s">
        <v>671</v>
      </c>
      <c r="BI9" s="110">
        <f>+IF(C75="X",2,0)</f>
        <v>2</v>
      </c>
      <c r="BJ9" s="110" t="s">
        <v>892</v>
      </c>
      <c r="BK9" s="110">
        <f>+IF(C55="X",3,0)</f>
        <v>3</v>
      </c>
      <c r="BL9" s="110" t="s">
        <v>570</v>
      </c>
      <c r="BM9" s="110">
        <f>+IF(C55="X",2,0)</f>
        <v>2</v>
      </c>
      <c r="BO9" s="111" t="s">
        <v>704</v>
      </c>
      <c r="BP9" s="110">
        <f>+IF(C62="X",1,0)</f>
        <v>1</v>
      </c>
      <c r="BQ9" s="111" t="s">
        <v>905</v>
      </c>
      <c r="BR9" s="110">
        <f>+IF(C92="X",1,0)</f>
        <v>1</v>
      </c>
    </row>
    <row r="10" spans="1:74" ht="18" customHeight="1" x14ac:dyDescent="0.25">
      <c r="B10" s="222"/>
      <c r="C10" s="222"/>
      <c r="D10" s="222"/>
      <c r="L10" s="109" t="s">
        <v>509</v>
      </c>
      <c r="M10" s="110">
        <f>+IF(C46="X",1,0)</f>
        <v>1</v>
      </c>
      <c r="N10" s="110" t="s">
        <v>499</v>
      </c>
      <c r="O10" s="110">
        <f>+IF(C63="X",1,0)</f>
        <v>1</v>
      </c>
      <c r="P10" s="110" t="s">
        <v>576</v>
      </c>
      <c r="Q10" s="110">
        <f>+IF(C75="X",1,0)</f>
        <v>1</v>
      </c>
      <c r="R10" s="110" t="s">
        <v>596</v>
      </c>
      <c r="S10" s="110">
        <f>+IF(C75="X",3,0)</f>
        <v>3</v>
      </c>
      <c r="T10" s="110" t="s">
        <v>604</v>
      </c>
      <c r="U10" s="110">
        <f>+IF(C87="X",1,0)</f>
        <v>0</v>
      </c>
      <c r="V10" s="110" t="s">
        <v>661</v>
      </c>
      <c r="W10" s="110">
        <f>+IF(C68="X",2,0)</f>
        <v>0</v>
      </c>
      <c r="X10" s="110" t="s">
        <v>685</v>
      </c>
      <c r="Y10" s="110">
        <f>+IF(C69="X",2,0)</f>
        <v>0</v>
      </c>
      <c r="Z10" s="110" t="s">
        <v>701</v>
      </c>
      <c r="AA10" s="110">
        <f>+IF(C90="X",3,0)</f>
        <v>0</v>
      </c>
      <c r="AB10" s="110" t="s">
        <v>713</v>
      </c>
      <c r="AC10" s="110">
        <f>+IF(C108="X",3,0)</f>
        <v>0</v>
      </c>
      <c r="AD10" s="110" t="s">
        <v>509</v>
      </c>
      <c r="AE10" s="110">
        <f>+IF(C46="X",1,0)</f>
        <v>1</v>
      </c>
      <c r="AF10" s="110" t="s">
        <v>512</v>
      </c>
      <c r="AG10" s="110">
        <f>+IF(C47="X",1,0)</f>
        <v>1</v>
      </c>
      <c r="AH10" s="110" t="s">
        <v>719</v>
      </c>
      <c r="AI10" s="110">
        <f>+IF(C90="X",1,0)</f>
        <v>0</v>
      </c>
      <c r="AJ10" s="110" t="s">
        <v>778</v>
      </c>
      <c r="AK10" s="110">
        <f>+IF(C54="X",1,0)</f>
        <v>0</v>
      </c>
      <c r="AL10" s="110" t="s">
        <v>488</v>
      </c>
      <c r="AM10" s="110">
        <f>+IF(C50="X",2,0)</f>
        <v>2</v>
      </c>
      <c r="AN10" s="110" t="s">
        <v>643</v>
      </c>
      <c r="AO10" s="110">
        <f>+IF(C111="X",2,0)</f>
        <v>2</v>
      </c>
      <c r="AP10" s="110" t="s">
        <v>809</v>
      </c>
      <c r="AQ10" s="110">
        <f>+IF(C84="X",1,0)</f>
        <v>1</v>
      </c>
      <c r="AR10" s="110" t="s">
        <v>822</v>
      </c>
      <c r="AS10" s="110">
        <f>+IF(C81="X",3,0)</f>
        <v>3</v>
      </c>
      <c r="AT10" s="110" t="s">
        <v>833</v>
      </c>
      <c r="AU10" s="110">
        <f>+IF(C61="X",3,0)</f>
        <v>3</v>
      </c>
      <c r="AV10" s="110" t="s">
        <v>650</v>
      </c>
      <c r="AW10" s="110">
        <f>+IF(C82="X",1,0)</f>
        <v>1</v>
      </c>
      <c r="AX10" s="110" t="s">
        <v>574</v>
      </c>
      <c r="AY10" s="110">
        <f>+IF(C66="X",2,0)</f>
        <v>2</v>
      </c>
      <c r="AZ10" s="110" t="s">
        <v>852</v>
      </c>
      <c r="BA10" s="110">
        <f>+IF(C77="X",3,0)</f>
        <v>3</v>
      </c>
      <c r="BB10" s="110" t="s">
        <v>619</v>
      </c>
      <c r="BC10" s="110">
        <f>+IF(C56="X",1,0)</f>
        <v>1</v>
      </c>
      <c r="BD10" s="110" t="s">
        <v>717</v>
      </c>
      <c r="BE10" s="110">
        <f>+IF(C88="X",1,0)</f>
        <v>1</v>
      </c>
      <c r="BF10" s="110" t="s">
        <v>880</v>
      </c>
      <c r="BG10" s="110">
        <f>+IF(C86="X",3,0)</f>
        <v>0</v>
      </c>
      <c r="BH10" s="110" t="s">
        <v>598</v>
      </c>
      <c r="BI10" s="110">
        <f>+IF(C83="X",2,0)</f>
        <v>2</v>
      </c>
      <c r="BJ10" s="110" t="s">
        <v>746</v>
      </c>
      <c r="BK10" s="110">
        <f>+IF(C57="X",1,0)</f>
        <v>1</v>
      </c>
      <c r="BL10" s="110" t="s">
        <v>899</v>
      </c>
      <c r="BM10" s="110">
        <f>+IF(C66="X",3,0)</f>
        <v>3</v>
      </c>
      <c r="BO10" s="111" t="s">
        <v>650</v>
      </c>
      <c r="BP10" s="110">
        <f>+IF(C82="X",1,0)</f>
        <v>1</v>
      </c>
      <c r="BQ10" s="111" t="s">
        <v>637</v>
      </c>
      <c r="BR10" s="110">
        <f>+IF(C96="X",1,0)</f>
        <v>1</v>
      </c>
    </row>
    <row r="11" spans="1:74" ht="24.75" customHeight="1" x14ac:dyDescent="0.25">
      <c r="B11" s="222"/>
      <c r="C11" s="222"/>
      <c r="D11" s="222"/>
      <c r="L11" s="109" t="s">
        <v>512</v>
      </c>
      <c r="M11" s="110">
        <f>+IF(C47="X",1,0)</f>
        <v>1</v>
      </c>
      <c r="N11" s="110" t="s">
        <v>549</v>
      </c>
      <c r="O11" s="110">
        <f>+IF(C76="X",2,0)</f>
        <v>2</v>
      </c>
      <c r="P11" s="110" t="s">
        <v>577</v>
      </c>
      <c r="Q11" s="110">
        <f>+IF(C76="X",3,0)</f>
        <v>3</v>
      </c>
      <c r="R11" s="110" t="s">
        <v>598</v>
      </c>
      <c r="S11" s="110">
        <f>+IF(C83="X",2,0)</f>
        <v>2</v>
      </c>
      <c r="T11" s="110" t="s">
        <v>635</v>
      </c>
      <c r="U11" s="110">
        <f>+IF(C89="X",3,0)</f>
        <v>3</v>
      </c>
      <c r="V11" s="110" t="s">
        <v>663</v>
      </c>
      <c r="W11" s="110">
        <f>+IF(C71="X",1,0)</f>
        <v>0</v>
      </c>
      <c r="X11" s="110" t="s">
        <v>687</v>
      </c>
      <c r="Y11" s="110">
        <f>+IF(C70="X",3,0)</f>
        <v>3</v>
      </c>
      <c r="Z11" s="110" t="s">
        <v>702</v>
      </c>
      <c r="AA11" s="110">
        <f>+IF(C109="X",3,0)</f>
        <v>0</v>
      </c>
      <c r="AB11" s="110" t="s">
        <v>714</v>
      </c>
      <c r="AC11" s="110">
        <f>+IF(C142="X",3,0)</f>
        <v>3</v>
      </c>
      <c r="AD11" s="110" t="s">
        <v>741</v>
      </c>
      <c r="AE11" s="110">
        <f>+IF(C49="X",2,0)</f>
        <v>0</v>
      </c>
      <c r="AF11" s="110" t="s">
        <v>764</v>
      </c>
      <c r="AG11" s="110">
        <f>+IF(C58="X",3,0)</f>
        <v>3</v>
      </c>
      <c r="AH11" s="110" t="s">
        <v>536</v>
      </c>
      <c r="AI11" s="110">
        <f>+IF(C96="X",2,0)</f>
        <v>2</v>
      </c>
      <c r="AJ11" s="110" t="s">
        <v>496</v>
      </c>
      <c r="AK11" s="110">
        <f>+IF(C59="X",2,0)</f>
        <v>0</v>
      </c>
      <c r="AL11" s="110" t="s">
        <v>786</v>
      </c>
      <c r="AM11" s="110">
        <f>+IF(C54="X",3,0)</f>
        <v>0</v>
      </c>
      <c r="AN11" s="110" t="s">
        <v>736</v>
      </c>
      <c r="AO11" s="110">
        <f>+IF(C117="X",1,0)</f>
        <v>1</v>
      </c>
      <c r="AP11" s="110" t="s">
        <v>587</v>
      </c>
      <c r="AQ11" s="110">
        <f>+IF(C105="X",1,0)</f>
        <v>0</v>
      </c>
      <c r="AR11" s="110" t="s">
        <v>538</v>
      </c>
      <c r="AS11" s="110">
        <f>+IF(C97="X",1,0)</f>
        <v>1</v>
      </c>
      <c r="AT11" s="110" t="s">
        <v>621</v>
      </c>
      <c r="AU11" s="110">
        <f>+IF(C64="X",2,0)</f>
        <v>0</v>
      </c>
      <c r="AV11" s="110" t="s">
        <v>699</v>
      </c>
      <c r="AW11" s="110">
        <f>+IF(C86="X",1,0)</f>
        <v>0</v>
      </c>
      <c r="AX11" s="110" t="s">
        <v>576</v>
      </c>
      <c r="AY11" s="110">
        <f>+IF(C75="X",1,0)</f>
        <v>1</v>
      </c>
      <c r="AZ11" s="110" t="s">
        <v>665</v>
      </c>
      <c r="BA11" s="110">
        <f>+IF(C83="X",1,0)</f>
        <v>1</v>
      </c>
      <c r="BB11" s="110" t="s">
        <v>621</v>
      </c>
      <c r="BC11" s="110">
        <f>+IF(C64="X",2,0)</f>
        <v>0</v>
      </c>
      <c r="BD11" s="110" t="s">
        <v>719</v>
      </c>
      <c r="BE11" s="110">
        <f>+IF(C90="X",1,0)</f>
        <v>0</v>
      </c>
      <c r="BF11" s="110" t="s">
        <v>557</v>
      </c>
      <c r="BG11" s="110">
        <f>+IF(C89="X",1,0)</f>
        <v>1</v>
      </c>
      <c r="BH11" s="110" t="s">
        <v>886</v>
      </c>
      <c r="BI11" s="110">
        <f>+IF(C91="X",3,0)</f>
        <v>3</v>
      </c>
      <c r="BJ11" s="110" t="s">
        <v>671</v>
      </c>
      <c r="BK11" s="110">
        <f>+IF(C75="X",2,0)</f>
        <v>2</v>
      </c>
      <c r="BL11" s="110" t="s">
        <v>549</v>
      </c>
      <c r="BM11" s="110">
        <f>+IF(C76="X",2,0)</f>
        <v>2</v>
      </c>
      <c r="BO11" s="111" t="s">
        <v>527</v>
      </c>
      <c r="BP11" s="110">
        <f>+IF(C98="X",1,0)</f>
        <v>1</v>
      </c>
      <c r="BQ11" s="111" t="s">
        <v>645</v>
      </c>
      <c r="BR11" s="110">
        <f>+IF(C118="X",1,0)</f>
        <v>1</v>
      </c>
    </row>
    <row r="12" spans="1:74" ht="19.5" customHeight="1" x14ac:dyDescent="0.25">
      <c r="A12" s="117"/>
      <c r="B12" s="118"/>
      <c r="C12" s="117"/>
      <c r="D12" s="117"/>
      <c r="E12" s="117"/>
      <c r="F12" s="119" t="s">
        <v>440</v>
      </c>
      <c r="L12" s="109" t="s">
        <v>515</v>
      </c>
      <c r="M12" s="110">
        <f>+IF(C48="X",3,0)</f>
        <v>3</v>
      </c>
      <c r="N12" s="110" t="s">
        <v>550</v>
      </c>
      <c r="O12" s="110">
        <f>+IF(C81="X",2,0)</f>
        <v>2</v>
      </c>
      <c r="P12" s="110" t="s">
        <v>579</v>
      </c>
      <c r="Q12" s="110">
        <f>+IF(C91="X",2,0)</f>
        <v>2</v>
      </c>
      <c r="R12" s="110" t="s">
        <v>600</v>
      </c>
      <c r="S12" s="110">
        <f>+IF(C91="X",1,0)</f>
        <v>1</v>
      </c>
      <c r="T12" s="110" t="s">
        <v>636</v>
      </c>
      <c r="U12" s="110">
        <f>+IF(C98="X",2,0)</f>
        <v>2</v>
      </c>
      <c r="V12" s="110" t="s">
        <v>556</v>
      </c>
      <c r="W12" s="110">
        <f>+IF(C80="X",1,0)</f>
        <v>0</v>
      </c>
      <c r="X12" s="110" t="s">
        <v>663</v>
      </c>
      <c r="Y12" s="110">
        <f>+IF(C71="X",1,0)</f>
        <v>0</v>
      </c>
      <c r="Z12" s="110" t="s">
        <v>681</v>
      </c>
      <c r="AA12" s="110">
        <f>+IF(C116="X",2,0)</f>
        <v>0</v>
      </c>
      <c r="AB12" s="110" t="s">
        <v>530</v>
      </c>
      <c r="AC12" s="110">
        <f>+IF(C157="X",2,0)</f>
        <v>2</v>
      </c>
      <c r="AD12" s="110" t="s">
        <v>743</v>
      </c>
      <c r="AE12" s="110">
        <f>+IF(C51="X",2,0)</f>
        <v>0</v>
      </c>
      <c r="AF12" s="110" t="s">
        <v>766</v>
      </c>
      <c r="AG12" s="110">
        <f>+IF(C66="X",1,0)</f>
        <v>1</v>
      </c>
      <c r="AH12" s="110" t="s">
        <v>744</v>
      </c>
      <c r="AI12" s="110">
        <f>+IF(C100="X",2,0)</f>
        <v>2</v>
      </c>
      <c r="AJ12" s="110" t="s">
        <v>729</v>
      </c>
      <c r="AK12" s="110">
        <f>+IF(C61="X",1,0)</f>
        <v>1</v>
      </c>
      <c r="AL12" s="110" t="s">
        <v>788</v>
      </c>
      <c r="AM12" s="110">
        <f>+IF(C58="X",1,0)</f>
        <v>1</v>
      </c>
      <c r="AN12" s="110" t="s">
        <v>803</v>
      </c>
      <c r="AO12" s="110">
        <f>+IF(C124="X",3,0)</f>
        <v>3</v>
      </c>
      <c r="AP12" s="110" t="s">
        <v>516</v>
      </c>
      <c r="AQ12" s="110">
        <f>+IF(C111="X",1,0)</f>
        <v>1</v>
      </c>
      <c r="AR12" s="110" t="s">
        <v>692</v>
      </c>
      <c r="AS12" s="110">
        <f>+IF(C108="X",1,0)</f>
        <v>0</v>
      </c>
      <c r="AT12" s="110" t="s">
        <v>733</v>
      </c>
      <c r="AU12" s="110">
        <f>+IF(C69="X",1,0)</f>
        <v>0</v>
      </c>
      <c r="AV12" s="110" t="s">
        <v>557</v>
      </c>
      <c r="AW12" s="110">
        <f>+IF(C89="X",1,0)</f>
        <v>1</v>
      </c>
      <c r="AX12" s="110" t="s">
        <v>748</v>
      </c>
      <c r="AY12" s="110">
        <f>+IF(C76="X",1,0)</f>
        <v>1</v>
      </c>
      <c r="AZ12" s="110" t="s">
        <v>853</v>
      </c>
      <c r="BA12" s="110">
        <f>+IF(C94="X",3,0)</f>
        <v>3</v>
      </c>
      <c r="BB12" s="110" t="s">
        <v>864</v>
      </c>
      <c r="BC12" s="110">
        <f>+IF(C69="X",3,0)</f>
        <v>0</v>
      </c>
      <c r="BD12" s="110" t="s">
        <v>625</v>
      </c>
      <c r="BE12" s="110">
        <f>+IF(C104="X",1,0)</f>
        <v>0</v>
      </c>
      <c r="BF12" s="110" t="s">
        <v>527</v>
      </c>
      <c r="BG12" s="110">
        <f>+IF(C98="X",1,0)</f>
        <v>1</v>
      </c>
      <c r="BH12" s="110" t="s">
        <v>643</v>
      </c>
      <c r="BI12" s="110">
        <f>+IF(C111="X",2,0)</f>
        <v>2</v>
      </c>
      <c r="BJ12" s="110" t="s">
        <v>549</v>
      </c>
      <c r="BK12" s="110">
        <f>+IF(C76="X",2,0)</f>
        <v>2</v>
      </c>
      <c r="BL12" s="110" t="s">
        <v>637</v>
      </c>
      <c r="BM12" s="110">
        <f>+IF(C96="X",1,0)</f>
        <v>1</v>
      </c>
      <c r="BO12" s="111" t="s">
        <v>587</v>
      </c>
      <c r="BP12" s="110">
        <f>+IF(C105="X",1,0)</f>
        <v>0</v>
      </c>
      <c r="BQ12" s="111" t="s">
        <v>894</v>
      </c>
      <c r="BR12" s="110">
        <f>+IF(C124="X",1,0)</f>
        <v>1</v>
      </c>
    </row>
    <row r="13" spans="1:74" x14ac:dyDescent="0.25">
      <c r="A13" s="120">
        <v>1</v>
      </c>
      <c r="B13" s="121" t="s">
        <v>0</v>
      </c>
      <c r="C13" s="122"/>
      <c r="D13" s="122" t="s">
        <v>228</v>
      </c>
      <c r="E13" s="123">
        <v>1</v>
      </c>
      <c r="F13" s="124">
        <f>+IF(C13="X",1,IF(D13="X",2,""))</f>
        <v>2</v>
      </c>
      <c r="L13" s="109" t="s">
        <v>488</v>
      </c>
      <c r="M13" s="110">
        <f>+IF(C50="X",2,0)</f>
        <v>2</v>
      </c>
      <c r="N13" s="110" t="s">
        <v>531</v>
      </c>
      <c r="O13" s="110">
        <f>+IF(C83="X",3,0)</f>
        <v>3</v>
      </c>
      <c r="P13" s="110" t="s">
        <v>536</v>
      </c>
      <c r="Q13" s="110">
        <f>+IF(C96="X",2,0)</f>
        <v>2</v>
      </c>
      <c r="R13" s="110" t="s">
        <v>582</v>
      </c>
      <c r="S13" s="110">
        <f>+IF(C93="X",1,0)</f>
        <v>1</v>
      </c>
      <c r="T13" s="110" t="s">
        <v>625</v>
      </c>
      <c r="U13" s="110">
        <f>+IF(C104="X",1,0)</f>
        <v>0</v>
      </c>
      <c r="V13" s="110" t="s">
        <v>650</v>
      </c>
      <c r="W13" s="110">
        <f>+IF(C82="X",1,0)</f>
        <v>1</v>
      </c>
      <c r="X13" s="110" t="s">
        <v>602</v>
      </c>
      <c r="Y13" s="110">
        <f>+IF(C80="X",2,0)</f>
        <v>0</v>
      </c>
      <c r="Z13" s="110" t="s">
        <v>558</v>
      </c>
      <c r="AA13" s="110">
        <f>+IF(C129="X",2,0)</f>
        <v>0</v>
      </c>
      <c r="AB13" s="110" t="s">
        <v>707</v>
      </c>
      <c r="AC13" s="110">
        <f>+IF(C171="X",3,0)</f>
        <v>3</v>
      </c>
      <c r="AD13" s="110" t="s">
        <v>657</v>
      </c>
      <c r="AE13" s="110">
        <f>+IF(C53="X",1,0)</f>
        <v>0</v>
      </c>
      <c r="AF13" s="110" t="s">
        <v>748</v>
      </c>
      <c r="AG13" s="110">
        <f>+IF(C76="X",1,0)</f>
        <v>1</v>
      </c>
      <c r="AH13" s="110" t="s">
        <v>681</v>
      </c>
      <c r="AI13" s="110">
        <f>+IF(C116="X",2,0)</f>
        <v>0</v>
      </c>
      <c r="AJ13" s="110" t="s">
        <v>621</v>
      </c>
      <c r="AK13" s="110">
        <f>+IF(C64="X",2,0)</f>
        <v>0</v>
      </c>
      <c r="AL13" s="110" t="s">
        <v>496</v>
      </c>
      <c r="AM13" s="110">
        <f>+IF(C59="X",2,0)</f>
        <v>0</v>
      </c>
      <c r="AN13" s="110" t="s">
        <v>792</v>
      </c>
      <c r="AO13" s="110">
        <f>+IF(C135="X",1,0)</f>
        <v>1</v>
      </c>
      <c r="AP13" s="110" t="s">
        <v>804</v>
      </c>
      <c r="AQ13" s="110">
        <f>+IF(C128="X",3,0)</f>
        <v>0</v>
      </c>
      <c r="AR13" s="110" t="s">
        <v>767</v>
      </c>
      <c r="AS13" s="110">
        <f>+IF(C118="X",2,0)</f>
        <v>2</v>
      </c>
      <c r="AT13" s="110" t="s">
        <v>831</v>
      </c>
      <c r="AU13" s="110">
        <f>+IF(C72="X",3,0)</f>
        <v>3</v>
      </c>
      <c r="AV13" s="110" t="s">
        <v>823</v>
      </c>
      <c r="AW13" s="110">
        <f>+IF(C95="X",3,0)</f>
        <v>0</v>
      </c>
      <c r="AX13" s="110" t="s">
        <v>840</v>
      </c>
      <c r="AY13" s="110">
        <f>+IF(C84="X",3,0)</f>
        <v>3</v>
      </c>
      <c r="AZ13" s="110" t="s">
        <v>637</v>
      </c>
      <c r="BA13" s="110">
        <f>+IF(C96="X",1,0)</f>
        <v>1</v>
      </c>
      <c r="BB13" s="110" t="s">
        <v>854</v>
      </c>
      <c r="BC13" s="110">
        <f>+IF(C73="X",2,0)</f>
        <v>0</v>
      </c>
      <c r="BD13" s="110" t="s">
        <v>654</v>
      </c>
      <c r="BE13" s="110">
        <f>+IF(C106="X",1,0)</f>
        <v>0</v>
      </c>
      <c r="BF13" s="110" t="s">
        <v>625</v>
      </c>
      <c r="BG13" s="110">
        <f>+IF(C104="X",1,0)</f>
        <v>0</v>
      </c>
      <c r="BH13" s="110" t="s">
        <v>781</v>
      </c>
      <c r="BI13" s="110">
        <f>+IF(C121="X",1,0)</f>
        <v>0</v>
      </c>
      <c r="BJ13" s="110" t="s">
        <v>505</v>
      </c>
      <c r="BK13" s="110">
        <f>+IF(C81="X",1,0)</f>
        <v>1</v>
      </c>
      <c r="BL13" s="110" t="s">
        <v>538</v>
      </c>
      <c r="BM13" s="110">
        <f>+IF(C97="X",1,0)</f>
        <v>1</v>
      </c>
      <c r="BO13" s="111" t="s">
        <v>692</v>
      </c>
      <c r="BP13" s="110">
        <f>+IF(C108="X",1,0)</f>
        <v>0</v>
      </c>
      <c r="BQ13" s="111" t="s">
        <v>718</v>
      </c>
      <c r="BR13" s="110">
        <f>+IF(C145="X",1,0)</f>
        <v>1</v>
      </c>
    </row>
    <row r="14" spans="1:74" x14ac:dyDescent="0.25">
      <c r="A14" s="120">
        <v>2</v>
      </c>
      <c r="B14" s="121" t="s">
        <v>1</v>
      </c>
      <c r="C14" s="122" t="s">
        <v>228</v>
      </c>
      <c r="D14" s="122"/>
      <c r="E14" s="123">
        <v>2</v>
      </c>
      <c r="F14" s="124">
        <f t="shared" ref="F14:F77" si="0">+IF(C14="X",1,IF(D14="X",2,""))</f>
        <v>1</v>
      </c>
      <c r="L14" s="109" t="s">
        <v>492</v>
      </c>
      <c r="M14" s="110">
        <f>+IF(C51="X",1,0)</f>
        <v>0</v>
      </c>
      <c r="N14" s="110" t="s">
        <v>518</v>
      </c>
      <c r="O14" s="110">
        <f>+IF(C92="X",2,0)</f>
        <v>2</v>
      </c>
      <c r="P14" s="110" t="s">
        <v>538</v>
      </c>
      <c r="Q14" s="110">
        <f>+IF(C97="X",1,0)</f>
        <v>1</v>
      </c>
      <c r="R14" s="110" t="s">
        <v>585</v>
      </c>
      <c r="S14" s="110">
        <f>+IF(C99="X",2,0)</f>
        <v>0</v>
      </c>
      <c r="T14" s="110" t="s">
        <v>627</v>
      </c>
      <c r="U14" s="110">
        <f>+IF(C113="X",2,0)</f>
        <v>2</v>
      </c>
      <c r="V14" s="110" t="s">
        <v>653</v>
      </c>
      <c r="W14" s="110">
        <f>+IF(C98="X",3,0)</f>
        <v>3</v>
      </c>
      <c r="X14" s="110" t="s">
        <v>674</v>
      </c>
      <c r="Y14" s="110">
        <f>+IF(C85="X",2,0)</f>
        <v>2</v>
      </c>
      <c r="Z14" s="110" t="s">
        <v>693</v>
      </c>
      <c r="AA14" s="110">
        <f>+IF(C140="X",3,0)</f>
        <v>0</v>
      </c>
      <c r="AB14" s="110" t="s">
        <v>603</v>
      </c>
      <c r="AC14" s="110">
        <f>+IF(D16="X",1,0)</f>
        <v>0</v>
      </c>
      <c r="AD14" s="110" t="s">
        <v>729</v>
      </c>
      <c r="AE14" s="110">
        <f>+IF(C61="X",1,0)</f>
        <v>1</v>
      </c>
      <c r="AF14" s="110" t="s">
        <v>752</v>
      </c>
      <c r="AG14" s="110">
        <f>+IF(C78="X",3,0)</f>
        <v>0</v>
      </c>
      <c r="AH14" s="110" t="s">
        <v>573</v>
      </c>
      <c r="AI14" s="110">
        <f>+IF(C119="X",2,0)</f>
        <v>2</v>
      </c>
      <c r="AJ14" s="110" t="s">
        <v>772</v>
      </c>
      <c r="AK14" s="110">
        <f>+IF(C78="X",1,0)</f>
        <v>0</v>
      </c>
      <c r="AL14" s="110" t="s">
        <v>576</v>
      </c>
      <c r="AM14" s="110">
        <f>+IF(C75="X",1,0)</f>
        <v>1</v>
      </c>
      <c r="AN14" s="110" t="s">
        <v>795</v>
      </c>
      <c r="AO14" s="110">
        <f>+IF(C136="X",1,0)</f>
        <v>1</v>
      </c>
      <c r="AP14" s="110" t="s">
        <v>805</v>
      </c>
      <c r="AQ14" s="110">
        <f>+IF(C141="X",2,0)</f>
        <v>2</v>
      </c>
      <c r="AR14" s="110" t="s">
        <v>820</v>
      </c>
      <c r="AS14" s="110">
        <f>+IF(C131="X",3,0)</f>
        <v>0</v>
      </c>
      <c r="AT14" s="110" t="s">
        <v>602</v>
      </c>
      <c r="AU14" s="110">
        <f>+IF(C80="X",2,0)</f>
        <v>0</v>
      </c>
      <c r="AV14" s="110" t="s">
        <v>612</v>
      </c>
      <c r="AW14" s="110">
        <f>+IF(C104="X",2,0)</f>
        <v>0</v>
      </c>
      <c r="AX14" s="110" t="s">
        <v>813</v>
      </c>
      <c r="AY14" s="110">
        <f>+IF(C95="X",1,0)</f>
        <v>0</v>
      </c>
      <c r="AZ14" s="110" t="s">
        <v>845</v>
      </c>
      <c r="BA14" s="110">
        <f>+IF(C117="X",3,0)</f>
        <v>3</v>
      </c>
      <c r="BB14" s="110" t="s">
        <v>855</v>
      </c>
      <c r="BC14" s="110">
        <f>+IF(C85="X",1,0)</f>
        <v>1</v>
      </c>
      <c r="BD14" s="110" t="s">
        <v>867</v>
      </c>
      <c r="BE14" s="110">
        <f>+IF(C123="X",3,0)</f>
        <v>0</v>
      </c>
      <c r="BF14" s="110" t="s">
        <v>877</v>
      </c>
      <c r="BG14" s="110">
        <f>+IF(C116="X",3,0)</f>
        <v>0</v>
      </c>
      <c r="BH14" s="110" t="s">
        <v>882</v>
      </c>
      <c r="BI14" s="110">
        <f>+IF(C144="X",3,0)</f>
        <v>3</v>
      </c>
      <c r="BJ14" s="110" t="s">
        <v>598</v>
      </c>
      <c r="BK14" s="110">
        <f>+IF(C83="X",2,0)</f>
        <v>2</v>
      </c>
      <c r="BL14" s="110" t="s">
        <v>896</v>
      </c>
      <c r="BM14" s="110">
        <f>+IF(C100="X",3,0)</f>
        <v>3</v>
      </c>
      <c r="BO14" s="111" t="s">
        <v>617</v>
      </c>
      <c r="BP14" s="110">
        <f>+IF(C113="X",1,0)</f>
        <v>1</v>
      </c>
      <c r="BQ14" s="111" t="s">
        <v>580</v>
      </c>
      <c r="BR14" s="110">
        <f>+IF(C152="X",1,0)</f>
        <v>1</v>
      </c>
    </row>
    <row r="15" spans="1:74" x14ac:dyDescent="0.25">
      <c r="A15" s="120">
        <v>3</v>
      </c>
      <c r="B15" s="121" t="s">
        <v>2</v>
      </c>
      <c r="C15" s="122" t="s">
        <v>228</v>
      </c>
      <c r="D15" s="122"/>
      <c r="E15" s="123">
        <v>3</v>
      </c>
      <c r="F15" s="124">
        <f t="shared" si="0"/>
        <v>1</v>
      </c>
      <c r="L15" s="109" t="s">
        <v>496</v>
      </c>
      <c r="M15" s="110">
        <f>+IF(C59="X",2,0)</f>
        <v>0</v>
      </c>
      <c r="N15" s="110" t="s">
        <v>536</v>
      </c>
      <c r="O15" s="110">
        <f>+IF(C96="X",2,0)</f>
        <v>2</v>
      </c>
      <c r="P15" s="110" t="s">
        <v>565</v>
      </c>
      <c r="Q15" s="110">
        <f>+IF(C103="X",3,0)</f>
        <v>3</v>
      </c>
      <c r="R15" s="110" t="s">
        <v>587</v>
      </c>
      <c r="S15" s="110">
        <f>+IF(C105="X",1,0)</f>
        <v>0</v>
      </c>
      <c r="T15" s="110" t="s">
        <v>629</v>
      </c>
      <c r="U15" s="110">
        <f>+IF(C115="X",3,0)</f>
        <v>0</v>
      </c>
      <c r="V15" s="110" t="s">
        <v>654</v>
      </c>
      <c r="W15" s="110">
        <f>+IF(C106="X",1,0)</f>
        <v>0</v>
      </c>
      <c r="X15" s="110" t="s">
        <v>676</v>
      </c>
      <c r="Y15" s="110">
        <f>+IF(C88="X",3,0)</f>
        <v>3</v>
      </c>
      <c r="Z15" s="110" t="s">
        <v>695</v>
      </c>
      <c r="AA15" s="110">
        <f>+IF(C151="X",3,0)</f>
        <v>0</v>
      </c>
      <c r="AB15" s="110" t="s">
        <v>672</v>
      </c>
      <c r="AC15" s="110">
        <f>+IF(D30="X",2,0)</f>
        <v>0</v>
      </c>
      <c r="AD15" s="110" t="s">
        <v>574</v>
      </c>
      <c r="AE15" s="110">
        <f>+IF(C66="X",2,0)</f>
        <v>2</v>
      </c>
      <c r="AF15" s="110" t="s">
        <v>665</v>
      </c>
      <c r="AG15" s="110">
        <f>+IF(C83="X",1,0)</f>
        <v>1</v>
      </c>
      <c r="AH15" s="110" t="s">
        <v>769</v>
      </c>
      <c r="AI15" s="110">
        <f>+IF(C127="X",2,0)</f>
        <v>0</v>
      </c>
      <c r="AJ15" s="110" t="s">
        <v>665</v>
      </c>
      <c r="AK15" s="110">
        <f>+IF(C83="X",1,0)</f>
        <v>1</v>
      </c>
      <c r="AL15" s="110" t="s">
        <v>505</v>
      </c>
      <c r="AM15" s="110">
        <f>+IF(C81="X",1,0)</f>
        <v>1</v>
      </c>
      <c r="AN15" s="110" t="s">
        <v>797</v>
      </c>
      <c r="AO15" s="110">
        <f>+IF(C150="X",1,0)</f>
        <v>1</v>
      </c>
      <c r="AP15" s="110" t="s">
        <v>750</v>
      </c>
      <c r="AQ15" s="110">
        <f>+IF(C149="X",2,0)</f>
        <v>0</v>
      </c>
      <c r="AR15" s="110" t="s">
        <v>639</v>
      </c>
      <c r="AS15" s="110">
        <f>+IF(C154="X",2,0)</f>
        <v>2</v>
      </c>
      <c r="AT15" s="110" t="s">
        <v>719</v>
      </c>
      <c r="AU15" s="110">
        <f>+IF(C90="X",1,0)</f>
        <v>0</v>
      </c>
      <c r="AV15" s="110" t="s">
        <v>568</v>
      </c>
      <c r="AW15" s="110">
        <f>+IF(C107="X",2,0)</f>
        <v>2</v>
      </c>
      <c r="AX15" s="110" t="s">
        <v>720</v>
      </c>
      <c r="AY15" s="110">
        <f>+IF(C102="X",1,0)</f>
        <v>0</v>
      </c>
      <c r="AZ15" s="110" t="s">
        <v>756</v>
      </c>
      <c r="BA15" s="110">
        <f>+IF(C124="X",2,0)</f>
        <v>2</v>
      </c>
      <c r="BB15" s="110" t="s">
        <v>699</v>
      </c>
      <c r="BC15" s="110">
        <f>+IF(C86="X",1,0)</f>
        <v>0</v>
      </c>
      <c r="BD15" s="110" t="s">
        <v>558</v>
      </c>
      <c r="BE15" s="110">
        <f>+IF(C129="X",2,0)</f>
        <v>0</v>
      </c>
      <c r="BF15" s="110" t="s">
        <v>558</v>
      </c>
      <c r="BG15" s="110">
        <f>+IF(C129="X",2,0)</f>
        <v>0</v>
      </c>
      <c r="BH15" s="110" t="s">
        <v>884</v>
      </c>
      <c r="BI15" s="110">
        <f>+IF(C145="X",3,0)</f>
        <v>3</v>
      </c>
      <c r="BJ15" s="110" t="s">
        <v>518</v>
      </c>
      <c r="BK15" s="110">
        <f>+IF(C92="X",2,0)</f>
        <v>2</v>
      </c>
      <c r="BL15" s="110" t="s">
        <v>642</v>
      </c>
      <c r="BM15" s="110">
        <f>+IF(C101="X",1,0)</f>
        <v>1</v>
      </c>
      <c r="BO15" s="111" t="s">
        <v>599</v>
      </c>
      <c r="BP15" s="110">
        <f>+IF(C142="X",1,0)</f>
        <v>1</v>
      </c>
      <c r="BQ15" s="111" t="s">
        <v>770</v>
      </c>
      <c r="BR15" s="110">
        <f>+IF(C153="X",1,0)</f>
        <v>1</v>
      </c>
    </row>
    <row r="16" spans="1:74" x14ac:dyDescent="0.25">
      <c r="A16" s="120">
        <v>4</v>
      </c>
      <c r="B16" s="121" t="s">
        <v>3</v>
      </c>
      <c r="C16" s="122" t="s">
        <v>228</v>
      </c>
      <c r="D16" s="122"/>
      <c r="E16" s="123">
        <v>4</v>
      </c>
      <c r="F16" s="124">
        <f t="shared" si="0"/>
        <v>1</v>
      </c>
      <c r="L16" s="109" t="s">
        <v>499</v>
      </c>
      <c r="M16" s="110">
        <f>+IF(C63="X",1,0)</f>
        <v>1</v>
      </c>
      <c r="N16" s="110" t="s">
        <v>538</v>
      </c>
      <c r="O16" s="110">
        <f>+IF(C97="X",1,0)</f>
        <v>1</v>
      </c>
      <c r="P16" s="110" t="s">
        <v>568</v>
      </c>
      <c r="Q16" s="110">
        <f>+IF(C107="X",2,0)</f>
        <v>2</v>
      </c>
      <c r="R16" s="110" t="s">
        <v>589</v>
      </c>
      <c r="S16" s="110">
        <f>+IF(C108="X",2,0)</f>
        <v>0</v>
      </c>
      <c r="T16" s="110" t="s">
        <v>528</v>
      </c>
      <c r="U16" s="110">
        <f>+IF(C123="X",1,0)</f>
        <v>0</v>
      </c>
      <c r="V16" s="110" t="s">
        <v>655</v>
      </c>
      <c r="W16" s="110">
        <f>+IF(C113="X",3,0)</f>
        <v>3</v>
      </c>
      <c r="X16" s="110" t="s">
        <v>526</v>
      </c>
      <c r="Y16" s="110">
        <f>+IF(C89="X",2,0)</f>
        <v>2</v>
      </c>
      <c r="Z16" s="110" t="s">
        <v>697</v>
      </c>
      <c r="AA16" s="110">
        <f>+IF(C160="X",2,0)</f>
        <v>2</v>
      </c>
      <c r="AB16" s="110" t="s">
        <v>560</v>
      </c>
      <c r="AC16" s="110">
        <f>+IF(D31="X",1,0)</f>
        <v>0</v>
      </c>
      <c r="AD16" s="110" t="s">
        <v>733</v>
      </c>
      <c r="AE16" s="110">
        <f>+IF(C69="X",1,0)</f>
        <v>0</v>
      </c>
      <c r="AF16" s="110" t="s">
        <v>699</v>
      </c>
      <c r="AG16" s="110">
        <f>+IF(C86="X",1,0)</f>
        <v>0</v>
      </c>
      <c r="AH16" s="110" t="s">
        <v>558</v>
      </c>
      <c r="AI16" s="110">
        <f>+IF(C129="X",2,0)</f>
        <v>0</v>
      </c>
      <c r="AJ16" s="110" t="s">
        <v>744</v>
      </c>
      <c r="AK16" s="110">
        <f>+IF(C100="X",2,0)</f>
        <v>2</v>
      </c>
      <c r="AL16" s="110" t="s">
        <v>598</v>
      </c>
      <c r="AM16" s="110">
        <f>+IF(C83="X",2,0)</f>
        <v>2</v>
      </c>
      <c r="AN16" s="110" t="s">
        <v>799</v>
      </c>
      <c r="AO16" s="110">
        <f>+IF(C156="X",2,0)</f>
        <v>2</v>
      </c>
      <c r="AP16" s="110" t="s">
        <v>810</v>
      </c>
      <c r="AQ16" s="110">
        <f>+IF(D19="X",1,0)</f>
        <v>0</v>
      </c>
      <c r="AR16" s="110" t="s">
        <v>554</v>
      </c>
      <c r="AS16" s="110">
        <f>+IF(D36="X",2,0)</f>
        <v>2</v>
      </c>
      <c r="AT16" s="110" t="s">
        <v>527</v>
      </c>
      <c r="AU16" s="110">
        <f>+IF(C98="X",1,0)</f>
        <v>1</v>
      </c>
      <c r="AV16" s="110" t="s">
        <v>825</v>
      </c>
      <c r="AW16" s="110">
        <f>+IF(C115="X",1,0)</f>
        <v>0</v>
      </c>
      <c r="AX16" s="110" t="s">
        <v>767</v>
      </c>
      <c r="AY16" s="110">
        <f>+IF(C118="X",2,0)</f>
        <v>2</v>
      </c>
      <c r="AZ16" s="110" t="s">
        <v>847</v>
      </c>
      <c r="BA16" s="110">
        <f>+IF(C136="X",3,0)</f>
        <v>3</v>
      </c>
      <c r="BB16" s="110" t="s">
        <v>858</v>
      </c>
      <c r="BC16" s="110">
        <f>+IF(C87="X",3,0)</f>
        <v>0</v>
      </c>
      <c r="BD16" s="110" t="s">
        <v>697</v>
      </c>
      <c r="BE16" s="110">
        <f>+IF(C160="X",2,0)</f>
        <v>2</v>
      </c>
      <c r="BF16" s="110" t="s">
        <v>660</v>
      </c>
      <c r="BG16" s="110">
        <f>+IF(C143="X",1,0)</f>
        <v>0</v>
      </c>
      <c r="BH16" s="110" t="s">
        <v>601</v>
      </c>
      <c r="BI16" s="110">
        <f>+IF(D15="X",1,0)</f>
        <v>0</v>
      </c>
      <c r="BJ16" s="110" t="s">
        <v>536</v>
      </c>
      <c r="BK16" s="110">
        <f>+IF(C96="X",2,0)</f>
        <v>2</v>
      </c>
      <c r="BL16" s="110" t="s">
        <v>568</v>
      </c>
      <c r="BM16" s="110">
        <f>+IF(C107="X",2,0)</f>
        <v>2</v>
      </c>
      <c r="BO16" s="111" t="s">
        <v>660</v>
      </c>
      <c r="BP16" s="110">
        <f>+IF(C143="X",1,0)</f>
        <v>0</v>
      </c>
      <c r="BQ16" s="111" t="s">
        <v>490</v>
      </c>
      <c r="BR16" s="110">
        <f>+IF(C159="X",1,0)</f>
        <v>1</v>
      </c>
    </row>
    <row r="17" spans="1:70" x14ac:dyDescent="0.25">
      <c r="A17" s="120">
        <v>5</v>
      </c>
      <c r="B17" s="121" t="s">
        <v>4</v>
      </c>
      <c r="C17" s="122" t="s">
        <v>228</v>
      </c>
      <c r="D17" s="122"/>
      <c r="E17" s="123">
        <v>5</v>
      </c>
      <c r="F17" s="124">
        <f t="shared" si="0"/>
        <v>1</v>
      </c>
      <c r="L17" s="109" t="s">
        <v>502</v>
      </c>
      <c r="M17" s="110">
        <f>+IF(C73="X",3,0)</f>
        <v>0</v>
      </c>
      <c r="N17" s="110" t="s">
        <v>541</v>
      </c>
      <c r="O17" s="110">
        <f>+IF(C99="X",3,0)</f>
        <v>0</v>
      </c>
      <c r="P17" s="110" t="s">
        <v>571</v>
      </c>
      <c r="Q17" s="110">
        <f>+IF(C110="X",3,0)</f>
        <v>3</v>
      </c>
      <c r="R17" s="110" t="s">
        <v>591</v>
      </c>
      <c r="S17" s="110">
        <f>+IF(C114="X",3,0)</f>
        <v>0</v>
      </c>
      <c r="T17" s="110" t="s">
        <v>632</v>
      </c>
      <c r="U17" s="110">
        <f>+IF(C147="X",1,0)</f>
        <v>0</v>
      </c>
      <c r="V17" s="110" t="s">
        <v>656</v>
      </c>
      <c r="W17" s="110">
        <f>+IF(C115="X",2,0)</f>
        <v>0</v>
      </c>
      <c r="X17" s="110" t="s">
        <v>679</v>
      </c>
      <c r="Y17" s="110">
        <f>+IF(C104="X",3,0)</f>
        <v>0</v>
      </c>
      <c r="Z17" s="110" t="s">
        <v>552</v>
      </c>
      <c r="AA17" s="110">
        <f>+IF(C161="X",2,0)</f>
        <v>2</v>
      </c>
      <c r="AB17" s="110" t="s">
        <v>611</v>
      </c>
      <c r="AC17" s="110">
        <f>+IF(D33="X",2,0)</f>
        <v>0</v>
      </c>
      <c r="AD17" s="110" t="s">
        <v>735</v>
      </c>
      <c r="AE17" s="110">
        <f>+IF(C78="X",2,0)</f>
        <v>0</v>
      </c>
      <c r="AF17" s="110" t="s">
        <v>757</v>
      </c>
      <c r="AG17" s="110">
        <f>+IF(C92="X",3,0)</f>
        <v>3</v>
      </c>
      <c r="AH17" s="110" t="s">
        <v>760</v>
      </c>
      <c r="AI17" s="110">
        <f>+IF(C133="X",1,0)</f>
        <v>1</v>
      </c>
      <c r="AJ17" s="110" t="s">
        <v>775</v>
      </c>
      <c r="AK17" s="110">
        <f>+IF(C107="X",1,0)</f>
        <v>1</v>
      </c>
      <c r="AL17" s="110" t="s">
        <v>518</v>
      </c>
      <c r="AM17" s="110">
        <f>+IF(C92="X",2,0)</f>
        <v>2</v>
      </c>
      <c r="AN17" s="110" t="s">
        <v>793</v>
      </c>
      <c r="AO17" s="110">
        <f>+IF(D22="X",3,0)</f>
        <v>0</v>
      </c>
      <c r="AP17" s="110" t="s">
        <v>560</v>
      </c>
      <c r="AQ17" s="110">
        <f>+IF(D31="X",1,0)</f>
        <v>0</v>
      </c>
      <c r="AR17" s="110" t="s">
        <v>725</v>
      </c>
      <c r="AS17" s="110">
        <f>+IF(D70="X",1,0)</f>
        <v>0</v>
      </c>
      <c r="AT17" s="110" t="s">
        <v>654</v>
      </c>
      <c r="AU17" s="110">
        <f>+IF(C106="X",1,0)</f>
        <v>0</v>
      </c>
      <c r="AV17" s="110" t="s">
        <v>632</v>
      </c>
      <c r="AW17" s="110">
        <f>+IF(C147="X",1,0)</f>
        <v>0</v>
      </c>
      <c r="AX17" s="110" t="s">
        <v>647</v>
      </c>
      <c r="AY17" s="110">
        <f>+IF(C122="X",1,0)</f>
        <v>1</v>
      </c>
      <c r="AZ17" s="110" t="s">
        <v>532</v>
      </c>
      <c r="BA17" s="110">
        <f>+IF(C139="X",1,0)</f>
        <v>1</v>
      </c>
      <c r="BB17" s="110" t="s">
        <v>717</v>
      </c>
      <c r="BC17" s="110">
        <f>+IF(C88="X",1,0)</f>
        <v>1</v>
      </c>
      <c r="BD17" s="110" t="s">
        <v>868</v>
      </c>
      <c r="BE17" s="110">
        <f>+IF(C162="X",3,0)</f>
        <v>0</v>
      </c>
      <c r="BF17" s="110" t="s">
        <v>529</v>
      </c>
      <c r="BG17" s="110">
        <f>+IF(C155="X",1,0)</f>
        <v>0</v>
      </c>
      <c r="BH17" s="110" t="s">
        <v>553</v>
      </c>
      <c r="BI17" s="110">
        <f>+IF(D30="X",1,0)</f>
        <v>0</v>
      </c>
      <c r="BJ17" s="110" t="s">
        <v>890</v>
      </c>
      <c r="BK17" s="110">
        <f>+IF(C107="X",3,0)</f>
        <v>3</v>
      </c>
      <c r="BL17" s="110" t="s">
        <v>898</v>
      </c>
      <c r="BM17" s="110">
        <f>+IF(C119="X",3,0)</f>
        <v>3</v>
      </c>
      <c r="BO17" s="111" t="s">
        <v>790</v>
      </c>
      <c r="BP17" s="110">
        <f>+IF(C157="X",1,0)</f>
        <v>1</v>
      </c>
      <c r="BQ17" s="111" t="s">
        <v>641</v>
      </c>
      <c r="BR17" s="110">
        <f>+IF(C165="X",1,0)</f>
        <v>1</v>
      </c>
    </row>
    <row r="18" spans="1:70" x14ac:dyDescent="0.25">
      <c r="A18" s="120">
        <v>6</v>
      </c>
      <c r="B18" s="121" t="s">
        <v>5</v>
      </c>
      <c r="C18" s="122" t="s">
        <v>228</v>
      </c>
      <c r="D18" s="122"/>
      <c r="E18" s="123">
        <v>6</v>
      </c>
      <c r="F18" s="124">
        <f t="shared" si="0"/>
        <v>1</v>
      </c>
      <c r="L18" s="109" t="s">
        <v>505</v>
      </c>
      <c r="M18" s="110">
        <f>+IF(C81="X",1,0)</f>
        <v>1</v>
      </c>
      <c r="N18" s="110" t="s">
        <v>544</v>
      </c>
      <c r="O18" s="110">
        <f>+IF(C111="X",3,0)</f>
        <v>3</v>
      </c>
      <c r="P18" s="110" t="s">
        <v>573</v>
      </c>
      <c r="Q18" s="110">
        <f>+IF(C119="X",2,0)</f>
        <v>2</v>
      </c>
      <c r="R18" s="110" t="s">
        <v>593</v>
      </c>
      <c r="S18" s="110">
        <f>+IF(C121="X",3,0)</f>
        <v>0</v>
      </c>
      <c r="T18" s="110" t="s">
        <v>529</v>
      </c>
      <c r="U18" s="110">
        <f>+IF(C155="X",1,0)</f>
        <v>0</v>
      </c>
      <c r="V18" s="110" t="s">
        <v>658</v>
      </c>
      <c r="W18" s="110">
        <f>+IF(C116="X",1,0)</f>
        <v>0</v>
      </c>
      <c r="X18" s="110" t="s">
        <v>681</v>
      </c>
      <c r="Y18" s="110">
        <f>+IF(C116="X",2,0)</f>
        <v>0</v>
      </c>
      <c r="Z18" s="110" t="s">
        <v>522</v>
      </c>
      <c r="AA18" s="110">
        <f>+IF(C164="X",1,0)</f>
        <v>0</v>
      </c>
      <c r="AB18" s="110" t="s">
        <v>628</v>
      </c>
      <c r="AC18" s="110">
        <f>+IF(D40="X",1,0)</f>
        <v>1</v>
      </c>
      <c r="AD18" s="110" t="s">
        <v>738</v>
      </c>
      <c r="AE18" s="110">
        <f>+IF(C79="X",3,0)</f>
        <v>3</v>
      </c>
      <c r="AF18" s="110" t="s">
        <v>536</v>
      </c>
      <c r="AG18" s="110">
        <f>+IF(C96="X",2,0)</f>
        <v>2</v>
      </c>
      <c r="AH18" s="110" t="s">
        <v>514</v>
      </c>
      <c r="AI18" s="110">
        <f>+IF(C153="X",2,0)</f>
        <v>2</v>
      </c>
      <c r="AJ18" s="110" t="s">
        <v>777</v>
      </c>
      <c r="AK18" s="110">
        <f>+IF(C127="X",3,0)</f>
        <v>0</v>
      </c>
      <c r="AL18" s="110" t="s">
        <v>783</v>
      </c>
      <c r="AM18" s="110">
        <f>+IF(C94="X",1,0)</f>
        <v>1</v>
      </c>
      <c r="AN18" s="110" t="s">
        <v>796</v>
      </c>
      <c r="AO18" s="110">
        <f>+IF(D80="X",3,0)</f>
        <v>3</v>
      </c>
      <c r="AP18" s="110" t="s">
        <v>734</v>
      </c>
      <c r="AQ18" s="110">
        <f>+IF(D34="X",1,0)</f>
        <v>1</v>
      </c>
      <c r="AR18" s="110" t="s">
        <v>525</v>
      </c>
      <c r="AS18" s="110">
        <f>+IF(D82="X",2,0)</f>
        <v>0</v>
      </c>
      <c r="AT18" s="110" t="s">
        <v>681</v>
      </c>
      <c r="AU18" s="110">
        <f>+IF(C116="X",2,0)</f>
        <v>0</v>
      </c>
      <c r="AV18" s="110" t="s">
        <v>697</v>
      </c>
      <c r="AW18" s="110">
        <f>+IF(C160="X",2,0)</f>
        <v>2</v>
      </c>
      <c r="AX18" s="110" t="s">
        <v>792</v>
      </c>
      <c r="AY18" s="110">
        <f>+IF(C135="X",1,0)</f>
        <v>1</v>
      </c>
      <c r="AZ18" s="110" t="s">
        <v>850</v>
      </c>
      <c r="BA18" s="110">
        <f>+IF(C150="X",3,0)</f>
        <v>3</v>
      </c>
      <c r="BB18" s="110" t="s">
        <v>719</v>
      </c>
      <c r="BC18" s="110">
        <f>+IF(C90="X",1,0)</f>
        <v>0</v>
      </c>
      <c r="BD18" s="110" t="s">
        <v>522</v>
      </c>
      <c r="BE18" s="110">
        <f>+IF(C164="X",1,0)</f>
        <v>0</v>
      </c>
      <c r="BF18" s="110" t="s">
        <v>520</v>
      </c>
      <c r="BG18" s="110">
        <f>+IF(C158="X",1,0)</f>
        <v>1</v>
      </c>
      <c r="BH18" s="110" t="s">
        <v>824</v>
      </c>
      <c r="BI18" s="110">
        <f>+IF(D33="X",1,0)</f>
        <v>0</v>
      </c>
      <c r="BJ18" s="110" t="s">
        <v>891</v>
      </c>
      <c r="BK18" s="110">
        <f>+IF(C110="X",1,0)</f>
        <v>1</v>
      </c>
      <c r="BL18" s="110" t="s">
        <v>647</v>
      </c>
      <c r="BM18" s="110">
        <f>+IF(C122="X",1,0)</f>
        <v>1</v>
      </c>
      <c r="BO18" s="111" t="s">
        <v>520</v>
      </c>
      <c r="BP18" s="110">
        <f>+IF(C158="X",1,0)</f>
        <v>1</v>
      </c>
      <c r="BQ18" s="111" t="s">
        <v>566</v>
      </c>
      <c r="BR18" s="110">
        <f>+IF(C166="X",1,0)</f>
        <v>0</v>
      </c>
    </row>
    <row r="19" spans="1:70" x14ac:dyDescent="0.25">
      <c r="A19" s="120">
        <v>7</v>
      </c>
      <c r="B19" s="121" t="s">
        <v>6</v>
      </c>
      <c r="C19" s="122" t="s">
        <v>228</v>
      </c>
      <c r="D19" s="122"/>
      <c r="E19" s="123">
        <v>7</v>
      </c>
      <c r="F19" s="124">
        <f t="shared" si="0"/>
        <v>1</v>
      </c>
      <c r="L19" s="109" t="s">
        <v>518</v>
      </c>
      <c r="M19" s="110">
        <f>+IF(C92="X",2,0)</f>
        <v>2</v>
      </c>
      <c r="N19" s="110" t="s">
        <v>547</v>
      </c>
      <c r="O19" s="110">
        <f>+IF(C112="X",1,0)</f>
        <v>1</v>
      </c>
      <c r="P19" s="110" t="s">
        <v>575</v>
      </c>
      <c r="Q19" s="110">
        <f>+IF(C122="X",2,0)</f>
        <v>2</v>
      </c>
      <c r="R19" s="110" t="s">
        <v>595</v>
      </c>
      <c r="S19" s="110">
        <f>+IF(C125="X",3,0)</f>
        <v>0</v>
      </c>
      <c r="T19" s="110" t="s">
        <v>605</v>
      </c>
      <c r="U19" s="110">
        <f>+IF(C160="X",1,0)</f>
        <v>1</v>
      </c>
      <c r="V19" s="110" t="s">
        <v>660</v>
      </c>
      <c r="W19" s="110">
        <f>+IF(C143="X",1,0)</f>
        <v>0</v>
      </c>
      <c r="X19" s="110" t="s">
        <v>684</v>
      </c>
      <c r="Y19" s="110">
        <f>+IF(C123="X",2,0)</f>
        <v>0</v>
      </c>
      <c r="Z19" s="110" t="s">
        <v>700</v>
      </c>
      <c r="AA19" s="110">
        <f>+IF(C169="X",3,0)</f>
        <v>0</v>
      </c>
      <c r="AB19" s="110" t="s">
        <v>509</v>
      </c>
      <c r="AC19" s="110">
        <f>+IF(D46="X",1,0)</f>
        <v>0</v>
      </c>
      <c r="AD19" s="110" t="s">
        <v>650</v>
      </c>
      <c r="AE19" s="110">
        <f>+IF(C82="X",1,0)</f>
        <v>1</v>
      </c>
      <c r="AF19" s="110" t="s">
        <v>609</v>
      </c>
      <c r="AG19" s="110">
        <f>+IF(C100="X",1,0)</f>
        <v>1</v>
      </c>
      <c r="AH19" s="110" t="s">
        <v>552</v>
      </c>
      <c r="AI19" s="110">
        <f>+IF(C161="X",2,0)</f>
        <v>2</v>
      </c>
      <c r="AJ19" s="110" t="s">
        <v>503</v>
      </c>
      <c r="AK19" s="110">
        <f>+IF(C130="X",2,0)</f>
        <v>2</v>
      </c>
      <c r="AL19" s="110" t="s">
        <v>784</v>
      </c>
      <c r="AM19" s="110">
        <f>+IF(C96="X",3,0)</f>
        <v>3</v>
      </c>
      <c r="AN19" s="110" t="s">
        <v>798</v>
      </c>
      <c r="AO19" s="110">
        <f>+IF(D143="X",3,0)</f>
        <v>3</v>
      </c>
      <c r="AP19" s="110" t="s">
        <v>521</v>
      </c>
      <c r="AQ19" s="110">
        <f>+IF(D36="X",1,0)</f>
        <v>1</v>
      </c>
      <c r="AR19" s="110" t="s">
        <v>699</v>
      </c>
      <c r="AS19" s="110">
        <f>+IF(D86="X",1,0)</f>
        <v>1</v>
      </c>
      <c r="AT19" s="110" t="s">
        <v>684</v>
      </c>
      <c r="AU19" s="110">
        <f>+IF(C123="X",2,0)</f>
        <v>0</v>
      </c>
      <c r="AV19" s="110" t="s">
        <v>552</v>
      </c>
      <c r="AW19" s="110">
        <f>+IF(C161="X",2,0)</f>
        <v>2</v>
      </c>
      <c r="AX19" s="110" t="s">
        <v>787</v>
      </c>
      <c r="AY19" s="110">
        <f>+IF(C137="X",1,0)</f>
        <v>1</v>
      </c>
      <c r="AZ19" s="110" t="s">
        <v>851</v>
      </c>
      <c r="BA19" s="110">
        <f>+IF(C156="X",3,0)</f>
        <v>3</v>
      </c>
      <c r="BB19" s="110" t="s">
        <v>862</v>
      </c>
      <c r="BC19" s="110">
        <f>+IF(C102="X",3,0)</f>
        <v>0</v>
      </c>
      <c r="BD19" s="110" t="s">
        <v>610</v>
      </c>
      <c r="BE19" s="110">
        <f>+IF(C167="X",1,0)</f>
        <v>1</v>
      </c>
      <c r="BF19" s="110" t="s">
        <v>697</v>
      </c>
      <c r="BG19" s="110">
        <f>+IF(C160="X",2,0)</f>
        <v>2</v>
      </c>
      <c r="BH19" s="110" t="s">
        <v>492</v>
      </c>
      <c r="BI19" s="110">
        <f>+IF(D51="X",1,0)</f>
        <v>1</v>
      </c>
      <c r="BJ19" s="110" t="s">
        <v>643</v>
      </c>
      <c r="BK19" s="110">
        <f>+IF(C111="X",2,0)</f>
        <v>2</v>
      </c>
      <c r="BL19" s="110" t="s">
        <v>894</v>
      </c>
      <c r="BM19" s="110">
        <f>+IF(C124="X",1,0)</f>
        <v>1</v>
      </c>
      <c r="BO19" s="111" t="s">
        <v>904</v>
      </c>
      <c r="BP19" s="110">
        <f>+IF(C171="X",1,0)</f>
        <v>1</v>
      </c>
      <c r="BR19" s="125">
        <f>SUM(BR3:BR18)</f>
        <v>15</v>
      </c>
    </row>
    <row r="20" spans="1:70" x14ac:dyDescent="0.25">
      <c r="A20" s="120">
        <v>8</v>
      </c>
      <c r="B20" s="121" t="s">
        <v>7</v>
      </c>
      <c r="C20" s="122" t="s">
        <v>228</v>
      </c>
      <c r="D20" s="122"/>
      <c r="E20" s="123">
        <v>8</v>
      </c>
      <c r="F20" s="124">
        <f t="shared" si="0"/>
        <v>1</v>
      </c>
      <c r="L20" s="109" t="s">
        <v>510</v>
      </c>
      <c r="M20" s="110">
        <f>+IF(C97="X",3,0)</f>
        <v>3</v>
      </c>
      <c r="N20" s="110" t="s">
        <v>548</v>
      </c>
      <c r="O20" s="110">
        <f>+IF(C118="X",3,0)</f>
        <v>3</v>
      </c>
      <c r="P20" s="110" t="s">
        <v>503</v>
      </c>
      <c r="Q20" s="110">
        <f>+IF(C130="X",2,0)</f>
        <v>2</v>
      </c>
      <c r="R20" s="110" t="s">
        <v>597</v>
      </c>
      <c r="S20" s="110">
        <f>+IF(C134="X",3,0)</f>
        <v>3</v>
      </c>
      <c r="T20" s="110" t="s">
        <v>498</v>
      </c>
      <c r="U20" s="110">
        <f>+IF(D25="X",1,0)</f>
        <v>1</v>
      </c>
      <c r="V20" s="110" t="s">
        <v>662</v>
      </c>
      <c r="W20" s="110">
        <f>+IF(C147="X",3,0)</f>
        <v>0</v>
      </c>
      <c r="X20" s="110" t="s">
        <v>686</v>
      </c>
      <c r="Y20" s="110">
        <f>+IF(C129="X",3,0)</f>
        <v>0</v>
      </c>
      <c r="Z20" s="110" t="s">
        <v>584</v>
      </c>
      <c r="AA20" s="110">
        <f>+IF(D17="X",2,0)</f>
        <v>0</v>
      </c>
      <c r="AB20" s="110" t="s">
        <v>567</v>
      </c>
      <c r="AC20" s="110">
        <f>+IF(D54="X",2,0)</f>
        <v>2</v>
      </c>
      <c r="AD20" s="110" t="s">
        <v>674</v>
      </c>
      <c r="AE20" s="110">
        <f>+IF(C85="X",2,0)</f>
        <v>2</v>
      </c>
      <c r="AF20" s="110" t="s">
        <v>762</v>
      </c>
      <c r="AG20" s="110">
        <f>+IF(C101="X",3,0)</f>
        <v>3</v>
      </c>
      <c r="AH20" s="110" t="s">
        <v>542</v>
      </c>
      <c r="AI20" s="110">
        <f>+IF(C165="X",2,0)</f>
        <v>2</v>
      </c>
      <c r="AJ20" s="110" t="s">
        <v>688</v>
      </c>
      <c r="AK20" s="110">
        <f>+IF(C132="X",1,0)</f>
        <v>0</v>
      </c>
      <c r="AL20" s="110" t="s">
        <v>585</v>
      </c>
      <c r="AM20" s="110">
        <f>+IF(C99="X",2,0)</f>
        <v>0</v>
      </c>
      <c r="AO20" s="125">
        <f>SUM(AO3:AO19)</f>
        <v>25</v>
      </c>
      <c r="AP20" s="110" t="s">
        <v>570</v>
      </c>
      <c r="AQ20" s="110">
        <f>+IF(D55="X",2,0)</f>
        <v>0</v>
      </c>
      <c r="AR20" s="110" t="s">
        <v>658</v>
      </c>
      <c r="AS20" s="110">
        <f>+IF(D116="X",1,0)</f>
        <v>1</v>
      </c>
      <c r="AT20" s="110" t="s">
        <v>558</v>
      </c>
      <c r="AU20" s="110">
        <f>+IF(C129="X",2,0)</f>
        <v>0</v>
      </c>
      <c r="AV20" s="110" t="s">
        <v>827</v>
      </c>
      <c r="AW20" s="110">
        <f>+IF(C170="X",3,0)</f>
        <v>3</v>
      </c>
      <c r="AX20" s="110" t="s">
        <v>841</v>
      </c>
      <c r="AY20" s="110">
        <f>+IF(C141="X",3,0)</f>
        <v>3</v>
      </c>
      <c r="AZ20" s="110" t="s">
        <v>551</v>
      </c>
      <c r="BA20" s="110">
        <f>+IF(D22="X",2,0)</f>
        <v>0</v>
      </c>
      <c r="BB20" s="110" t="s">
        <v>625</v>
      </c>
      <c r="BC20" s="110">
        <f>+IF(C104="X",1,0)</f>
        <v>0</v>
      </c>
      <c r="BD20" s="110" t="s">
        <v>745</v>
      </c>
      <c r="BE20" s="110">
        <f>+IF(D17="X",1,0)</f>
        <v>0</v>
      </c>
      <c r="BF20" s="110" t="s">
        <v>881</v>
      </c>
      <c r="BG20" s="110">
        <f>+IF(C161="X",3,0)</f>
        <v>3</v>
      </c>
      <c r="BH20" s="110" t="s">
        <v>630</v>
      </c>
      <c r="BI20" s="110">
        <f>+IF(D52="X",1,0)</f>
        <v>1</v>
      </c>
      <c r="BJ20" s="110" t="s">
        <v>767</v>
      </c>
      <c r="BK20" s="110">
        <f>+IF(C118="X",2,0)</f>
        <v>2</v>
      </c>
      <c r="BL20" s="110" t="s">
        <v>900</v>
      </c>
      <c r="BM20" s="110">
        <f>+IF(C135="X",3,0)</f>
        <v>3</v>
      </c>
      <c r="BP20" s="125">
        <f>SUM(BP3:BP19)</f>
        <v>12</v>
      </c>
    </row>
    <row r="21" spans="1:70" x14ac:dyDescent="0.25">
      <c r="A21" s="120">
        <v>9</v>
      </c>
      <c r="B21" s="121" t="s">
        <v>8</v>
      </c>
      <c r="C21" s="122" t="s">
        <v>228</v>
      </c>
      <c r="D21" s="122"/>
      <c r="E21" s="123">
        <v>9</v>
      </c>
      <c r="F21" s="124">
        <f t="shared" si="0"/>
        <v>1</v>
      </c>
      <c r="I21" s="126"/>
      <c r="L21" s="109" t="s">
        <v>513</v>
      </c>
      <c r="M21" s="110">
        <f>+IF(C103="X",2,0)</f>
        <v>2</v>
      </c>
      <c r="N21" s="110" t="s">
        <v>500</v>
      </c>
      <c r="O21" s="110">
        <f>+IF(C128="X",1,0)</f>
        <v>0</v>
      </c>
      <c r="P21" s="110" t="s">
        <v>578</v>
      </c>
      <c r="Q21" s="110">
        <f>+IF(C133="X",3,0)</f>
        <v>3</v>
      </c>
      <c r="R21" s="110" t="s">
        <v>599</v>
      </c>
      <c r="S21" s="110">
        <f>+IF(C142="X",1,0)</f>
        <v>1</v>
      </c>
      <c r="T21" s="110" t="s">
        <v>560</v>
      </c>
      <c r="U21" s="110">
        <f>+IF(D31="X",1,0)</f>
        <v>0</v>
      </c>
      <c r="V21" s="110" t="s">
        <v>664</v>
      </c>
      <c r="W21" s="110">
        <f>+IF(C151="X",1,0)</f>
        <v>0</v>
      </c>
      <c r="X21" s="110" t="s">
        <v>688</v>
      </c>
      <c r="Y21" s="110">
        <f>+IF(C132="X",1,0)</f>
        <v>0</v>
      </c>
      <c r="Z21" s="110" t="s">
        <v>703</v>
      </c>
      <c r="AA21" s="110">
        <f>+IF(D21="X",1,0)</f>
        <v>0</v>
      </c>
      <c r="AB21" s="110" t="s">
        <v>646</v>
      </c>
      <c r="AC21" s="110">
        <f>+IF(D55="X",1,0)</f>
        <v>0</v>
      </c>
      <c r="AD21" s="110" t="s">
        <v>607</v>
      </c>
      <c r="AE21" s="110">
        <f>+IF(C90="X",2,0)</f>
        <v>0</v>
      </c>
      <c r="AF21" s="110" t="s">
        <v>643</v>
      </c>
      <c r="AG21" s="110">
        <f>+IF(C111="X",2,0)</f>
        <v>2</v>
      </c>
      <c r="AH21" s="110" t="s">
        <v>494</v>
      </c>
      <c r="AI21" s="110">
        <f>+IF(C166="X",2,0)</f>
        <v>0</v>
      </c>
      <c r="AJ21" s="110" t="s">
        <v>779</v>
      </c>
      <c r="AK21" s="110">
        <f>+IF(C134="X",2,0)</f>
        <v>2</v>
      </c>
      <c r="AL21" s="110" t="s">
        <v>643</v>
      </c>
      <c r="AM21" s="110">
        <f>+IF(C111="X",2,0)</f>
        <v>2</v>
      </c>
      <c r="AP21" s="110" t="s">
        <v>683</v>
      </c>
      <c r="AQ21" s="110">
        <f>+IF(D64="X",1,0)</f>
        <v>1</v>
      </c>
      <c r="AR21" s="110" t="s">
        <v>697</v>
      </c>
      <c r="AS21" s="110">
        <f>+IF(D160="X",2,0)</f>
        <v>0</v>
      </c>
      <c r="AT21" s="110" t="s">
        <v>622</v>
      </c>
      <c r="AU21" s="110">
        <f>+IF(C140="X",2,0)</f>
        <v>0</v>
      </c>
      <c r="AV21" s="110" t="s">
        <v>828</v>
      </c>
      <c r="AW21" s="110">
        <f>+IF(D18="X",3,0)</f>
        <v>0</v>
      </c>
      <c r="AX21" s="110" t="s">
        <v>842</v>
      </c>
      <c r="AY21" s="110">
        <f>+IF(C149="X",3,0)</f>
        <v>0</v>
      </c>
      <c r="AZ21" s="110" t="s">
        <v>602</v>
      </c>
      <c r="BA21" s="110">
        <f>+IF(D80="X",2,0)</f>
        <v>2</v>
      </c>
      <c r="BB21" s="110" t="s">
        <v>722</v>
      </c>
      <c r="BC21" s="110">
        <f>+IF(C109="X",1,0)</f>
        <v>0</v>
      </c>
      <c r="BD21" s="110" t="s">
        <v>870</v>
      </c>
      <c r="BE21" s="110">
        <f>+IF(D20="X",1,0)</f>
        <v>0</v>
      </c>
      <c r="BF21" s="110" t="s">
        <v>501</v>
      </c>
      <c r="BG21" s="110">
        <f>+IF(D27="X",1,0)</f>
        <v>0</v>
      </c>
      <c r="BH21" s="110" t="s">
        <v>657</v>
      </c>
      <c r="BI21" s="110">
        <f>+IF(D53="X",1,0)</f>
        <v>1</v>
      </c>
      <c r="BJ21" s="110" t="s">
        <v>749</v>
      </c>
      <c r="BK21" s="110">
        <f>+IF(C119="X",1,0)</f>
        <v>1</v>
      </c>
      <c r="BL21" s="110" t="s">
        <v>532</v>
      </c>
      <c r="BM21" s="110">
        <f>+IF(C139="X",1,0)</f>
        <v>1</v>
      </c>
    </row>
    <row r="22" spans="1:70" x14ac:dyDescent="0.25">
      <c r="A22" s="120">
        <v>10</v>
      </c>
      <c r="B22" s="121" t="s">
        <v>9</v>
      </c>
      <c r="C22" s="122" t="s">
        <v>228</v>
      </c>
      <c r="D22" s="122"/>
      <c r="E22" s="123">
        <v>10</v>
      </c>
      <c r="F22" s="124">
        <f t="shared" si="0"/>
        <v>1</v>
      </c>
      <c r="L22" s="109" t="s">
        <v>516</v>
      </c>
      <c r="M22" s="110">
        <f>+IF(C111="X",1,0)</f>
        <v>1</v>
      </c>
      <c r="N22" s="110" t="s">
        <v>506</v>
      </c>
      <c r="O22" s="110">
        <f>+IF(C131="X",2,0)</f>
        <v>0</v>
      </c>
      <c r="P22" s="110" t="s">
        <v>580</v>
      </c>
      <c r="Q22" s="110">
        <f>+IF(C152="X",1,0)</f>
        <v>1</v>
      </c>
      <c r="R22" s="110" t="s">
        <v>534</v>
      </c>
      <c r="S22" s="110">
        <f>+IF(C144="X",1,0)</f>
        <v>1</v>
      </c>
      <c r="T22" s="110" t="s">
        <v>533</v>
      </c>
      <c r="U22" s="110">
        <f>+IF(D38="X",1,0)</f>
        <v>0</v>
      </c>
      <c r="V22" s="110" t="s">
        <v>530</v>
      </c>
      <c r="W22" s="110">
        <f>+IF(C157="X",2,0)</f>
        <v>2</v>
      </c>
      <c r="X22" s="110" t="s">
        <v>632</v>
      </c>
      <c r="Y22" s="110">
        <f>+IF(C147="X",1,0)</f>
        <v>0</v>
      </c>
      <c r="Z22" s="110" t="s">
        <v>704</v>
      </c>
      <c r="AA22" s="110">
        <f>+IF(D62="X",1,0)</f>
        <v>0</v>
      </c>
      <c r="AB22" s="110" t="s">
        <v>724</v>
      </c>
      <c r="AC22" s="110">
        <f>+IF(D65="X",2,0)</f>
        <v>0</v>
      </c>
      <c r="AD22" s="110" t="s">
        <v>744</v>
      </c>
      <c r="AE22" s="110">
        <f>+IF(C100="X",2,0)</f>
        <v>2</v>
      </c>
      <c r="AF22" s="110" t="s">
        <v>767</v>
      </c>
      <c r="AG22" s="110">
        <f>+IF(C118="X",2,0)</f>
        <v>2</v>
      </c>
      <c r="AH22" s="110" t="s">
        <v>519</v>
      </c>
      <c r="AI22" s="110">
        <f>+IF(D14="X",2,0)</f>
        <v>0</v>
      </c>
      <c r="AJ22" s="110" t="s">
        <v>730</v>
      </c>
      <c r="AK22" s="110">
        <f>+IF(C146="X",1,0)</f>
        <v>0</v>
      </c>
      <c r="AL22" s="110" t="s">
        <v>645</v>
      </c>
      <c r="AM22" s="110">
        <f>+IF(C118="X",1,0)</f>
        <v>1</v>
      </c>
      <c r="AP22" s="110" t="s">
        <v>816</v>
      </c>
      <c r="AQ22" s="110">
        <f>+IF(D67="X",2,0)</f>
        <v>0</v>
      </c>
      <c r="AS22" s="125">
        <f>SUM(AS3:AS21)</f>
        <v>21</v>
      </c>
      <c r="AT22" s="110" t="s">
        <v>834</v>
      </c>
      <c r="AU22" s="110">
        <f>+IF(C147="X",2,0)</f>
        <v>0</v>
      </c>
      <c r="AV22" s="110" t="s">
        <v>703</v>
      </c>
      <c r="AW22" s="110">
        <f>+IF(D21="X",1,0)</f>
        <v>0</v>
      </c>
      <c r="AX22" s="110" t="s">
        <v>641</v>
      </c>
      <c r="AY22" s="110">
        <f>+IF(C165="X",1,0)</f>
        <v>1</v>
      </c>
      <c r="AZ22" s="110" t="s">
        <v>624</v>
      </c>
      <c r="BA22" s="110">
        <f>+IF(D143="X",2,0)</f>
        <v>2</v>
      </c>
      <c r="BB22" s="110" t="s">
        <v>681</v>
      </c>
      <c r="BC22" s="110">
        <f>+IF(C116="X",2,0)</f>
        <v>0</v>
      </c>
      <c r="BD22" s="110" t="s">
        <v>871</v>
      </c>
      <c r="BE22" s="110">
        <f>+IF(D27="X",3,0)</f>
        <v>0</v>
      </c>
      <c r="BF22" s="110" t="s">
        <v>504</v>
      </c>
      <c r="BG22" s="110">
        <f>+IF(D29="X",1,0)</f>
        <v>1</v>
      </c>
      <c r="BH22" s="110" t="s">
        <v>619</v>
      </c>
      <c r="BI22" s="110">
        <f>+IF(D56="X",1,0)</f>
        <v>0</v>
      </c>
      <c r="BJ22" s="110" t="s">
        <v>894</v>
      </c>
      <c r="BK22" s="110">
        <f>+IF(C124="X",1,0)</f>
        <v>1</v>
      </c>
      <c r="BL22" s="110" t="s">
        <v>901</v>
      </c>
      <c r="BM22" s="110">
        <f>+IF(C141="X",1,0)</f>
        <v>1</v>
      </c>
    </row>
    <row r="23" spans="1:70" x14ac:dyDescent="0.25">
      <c r="A23" s="120">
        <v>11</v>
      </c>
      <c r="B23" s="121" t="s">
        <v>10</v>
      </c>
      <c r="C23" s="122" t="s">
        <v>228</v>
      </c>
      <c r="D23" s="122"/>
      <c r="E23" s="123">
        <v>11</v>
      </c>
      <c r="F23" s="124">
        <f t="shared" si="0"/>
        <v>1</v>
      </c>
      <c r="L23" s="109" t="s">
        <v>489</v>
      </c>
      <c r="M23" s="110">
        <f>+IF(C112="X",3,0)</f>
        <v>3</v>
      </c>
      <c r="N23" s="110" t="s">
        <v>532</v>
      </c>
      <c r="O23" s="110">
        <f>+IF(C139="X",1,0)</f>
        <v>1</v>
      </c>
      <c r="P23" s="110" t="s">
        <v>561</v>
      </c>
      <c r="Q23" s="110">
        <f>+IF(C159="X",2,0)</f>
        <v>2</v>
      </c>
      <c r="R23" s="110" t="s">
        <v>583</v>
      </c>
      <c r="S23" s="110">
        <f>+IF(C163="X",3,0)</f>
        <v>0</v>
      </c>
      <c r="T23" s="110" t="s">
        <v>535</v>
      </c>
      <c r="U23" s="110">
        <f>+IF(D43="X",2,0)</f>
        <v>0</v>
      </c>
      <c r="V23" s="110" t="s">
        <v>651</v>
      </c>
      <c r="W23" s="110">
        <f>+IF(C158="X",3,0)</f>
        <v>3</v>
      </c>
      <c r="X23" s="110" t="s">
        <v>559</v>
      </c>
      <c r="Y23" s="110">
        <f>+IF(C155="X",2,0)</f>
        <v>0</v>
      </c>
      <c r="Z23" s="110" t="s">
        <v>665</v>
      </c>
      <c r="AA23" s="110">
        <f>+IF(D83="X",1,0)</f>
        <v>0</v>
      </c>
      <c r="AB23" s="110" t="s">
        <v>725</v>
      </c>
      <c r="AC23" s="110">
        <f>+IF(D70="X",1,0)</f>
        <v>0</v>
      </c>
      <c r="AD23" s="110" t="s">
        <v>720</v>
      </c>
      <c r="AE23" s="110">
        <f>+IF(C102="X",1,0)</f>
        <v>0</v>
      </c>
      <c r="AF23" s="110" t="s">
        <v>749</v>
      </c>
      <c r="AG23" s="110">
        <f>+IF(C119="X",1,0)</f>
        <v>1</v>
      </c>
      <c r="AH23" s="110" t="s">
        <v>530</v>
      </c>
      <c r="AI23" s="110">
        <f>+IF(D157="X",2,0)</f>
        <v>0</v>
      </c>
      <c r="AJ23" s="110" t="s">
        <v>770</v>
      </c>
      <c r="AK23" s="110">
        <f>+IF(C153="X",1,0)</f>
        <v>1</v>
      </c>
      <c r="AL23" s="110" t="s">
        <v>573</v>
      </c>
      <c r="AM23" s="110">
        <f>+IF(C119="X",2,0)</f>
        <v>2</v>
      </c>
      <c r="AP23" s="110" t="s">
        <v>733</v>
      </c>
      <c r="AQ23" s="110">
        <f>+IF(D69="X",1,0)</f>
        <v>1</v>
      </c>
      <c r="AT23" s="110" t="s">
        <v>529</v>
      </c>
      <c r="AU23" s="110">
        <f>+IF(C155="X",1,0)</f>
        <v>0</v>
      </c>
      <c r="AV23" s="110" t="s">
        <v>498</v>
      </c>
      <c r="AW23" s="110">
        <f>+IF(D25="X",1,0)</f>
        <v>1</v>
      </c>
      <c r="AX23" s="110" t="s">
        <v>763</v>
      </c>
      <c r="AY23" s="110">
        <f>+IF(C170="X",2,0)</f>
        <v>2</v>
      </c>
      <c r="BA23" s="125">
        <f>SUM(BA3:BA22)</f>
        <v>36</v>
      </c>
      <c r="BB23" s="110" t="s">
        <v>684</v>
      </c>
      <c r="BC23" s="110">
        <f>+IF(C123="X",2,0)</f>
        <v>0</v>
      </c>
      <c r="BD23" s="110" t="s">
        <v>533</v>
      </c>
      <c r="BE23" s="110">
        <f>+IF(D38="X",1,0)</f>
        <v>0</v>
      </c>
      <c r="BF23" s="110" t="s">
        <v>592</v>
      </c>
      <c r="BG23" s="110">
        <f>+IF(D35="X",2,0)</f>
        <v>2</v>
      </c>
      <c r="BH23" s="110" t="s">
        <v>729</v>
      </c>
      <c r="BI23" s="110">
        <f>+IF(D61="X",1,0)</f>
        <v>0</v>
      </c>
      <c r="BJ23" s="110" t="s">
        <v>716</v>
      </c>
      <c r="BK23" s="110">
        <f>+IF(C130="X",1,0)</f>
        <v>1</v>
      </c>
      <c r="BL23" s="110" t="s">
        <v>511</v>
      </c>
      <c r="BM23" s="110">
        <f>+IF(C148="X",1,0)</f>
        <v>1</v>
      </c>
    </row>
    <row r="24" spans="1:70" x14ac:dyDescent="0.25">
      <c r="A24" s="120">
        <v>12</v>
      </c>
      <c r="B24" s="121" t="s">
        <v>11</v>
      </c>
      <c r="C24" s="122" t="s">
        <v>228</v>
      </c>
      <c r="D24" s="122"/>
      <c r="E24" s="123">
        <v>12</v>
      </c>
      <c r="F24" s="124">
        <f t="shared" si="0"/>
        <v>1</v>
      </c>
      <c r="L24" s="109" t="s">
        <v>493</v>
      </c>
      <c r="M24" s="110">
        <f>+IF(C114="X",2,0)</f>
        <v>0</v>
      </c>
      <c r="N24" s="110" t="s">
        <v>534</v>
      </c>
      <c r="O24" s="110">
        <f>+IF(C144="X",1,0)</f>
        <v>1</v>
      </c>
      <c r="P24" s="110" t="s">
        <v>563</v>
      </c>
      <c r="Q24" s="110">
        <f>+IF(C165="X",3,0)</f>
        <v>3</v>
      </c>
      <c r="R24" s="110" t="s">
        <v>601</v>
      </c>
      <c r="S24" s="110">
        <f>+IF(D15="X",1,0)</f>
        <v>0</v>
      </c>
      <c r="T24" s="110" t="s">
        <v>509</v>
      </c>
      <c r="U24" s="110">
        <f>+IF(D46="X",1,0)</f>
        <v>0</v>
      </c>
      <c r="V24" s="110" t="s">
        <v>487</v>
      </c>
      <c r="W24" s="110">
        <f>+IF(D13="X",1,0)</f>
        <v>1</v>
      </c>
      <c r="X24" s="110" t="s">
        <v>675</v>
      </c>
      <c r="Y24" s="110">
        <f>+IF(C160="X",3,0)</f>
        <v>3</v>
      </c>
      <c r="Z24" s="110" t="s">
        <v>705</v>
      </c>
      <c r="AA24" s="110">
        <f>+IF(D93="X",2,0)</f>
        <v>0</v>
      </c>
      <c r="AB24" s="110" t="s">
        <v>674</v>
      </c>
      <c r="AC24" s="110">
        <f>+IF(D85="X",2,0)</f>
        <v>0</v>
      </c>
      <c r="AD24" s="110" t="s">
        <v>513</v>
      </c>
      <c r="AE24" s="110">
        <f>+IF(C103="X",2,0)</f>
        <v>2</v>
      </c>
      <c r="AF24" s="110" t="s">
        <v>753</v>
      </c>
      <c r="AG24" s="110">
        <f>+IF(C120="X",3,0)</f>
        <v>3</v>
      </c>
      <c r="AI24" s="125">
        <f>SUM(AI3:AI23)</f>
        <v>27</v>
      </c>
      <c r="AJ24" s="110" t="s">
        <v>520</v>
      </c>
      <c r="AK24" s="110">
        <f>+IF(C158="X",1,0)</f>
        <v>1</v>
      </c>
      <c r="AL24" s="110" t="s">
        <v>781</v>
      </c>
      <c r="AM24" s="110">
        <f>+IF(C121="X",1,0)</f>
        <v>0</v>
      </c>
      <c r="AP24" s="110" t="s">
        <v>663</v>
      </c>
      <c r="AQ24" s="110">
        <f>+IF(D71="X",1,0)</f>
        <v>1</v>
      </c>
      <c r="AT24" s="110" t="s">
        <v>520</v>
      </c>
      <c r="AU24" s="110">
        <f>+IF(C158="X",1,0)</f>
        <v>1</v>
      </c>
      <c r="AV24" s="110" t="s">
        <v>504</v>
      </c>
      <c r="AW24" s="110">
        <f>+IF(D29="X",1,0)</f>
        <v>1</v>
      </c>
      <c r="AX24" s="110" t="s">
        <v>706</v>
      </c>
      <c r="AY24" s="110">
        <f>+IF(D18="X",1,0)</f>
        <v>0</v>
      </c>
      <c r="BB24" s="110" t="s">
        <v>620</v>
      </c>
      <c r="BC24" s="110">
        <f>+IF(C129="X",1,0)</f>
        <v>0</v>
      </c>
      <c r="BD24" s="110" t="s">
        <v>872</v>
      </c>
      <c r="BE24" s="110">
        <f>+IF(D44="X",1,0)</f>
        <v>0</v>
      </c>
      <c r="BF24" s="110" t="s">
        <v>710</v>
      </c>
      <c r="BG24" s="110">
        <f>+IF(D39="X",1,0)</f>
        <v>0</v>
      </c>
      <c r="BH24" s="110" t="s">
        <v>733</v>
      </c>
      <c r="BI24" s="110">
        <f>+IF(D69="X",1,0)</f>
        <v>1</v>
      </c>
      <c r="BJ24" s="110" t="s">
        <v>888</v>
      </c>
      <c r="BK24" s="110">
        <f>+IF(C137="X",3,0)</f>
        <v>3</v>
      </c>
      <c r="BL24" s="110" t="s">
        <v>580</v>
      </c>
      <c r="BM24" s="110">
        <f>+IF(C152="X",1,0)</f>
        <v>1</v>
      </c>
    </row>
    <row r="25" spans="1:70" x14ac:dyDescent="0.25">
      <c r="A25" s="120">
        <v>13</v>
      </c>
      <c r="B25" s="121" t="s">
        <v>12</v>
      </c>
      <c r="C25" s="122"/>
      <c r="D25" s="122" t="s">
        <v>228</v>
      </c>
      <c r="E25" s="123">
        <v>13</v>
      </c>
      <c r="F25" s="124">
        <f t="shared" si="0"/>
        <v>2</v>
      </c>
      <c r="L25" s="109" t="s">
        <v>497</v>
      </c>
      <c r="M25" s="110">
        <f>+IF(C127="X",1,0)</f>
        <v>0</v>
      </c>
      <c r="N25" s="110" t="s">
        <v>537</v>
      </c>
      <c r="O25" s="110">
        <f>+IF(C152="X",2,0)</f>
        <v>2</v>
      </c>
      <c r="P25" s="110" t="s">
        <v>566</v>
      </c>
      <c r="Q25" s="110">
        <f>+IF(C166="X",1,0)</f>
        <v>0</v>
      </c>
      <c r="R25" s="110" t="s">
        <v>603</v>
      </c>
      <c r="S25" s="110">
        <f>+IF(D16="X",1,0)</f>
        <v>0</v>
      </c>
      <c r="T25" s="110" t="s">
        <v>540</v>
      </c>
      <c r="U25" s="110">
        <f>+IF(D47="X",2,0)</f>
        <v>0</v>
      </c>
      <c r="V25" s="110" t="s">
        <v>560</v>
      </c>
      <c r="W25" s="110">
        <f>+IF(D31="X",1,0)</f>
        <v>0</v>
      </c>
      <c r="X25" s="110" t="s">
        <v>552</v>
      </c>
      <c r="Y25" s="110">
        <f>+IF(C161="X",2,0)</f>
        <v>2</v>
      </c>
      <c r="AA25" s="125">
        <f>SUM(AA3:AA24)</f>
        <v>9</v>
      </c>
      <c r="AB25" s="110" t="s">
        <v>715</v>
      </c>
      <c r="AC25" s="110">
        <f>+IF(D86="X",2,0)</f>
        <v>2</v>
      </c>
      <c r="AD25" s="110" t="s">
        <v>568</v>
      </c>
      <c r="AE25" s="110">
        <f>+IF(C107="X",2,0)</f>
        <v>2</v>
      </c>
      <c r="AF25" s="110" t="s">
        <v>575</v>
      </c>
      <c r="AG25" s="110">
        <f>+IF(C122="X",2,0)</f>
        <v>2</v>
      </c>
      <c r="AJ25" s="110" t="s">
        <v>490</v>
      </c>
      <c r="AK25" s="110">
        <f>+IF(C159="X",1,0)</f>
        <v>1</v>
      </c>
      <c r="AL25" s="110" t="s">
        <v>647</v>
      </c>
      <c r="AM25" s="110">
        <f>+IF(C122="X",1,0)</f>
        <v>1</v>
      </c>
      <c r="AP25" s="110" t="s">
        <v>817</v>
      </c>
      <c r="AQ25" s="110">
        <f>+IF(D73="X",1,0)</f>
        <v>1</v>
      </c>
      <c r="AT25" s="110" t="s">
        <v>613</v>
      </c>
      <c r="AU25" s="110">
        <f>+IF(C169="X",2,0)</f>
        <v>0</v>
      </c>
      <c r="AV25" s="110" t="s">
        <v>829</v>
      </c>
      <c r="AW25" s="110">
        <f>+IF(D35="X",1,0)</f>
        <v>1</v>
      </c>
      <c r="AX25" s="110" t="s">
        <v>746</v>
      </c>
      <c r="AY25" s="110">
        <f>+IF(D57="X",1,0)</f>
        <v>0</v>
      </c>
      <c r="BB25" s="110" t="s">
        <v>856</v>
      </c>
      <c r="BC25" s="110">
        <f>+IF(C132="X",3,0)</f>
        <v>0</v>
      </c>
      <c r="BD25" s="110" t="s">
        <v>874</v>
      </c>
      <c r="BE25" s="110">
        <f>+IF(D57="X",3,0)</f>
        <v>0</v>
      </c>
      <c r="BF25" s="110" t="s">
        <v>746</v>
      </c>
      <c r="BG25" s="110">
        <f>+IF(D57="X",1,0)</f>
        <v>0</v>
      </c>
      <c r="BH25" s="110" t="s">
        <v>725</v>
      </c>
      <c r="BI25" s="110">
        <f>+IF(D70="X",1,0)</f>
        <v>0</v>
      </c>
      <c r="BJ25" s="110" t="s">
        <v>532</v>
      </c>
      <c r="BK25" s="110">
        <f>+IF(C139="X",1,0)</f>
        <v>1</v>
      </c>
      <c r="BL25" s="110" t="s">
        <v>561</v>
      </c>
      <c r="BM25" s="110">
        <f>+IF(C159="X",2,0)</f>
        <v>2</v>
      </c>
    </row>
    <row r="26" spans="1:70" x14ac:dyDescent="0.25">
      <c r="A26" s="120">
        <v>14</v>
      </c>
      <c r="B26" s="127" t="s">
        <v>472</v>
      </c>
      <c r="C26" s="122" t="s">
        <v>228</v>
      </c>
      <c r="D26" s="122"/>
      <c r="E26" s="123">
        <v>14</v>
      </c>
      <c r="F26" s="124">
        <f t="shared" si="0"/>
        <v>1</v>
      </c>
      <c r="L26" s="109" t="s">
        <v>500</v>
      </c>
      <c r="M26" s="110">
        <f>+IF(C128="X",1,0)</f>
        <v>0</v>
      </c>
      <c r="N26" s="110" t="s">
        <v>539</v>
      </c>
      <c r="O26" s="110">
        <f>+IF(C154="X",3,0)</f>
        <v>3</v>
      </c>
      <c r="P26" s="110" t="s">
        <v>569</v>
      </c>
      <c r="Q26" s="110">
        <f>+IF(C170="X",1,0)</f>
        <v>1</v>
      </c>
      <c r="R26" s="110" t="s">
        <v>606</v>
      </c>
      <c r="S26" s="110">
        <f>+IF(D22="X",1,0)</f>
        <v>0</v>
      </c>
      <c r="T26" s="110" t="s">
        <v>644</v>
      </c>
      <c r="U26" s="110">
        <f>+IF(D48="X",1,0)</f>
        <v>0</v>
      </c>
      <c r="V26" s="110" t="s">
        <v>666</v>
      </c>
      <c r="W26" s="110">
        <f>+IF(D32="X",1,0)</f>
        <v>0</v>
      </c>
      <c r="X26" s="110" t="s">
        <v>678</v>
      </c>
      <c r="Y26" s="110">
        <f>+IF(C162="X",1,0)</f>
        <v>0</v>
      </c>
      <c r="AB26" s="110" t="s">
        <v>717</v>
      </c>
      <c r="AC26" s="110">
        <f>+IF(D88="X",1,0)</f>
        <v>0</v>
      </c>
      <c r="AD26" s="110" t="s">
        <v>615</v>
      </c>
      <c r="AE26" s="110">
        <f>+IF(C109="X",2,0)</f>
        <v>0</v>
      </c>
      <c r="AF26" s="110" t="s">
        <v>756</v>
      </c>
      <c r="AG26" s="110">
        <f>+IF(C124="X",2,0)</f>
        <v>2</v>
      </c>
      <c r="AJ26" s="110" t="s">
        <v>773</v>
      </c>
      <c r="AK26" s="110">
        <f>+IF(C166="X",3,0)</f>
        <v>0</v>
      </c>
      <c r="AL26" s="110" t="s">
        <v>756</v>
      </c>
      <c r="AM26" s="110">
        <f>+IF(C124="X",2,0)</f>
        <v>2</v>
      </c>
      <c r="AP26" s="110" t="s">
        <v>811</v>
      </c>
      <c r="AQ26" s="110">
        <f>+IF(D74="X",3,0)</f>
        <v>3</v>
      </c>
      <c r="AT26" s="110" t="s">
        <v>835</v>
      </c>
      <c r="AU26" s="110">
        <f>+IF(D17="X",3,0)</f>
        <v>0</v>
      </c>
      <c r="AV26" s="110" t="s">
        <v>830</v>
      </c>
      <c r="AW26" s="110">
        <f>+IF(D39="X",3,0)</f>
        <v>0</v>
      </c>
      <c r="AX26" s="110" t="s">
        <v>843</v>
      </c>
      <c r="AY26" s="110">
        <f>+IF(D67="X",3,0)</f>
        <v>0</v>
      </c>
      <c r="BB26" s="110" t="s">
        <v>859</v>
      </c>
      <c r="BC26" s="110">
        <f>+IF(C146="X",3,0)</f>
        <v>0</v>
      </c>
      <c r="BD26" s="110" t="s">
        <v>788</v>
      </c>
      <c r="BE26" s="110">
        <f>+IF(D58="X",1,0)</f>
        <v>0</v>
      </c>
      <c r="BF26" s="110" t="s">
        <v>516</v>
      </c>
      <c r="BG26" s="110">
        <f>+IF(F111="X",1,0)</f>
        <v>0</v>
      </c>
      <c r="BH26" s="110" t="s">
        <v>556</v>
      </c>
      <c r="BI26" s="110">
        <f>+IF(D80="X",1,0)</f>
        <v>1</v>
      </c>
      <c r="BJ26" s="110" t="s">
        <v>718</v>
      </c>
      <c r="BK26" s="110">
        <f>+IF(C145="X",1,0)</f>
        <v>1</v>
      </c>
      <c r="BL26" s="110" t="s">
        <v>897</v>
      </c>
      <c r="BM26" s="110">
        <f>+IF(C168="X",3,0)</f>
        <v>3</v>
      </c>
    </row>
    <row r="27" spans="1:70" x14ac:dyDescent="0.25">
      <c r="A27" s="120">
        <v>15</v>
      </c>
      <c r="B27" s="121" t="s">
        <v>13</v>
      </c>
      <c r="C27" s="122" t="s">
        <v>228</v>
      </c>
      <c r="D27" s="122"/>
      <c r="E27" s="123">
        <v>15</v>
      </c>
      <c r="F27" s="124">
        <f t="shared" si="0"/>
        <v>1</v>
      </c>
      <c r="L27" s="109" t="s">
        <v>503</v>
      </c>
      <c r="M27" s="110">
        <f>+IF(C130="X",2,0)</f>
        <v>2</v>
      </c>
      <c r="N27" s="110" t="s">
        <v>542</v>
      </c>
      <c r="O27" s="110">
        <f>+IF(C165="X",2,0)</f>
        <v>2</v>
      </c>
      <c r="Q27" s="125">
        <f>SUM(Q3:Q26)</f>
        <v>43</v>
      </c>
      <c r="R27" s="110" t="s">
        <v>553</v>
      </c>
      <c r="S27" s="110">
        <f>+IF(D30="X",1,0)</f>
        <v>0</v>
      </c>
      <c r="T27" s="110" t="s">
        <v>488</v>
      </c>
      <c r="U27" s="110">
        <f>+IF(D50="X",2,0)</f>
        <v>0</v>
      </c>
      <c r="V27" s="110" t="s">
        <v>668</v>
      </c>
      <c r="W27" s="110">
        <f>+IF(D37="X",1,0)</f>
        <v>0</v>
      </c>
      <c r="X27" s="110" t="s">
        <v>522</v>
      </c>
      <c r="Y27" s="110">
        <f>+IF(C164="X",1,0)</f>
        <v>0</v>
      </c>
      <c r="AB27" s="110" t="s">
        <v>719</v>
      </c>
      <c r="AC27" s="110">
        <f>+IF(D90="X",1,0)</f>
        <v>1</v>
      </c>
      <c r="AD27" s="110" t="s">
        <v>736</v>
      </c>
      <c r="AE27" s="110">
        <f>+IF(C117="X",1,0)</f>
        <v>1</v>
      </c>
      <c r="AF27" s="110" t="s">
        <v>716</v>
      </c>
      <c r="AG27" s="110">
        <f>+IF(C130="X",1,0)</f>
        <v>1</v>
      </c>
      <c r="AJ27" s="110" t="s">
        <v>776</v>
      </c>
      <c r="AK27" s="110">
        <f>+IF(C167="X",2,0)</f>
        <v>2</v>
      </c>
      <c r="AL27" s="110" t="s">
        <v>497</v>
      </c>
      <c r="AM27" s="110">
        <f>+IF(C127="X",1,0)</f>
        <v>0</v>
      </c>
      <c r="AP27" s="110" t="s">
        <v>812</v>
      </c>
      <c r="AQ27" s="110">
        <f>+IF(D88="X",2,0)</f>
        <v>0</v>
      </c>
      <c r="AT27" s="110" t="s">
        <v>794</v>
      </c>
      <c r="AU27" s="110">
        <f>+IF(D26="X",1,0)</f>
        <v>0</v>
      </c>
      <c r="AV27" s="110" t="s">
        <v>512</v>
      </c>
      <c r="AW27" s="110">
        <f>+IF(D47="X",1,0)</f>
        <v>0</v>
      </c>
      <c r="AY27" s="125">
        <f>SUM(AY3:AY26)</f>
        <v>25</v>
      </c>
      <c r="BB27" s="110" t="s">
        <v>664</v>
      </c>
      <c r="BC27" s="110">
        <f>+IF(C151="X",1,0)</f>
        <v>0</v>
      </c>
      <c r="BD27" s="110" t="s">
        <v>875</v>
      </c>
      <c r="BE27" s="110">
        <f>+IF(D77="X",1,0)</f>
        <v>0</v>
      </c>
      <c r="BG27" s="125">
        <f>SUM(BG3:BG26)</f>
        <v>22</v>
      </c>
      <c r="BH27" s="110" t="s">
        <v>855</v>
      </c>
      <c r="BI27" s="110">
        <f>+IF(D85="X",1,0)</f>
        <v>0</v>
      </c>
      <c r="BJ27" s="110" t="s">
        <v>770</v>
      </c>
      <c r="BK27" s="110">
        <f>+IF(C153="X",1,0)</f>
        <v>1</v>
      </c>
      <c r="BL27" s="110" t="s">
        <v>902</v>
      </c>
      <c r="BM27" s="110">
        <f>+IF(D67="X",1,0)</f>
        <v>0</v>
      </c>
    </row>
    <row r="28" spans="1:70" x14ac:dyDescent="0.25">
      <c r="A28" s="120">
        <v>16</v>
      </c>
      <c r="B28" s="121" t="s">
        <v>14</v>
      </c>
      <c r="C28" s="122" t="s">
        <v>228</v>
      </c>
      <c r="D28" s="122"/>
      <c r="E28" s="123">
        <v>16</v>
      </c>
      <c r="F28" s="124">
        <f t="shared" si="0"/>
        <v>1</v>
      </c>
      <c r="L28" s="109" t="s">
        <v>506</v>
      </c>
      <c r="M28" s="110">
        <f>+IF(C131="X",2,0)</f>
        <v>0</v>
      </c>
      <c r="N28" s="110" t="s">
        <v>545</v>
      </c>
      <c r="O28" s="110">
        <f>+IF(C168="X",1,0)</f>
        <v>1</v>
      </c>
      <c r="R28" s="110" t="s">
        <v>611</v>
      </c>
      <c r="S28" s="110">
        <f>+IF(D33="X",2,0)</f>
        <v>0</v>
      </c>
      <c r="T28" s="110" t="s">
        <v>646</v>
      </c>
      <c r="U28" s="110">
        <f>+IF(D55="X",1,0)</f>
        <v>0</v>
      </c>
      <c r="V28" s="110" t="s">
        <v>533</v>
      </c>
      <c r="W28" s="110">
        <f>+IF(D38="X",1,0)</f>
        <v>0</v>
      </c>
      <c r="X28" s="110" t="s">
        <v>682</v>
      </c>
      <c r="Y28" s="110">
        <f>+IF(C167="X",3,0)</f>
        <v>3</v>
      </c>
      <c r="AB28" s="110" t="s">
        <v>720</v>
      </c>
      <c r="AC28" s="110">
        <f>+IF(D102="X",1,0)</f>
        <v>1</v>
      </c>
      <c r="AD28" s="110" t="s">
        <v>573</v>
      </c>
      <c r="AE28" s="110">
        <f>+IF(C119="X",2,0)</f>
        <v>2</v>
      </c>
      <c r="AF28" s="110" t="s">
        <v>760</v>
      </c>
      <c r="AG28" s="110">
        <f>+IF(C133="X",1,0)</f>
        <v>1</v>
      </c>
      <c r="AJ28" s="110" t="s">
        <v>909</v>
      </c>
      <c r="AK28" s="110">
        <f>+IF(D14="X",3,0)</f>
        <v>0</v>
      </c>
      <c r="AL28" s="110" t="s">
        <v>716</v>
      </c>
      <c r="AM28" s="110">
        <f>+IF(C130="X",1,0)</f>
        <v>1</v>
      </c>
      <c r="AP28" s="110" t="s">
        <v>813</v>
      </c>
      <c r="AQ28" s="110">
        <f>+IF(D95="X",1,0)</f>
        <v>1</v>
      </c>
      <c r="AT28" s="110" t="s">
        <v>689</v>
      </c>
      <c r="AU28" s="110">
        <f>+IF(D27="X",2,0)</f>
        <v>0</v>
      </c>
      <c r="AV28" s="110" t="s">
        <v>644</v>
      </c>
      <c r="AW28" s="110">
        <f>+IF(D48="X",1,0)</f>
        <v>0</v>
      </c>
      <c r="BB28" s="110" t="s">
        <v>770</v>
      </c>
      <c r="BC28" s="110">
        <f>+IF(C153="X",1,0)</f>
        <v>1</v>
      </c>
      <c r="BD28" s="110" t="s">
        <v>505</v>
      </c>
      <c r="BE28" s="110">
        <f>+IF(D81="X",1,0)</f>
        <v>0</v>
      </c>
      <c r="BH28" s="110" t="s">
        <v>699</v>
      </c>
      <c r="BI28" s="110">
        <f>+IF(D86="X",1,0)</f>
        <v>1</v>
      </c>
      <c r="BJ28" s="110" t="s">
        <v>639</v>
      </c>
      <c r="BK28" s="110">
        <f>+IF(C154="X",2,0)</f>
        <v>2</v>
      </c>
      <c r="BM28" s="125">
        <f>SUM(BM3:BM27)</f>
        <v>40</v>
      </c>
    </row>
    <row r="29" spans="1:70" x14ac:dyDescent="0.25">
      <c r="A29" s="120">
        <v>17</v>
      </c>
      <c r="B29" s="121" t="s">
        <v>15</v>
      </c>
      <c r="C29" s="122"/>
      <c r="D29" s="122" t="s">
        <v>228</v>
      </c>
      <c r="E29" s="123">
        <v>17</v>
      </c>
      <c r="F29" s="124">
        <f t="shared" si="0"/>
        <v>2</v>
      </c>
      <c r="L29" s="109" t="s">
        <v>508</v>
      </c>
      <c r="M29" s="110">
        <f>+IF(C144="X",2,0)</f>
        <v>2</v>
      </c>
      <c r="N29" s="110" t="s">
        <v>551</v>
      </c>
      <c r="O29" s="110">
        <f>+IF(D22="X",2,0)</f>
        <v>0</v>
      </c>
      <c r="R29" s="110" t="s">
        <v>614</v>
      </c>
      <c r="S29" s="110">
        <f>+IF(D40="X",2,0)</f>
        <v>2</v>
      </c>
      <c r="T29" s="110" t="s">
        <v>648</v>
      </c>
      <c r="U29" s="110">
        <f>+IF(D59="X",1,0)</f>
        <v>1</v>
      </c>
      <c r="V29" s="110" t="s">
        <v>535</v>
      </c>
      <c r="W29" s="110">
        <f>+IF(D43="X",2,0)</f>
        <v>0</v>
      </c>
      <c r="X29" s="110" t="s">
        <v>584</v>
      </c>
      <c r="Y29" s="110">
        <f>+IF(D17="X",2,0)</f>
        <v>0</v>
      </c>
      <c r="AB29" s="110" t="s">
        <v>722</v>
      </c>
      <c r="AC29" s="110">
        <f>+IF(D109="X",1,0)</f>
        <v>1</v>
      </c>
      <c r="AD29" s="110" t="s">
        <v>740</v>
      </c>
      <c r="AE29" s="110">
        <f>+IF(C122="X",3,0)</f>
        <v>3</v>
      </c>
      <c r="AF29" s="110" t="s">
        <v>669</v>
      </c>
      <c r="AG29" s="110">
        <f>+IF(C139="X",2,0)</f>
        <v>2</v>
      </c>
      <c r="AJ29" s="110" t="s">
        <v>703</v>
      </c>
      <c r="AK29" s="110">
        <f>+IF(D21="X",1,0)</f>
        <v>0</v>
      </c>
      <c r="AL29" s="110" t="s">
        <v>785</v>
      </c>
      <c r="AM29" s="110">
        <f>+IF(C131="X",1,0)</f>
        <v>0</v>
      </c>
      <c r="AP29" s="110" t="s">
        <v>814</v>
      </c>
      <c r="AQ29" s="110">
        <f>+IF(D106="X",3,0)</f>
        <v>3</v>
      </c>
      <c r="AT29" s="110" t="s">
        <v>666</v>
      </c>
      <c r="AU29" s="110">
        <f>+IF(D32="X",1,0)</f>
        <v>0</v>
      </c>
      <c r="AV29" s="110" t="s">
        <v>589</v>
      </c>
      <c r="AW29" s="110">
        <f>+IF(D108="X",2,0)</f>
        <v>2</v>
      </c>
      <c r="BB29" s="110" t="s">
        <v>605</v>
      </c>
      <c r="BC29" s="110">
        <f>+IF(C160="X",1,0)</f>
        <v>1</v>
      </c>
      <c r="BD29" s="110" t="s">
        <v>598</v>
      </c>
      <c r="BE29" s="110">
        <f>+IF(D83="X",2,0)</f>
        <v>0</v>
      </c>
      <c r="BH29" s="110" t="s">
        <v>887</v>
      </c>
      <c r="BI29" s="110">
        <f>+IF(D87="X",2,0)</f>
        <v>2</v>
      </c>
      <c r="BJ29" s="110" t="s">
        <v>893</v>
      </c>
      <c r="BK29" s="110">
        <f>+IF(C159="X",3,0)</f>
        <v>3</v>
      </c>
    </row>
    <row r="30" spans="1:70" x14ac:dyDescent="0.25">
      <c r="A30" s="120">
        <v>18</v>
      </c>
      <c r="B30" s="121" t="s">
        <v>16</v>
      </c>
      <c r="C30" s="122" t="s">
        <v>228</v>
      </c>
      <c r="D30" s="122"/>
      <c r="E30" s="123">
        <v>18</v>
      </c>
      <c r="F30" s="124">
        <f>+IF(C30="X",1,IF(D30="X",2,""))</f>
        <v>1</v>
      </c>
      <c r="L30" s="109" t="s">
        <v>511</v>
      </c>
      <c r="M30" s="110">
        <f>+IF(C148="X",1,0)</f>
        <v>1</v>
      </c>
      <c r="N30" s="110" t="s">
        <v>553</v>
      </c>
      <c r="O30" s="110">
        <f>+IF(D30="X",1,0)</f>
        <v>0</v>
      </c>
      <c r="R30" s="110" t="s">
        <v>616</v>
      </c>
      <c r="S30" s="110">
        <f>+IF(D53="X",2,0)</f>
        <v>2</v>
      </c>
      <c r="T30" s="110" t="s">
        <v>550</v>
      </c>
      <c r="U30" s="110">
        <f>+IF(D81="X",2,0)</f>
        <v>0</v>
      </c>
      <c r="V30" s="110" t="s">
        <v>509</v>
      </c>
      <c r="W30" s="110">
        <f>+IF(D46="X",1,0)</f>
        <v>0</v>
      </c>
      <c r="X30" s="110" t="s">
        <v>588</v>
      </c>
      <c r="Y30" s="110">
        <f>+IF(D20="X",2,0)</f>
        <v>0</v>
      </c>
      <c r="AB30" s="110" t="s">
        <v>547</v>
      </c>
      <c r="AC30" s="110">
        <f>+IF(D112="X",1,0)</f>
        <v>0</v>
      </c>
      <c r="AD30" s="110" t="s">
        <v>558</v>
      </c>
      <c r="AE30" s="110">
        <f>+IF(C129="X",2,0)</f>
        <v>0</v>
      </c>
      <c r="AF30" s="110" t="s">
        <v>534</v>
      </c>
      <c r="AG30" s="110">
        <f>+IF(C144="X",1,0)</f>
        <v>1</v>
      </c>
      <c r="AJ30" s="110" t="s">
        <v>791</v>
      </c>
      <c r="AK30" s="110">
        <f>+IF(D23="X",1,0)</f>
        <v>0</v>
      </c>
      <c r="AL30" s="110" t="s">
        <v>760</v>
      </c>
      <c r="AM30" s="110">
        <f>+IF(C133="X",1,0)</f>
        <v>1</v>
      </c>
      <c r="AP30" s="110" t="s">
        <v>722</v>
      </c>
      <c r="AQ30" s="110">
        <f>+IF(D109="X",1,0)</f>
        <v>1</v>
      </c>
      <c r="AT30" s="110" t="s">
        <v>837</v>
      </c>
      <c r="AU30" s="110">
        <f>+IF(D38="X",2,0)</f>
        <v>0</v>
      </c>
      <c r="AV30" s="110" t="s">
        <v>517</v>
      </c>
      <c r="AW30" s="110">
        <f>+IF(D154="X",1,0)</f>
        <v>0</v>
      </c>
      <c r="BB30" s="110" t="s">
        <v>608</v>
      </c>
      <c r="BC30" s="110">
        <f>+IF(C162="X",2,0)</f>
        <v>0</v>
      </c>
      <c r="BD30" s="110" t="s">
        <v>582</v>
      </c>
      <c r="BE30" s="110">
        <f>+IF(D93="X",1,0)</f>
        <v>0</v>
      </c>
      <c r="BH30" s="110" t="s">
        <v>717</v>
      </c>
      <c r="BI30" s="110">
        <f>+IF(D88="X",1,0)</f>
        <v>0</v>
      </c>
      <c r="BJ30" s="110" t="s">
        <v>542</v>
      </c>
      <c r="BK30" s="110">
        <f>+IF(C165="X",2,0)</f>
        <v>2</v>
      </c>
    </row>
    <row r="31" spans="1:70" x14ac:dyDescent="0.25">
      <c r="A31" s="120">
        <v>19</v>
      </c>
      <c r="B31" s="121" t="s">
        <v>17</v>
      </c>
      <c r="C31" s="122" t="s">
        <v>228</v>
      </c>
      <c r="D31" s="122"/>
      <c r="E31" s="123">
        <v>19</v>
      </c>
      <c r="F31" s="124">
        <f t="shared" si="0"/>
        <v>1</v>
      </c>
      <c r="L31" s="109" t="s">
        <v>514</v>
      </c>
      <c r="M31" s="110">
        <f>+IF(C153="X",2,0)</f>
        <v>2</v>
      </c>
      <c r="N31" s="110" t="s">
        <v>554</v>
      </c>
      <c r="O31" s="110">
        <f>+IF(D36="X",2,0)</f>
        <v>2</v>
      </c>
      <c r="R31" s="110" t="s">
        <v>619</v>
      </c>
      <c r="S31" s="110">
        <f>+IF(D56="X",1,0)</f>
        <v>0</v>
      </c>
      <c r="T31" s="110" t="s">
        <v>637</v>
      </c>
      <c r="U31" s="110">
        <f>+IF(D96="X",1,0)</f>
        <v>0</v>
      </c>
      <c r="V31" s="110" t="s">
        <v>488</v>
      </c>
      <c r="W31" s="110">
        <f>+IF(D50="X",2,0)</f>
        <v>0</v>
      </c>
      <c r="X31" s="110" t="s">
        <v>590</v>
      </c>
      <c r="Y31" s="110">
        <f>+IF(D21="X",2,0)</f>
        <v>0</v>
      </c>
      <c r="AB31" s="110" t="s">
        <v>658</v>
      </c>
      <c r="AC31" s="110">
        <f>+IF(D116="X",1,0)</f>
        <v>1</v>
      </c>
      <c r="AD31" s="110" t="s">
        <v>742</v>
      </c>
      <c r="AE31" s="110">
        <f>+IF(C130="X",3,0)</f>
        <v>3</v>
      </c>
      <c r="AF31" s="110" t="s">
        <v>718</v>
      </c>
      <c r="AG31" s="110">
        <f>+IF(C145="X",1,0)</f>
        <v>1</v>
      </c>
      <c r="AJ31" s="110" t="s">
        <v>650</v>
      </c>
      <c r="AK31" s="110">
        <f>+IF(D82="X",1,0)</f>
        <v>0</v>
      </c>
      <c r="AL31" s="110" t="s">
        <v>787</v>
      </c>
      <c r="AM31" s="110">
        <f>+IF(C137="X",1,0)</f>
        <v>1</v>
      </c>
      <c r="AP31" s="110" t="s">
        <v>503</v>
      </c>
      <c r="AQ31" s="110">
        <f>+IF(D130="X",2,0)</f>
        <v>0</v>
      </c>
      <c r="AT31" s="110" t="s">
        <v>838</v>
      </c>
      <c r="AU31" s="110">
        <f>+IF(D50="X",1,0)</f>
        <v>0</v>
      </c>
      <c r="AW31" s="125">
        <f>SUM(AW3:AW30)</f>
        <v>23</v>
      </c>
      <c r="BB31" s="110" t="s">
        <v>863</v>
      </c>
      <c r="BC31" s="110">
        <f>+IF(C164="X",3,0)</f>
        <v>0</v>
      </c>
      <c r="BD31" s="110" t="s">
        <v>536</v>
      </c>
      <c r="BE31" s="110">
        <f>+IF(D96="X",2,0)</f>
        <v>0</v>
      </c>
      <c r="BH31" s="110" t="s">
        <v>719</v>
      </c>
      <c r="BI31" s="110">
        <f>+IF(D90="X",1,0)</f>
        <v>1</v>
      </c>
      <c r="BJ31" s="110" t="s">
        <v>551</v>
      </c>
      <c r="BK31" s="110">
        <f>+IF(D22="X",2,0)</f>
        <v>0</v>
      </c>
    </row>
    <row r="32" spans="1:70" x14ac:dyDescent="0.25">
      <c r="A32" s="120">
        <v>20</v>
      </c>
      <c r="B32" s="121" t="s">
        <v>18</v>
      </c>
      <c r="C32" s="122" t="s">
        <v>228</v>
      </c>
      <c r="D32" s="122"/>
      <c r="E32" s="123">
        <v>20</v>
      </c>
      <c r="F32" s="124">
        <f t="shared" si="0"/>
        <v>1</v>
      </c>
      <c r="L32" s="109" t="s">
        <v>517</v>
      </c>
      <c r="M32" s="110">
        <f>+IF(C154="X",1,0)</f>
        <v>1</v>
      </c>
      <c r="N32" s="110" t="s">
        <v>524</v>
      </c>
      <c r="O32" s="110">
        <f>+IF(D71="X",2,0)</f>
        <v>2</v>
      </c>
      <c r="R32" s="110" t="s">
        <v>621</v>
      </c>
      <c r="S32" s="110">
        <f>+IF(D64="X",2,0)</f>
        <v>2</v>
      </c>
      <c r="T32" s="110" t="s">
        <v>638</v>
      </c>
      <c r="U32" s="110">
        <f>+IF(D97="X",2,0)</f>
        <v>0</v>
      </c>
      <c r="V32" s="110" t="s">
        <v>671</v>
      </c>
      <c r="W32" s="110">
        <f>+IF(D75="X",2,0)</f>
        <v>0</v>
      </c>
      <c r="X32" s="110" t="s">
        <v>689</v>
      </c>
      <c r="Y32" s="110">
        <f>+IF(D27="X",2,0)</f>
        <v>0</v>
      </c>
      <c r="AB32" s="110" t="s">
        <v>573</v>
      </c>
      <c r="AC32" s="110">
        <f>+IF(D119="X",2,0)</f>
        <v>0</v>
      </c>
      <c r="AD32" s="110" t="s">
        <v>532</v>
      </c>
      <c r="AE32" s="110">
        <f>+IF(C139="X",1,0)</f>
        <v>1</v>
      </c>
      <c r="AF32" s="110" t="s">
        <v>511</v>
      </c>
      <c r="AG32" s="110">
        <f>+IF(C148="X",1,0)</f>
        <v>1</v>
      </c>
      <c r="AJ32" s="110" t="s">
        <v>599</v>
      </c>
      <c r="AK32" s="110">
        <f>+IF(D142="X",1,0)</f>
        <v>0</v>
      </c>
      <c r="AL32" s="110" t="s">
        <v>789</v>
      </c>
      <c r="AM32" s="110">
        <f>+IF(C139="X",3,0)</f>
        <v>3</v>
      </c>
      <c r="AP32" s="110" t="s">
        <v>760</v>
      </c>
      <c r="AQ32" s="110">
        <f>+IF(D133="X",1,0)</f>
        <v>0</v>
      </c>
      <c r="AT32" s="110" t="s">
        <v>690</v>
      </c>
      <c r="AU32" s="110">
        <f>+IF(D57="X",2,0)</f>
        <v>0</v>
      </c>
      <c r="BB32" s="110" t="s">
        <v>745</v>
      </c>
      <c r="BC32" s="110">
        <f>+IF(D17="X",1,0)</f>
        <v>0</v>
      </c>
      <c r="BD32" s="110" t="s">
        <v>643</v>
      </c>
      <c r="BE32" s="110">
        <f>+IF(D111="X",2,0)</f>
        <v>0</v>
      </c>
      <c r="BH32" s="110" t="s">
        <v>720</v>
      </c>
      <c r="BI32" s="110">
        <f>+IF(D102="X",1,0)</f>
        <v>1</v>
      </c>
      <c r="BJ32" s="110" t="s">
        <v>492</v>
      </c>
      <c r="BK32" s="110">
        <f>+IF(D51="X",1,0)</f>
        <v>1</v>
      </c>
    </row>
    <row r="33" spans="1:63" x14ac:dyDescent="0.25">
      <c r="A33" s="120">
        <v>21</v>
      </c>
      <c r="B33" s="121" t="s">
        <v>19</v>
      </c>
      <c r="C33" s="122" t="s">
        <v>228</v>
      </c>
      <c r="D33" s="122"/>
      <c r="E33" s="123">
        <v>21</v>
      </c>
      <c r="F33" s="124">
        <f t="shared" si="0"/>
        <v>1</v>
      </c>
      <c r="L33" s="109" t="s">
        <v>490</v>
      </c>
      <c r="M33" s="110">
        <f>+IF(C159="X",1,0)</f>
        <v>1</v>
      </c>
      <c r="N33" s="110" t="s">
        <v>555</v>
      </c>
      <c r="O33" s="110">
        <f>+IF(D74="X",1,0)</f>
        <v>1</v>
      </c>
      <c r="R33" s="110" t="s">
        <v>623</v>
      </c>
      <c r="S33" s="110">
        <f>+IF(D72="X",1,0)</f>
        <v>0</v>
      </c>
      <c r="T33" s="110" t="s">
        <v>640</v>
      </c>
      <c r="U33" s="110">
        <f>+IF(D99="X",1,0)</f>
        <v>1</v>
      </c>
      <c r="V33" s="110" t="s">
        <v>550</v>
      </c>
      <c r="W33" s="110">
        <f>+IF(D81="X",2,0)</f>
        <v>0</v>
      </c>
      <c r="X33" s="110" t="s">
        <v>592</v>
      </c>
      <c r="Y33" s="110">
        <f>+IF(D35="X",2,0)</f>
        <v>2</v>
      </c>
      <c r="AB33" s="110" t="s">
        <v>925</v>
      </c>
      <c r="AC33" s="110">
        <f>+IF(D122="X",1,0)</f>
        <v>0</v>
      </c>
      <c r="AD33" s="110" t="s">
        <v>727</v>
      </c>
      <c r="AE33" s="110">
        <f>+IF(C140="X",1,0)</f>
        <v>0</v>
      </c>
      <c r="AF33" s="110" t="s">
        <v>750</v>
      </c>
      <c r="AG33" s="110">
        <f>+IF(C149="X",2,0)</f>
        <v>0</v>
      </c>
      <c r="AJ33" s="110" t="s">
        <v>632</v>
      </c>
      <c r="AK33" s="110">
        <f>+IF(D147="X",1,0)</f>
        <v>1</v>
      </c>
      <c r="AL33" s="110" t="s">
        <v>780</v>
      </c>
      <c r="AM33" s="110">
        <f>+IF(C152="X",3,0)</f>
        <v>3</v>
      </c>
      <c r="AP33" s="110" t="s">
        <v>660</v>
      </c>
      <c r="AQ33" s="110">
        <f>+IF(D143="X",1,0)</f>
        <v>1</v>
      </c>
      <c r="AT33" s="110" t="s">
        <v>499</v>
      </c>
      <c r="AU33" s="110">
        <f>+IF(D63="X",1,0)</f>
        <v>0</v>
      </c>
      <c r="BB33" s="110" t="s">
        <v>865</v>
      </c>
      <c r="BC33" s="110">
        <f>+IF(D20="X",3,0)</f>
        <v>0</v>
      </c>
      <c r="BD33" s="110" t="s">
        <v>767</v>
      </c>
      <c r="BE33" s="110">
        <f>+IF(D118="X",2,0)</f>
        <v>0</v>
      </c>
      <c r="BH33" s="110" t="s">
        <v>625</v>
      </c>
      <c r="BI33" s="110">
        <f>+IF(D104="X",1,0)</f>
        <v>1</v>
      </c>
      <c r="BJ33" s="110" t="s">
        <v>557</v>
      </c>
      <c r="BK33" s="110">
        <f>+IF(D89="X",1,0)</f>
        <v>0</v>
      </c>
    </row>
    <row r="34" spans="1:63" x14ac:dyDescent="0.25">
      <c r="A34" s="120">
        <v>22</v>
      </c>
      <c r="B34" s="121" t="s">
        <v>20</v>
      </c>
      <c r="C34" s="122"/>
      <c r="D34" s="122" t="s">
        <v>228</v>
      </c>
      <c r="E34" s="123">
        <v>22</v>
      </c>
      <c r="F34" s="124">
        <f t="shared" si="0"/>
        <v>2</v>
      </c>
      <c r="L34" s="109" t="s">
        <v>494</v>
      </c>
      <c r="M34" s="110">
        <f>+IF(C166="X",2,0)</f>
        <v>0</v>
      </c>
      <c r="N34" s="110" t="s">
        <v>556</v>
      </c>
      <c r="O34" s="110">
        <f>+IF(D80="X",1,0)</f>
        <v>1</v>
      </c>
      <c r="R34" s="110" t="s">
        <v>602</v>
      </c>
      <c r="S34" s="110">
        <f>+IF(D80="X",2,0)</f>
        <v>2</v>
      </c>
      <c r="T34" s="110" t="s">
        <v>642</v>
      </c>
      <c r="U34" s="110">
        <f>+IF(D101="X",1,0)</f>
        <v>0</v>
      </c>
      <c r="V34" s="110" t="s">
        <v>665</v>
      </c>
      <c r="W34" s="110">
        <f>+IF(D83="X",1,0)</f>
        <v>0</v>
      </c>
      <c r="X34" s="110" t="s">
        <v>690</v>
      </c>
      <c r="Y34" s="110">
        <f>+IF(D57="X",2,0)</f>
        <v>0</v>
      </c>
      <c r="AB34" s="110" t="s">
        <v>558</v>
      </c>
      <c r="AC34" s="110">
        <f>+IF(D129="X",2,0)</f>
        <v>2</v>
      </c>
      <c r="AD34" s="110" t="s">
        <v>730</v>
      </c>
      <c r="AE34" s="110">
        <f>+IF(C146="X",1,0)</f>
        <v>0</v>
      </c>
      <c r="AF34" s="110" t="s">
        <v>537</v>
      </c>
      <c r="AG34" s="110">
        <f>+IF(C152="X",2,0)</f>
        <v>2</v>
      </c>
      <c r="AJ34" s="110" t="s">
        <v>910</v>
      </c>
      <c r="AK34" s="110">
        <f>+IF(D157="X",3,0)</f>
        <v>0</v>
      </c>
      <c r="AL34" s="110" t="s">
        <v>514</v>
      </c>
      <c r="AM34" s="110">
        <f>+IF(C153="X",2,0)</f>
        <v>2</v>
      </c>
      <c r="AP34" s="110" t="s">
        <v>511</v>
      </c>
      <c r="AQ34" s="110">
        <f>+IF(D148="X",1,0)</f>
        <v>0</v>
      </c>
      <c r="AT34" s="110" t="s">
        <v>576</v>
      </c>
      <c r="AU34" s="110">
        <f>+IF(D75="X",1,0)</f>
        <v>0</v>
      </c>
      <c r="BB34" s="110" t="s">
        <v>590</v>
      </c>
      <c r="BC34" s="110">
        <f>+IF(D21="X",2,0)</f>
        <v>0</v>
      </c>
      <c r="BD34" s="110" t="s">
        <v>873</v>
      </c>
      <c r="BE34" s="110">
        <f>+IF(D137="X",2,0)</f>
        <v>0</v>
      </c>
      <c r="BH34" s="110" t="s">
        <v>654</v>
      </c>
      <c r="BI34" s="110">
        <f>+IF(D106="X",1,0)</f>
        <v>1</v>
      </c>
      <c r="BJ34" s="110" t="s">
        <v>684</v>
      </c>
      <c r="BK34" s="110">
        <f>+IF(D123="X",2,0)</f>
        <v>2</v>
      </c>
    </row>
    <row r="35" spans="1:63" x14ac:dyDescent="0.25">
      <c r="A35" s="120">
        <v>23</v>
      </c>
      <c r="B35" s="121" t="s">
        <v>21</v>
      </c>
      <c r="C35" s="122"/>
      <c r="D35" s="122" t="s">
        <v>228</v>
      </c>
      <c r="E35" s="123">
        <v>23</v>
      </c>
      <c r="F35" s="124">
        <f t="shared" si="0"/>
        <v>2</v>
      </c>
      <c r="L35" s="109" t="s">
        <v>519</v>
      </c>
      <c r="M35" s="110">
        <f>+IF(D14="X",2,0)</f>
        <v>0</v>
      </c>
      <c r="N35" s="110" t="s">
        <v>525</v>
      </c>
      <c r="O35" s="110">
        <f>+IF(D82="X",2,0)</f>
        <v>0</v>
      </c>
      <c r="R35" s="110" t="s">
        <v>604</v>
      </c>
      <c r="S35" s="110">
        <f>+IF(D87="X",1,0)</f>
        <v>1</v>
      </c>
      <c r="T35" s="110" t="s">
        <v>643</v>
      </c>
      <c r="U35" s="110">
        <f>+IF(D111="X",2,0)</f>
        <v>0</v>
      </c>
      <c r="V35" s="110" t="s">
        <v>536</v>
      </c>
      <c r="W35" s="110">
        <f>+IF(D96="X",2,0)</f>
        <v>0</v>
      </c>
      <c r="X35" s="110" t="s">
        <v>499</v>
      </c>
      <c r="Y35" s="110">
        <f>+IF(D63="X",1,0)</f>
        <v>0</v>
      </c>
      <c r="AB35" s="110" t="s">
        <v>716</v>
      </c>
      <c r="AC35" s="110">
        <f>+IF(D130="X",1,0)</f>
        <v>0</v>
      </c>
      <c r="AD35" s="110" t="s">
        <v>731</v>
      </c>
      <c r="AE35" s="110">
        <f>+IF(C148="X",3,0)</f>
        <v>3</v>
      </c>
      <c r="AF35" s="110" t="s">
        <v>755</v>
      </c>
      <c r="AG35" s="110">
        <f>+IF(C153="X",3,0)</f>
        <v>3</v>
      </c>
      <c r="AK35" s="125">
        <f>SUM(AK3:AK34)</f>
        <v>22</v>
      </c>
      <c r="AL35" s="110" t="s">
        <v>758</v>
      </c>
      <c r="AM35" s="110">
        <f>+IF(C163="X",2,0)</f>
        <v>0</v>
      </c>
      <c r="AP35" s="110" t="s">
        <v>818</v>
      </c>
      <c r="AQ35" s="110">
        <f>+IF(D155="X",3,0)</f>
        <v>3</v>
      </c>
      <c r="AT35" s="110" t="s">
        <v>665</v>
      </c>
      <c r="AU35" s="110">
        <f>+IF(D83="X",1,0)</f>
        <v>0</v>
      </c>
      <c r="BB35" s="110" t="s">
        <v>689</v>
      </c>
      <c r="BC35" s="110">
        <f>+IF(D27="X",2,0)</f>
        <v>0</v>
      </c>
      <c r="BD35" s="110" t="s">
        <v>532</v>
      </c>
      <c r="BE35" s="110">
        <f>+IF(D139="X",1,0)</f>
        <v>0</v>
      </c>
      <c r="BH35" s="110" t="s">
        <v>722</v>
      </c>
      <c r="BI35" s="110">
        <f>+IF(D109="X",1,0)</f>
        <v>1</v>
      </c>
      <c r="BJ35" s="110" t="s">
        <v>660</v>
      </c>
      <c r="BK35" s="110">
        <f>+IF(D143="X",1,0)</f>
        <v>1</v>
      </c>
    </row>
    <row r="36" spans="1:63" x14ac:dyDescent="0.25">
      <c r="A36" s="120">
        <v>24</v>
      </c>
      <c r="B36" s="121" t="s">
        <v>22</v>
      </c>
      <c r="C36" s="122"/>
      <c r="D36" s="122" t="s">
        <v>228</v>
      </c>
      <c r="E36" s="123">
        <v>24</v>
      </c>
      <c r="F36" s="124">
        <f t="shared" si="0"/>
        <v>2</v>
      </c>
      <c r="L36" s="109" t="s">
        <v>521</v>
      </c>
      <c r="M36" s="110">
        <f>+IF(D36="X",1,0)</f>
        <v>1</v>
      </c>
      <c r="N36" s="110" t="s">
        <v>557</v>
      </c>
      <c r="O36" s="110">
        <f>+IF(D89="X",1,0)</f>
        <v>0</v>
      </c>
      <c r="R36" s="110" t="s">
        <v>607</v>
      </c>
      <c r="S36" s="110">
        <f>+IF(D90="X",2,0)</f>
        <v>2</v>
      </c>
      <c r="T36" s="110" t="s">
        <v>547</v>
      </c>
      <c r="U36" s="110">
        <f>+IF(D112="X",1,0)</f>
        <v>0</v>
      </c>
      <c r="V36" s="110" t="s">
        <v>667</v>
      </c>
      <c r="W36" s="110">
        <f>+IF(D103="X",1,0)</f>
        <v>0</v>
      </c>
      <c r="X36" s="110" t="s">
        <v>637</v>
      </c>
      <c r="Y36" s="110">
        <f>+IF(D96="X",1,0)</f>
        <v>0</v>
      </c>
      <c r="AB36" s="110" t="s">
        <v>718</v>
      </c>
      <c r="AC36" s="110">
        <f>+IF(D145="X",1,0)</f>
        <v>0</v>
      </c>
      <c r="AD36" s="110" t="s">
        <v>561</v>
      </c>
      <c r="AE36" s="110">
        <f>+IF(C159="X",2,0)</f>
        <v>2</v>
      </c>
      <c r="AF36" s="110" t="s">
        <v>721</v>
      </c>
      <c r="AG36" s="110">
        <f>+IF(C161="X",1,0)</f>
        <v>1</v>
      </c>
      <c r="AL36" s="110" t="s">
        <v>542</v>
      </c>
      <c r="AM36" s="110">
        <f>+IF(C165="X",2,0)</f>
        <v>2</v>
      </c>
      <c r="AP36" s="110" t="s">
        <v>490</v>
      </c>
      <c r="AQ36" s="110">
        <f>+IF(D159="X",1,0)</f>
        <v>0</v>
      </c>
      <c r="AT36" s="110" t="s">
        <v>836</v>
      </c>
      <c r="AU36" s="110">
        <f>+IF(D93="X",3,0)</f>
        <v>0</v>
      </c>
      <c r="BB36" s="110" t="s">
        <v>829</v>
      </c>
      <c r="BC36" s="110">
        <f>+IF(D35="X",1,0)</f>
        <v>1</v>
      </c>
      <c r="BD36" s="110" t="s">
        <v>580</v>
      </c>
      <c r="BE36" s="110">
        <f>+IF(D152="X",1,0)</f>
        <v>0</v>
      </c>
      <c r="BH36" s="110" t="s">
        <v>658</v>
      </c>
      <c r="BI36" s="110">
        <f>+IF(D116="X",1,0)</f>
        <v>1</v>
      </c>
      <c r="BK36" s="125">
        <f>SUM(BK3:BK35)</f>
        <v>50</v>
      </c>
    </row>
    <row r="37" spans="1:63" x14ac:dyDescent="0.25">
      <c r="A37" s="120">
        <v>25</v>
      </c>
      <c r="B37" s="121" t="s">
        <v>23</v>
      </c>
      <c r="C37" s="122" t="s">
        <v>228</v>
      </c>
      <c r="D37" s="122"/>
      <c r="E37" s="123">
        <v>25</v>
      </c>
      <c r="F37" s="124">
        <f t="shared" si="0"/>
        <v>1</v>
      </c>
      <c r="L37" s="109" t="s">
        <v>523</v>
      </c>
      <c r="M37" s="110">
        <f>+IF(D68="X",1,0)</f>
        <v>1</v>
      </c>
      <c r="N37" s="110" t="s">
        <v>558</v>
      </c>
      <c r="O37" s="110">
        <f>+IF(D129="X",2,0)</f>
        <v>2</v>
      </c>
      <c r="R37" s="110" t="s">
        <v>609</v>
      </c>
      <c r="S37" s="110">
        <f>+IF(D100="X",1,0)</f>
        <v>0</v>
      </c>
      <c r="T37" s="110" t="s">
        <v>645</v>
      </c>
      <c r="U37" s="110">
        <f>+IF(D118="X",1,0)</f>
        <v>0</v>
      </c>
      <c r="V37" s="110" t="s">
        <v>643</v>
      </c>
      <c r="W37" s="110">
        <f>+IF(D111="X",2,0)</f>
        <v>0</v>
      </c>
      <c r="X37" s="110" t="s">
        <v>691</v>
      </c>
      <c r="Y37" s="110">
        <f>+IF(D105="X",2,0)</f>
        <v>2</v>
      </c>
      <c r="AB37" s="110" t="s">
        <v>605</v>
      </c>
      <c r="AC37" s="110">
        <f>+IF(D160="X",1,0)</f>
        <v>0</v>
      </c>
      <c r="AD37" s="110" t="s">
        <v>605</v>
      </c>
      <c r="AE37" s="110">
        <f>+IF(C160="X",1,0)</f>
        <v>1</v>
      </c>
      <c r="AF37" s="110" t="s">
        <v>758</v>
      </c>
      <c r="AG37" s="110">
        <f>+IF(C163="X",2,0)</f>
        <v>0</v>
      </c>
      <c r="AL37" s="110" t="s">
        <v>551</v>
      </c>
      <c r="AM37" s="110">
        <f>+IF(D22="X",2,0)</f>
        <v>0</v>
      </c>
      <c r="AP37" s="110" t="s">
        <v>608</v>
      </c>
      <c r="AQ37" s="110">
        <f>+IF(D162="X",2,0)</f>
        <v>2</v>
      </c>
      <c r="AT37" s="110" t="s">
        <v>536</v>
      </c>
      <c r="AU37" s="110">
        <f>+IF(D96="X",2,0)</f>
        <v>0</v>
      </c>
      <c r="BB37" s="110" t="s">
        <v>746</v>
      </c>
      <c r="BC37" s="110">
        <f>+IF(D57="X",1,0)</f>
        <v>0</v>
      </c>
      <c r="BE37" s="125">
        <f>SUM(BE3:BE36)</f>
        <v>11</v>
      </c>
      <c r="BH37" s="110" t="s">
        <v>684</v>
      </c>
      <c r="BI37" s="110">
        <f>+IF(D123="X",2,0)</f>
        <v>2</v>
      </c>
    </row>
    <row r="38" spans="1:63" x14ac:dyDescent="0.25">
      <c r="A38" s="120">
        <v>26</v>
      </c>
      <c r="B38" s="121" t="s">
        <v>24</v>
      </c>
      <c r="C38" s="122" t="s">
        <v>228</v>
      </c>
      <c r="D38" s="122"/>
      <c r="E38" s="123">
        <v>26</v>
      </c>
      <c r="F38" s="124">
        <f t="shared" si="0"/>
        <v>1</v>
      </c>
      <c r="L38" s="109" t="s">
        <v>524</v>
      </c>
      <c r="M38" s="110">
        <f>+IF(D71="X",2,0)</f>
        <v>2</v>
      </c>
      <c r="N38" s="110" t="s">
        <v>559</v>
      </c>
      <c r="O38" s="110">
        <f>+IF(D155="X",2,0)</f>
        <v>2</v>
      </c>
      <c r="R38" s="110" t="s">
        <v>612</v>
      </c>
      <c r="S38" s="110">
        <f>+IF(D104="X",2,0)</f>
        <v>2</v>
      </c>
      <c r="T38" s="110" t="s">
        <v>647</v>
      </c>
      <c r="U38" s="110">
        <f>+IF(D122="X",1,0)</f>
        <v>0</v>
      </c>
      <c r="V38" s="110" t="s">
        <v>497</v>
      </c>
      <c r="W38" s="110">
        <f>+IF(D127="X",1,0)</f>
        <v>1</v>
      </c>
      <c r="X38" s="110" t="s">
        <v>692</v>
      </c>
      <c r="Y38" s="110">
        <f>+IF(D108="X",1,0)</f>
        <v>1</v>
      </c>
      <c r="AB38" s="110" t="s">
        <v>721</v>
      </c>
      <c r="AC38" s="110">
        <f>+IF(D161="X",1,0)</f>
        <v>0</v>
      </c>
      <c r="AD38" s="110" t="s">
        <v>552</v>
      </c>
      <c r="AE38" s="110">
        <f>+IF(C161="X",2,0)</f>
        <v>2</v>
      </c>
      <c r="AF38" s="110" t="s">
        <v>641</v>
      </c>
      <c r="AG38" s="110">
        <f>+IF(C165="X",1,0)</f>
        <v>1</v>
      </c>
      <c r="AL38" s="110" t="s">
        <v>602</v>
      </c>
      <c r="AM38" s="110">
        <f>+IF(D80="X",2,0)</f>
        <v>2</v>
      </c>
      <c r="AP38" s="110" t="s">
        <v>613</v>
      </c>
      <c r="AQ38" s="110">
        <f>+IF(D169="X",2,0)</f>
        <v>2</v>
      </c>
      <c r="AT38" s="110" t="s">
        <v>643</v>
      </c>
      <c r="AU38" s="110">
        <f>+IF(D111="X",2,0)</f>
        <v>0</v>
      </c>
      <c r="BC38" s="125">
        <f>SUM(BC3:BC37)</f>
        <v>12</v>
      </c>
      <c r="BH38" s="110" t="s">
        <v>620</v>
      </c>
      <c r="BI38" s="110">
        <f>+IF(D129="X",1,0)</f>
        <v>1</v>
      </c>
    </row>
    <row r="39" spans="1:63" x14ac:dyDescent="0.25">
      <c r="A39" s="120">
        <v>27</v>
      </c>
      <c r="B39" s="121" t="s">
        <v>25</v>
      </c>
      <c r="C39" s="122" t="s">
        <v>228</v>
      </c>
      <c r="D39" s="122"/>
      <c r="E39" s="123">
        <v>27</v>
      </c>
      <c r="F39" s="124">
        <f t="shared" si="0"/>
        <v>1</v>
      </c>
      <c r="L39" s="109" t="s">
        <v>525</v>
      </c>
      <c r="M39" s="110">
        <f>+IF(D82="X",2,0)</f>
        <v>0</v>
      </c>
      <c r="N39" s="110" t="s">
        <v>552</v>
      </c>
      <c r="O39" s="110">
        <f>+IF(D161="X",2,0)</f>
        <v>0</v>
      </c>
      <c r="R39" s="110" t="s">
        <v>615</v>
      </c>
      <c r="S39" s="110">
        <f>+IF(D109="X",2,0)</f>
        <v>2</v>
      </c>
      <c r="T39" s="110" t="s">
        <v>506</v>
      </c>
      <c r="U39" s="110">
        <f>+IF(D131="X",2,0)</f>
        <v>2</v>
      </c>
      <c r="V39" s="110" t="s">
        <v>669</v>
      </c>
      <c r="W39" s="110">
        <f>+IF(D139="X",2,0)</f>
        <v>0</v>
      </c>
      <c r="X39" s="110" t="s">
        <v>516</v>
      </c>
      <c r="Y39" s="110">
        <f>+IF(D111="X",1,0)</f>
        <v>0</v>
      </c>
      <c r="AB39" s="110" t="s">
        <v>608</v>
      </c>
      <c r="AC39" s="110">
        <f>+IF(D162="X",2,0)</f>
        <v>2</v>
      </c>
      <c r="AD39" s="110" t="s">
        <v>613</v>
      </c>
      <c r="AE39" s="110">
        <f>+IF(C169="X",2,0)</f>
        <v>0</v>
      </c>
      <c r="AF39" s="110" t="s">
        <v>545</v>
      </c>
      <c r="AG39" s="110">
        <f>+IF(C168="X",1,0)</f>
        <v>1</v>
      </c>
      <c r="AL39" s="110" t="s">
        <v>624</v>
      </c>
      <c r="AM39" s="110">
        <f>+IF(D143="X",2,0)</f>
        <v>2</v>
      </c>
      <c r="AP39" s="110" t="s">
        <v>815</v>
      </c>
      <c r="AQ39" s="110">
        <f>+IF(D172="X",2,0)</f>
        <v>0</v>
      </c>
      <c r="AT39" s="110" t="s">
        <v>669</v>
      </c>
      <c r="AU39" s="110">
        <f>+IF(D139="X",2,0)</f>
        <v>0</v>
      </c>
      <c r="BH39" s="110" t="s">
        <v>688</v>
      </c>
      <c r="BI39" s="110">
        <f>+IF(D132="X",1,0)</f>
        <v>1</v>
      </c>
    </row>
    <row r="40" spans="1:63" x14ac:dyDescent="0.25">
      <c r="A40" s="120">
        <v>28</v>
      </c>
      <c r="B40" s="121" t="s">
        <v>26</v>
      </c>
      <c r="C40" s="122"/>
      <c r="D40" s="122" t="s">
        <v>228</v>
      </c>
      <c r="E40" s="123">
        <v>28</v>
      </c>
      <c r="F40" s="124">
        <f t="shared" si="0"/>
        <v>2</v>
      </c>
      <c r="L40" s="109" t="s">
        <v>526</v>
      </c>
      <c r="M40" s="110">
        <f>+IF(D89="X",2,0)</f>
        <v>0</v>
      </c>
      <c r="O40" s="125">
        <f>SUM(O3:O39)</f>
        <v>52</v>
      </c>
      <c r="R40" s="110" t="s">
        <v>617</v>
      </c>
      <c r="S40" s="110">
        <f>+IF(D113="X",1,0)</f>
        <v>0</v>
      </c>
      <c r="T40" s="110" t="s">
        <v>532</v>
      </c>
      <c r="U40" s="110">
        <f>+IF(D139="X",1,0)</f>
        <v>0</v>
      </c>
      <c r="V40" s="110" t="s">
        <v>537</v>
      </c>
      <c r="W40" s="110">
        <f>+IF(D152="X",2,0)</f>
        <v>0</v>
      </c>
      <c r="X40" s="110" t="s">
        <v>500</v>
      </c>
      <c r="Y40" s="110">
        <f>+IF(D128="X",1,0)</f>
        <v>1</v>
      </c>
      <c r="AB40" s="110" t="s">
        <v>494</v>
      </c>
      <c r="AC40" s="110">
        <f>+IF(D166="X",2,0)</f>
        <v>2</v>
      </c>
      <c r="AD40" s="110" t="s">
        <v>569</v>
      </c>
      <c r="AE40" s="110">
        <f>+IF(C170="X",1,0)</f>
        <v>1</v>
      </c>
      <c r="AF40" s="110" t="s">
        <v>763</v>
      </c>
      <c r="AG40" s="110">
        <f>+IF(C170="X",2,0)</f>
        <v>2</v>
      </c>
      <c r="AL40" s="110" t="s">
        <v>790</v>
      </c>
      <c r="AM40" s="110">
        <f>+IF(D157="X",1,0)</f>
        <v>0</v>
      </c>
      <c r="AQ40" s="125">
        <f>SUM(AQ3:AQ39)</f>
        <v>35</v>
      </c>
      <c r="AT40" s="110" t="s">
        <v>580</v>
      </c>
      <c r="AU40" s="110">
        <f>+IF(D152="X",1,0)</f>
        <v>0</v>
      </c>
      <c r="BH40" s="110" t="s">
        <v>529</v>
      </c>
      <c r="BI40" s="110">
        <f>+IF(D155="X",1,0)</f>
        <v>1</v>
      </c>
    </row>
    <row r="41" spans="1:63" x14ac:dyDescent="0.25">
      <c r="A41" s="120">
        <v>29</v>
      </c>
      <c r="B41" s="121" t="s">
        <v>27</v>
      </c>
      <c r="C41" s="122"/>
      <c r="D41" s="122" t="s">
        <v>228</v>
      </c>
      <c r="E41" s="123">
        <v>29</v>
      </c>
      <c r="F41" s="124">
        <f t="shared" si="0"/>
        <v>2</v>
      </c>
      <c r="L41" s="109" t="s">
        <v>527</v>
      </c>
      <c r="M41" s="110">
        <f>+IF(D98="X",1,0)</f>
        <v>0</v>
      </c>
      <c r="R41" s="110" t="s">
        <v>620</v>
      </c>
      <c r="S41" s="110">
        <f>+IF(D129="X",1,0)</f>
        <v>1</v>
      </c>
      <c r="T41" s="110" t="s">
        <v>534</v>
      </c>
      <c r="U41" s="110">
        <f>+IF(D144="X",1,0)</f>
        <v>0</v>
      </c>
      <c r="V41" s="110" t="s">
        <v>670</v>
      </c>
      <c r="W41" s="110">
        <f>+IF(D163="X",1,0)</f>
        <v>1</v>
      </c>
      <c r="X41" s="110" t="s">
        <v>508</v>
      </c>
      <c r="Y41" s="110">
        <f>+IF(D144="X",2,0)</f>
        <v>0</v>
      </c>
      <c r="AB41" s="110" t="s">
        <v>723</v>
      </c>
      <c r="AC41" s="110">
        <f>+IF(D169="X",1,0)</f>
        <v>1</v>
      </c>
      <c r="AD41" s="110" t="s">
        <v>745</v>
      </c>
      <c r="AE41" s="110">
        <f>+IF(D17="X",1,0)</f>
        <v>0</v>
      </c>
      <c r="AF41" s="110" t="s">
        <v>765</v>
      </c>
      <c r="AG41" s="110">
        <f>+IF(C172="X",3,0)</f>
        <v>3</v>
      </c>
      <c r="AM41" s="125">
        <f>SUM(AM3:AM40)</f>
        <v>52</v>
      </c>
      <c r="AT41" s="110" t="s">
        <v>641</v>
      </c>
      <c r="AU41" s="110">
        <f>+IF(D165="X",1,0)</f>
        <v>0</v>
      </c>
      <c r="BH41" s="110" t="s">
        <v>605</v>
      </c>
      <c r="BI41" s="110">
        <f>+IF(D160="X",1,0)</f>
        <v>0</v>
      </c>
    </row>
    <row r="42" spans="1:63" x14ac:dyDescent="0.25">
      <c r="A42" s="120">
        <v>30</v>
      </c>
      <c r="B42" s="121" t="s">
        <v>28</v>
      </c>
      <c r="C42" s="122"/>
      <c r="D42" s="122" t="s">
        <v>228</v>
      </c>
      <c r="E42" s="123">
        <v>30</v>
      </c>
      <c r="F42" s="124">
        <f t="shared" si="0"/>
        <v>2</v>
      </c>
      <c r="L42" s="109" t="s">
        <v>528</v>
      </c>
      <c r="M42" s="110">
        <f>+IF(D123="X",1,0)</f>
        <v>1</v>
      </c>
      <c r="R42" s="110" t="s">
        <v>622</v>
      </c>
      <c r="S42" s="110">
        <f>+IF(D140="X",2,0)</f>
        <v>2</v>
      </c>
      <c r="T42" s="110" t="s">
        <v>639</v>
      </c>
      <c r="U42" s="110">
        <f>+IF(D154="X",2,0)</f>
        <v>0</v>
      </c>
      <c r="W42" s="125">
        <f>SUM(W3:W41)</f>
        <v>21</v>
      </c>
      <c r="Y42" s="125">
        <f>SUM(Y3:Y41)</f>
        <v>31</v>
      </c>
      <c r="AC42" s="125">
        <f>SUM(AC3:AC41)</f>
        <v>34</v>
      </c>
      <c r="AD42" s="110" t="s">
        <v>592</v>
      </c>
      <c r="AE42" s="110">
        <f>+IF(D35="X",2,0)</f>
        <v>2</v>
      </c>
      <c r="AF42" s="110" t="s">
        <v>519</v>
      </c>
      <c r="AG42" s="110">
        <f>+IF(D14="X",2,0)</f>
        <v>0</v>
      </c>
      <c r="AU42" s="125">
        <f>SUM(AU3:AU41)</f>
        <v>11</v>
      </c>
      <c r="BH42" s="110" t="s">
        <v>678</v>
      </c>
      <c r="BI42" s="110">
        <f>+IF(D162="X",1,0)</f>
        <v>1</v>
      </c>
    </row>
    <row r="43" spans="1:63" x14ac:dyDescent="0.25">
      <c r="A43" s="120">
        <v>31</v>
      </c>
      <c r="B43" s="121" t="s">
        <v>29</v>
      </c>
      <c r="C43" s="122" t="s">
        <v>228</v>
      </c>
      <c r="D43" s="122"/>
      <c r="E43" s="123">
        <v>31</v>
      </c>
      <c r="F43" s="124">
        <f t="shared" si="0"/>
        <v>1</v>
      </c>
      <c r="L43" s="109" t="s">
        <v>529</v>
      </c>
      <c r="M43" s="110">
        <f>+IF(D155="X",1,0)</f>
        <v>1</v>
      </c>
      <c r="R43" s="110" t="s">
        <v>624</v>
      </c>
      <c r="S43" s="110">
        <f>+IF(D143="X",2,0)</f>
        <v>2</v>
      </c>
      <c r="T43" s="110" t="s">
        <v>641</v>
      </c>
      <c r="U43" s="110">
        <f>+IF(D165="X",1,0)</f>
        <v>0</v>
      </c>
      <c r="AD43" s="110" t="s">
        <v>746</v>
      </c>
      <c r="AE43" s="110">
        <f>+IF(D57="X",1,0)</f>
        <v>0</v>
      </c>
      <c r="AF43" s="110" t="s">
        <v>706</v>
      </c>
      <c r="AG43" s="110">
        <f>+IF(D18="X",1,0)</f>
        <v>0</v>
      </c>
      <c r="BH43" s="110" t="s">
        <v>522</v>
      </c>
      <c r="BI43" s="110">
        <f>+IF(D164="X",1,0)</f>
        <v>1</v>
      </c>
    </row>
    <row r="44" spans="1:63" x14ac:dyDescent="0.25">
      <c r="A44" s="120">
        <v>32</v>
      </c>
      <c r="B44" s="121" t="s">
        <v>30</v>
      </c>
      <c r="C44" s="122" t="s">
        <v>228</v>
      </c>
      <c r="D44" s="122"/>
      <c r="E44" s="123">
        <v>32</v>
      </c>
      <c r="F44" s="124">
        <f t="shared" si="0"/>
        <v>1</v>
      </c>
      <c r="L44" s="109" t="s">
        <v>530</v>
      </c>
      <c r="M44" s="110">
        <f>+IF(D157="X",2,0)</f>
        <v>0</v>
      </c>
      <c r="R44" s="110" t="s">
        <v>490</v>
      </c>
      <c r="S44" s="110">
        <f>+IF(D159="X",1,0)</f>
        <v>0</v>
      </c>
      <c r="U44" s="125">
        <f>SUM(U3:U43)</f>
        <v>18</v>
      </c>
      <c r="AD44" s="110" t="s">
        <v>692</v>
      </c>
      <c r="AE44" s="110">
        <f>+IF(D108="X",1,0)</f>
        <v>1</v>
      </c>
      <c r="AF44" s="110" t="s">
        <v>606</v>
      </c>
      <c r="AG44" s="110">
        <f>+IF(D22="X",1,0)</f>
        <v>0</v>
      </c>
      <c r="BH44" s="110" t="s">
        <v>723</v>
      </c>
      <c r="BI44" s="110">
        <f>+IF(D169="X",1,0)</f>
        <v>1</v>
      </c>
    </row>
    <row r="45" spans="1:63" x14ac:dyDescent="0.25">
      <c r="A45" s="120">
        <v>33</v>
      </c>
      <c r="B45" s="121" t="s">
        <v>31</v>
      </c>
      <c r="C45" s="122" t="s">
        <v>228</v>
      </c>
      <c r="D45" s="122"/>
      <c r="E45" s="123">
        <v>33</v>
      </c>
      <c r="F45" s="124">
        <f t="shared" si="0"/>
        <v>1</v>
      </c>
      <c r="L45" s="109" t="s">
        <v>520</v>
      </c>
      <c r="M45" s="110">
        <f>+IF(D158="X",1,0)</f>
        <v>0</v>
      </c>
      <c r="R45" s="110" t="s">
        <v>605</v>
      </c>
      <c r="S45" s="110">
        <f>+IF(D160="X",1,0)</f>
        <v>0</v>
      </c>
      <c r="AD45" s="110" t="s">
        <v>747</v>
      </c>
      <c r="AE45" s="110">
        <f>+IF(D142="X",2,0)</f>
        <v>0</v>
      </c>
      <c r="AF45" s="110" t="s">
        <v>710</v>
      </c>
      <c r="AG45" s="110">
        <f>+IF(D39="X",1,0)</f>
        <v>0</v>
      </c>
      <c r="BI45" s="125">
        <f>SUM(BI3:BI44)</f>
        <v>43</v>
      </c>
    </row>
    <row r="46" spans="1:63" x14ac:dyDescent="0.25">
      <c r="A46" s="120">
        <v>34</v>
      </c>
      <c r="B46" s="121" t="s">
        <v>32</v>
      </c>
      <c r="C46" s="122" t="s">
        <v>228</v>
      </c>
      <c r="D46" s="122"/>
      <c r="E46" s="123">
        <v>34</v>
      </c>
      <c r="F46" s="124">
        <f t="shared" si="0"/>
        <v>1</v>
      </c>
      <c r="L46" s="109" t="s">
        <v>522</v>
      </c>
      <c r="M46" s="110">
        <f>+IF(D164="X",1,0)</f>
        <v>1</v>
      </c>
      <c r="R46" s="110" t="s">
        <v>608</v>
      </c>
      <c r="S46" s="110">
        <f>+IF(D162="X",2,0)</f>
        <v>2</v>
      </c>
      <c r="AE46" s="125">
        <f>SUM(AE3:AE45)</f>
        <v>48</v>
      </c>
      <c r="AF46" s="110" t="s">
        <v>602</v>
      </c>
      <c r="AG46" s="110">
        <f>+IF(D80="X",2,0)</f>
        <v>2</v>
      </c>
    </row>
    <row r="47" spans="1:63" x14ac:dyDescent="0.25">
      <c r="A47" s="120">
        <v>35</v>
      </c>
      <c r="B47" s="121" t="s">
        <v>33</v>
      </c>
      <c r="C47" s="122" t="s">
        <v>228</v>
      </c>
      <c r="D47" s="122"/>
      <c r="E47" s="123">
        <v>35</v>
      </c>
      <c r="F47" s="124">
        <f t="shared" si="0"/>
        <v>1</v>
      </c>
      <c r="M47" s="125">
        <f>SUM(M3:M46)</f>
        <v>45</v>
      </c>
      <c r="N47" s="125"/>
      <c r="R47" s="110" t="s">
        <v>610</v>
      </c>
      <c r="S47" s="110">
        <f>+IF(D167="X",1,0)</f>
        <v>0</v>
      </c>
      <c r="AG47" s="125">
        <f>SUM(AG3:AG46)</f>
        <v>61</v>
      </c>
    </row>
    <row r="48" spans="1:63" x14ac:dyDescent="0.25">
      <c r="A48" s="120">
        <v>36</v>
      </c>
      <c r="B48" s="121" t="s">
        <v>34</v>
      </c>
      <c r="C48" s="122" t="s">
        <v>228</v>
      </c>
      <c r="D48" s="122"/>
      <c r="E48" s="123">
        <v>36</v>
      </c>
      <c r="F48" s="124">
        <f t="shared" si="0"/>
        <v>1</v>
      </c>
      <c r="R48" s="110" t="s">
        <v>613</v>
      </c>
      <c r="S48" s="110">
        <f>+IF(D169="X",2,0)</f>
        <v>2</v>
      </c>
    </row>
    <row r="49" spans="1:173" x14ac:dyDescent="0.25">
      <c r="A49" s="120">
        <v>37</v>
      </c>
      <c r="B49" s="121" t="s">
        <v>35</v>
      </c>
      <c r="C49" s="122"/>
      <c r="D49" s="122" t="s">
        <v>228</v>
      </c>
      <c r="E49" s="123">
        <v>37</v>
      </c>
      <c r="F49" s="124">
        <f t="shared" si="0"/>
        <v>2</v>
      </c>
      <c r="R49" s="110" t="s">
        <v>569</v>
      </c>
      <c r="S49" s="110">
        <f>+IF(D170="X",1,0)</f>
        <v>0</v>
      </c>
    </row>
    <row r="50" spans="1:173" x14ac:dyDescent="0.25">
      <c r="A50" s="120">
        <v>38</v>
      </c>
      <c r="B50" s="121" t="s">
        <v>36</v>
      </c>
      <c r="C50" s="122" t="s">
        <v>228</v>
      </c>
      <c r="D50" s="122"/>
      <c r="E50" s="123">
        <v>38</v>
      </c>
      <c r="F50" s="124">
        <f t="shared" si="0"/>
        <v>1</v>
      </c>
      <c r="R50" s="110" t="s">
        <v>618</v>
      </c>
      <c r="S50" s="110">
        <f>+IF(D172="X",1,0)</f>
        <v>0</v>
      </c>
    </row>
    <row r="51" spans="1:173" x14ac:dyDescent="0.25">
      <c r="A51" s="120">
        <v>39</v>
      </c>
      <c r="B51" s="121" t="s">
        <v>37</v>
      </c>
      <c r="C51" s="122"/>
      <c r="D51" s="122" t="s">
        <v>228</v>
      </c>
      <c r="E51" s="123">
        <v>39</v>
      </c>
      <c r="F51" s="124">
        <f t="shared" si="0"/>
        <v>2</v>
      </c>
      <c r="S51" s="125">
        <f>SUM(S3:S50)</f>
        <v>44</v>
      </c>
    </row>
    <row r="52" spans="1:173" x14ac:dyDescent="0.25">
      <c r="A52" s="120">
        <v>40</v>
      </c>
      <c r="B52" s="121" t="s">
        <v>38</v>
      </c>
      <c r="C52" s="122"/>
      <c r="D52" s="122" t="s">
        <v>228</v>
      </c>
      <c r="E52" s="123">
        <v>40</v>
      </c>
      <c r="F52" s="124">
        <f t="shared" si="0"/>
        <v>2</v>
      </c>
    </row>
    <row r="53" spans="1:173" x14ac:dyDescent="0.25">
      <c r="A53" s="120">
        <v>41</v>
      </c>
      <c r="B53" s="121" t="s">
        <v>39</v>
      </c>
      <c r="C53" s="122"/>
      <c r="D53" s="122" t="s">
        <v>228</v>
      </c>
      <c r="E53" s="123">
        <v>41</v>
      </c>
      <c r="F53" s="124">
        <f t="shared" si="0"/>
        <v>2</v>
      </c>
    </row>
    <row r="54" spans="1:173" x14ac:dyDescent="0.25">
      <c r="A54" s="120">
        <v>42</v>
      </c>
      <c r="B54" s="121" t="s">
        <v>40</v>
      </c>
      <c r="C54" s="122"/>
      <c r="D54" s="122" t="s">
        <v>228</v>
      </c>
      <c r="E54" s="123">
        <v>42</v>
      </c>
      <c r="F54" s="124">
        <f t="shared" si="0"/>
        <v>2</v>
      </c>
    </row>
    <row r="55" spans="1:173" x14ac:dyDescent="0.25">
      <c r="A55" s="120">
        <v>43</v>
      </c>
      <c r="B55" s="121" t="s">
        <v>41</v>
      </c>
      <c r="C55" s="122" t="s">
        <v>228</v>
      </c>
      <c r="D55" s="122"/>
      <c r="E55" s="123">
        <v>43</v>
      </c>
      <c r="F55" s="124">
        <f t="shared" si="0"/>
        <v>1</v>
      </c>
    </row>
    <row r="56" spans="1:173" x14ac:dyDescent="0.25">
      <c r="A56" s="120">
        <v>44</v>
      </c>
      <c r="B56" s="121" t="s">
        <v>42</v>
      </c>
      <c r="C56" s="122" t="s">
        <v>228</v>
      </c>
      <c r="D56" s="122"/>
      <c r="E56" s="123">
        <v>44</v>
      </c>
      <c r="F56" s="124">
        <f t="shared" si="0"/>
        <v>1</v>
      </c>
    </row>
    <row r="57" spans="1:173" x14ac:dyDescent="0.25">
      <c r="A57" s="120">
        <v>45</v>
      </c>
      <c r="B57" s="121" t="s">
        <v>43</v>
      </c>
      <c r="C57" s="122" t="s">
        <v>228</v>
      </c>
      <c r="D57" s="122"/>
      <c r="E57" s="123">
        <v>45</v>
      </c>
      <c r="F57" s="124">
        <f t="shared" si="0"/>
        <v>1</v>
      </c>
    </row>
    <row r="58" spans="1:173" x14ac:dyDescent="0.25">
      <c r="A58" s="120">
        <v>46</v>
      </c>
      <c r="B58" s="121" t="s">
        <v>44</v>
      </c>
      <c r="C58" s="122" t="s">
        <v>228</v>
      </c>
      <c r="D58" s="122"/>
      <c r="E58" s="123">
        <v>46</v>
      </c>
      <c r="F58" s="124">
        <f t="shared" si="0"/>
        <v>1</v>
      </c>
    </row>
    <row r="59" spans="1:173" x14ac:dyDescent="0.25">
      <c r="A59" s="120">
        <v>47</v>
      </c>
      <c r="B59" s="121" t="s">
        <v>45</v>
      </c>
      <c r="C59" s="122"/>
      <c r="D59" s="122" t="s">
        <v>228</v>
      </c>
      <c r="E59" s="123">
        <v>47</v>
      </c>
      <c r="F59" s="124">
        <f t="shared" si="0"/>
        <v>2</v>
      </c>
      <c r="J59" s="115" t="s">
        <v>273</v>
      </c>
      <c r="K59" s="115" t="s">
        <v>260</v>
      </c>
      <c r="L59" s="128" t="s">
        <v>272</v>
      </c>
      <c r="M59" s="125" t="s">
        <v>927</v>
      </c>
      <c r="N59" s="125">
        <v>1</v>
      </c>
      <c r="O59" s="125">
        <v>2</v>
      </c>
      <c r="P59" s="125">
        <v>3</v>
      </c>
      <c r="Q59" s="125">
        <v>4</v>
      </c>
      <c r="R59" s="125">
        <v>5</v>
      </c>
      <c r="S59" s="125">
        <v>6</v>
      </c>
      <c r="T59" s="125">
        <v>7</v>
      </c>
      <c r="U59" s="125">
        <v>8</v>
      </c>
      <c r="V59" s="125">
        <v>9</v>
      </c>
      <c r="W59" s="125">
        <v>10</v>
      </c>
      <c r="X59" s="125">
        <v>11</v>
      </c>
      <c r="Y59" s="125">
        <v>12</v>
      </c>
      <c r="Z59" s="125">
        <v>13</v>
      </c>
      <c r="AA59" s="125">
        <v>14</v>
      </c>
      <c r="AB59" s="125">
        <v>15</v>
      </c>
      <c r="AC59" s="125">
        <v>16</v>
      </c>
      <c r="AD59" s="125">
        <v>17</v>
      </c>
      <c r="AE59" s="125">
        <v>18</v>
      </c>
      <c r="AF59" s="125">
        <v>19</v>
      </c>
      <c r="AG59" s="125">
        <v>20</v>
      </c>
      <c r="AH59" s="125">
        <v>21</v>
      </c>
      <c r="AI59" s="125">
        <v>22</v>
      </c>
      <c r="AJ59" s="125">
        <v>23</v>
      </c>
      <c r="AK59" s="125">
        <v>24</v>
      </c>
      <c r="AL59" s="125">
        <v>25</v>
      </c>
      <c r="AM59" s="125">
        <v>26</v>
      </c>
      <c r="AN59" s="125">
        <v>27</v>
      </c>
      <c r="AO59" s="125">
        <v>28</v>
      </c>
      <c r="AP59" s="125">
        <v>29</v>
      </c>
      <c r="AQ59" s="125">
        <v>30</v>
      </c>
      <c r="AR59" s="125">
        <v>31</v>
      </c>
      <c r="AS59" s="125">
        <v>32</v>
      </c>
      <c r="AT59" s="125">
        <v>33</v>
      </c>
      <c r="AU59" s="125">
        <v>34</v>
      </c>
      <c r="AV59" s="125">
        <v>35</v>
      </c>
      <c r="AW59" s="125">
        <v>36</v>
      </c>
      <c r="AX59" s="125">
        <v>37</v>
      </c>
      <c r="AY59" s="125">
        <v>38</v>
      </c>
      <c r="AZ59" s="125">
        <v>39</v>
      </c>
      <c r="BA59" s="125">
        <v>40</v>
      </c>
      <c r="BB59" s="125">
        <v>41</v>
      </c>
      <c r="BC59" s="125">
        <v>42</v>
      </c>
      <c r="BD59" s="125">
        <v>43</v>
      </c>
      <c r="BE59" s="125">
        <v>44</v>
      </c>
      <c r="BF59" s="125">
        <v>45</v>
      </c>
      <c r="BG59" s="125">
        <v>46</v>
      </c>
      <c r="BH59" s="125">
        <v>47</v>
      </c>
      <c r="BI59" s="125">
        <v>48</v>
      </c>
      <c r="BJ59" s="125">
        <v>49</v>
      </c>
      <c r="BK59" s="125">
        <v>50</v>
      </c>
      <c r="BL59" s="125">
        <v>51</v>
      </c>
      <c r="BM59" s="125">
        <v>52</v>
      </c>
      <c r="BN59" s="125">
        <v>53</v>
      </c>
      <c r="BO59" s="125">
        <v>54</v>
      </c>
      <c r="BP59" s="125">
        <v>55</v>
      </c>
      <c r="BQ59" s="125">
        <v>56</v>
      </c>
      <c r="BR59" s="125">
        <v>57</v>
      </c>
      <c r="BS59" s="125">
        <v>58</v>
      </c>
      <c r="BT59" s="125">
        <v>59</v>
      </c>
      <c r="BU59" s="125">
        <v>60</v>
      </c>
      <c r="BV59" s="125">
        <v>61</v>
      </c>
      <c r="BW59" s="125">
        <v>62</v>
      </c>
      <c r="BX59" s="125">
        <v>63</v>
      </c>
      <c r="BY59" s="125">
        <v>64</v>
      </c>
      <c r="BZ59" s="125">
        <v>65</v>
      </c>
      <c r="CA59" s="125">
        <v>66</v>
      </c>
      <c r="CB59" s="125">
        <v>67</v>
      </c>
      <c r="CC59" s="125">
        <v>68</v>
      </c>
      <c r="CD59" s="125">
        <v>69</v>
      </c>
      <c r="CE59" s="125">
        <v>70</v>
      </c>
      <c r="CF59" s="125">
        <v>71</v>
      </c>
      <c r="CG59" s="125">
        <v>72</v>
      </c>
      <c r="CH59" s="125">
        <v>73</v>
      </c>
      <c r="CI59" s="125">
        <v>74</v>
      </c>
      <c r="CJ59" s="125">
        <v>75</v>
      </c>
      <c r="CK59" s="125">
        <v>76</v>
      </c>
      <c r="CL59" s="125">
        <v>77</v>
      </c>
      <c r="CM59" s="125">
        <v>78</v>
      </c>
      <c r="CN59" s="125">
        <v>79</v>
      </c>
      <c r="CO59" s="125">
        <v>80</v>
      </c>
      <c r="CP59" s="125">
        <v>81</v>
      </c>
      <c r="CQ59" s="125">
        <v>82</v>
      </c>
      <c r="CR59" s="125">
        <v>83</v>
      </c>
      <c r="CS59" s="125">
        <v>84</v>
      </c>
      <c r="CT59" s="125">
        <v>85</v>
      </c>
      <c r="CU59" s="125">
        <v>86</v>
      </c>
      <c r="CV59" s="125">
        <v>87</v>
      </c>
      <c r="CW59" s="125">
        <v>88</v>
      </c>
      <c r="CX59" s="125">
        <v>89</v>
      </c>
      <c r="CY59" s="125">
        <v>90</v>
      </c>
      <c r="CZ59" s="125">
        <v>91</v>
      </c>
      <c r="DA59" s="125">
        <v>92</v>
      </c>
      <c r="DB59" s="125">
        <v>93</v>
      </c>
      <c r="DC59" s="125">
        <v>94</v>
      </c>
      <c r="DD59" s="125">
        <v>95</v>
      </c>
      <c r="DE59" s="125">
        <v>96</v>
      </c>
      <c r="DF59" s="125">
        <v>97</v>
      </c>
      <c r="DG59" s="125">
        <v>98</v>
      </c>
      <c r="DH59" s="125">
        <v>99</v>
      </c>
      <c r="DI59" s="125">
        <v>100</v>
      </c>
      <c r="DJ59" s="125">
        <v>101</v>
      </c>
      <c r="DK59" s="125">
        <v>102</v>
      </c>
      <c r="DL59" s="125">
        <v>103</v>
      </c>
      <c r="DM59" s="125">
        <v>104</v>
      </c>
      <c r="DN59" s="125">
        <v>105</v>
      </c>
      <c r="DO59" s="125">
        <v>106</v>
      </c>
      <c r="DP59" s="125">
        <v>107</v>
      </c>
      <c r="DQ59" s="125">
        <v>108</v>
      </c>
      <c r="DR59" s="125">
        <v>109</v>
      </c>
      <c r="DS59" s="125">
        <v>110</v>
      </c>
      <c r="DT59" s="125">
        <v>111</v>
      </c>
      <c r="DU59" s="125">
        <v>112</v>
      </c>
      <c r="DV59" s="125">
        <v>113</v>
      </c>
      <c r="DW59" s="125">
        <v>114</v>
      </c>
      <c r="DX59" s="125">
        <v>115</v>
      </c>
      <c r="DY59" s="125">
        <v>116</v>
      </c>
      <c r="DZ59" s="125">
        <v>117</v>
      </c>
      <c r="EA59" s="125">
        <v>118</v>
      </c>
      <c r="EB59" s="125">
        <v>119</v>
      </c>
      <c r="EC59" s="125">
        <v>120</v>
      </c>
      <c r="ED59" s="125">
        <v>121</v>
      </c>
      <c r="EE59" s="125">
        <v>122</v>
      </c>
      <c r="EF59" s="125">
        <v>123</v>
      </c>
      <c r="EG59" s="125">
        <v>124</v>
      </c>
      <c r="EH59" s="125">
        <v>125</v>
      </c>
      <c r="EI59" s="125">
        <v>126</v>
      </c>
      <c r="EJ59" s="125">
        <v>127</v>
      </c>
      <c r="EK59" s="125">
        <v>128</v>
      </c>
      <c r="EL59" s="125">
        <v>129</v>
      </c>
      <c r="EM59" s="125">
        <v>130</v>
      </c>
      <c r="EN59" s="125">
        <v>131</v>
      </c>
      <c r="EO59" s="125">
        <v>132</v>
      </c>
      <c r="EP59" s="125">
        <v>133</v>
      </c>
      <c r="EQ59" s="125">
        <v>134</v>
      </c>
      <c r="ER59" s="125">
        <v>135</v>
      </c>
      <c r="ES59" s="125">
        <v>136</v>
      </c>
      <c r="ET59" s="125">
        <v>137</v>
      </c>
      <c r="EU59" s="125">
        <v>138</v>
      </c>
      <c r="EV59" s="125">
        <v>139</v>
      </c>
      <c r="EW59" s="125">
        <v>140</v>
      </c>
      <c r="EX59" s="125">
        <v>141</v>
      </c>
      <c r="EY59" s="125">
        <v>142</v>
      </c>
      <c r="EZ59" s="125">
        <v>143</v>
      </c>
      <c r="FA59" s="125">
        <v>144</v>
      </c>
      <c r="FB59" s="125">
        <v>145</v>
      </c>
      <c r="FC59" s="125">
        <v>146</v>
      </c>
      <c r="FD59" s="125">
        <v>147</v>
      </c>
      <c r="FE59" s="125">
        <v>148</v>
      </c>
      <c r="FF59" s="125">
        <v>149</v>
      </c>
      <c r="FG59" s="125">
        <v>150</v>
      </c>
      <c r="FH59" s="125">
        <v>151</v>
      </c>
      <c r="FI59" s="125">
        <v>152</v>
      </c>
      <c r="FJ59" s="125">
        <v>153</v>
      </c>
      <c r="FK59" s="125">
        <v>154</v>
      </c>
      <c r="FL59" s="125">
        <v>155</v>
      </c>
      <c r="FM59" s="125">
        <v>156</v>
      </c>
      <c r="FN59" s="125">
        <v>157</v>
      </c>
      <c r="FO59" s="125">
        <v>158</v>
      </c>
      <c r="FP59" s="125">
        <v>159</v>
      </c>
      <c r="FQ59" s="125">
        <v>160</v>
      </c>
    </row>
    <row r="60" spans="1:173" x14ac:dyDescent="0.25">
      <c r="A60" s="120">
        <v>48</v>
      </c>
      <c r="B60" s="121" t="s">
        <v>46</v>
      </c>
      <c r="C60" s="122"/>
      <c r="D60" s="122" t="s">
        <v>228</v>
      </c>
      <c r="E60" s="123">
        <v>48</v>
      </c>
      <c r="F60" s="124">
        <f t="shared" si="0"/>
        <v>2</v>
      </c>
      <c r="J60" s="109" t="str">
        <f>+Perfil!F3</f>
        <v>Amy Bridgit Cotrina Alvarado</v>
      </c>
      <c r="K60" s="109" t="str">
        <f>+Perfil!F5</f>
        <v>14 años</v>
      </c>
      <c r="L60" s="109" t="str">
        <f>+Perfil!N5</f>
        <v>Varón</v>
      </c>
      <c r="M60" s="110" t="str">
        <f ca="1">+Perfil!F7</f>
        <v>Varones de 13 a 15 años (España)</v>
      </c>
      <c r="N60" s="110">
        <f>+VLOOKUP(N59,$E$13:$F$172,2,0)</f>
        <v>2</v>
      </c>
      <c r="O60" s="110">
        <f t="shared" ref="O60:BZ60" si="1">+VLOOKUP(O59,$E$13:$F$172,2,0)</f>
        <v>1</v>
      </c>
      <c r="P60" s="110">
        <f t="shared" si="1"/>
        <v>1</v>
      </c>
      <c r="Q60" s="110">
        <f t="shared" si="1"/>
        <v>1</v>
      </c>
      <c r="R60" s="110">
        <f t="shared" si="1"/>
        <v>1</v>
      </c>
      <c r="S60" s="110">
        <f t="shared" si="1"/>
        <v>1</v>
      </c>
      <c r="T60" s="110">
        <f t="shared" si="1"/>
        <v>1</v>
      </c>
      <c r="U60" s="110">
        <f t="shared" si="1"/>
        <v>1</v>
      </c>
      <c r="V60" s="110">
        <f t="shared" si="1"/>
        <v>1</v>
      </c>
      <c r="W60" s="110">
        <f t="shared" si="1"/>
        <v>1</v>
      </c>
      <c r="X60" s="110">
        <f t="shared" si="1"/>
        <v>1</v>
      </c>
      <c r="Y60" s="110">
        <f t="shared" si="1"/>
        <v>1</v>
      </c>
      <c r="Z60" s="110">
        <f t="shared" si="1"/>
        <v>2</v>
      </c>
      <c r="AA60" s="110">
        <f t="shared" si="1"/>
        <v>1</v>
      </c>
      <c r="AB60" s="110">
        <f t="shared" si="1"/>
        <v>1</v>
      </c>
      <c r="AC60" s="110">
        <f t="shared" si="1"/>
        <v>1</v>
      </c>
      <c r="AD60" s="110">
        <f t="shared" si="1"/>
        <v>2</v>
      </c>
      <c r="AE60" s="110">
        <f t="shared" si="1"/>
        <v>1</v>
      </c>
      <c r="AF60" s="110">
        <f t="shared" si="1"/>
        <v>1</v>
      </c>
      <c r="AG60" s="110">
        <f t="shared" si="1"/>
        <v>1</v>
      </c>
      <c r="AH60" s="110">
        <f t="shared" si="1"/>
        <v>1</v>
      </c>
      <c r="AI60" s="110">
        <f t="shared" si="1"/>
        <v>2</v>
      </c>
      <c r="AJ60" s="110">
        <f t="shared" si="1"/>
        <v>2</v>
      </c>
      <c r="AK60" s="110">
        <f t="shared" si="1"/>
        <v>2</v>
      </c>
      <c r="AL60" s="110">
        <f t="shared" si="1"/>
        <v>1</v>
      </c>
      <c r="AM60" s="110">
        <f t="shared" si="1"/>
        <v>1</v>
      </c>
      <c r="AN60" s="110">
        <f t="shared" si="1"/>
        <v>1</v>
      </c>
      <c r="AO60" s="110">
        <f t="shared" si="1"/>
        <v>2</v>
      </c>
      <c r="AP60" s="110">
        <f t="shared" si="1"/>
        <v>2</v>
      </c>
      <c r="AQ60" s="110">
        <f t="shared" si="1"/>
        <v>2</v>
      </c>
      <c r="AR60" s="110">
        <f t="shared" si="1"/>
        <v>1</v>
      </c>
      <c r="AS60" s="110">
        <f t="shared" si="1"/>
        <v>1</v>
      </c>
      <c r="AT60" s="110">
        <f t="shared" si="1"/>
        <v>1</v>
      </c>
      <c r="AU60" s="110">
        <f t="shared" si="1"/>
        <v>1</v>
      </c>
      <c r="AV60" s="110">
        <f t="shared" si="1"/>
        <v>1</v>
      </c>
      <c r="AW60" s="110">
        <f t="shared" si="1"/>
        <v>1</v>
      </c>
      <c r="AX60" s="110">
        <f t="shared" si="1"/>
        <v>2</v>
      </c>
      <c r="AY60" s="110">
        <f t="shared" si="1"/>
        <v>1</v>
      </c>
      <c r="AZ60" s="110">
        <f t="shared" si="1"/>
        <v>2</v>
      </c>
      <c r="BA60" s="110">
        <f t="shared" si="1"/>
        <v>2</v>
      </c>
      <c r="BB60" s="110">
        <f t="shared" si="1"/>
        <v>2</v>
      </c>
      <c r="BC60" s="110">
        <f t="shared" si="1"/>
        <v>2</v>
      </c>
      <c r="BD60" s="110">
        <f t="shared" si="1"/>
        <v>1</v>
      </c>
      <c r="BE60" s="110">
        <f t="shared" si="1"/>
        <v>1</v>
      </c>
      <c r="BF60" s="110">
        <f t="shared" si="1"/>
        <v>1</v>
      </c>
      <c r="BG60" s="110">
        <f t="shared" si="1"/>
        <v>1</v>
      </c>
      <c r="BH60" s="110">
        <f t="shared" si="1"/>
        <v>2</v>
      </c>
      <c r="BI60" s="110">
        <f t="shared" si="1"/>
        <v>2</v>
      </c>
      <c r="BJ60" s="110">
        <f t="shared" si="1"/>
        <v>1</v>
      </c>
      <c r="BK60" s="110">
        <f t="shared" si="1"/>
        <v>1</v>
      </c>
      <c r="BL60" s="110">
        <f t="shared" si="1"/>
        <v>1</v>
      </c>
      <c r="BM60" s="110">
        <f t="shared" si="1"/>
        <v>2</v>
      </c>
      <c r="BN60" s="110">
        <f t="shared" si="1"/>
        <v>1</v>
      </c>
      <c r="BO60" s="110">
        <f t="shared" si="1"/>
        <v>1</v>
      </c>
      <c r="BP60" s="110">
        <f t="shared" si="1"/>
        <v>1</v>
      </c>
      <c r="BQ60" s="110">
        <f t="shared" si="1"/>
        <v>2</v>
      </c>
      <c r="BR60" s="110">
        <f t="shared" si="1"/>
        <v>2</v>
      </c>
      <c r="BS60" s="110">
        <f t="shared" si="1"/>
        <v>1</v>
      </c>
      <c r="BT60" s="110">
        <f t="shared" si="1"/>
        <v>2</v>
      </c>
      <c r="BU60" s="110">
        <f t="shared" si="1"/>
        <v>1</v>
      </c>
      <c r="BV60" s="110">
        <f t="shared" si="1"/>
        <v>2</v>
      </c>
      <c r="BW60" s="110">
        <f t="shared" si="1"/>
        <v>2</v>
      </c>
      <c r="BX60" s="110">
        <f t="shared" si="1"/>
        <v>1</v>
      </c>
      <c r="BY60" s="110">
        <f t="shared" si="1"/>
        <v>1</v>
      </c>
      <c r="BZ60" s="110">
        <f t="shared" si="1"/>
        <v>1</v>
      </c>
      <c r="CA60" s="110">
        <f t="shared" ref="CA60:EL60" si="2">+VLOOKUP(CA59,$E$13:$F$172,2,0)</f>
        <v>2</v>
      </c>
      <c r="CB60" s="110">
        <f t="shared" si="2"/>
        <v>1</v>
      </c>
      <c r="CC60" s="110">
        <f t="shared" si="2"/>
        <v>2</v>
      </c>
      <c r="CD60" s="110">
        <f t="shared" si="2"/>
        <v>1</v>
      </c>
      <c r="CE60" s="110">
        <f t="shared" si="2"/>
        <v>1</v>
      </c>
      <c r="CF60" s="110">
        <f t="shared" si="2"/>
        <v>1</v>
      </c>
      <c r="CG60" s="110">
        <f t="shared" si="2"/>
        <v>1</v>
      </c>
      <c r="CH60" s="110">
        <f t="shared" si="2"/>
        <v>1</v>
      </c>
      <c r="CI60" s="110">
        <f t="shared" si="2"/>
        <v>2</v>
      </c>
      <c r="CJ60" s="110">
        <f t="shared" si="2"/>
        <v>2</v>
      </c>
      <c r="CK60" s="110">
        <f t="shared" si="2"/>
        <v>1</v>
      </c>
      <c r="CL60" s="110">
        <f t="shared" si="2"/>
        <v>1</v>
      </c>
      <c r="CM60" s="110">
        <f t="shared" si="2"/>
        <v>2</v>
      </c>
      <c r="CN60" s="110">
        <f t="shared" si="2"/>
        <v>1</v>
      </c>
      <c r="CO60" s="110">
        <f t="shared" si="2"/>
        <v>1</v>
      </c>
      <c r="CP60" s="110">
        <f t="shared" si="2"/>
        <v>1</v>
      </c>
      <c r="CQ60" s="110">
        <f t="shared" si="2"/>
        <v>1</v>
      </c>
      <c r="CR60" s="110">
        <f t="shared" si="2"/>
        <v>2</v>
      </c>
      <c r="CS60" s="110">
        <f t="shared" si="2"/>
        <v>1</v>
      </c>
      <c r="CT60" s="110">
        <f t="shared" si="2"/>
        <v>1</v>
      </c>
      <c r="CU60" s="110">
        <f t="shared" si="2"/>
        <v>1</v>
      </c>
      <c r="CV60" s="110">
        <f t="shared" si="2"/>
        <v>2</v>
      </c>
      <c r="CW60" s="110">
        <f t="shared" si="2"/>
        <v>1</v>
      </c>
      <c r="CX60" s="110">
        <f t="shared" si="2"/>
        <v>1</v>
      </c>
      <c r="CY60" s="110">
        <f t="shared" si="2"/>
        <v>2</v>
      </c>
      <c r="CZ60" s="110">
        <f t="shared" si="2"/>
        <v>1</v>
      </c>
      <c r="DA60" s="110">
        <f t="shared" si="2"/>
        <v>2</v>
      </c>
      <c r="DB60" s="110">
        <f t="shared" si="2"/>
        <v>2</v>
      </c>
      <c r="DC60" s="110">
        <f t="shared" si="2"/>
        <v>2</v>
      </c>
      <c r="DD60" s="110">
        <f t="shared" si="2"/>
        <v>1</v>
      </c>
      <c r="DE60" s="110">
        <f t="shared" si="2"/>
        <v>2</v>
      </c>
      <c r="DF60" s="110">
        <f t="shared" si="2"/>
        <v>2</v>
      </c>
      <c r="DG60" s="110">
        <f t="shared" si="2"/>
        <v>1</v>
      </c>
      <c r="DH60" s="110">
        <f t="shared" si="2"/>
        <v>1</v>
      </c>
      <c r="DI60" s="110">
        <f t="shared" si="2"/>
        <v>1</v>
      </c>
      <c r="DJ60" s="110">
        <f t="shared" si="2"/>
        <v>1</v>
      </c>
      <c r="DK60" s="110">
        <f t="shared" si="2"/>
        <v>2</v>
      </c>
      <c r="DL60" s="110">
        <f t="shared" si="2"/>
        <v>2</v>
      </c>
      <c r="DM60" s="110">
        <f t="shared" si="2"/>
        <v>2</v>
      </c>
      <c r="DN60" s="110">
        <f t="shared" si="2"/>
        <v>1</v>
      </c>
      <c r="DO60" s="110">
        <f t="shared" si="2"/>
        <v>1</v>
      </c>
      <c r="DP60" s="110">
        <f t="shared" si="2"/>
        <v>1</v>
      </c>
      <c r="DQ60" s="110">
        <f t="shared" si="2"/>
        <v>1</v>
      </c>
      <c r="DR60" s="110">
        <f t="shared" si="2"/>
        <v>2</v>
      </c>
      <c r="DS60" s="110">
        <f t="shared" si="2"/>
        <v>1</v>
      </c>
      <c r="DT60" s="110">
        <f t="shared" si="2"/>
        <v>2</v>
      </c>
      <c r="DU60" s="110">
        <f t="shared" si="2"/>
        <v>1</v>
      </c>
      <c r="DV60" s="110">
        <f t="shared" si="2"/>
        <v>2</v>
      </c>
      <c r="DW60" s="110">
        <f t="shared" si="2"/>
        <v>2</v>
      </c>
      <c r="DX60" s="110">
        <f t="shared" si="2"/>
        <v>2</v>
      </c>
      <c r="DY60" s="110">
        <f t="shared" si="2"/>
        <v>2</v>
      </c>
      <c r="DZ60" s="110">
        <f t="shared" si="2"/>
        <v>2</v>
      </c>
      <c r="EA60" s="110">
        <f t="shared" si="2"/>
        <v>1</v>
      </c>
      <c r="EB60" s="110">
        <f t="shared" si="2"/>
        <v>2</v>
      </c>
      <c r="EC60" s="110">
        <f t="shared" si="2"/>
        <v>2</v>
      </c>
      <c r="ED60" s="110">
        <f t="shared" si="2"/>
        <v>1</v>
      </c>
      <c r="EE60" s="110">
        <f t="shared" si="2"/>
        <v>1</v>
      </c>
      <c r="EF60" s="110">
        <f t="shared" si="2"/>
        <v>1</v>
      </c>
      <c r="EG60" s="110">
        <f t="shared" si="2"/>
        <v>1</v>
      </c>
      <c r="EH60" s="110">
        <f t="shared" si="2"/>
        <v>1</v>
      </c>
      <c r="EI60" s="110">
        <f t="shared" si="2"/>
        <v>2</v>
      </c>
      <c r="EJ60" s="110">
        <f t="shared" si="2"/>
        <v>1</v>
      </c>
      <c r="EK60" s="110">
        <f t="shared" si="2"/>
        <v>2</v>
      </c>
      <c r="EL60" s="110">
        <f t="shared" si="2"/>
        <v>1</v>
      </c>
      <c r="EM60" s="110">
        <f t="shared" ref="EM60:FQ60" si="3">+VLOOKUP(EM59,$E$13:$F$172,2,0)</f>
        <v>1</v>
      </c>
      <c r="EN60" s="110">
        <f t="shared" si="3"/>
        <v>2</v>
      </c>
      <c r="EO60" s="110">
        <f t="shared" si="3"/>
        <v>1</v>
      </c>
      <c r="EP60" s="110">
        <f t="shared" si="3"/>
        <v>1</v>
      </c>
      <c r="EQ60" s="110">
        <f t="shared" si="3"/>
        <v>2</v>
      </c>
      <c r="ER60" s="110">
        <f t="shared" si="3"/>
        <v>2</v>
      </c>
      <c r="ES60" s="110">
        <f t="shared" si="3"/>
        <v>1</v>
      </c>
      <c r="ET60" s="110">
        <f t="shared" si="3"/>
        <v>2</v>
      </c>
      <c r="EU60" s="110">
        <f t="shared" si="3"/>
        <v>1</v>
      </c>
      <c r="EV60" s="110">
        <f t="shared" si="3"/>
        <v>2</v>
      </c>
      <c r="EW60" s="110">
        <f t="shared" si="3"/>
        <v>1</v>
      </c>
      <c r="EX60" s="110">
        <f t="shared" si="3"/>
        <v>1</v>
      </c>
      <c r="EY60" s="110">
        <f t="shared" si="3"/>
        <v>1</v>
      </c>
      <c r="EZ60" s="110">
        <f t="shared" si="3"/>
        <v>2</v>
      </c>
      <c r="FA60" s="110">
        <f t="shared" si="3"/>
        <v>1</v>
      </c>
      <c r="FB60" s="110">
        <f t="shared" si="3"/>
        <v>1</v>
      </c>
      <c r="FC60" s="110">
        <f t="shared" si="3"/>
        <v>1</v>
      </c>
      <c r="FD60" s="110">
        <f t="shared" si="3"/>
        <v>1</v>
      </c>
      <c r="FE60" s="110">
        <f t="shared" si="3"/>
        <v>1</v>
      </c>
      <c r="FF60" s="110">
        <f t="shared" si="3"/>
        <v>1</v>
      </c>
      <c r="FG60" s="110">
        <f t="shared" si="3"/>
        <v>2</v>
      </c>
      <c r="FH60" s="110">
        <f t="shared" si="3"/>
        <v>2</v>
      </c>
      <c r="FI60" s="110">
        <f t="shared" si="3"/>
        <v>2</v>
      </c>
      <c r="FJ60" s="110">
        <f t="shared" si="3"/>
        <v>1</v>
      </c>
      <c r="FK60" s="110">
        <f t="shared" si="3"/>
        <v>2</v>
      </c>
      <c r="FL60" s="110">
        <f t="shared" si="3"/>
        <v>1</v>
      </c>
      <c r="FM60" s="110">
        <f t="shared" si="3"/>
        <v>1</v>
      </c>
      <c r="FN60" s="110">
        <f t="shared" si="3"/>
        <v>2</v>
      </c>
      <c r="FO60" s="110">
        <f t="shared" si="3"/>
        <v>1</v>
      </c>
      <c r="FP60" s="110">
        <f t="shared" si="3"/>
        <v>1</v>
      </c>
      <c r="FQ60" s="110">
        <f t="shared" si="3"/>
        <v>1</v>
      </c>
    </row>
    <row r="61" spans="1:173" x14ac:dyDescent="0.25">
      <c r="A61" s="120">
        <v>49</v>
      </c>
      <c r="B61" s="121" t="s">
        <v>47</v>
      </c>
      <c r="C61" s="122" t="s">
        <v>228</v>
      </c>
      <c r="D61" s="122"/>
      <c r="E61" s="123">
        <v>49</v>
      </c>
      <c r="F61" s="124">
        <f t="shared" si="0"/>
        <v>1</v>
      </c>
    </row>
    <row r="62" spans="1:173" x14ac:dyDescent="0.25">
      <c r="A62" s="120">
        <v>50</v>
      </c>
      <c r="B62" s="121" t="s">
        <v>48</v>
      </c>
      <c r="C62" s="122" t="s">
        <v>228</v>
      </c>
      <c r="D62" s="122"/>
      <c r="E62" s="123">
        <v>50</v>
      </c>
      <c r="F62" s="124">
        <f t="shared" si="0"/>
        <v>1</v>
      </c>
    </row>
    <row r="63" spans="1:173" x14ac:dyDescent="0.25">
      <c r="A63" s="120">
        <v>51</v>
      </c>
      <c r="B63" s="121" t="s">
        <v>49</v>
      </c>
      <c r="C63" s="122" t="s">
        <v>228</v>
      </c>
      <c r="D63" s="122"/>
      <c r="E63" s="123">
        <v>51</v>
      </c>
      <c r="F63" s="124">
        <f t="shared" si="0"/>
        <v>1</v>
      </c>
    </row>
    <row r="64" spans="1:173" x14ac:dyDescent="0.25">
      <c r="A64" s="120">
        <v>52</v>
      </c>
      <c r="B64" s="121" t="s">
        <v>50</v>
      </c>
      <c r="C64" s="122"/>
      <c r="D64" s="122" t="s">
        <v>228</v>
      </c>
      <c r="E64" s="123">
        <v>52</v>
      </c>
      <c r="F64" s="124">
        <f t="shared" si="0"/>
        <v>2</v>
      </c>
    </row>
    <row r="65" spans="1:6" x14ac:dyDescent="0.25">
      <c r="A65" s="120">
        <v>53</v>
      </c>
      <c r="B65" s="121" t="s">
        <v>51</v>
      </c>
      <c r="C65" s="122" t="s">
        <v>228</v>
      </c>
      <c r="D65" s="122"/>
      <c r="E65" s="123">
        <v>53</v>
      </c>
      <c r="F65" s="124">
        <f t="shared" si="0"/>
        <v>1</v>
      </c>
    </row>
    <row r="66" spans="1:6" x14ac:dyDescent="0.25">
      <c r="A66" s="120">
        <v>54</v>
      </c>
      <c r="B66" s="121" t="s">
        <v>52</v>
      </c>
      <c r="C66" s="122" t="s">
        <v>228</v>
      </c>
      <c r="D66" s="122"/>
      <c r="E66" s="123">
        <v>54</v>
      </c>
      <c r="F66" s="124">
        <f t="shared" si="0"/>
        <v>1</v>
      </c>
    </row>
    <row r="67" spans="1:6" x14ac:dyDescent="0.25">
      <c r="A67" s="120">
        <v>55</v>
      </c>
      <c r="B67" s="127" t="s">
        <v>473</v>
      </c>
      <c r="C67" s="122" t="s">
        <v>228</v>
      </c>
      <c r="D67" s="122"/>
      <c r="E67" s="123">
        <v>55</v>
      </c>
      <c r="F67" s="124">
        <f t="shared" si="0"/>
        <v>1</v>
      </c>
    </row>
    <row r="68" spans="1:6" x14ac:dyDescent="0.25">
      <c r="A68" s="120">
        <v>56</v>
      </c>
      <c r="B68" s="121" t="s">
        <v>53</v>
      </c>
      <c r="C68" s="122"/>
      <c r="D68" s="122" t="s">
        <v>228</v>
      </c>
      <c r="E68" s="123">
        <v>56</v>
      </c>
      <c r="F68" s="124">
        <f t="shared" si="0"/>
        <v>2</v>
      </c>
    </row>
    <row r="69" spans="1:6" x14ac:dyDescent="0.25">
      <c r="A69" s="120">
        <v>57</v>
      </c>
      <c r="B69" s="121" t="s">
        <v>54</v>
      </c>
      <c r="C69" s="122"/>
      <c r="D69" s="122" t="s">
        <v>228</v>
      </c>
      <c r="E69" s="123">
        <v>57</v>
      </c>
      <c r="F69" s="124">
        <f t="shared" si="0"/>
        <v>2</v>
      </c>
    </row>
    <row r="70" spans="1:6" x14ac:dyDescent="0.25">
      <c r="A70" s="120">
        <v>58</v>
      </c>
      <c r="B70" s="121" t="s">
        <v>55</v>
      </c>
      <c r="C70" s="122" t="s">
        <v>228</v>
      </c>
      <c r="D70" s="122"/>
      <c r="E70" s="123">
        <v>58</v>
      </c>
      <c r="F70" s="124">
        <f t="shared" si="0"/>
        <v>1</v>
      </c>
    </row>
    <row r="71" spans="1:6" x14ac:dyDescent="0.25">
      <c r="A71" s="120">
        <v>59</v>
      </c>
      <c r="B71" s="121" t="s">
        <v>56</v>
      </c>
      <c r="C71" s="122"/>
      <c r="D71" s="122" t="s">
        <v>228</v>
      </c>
      <c r="E71" s="123">
        <v>59</v>
      </c>
      <c r="F71" s="124">
        <f t="shared" si="0"/>
        <v>2</v>
      </c>
    </row>
    <row r="72" spans="1:6" x14ac:dyDescent="0.25">
      <c r="A72" s="120">
        <v>60</v>
      </c>
      <c r="B72" s="121" t="s">
        <v>57</v>
      </c>
      <c r="C72" s="122" t="s">
        <v>228</v>
      </c>
      <c r="D72" s="122"/>
      <c r="E72" s="123">
        <v>60</v>
      </c>
      <c r="F72" s="124">
        <f t="shared" si="0"/>
        <v>1</v>
      </c>
    </row>
    <row r="73" spans="1:6" x14ac:dyDescent="0.25">
      <c r="A73" s="120">
        <v>61</v>
      </c>
      <c r="B73" s="121" t="s">
        <v>58</v>
      </c>
      <c r="C73" s="122"/>
      <c r="D73" s="122" t="s">
        <v>228</v>
      </c>
      <c r="E73" s="123">
        <v>61</v>
      </c>
      <c r="F73" s="124">
        <f t="shared" si="0"/>
        <v>2</v>
      </c>
    </row>
    <row r="74" spans="1:6" x14ac:dyDescent="0.25">
      <c r="A74" s="120">
        <v>62</v>
      </c>
      <c r="B74" s="121" t="s">
        <v>474</v>
      </c>
      <c r="C74" s="122"/>
      <c r="D74" s="122" t="s">
        <v>228</v>
      </c>
      <c r="E74" s="123">
        <v>62</v>
      </c>
      <c r="F74" s="124">
        <f t="shared" si="0"/>
        <v>2</v>
      </c>
    </row>
    <row r="75" spans="1:6" x14ac:dyDescent="0.25">
      <c r="A75" s="120">
        <v>63</v>
      </c>
      <c r="B75" s="121" t="s">
        <v>59</v>
      </c>
      <c r="C75" s="122" t="s">
        <v>228</v>
      </c>
      <c r="D75" s="122"/>
      <c r="E75" s="123">
        <v>63</v>
      </c>
      <c r="F75" s="124">
        <f t="shared" si="0"/>
        <v>1</v>
      </c>
    </row>
    <row r="76" spans="1:6" x14ac:dyDescent="0.25">
      <c r="A76" s="120">
        <v>64</v>
      </c>
      <c r="B76" s="121" t="s">
        <v>60</v>
      </c>
      <c r="C76" s="122" t="s">
        <v>228</v>
      </c>
      <c r="D76" s="122"/>
      <c r="E76" s="123">
        <v>64</v>
      </c>
      <c r="F76" s="124">
        <f t="shared" si="0"/>
        <v>1</v>
      </c>
    </row>
    <row r="77" spans="1:6" x14ac:dyDescent="0.25">
      <c r="A77" s="120">
        <v>65</v>
      </c>
      <c r="B77" s="121" t="s">
        <v>61</v>
      </c>
      <c r="C77" s="122" t="s">
        <v>228</v>
      </c>
      <c r="D77" s="122"/>
      <c r="E77" s="123">
        <v>65</v>
      </c>
      <c r="F77" s="124">
        <f t="shared" si="0"/>
        <v>1</v>
      </c>
    </row>
    <row r="78" spans="1:6" x14ac:dyDescent="0.25">
      <c r="A78" s="120">
        <v>66</v>
      </c>
      <c r="B78" s="121" t="s">
        <v>62</v>
      </c>
      <c r="C78" s="122"/>
      <c r="D78" s="122" t="s">
        <v>228</v>
      </c>
      <c r="E78" s="123">
        <v>66</v>
      </c>
      <c r="F78" s="124">
        <f t="shared" ref="F78:F141" si="4">+IF(C78="X",1,IF(D78="X",2,""))</f>
        <v>2</v>
      </c>
    </row>
    <row r="79" spans="1:6" x14ac:dyDescent="0.25">
      <c r="A79" s="120">
        <v>67</v>
      </c>
      <c r="B79" s="121" t="s">
        <v>63</v>
      </c>
      <c r="C79" s="122" t="s">
        <v>228</v>
      </c>
      <c r="D79" s="122"/>
      <c r="E79" s="123">
        <v>67</v>
      </c>
      <c r="F79" s="124">
        <f t="shared" si="4"/>
        <v>1</v>
      </c>
    </row>
    <row r="80" spans="1:6" x14ac:dyDescent="0.25">
      <c r="A80" s="120">
        <v>68</v>
      </c>
      <c r="B80" s="121" t="s">
        <v>64</v>
      </c>
      <c r="C80" s="122"/>
      <c r="D80" s="122" t="s">
        <v>228</v>
      </c>
      <c r="E80" s="123">
        <v>68</v>
      </c>
      <c r="F80" s="124">
        <f t="shared" si="4"/>
        <v>2</v>
      </c>
    </row>
    <row r="81" spans="1:199" x14ac:dyDescent="0.25">
      <c r="A81" s="120">
        <v>69</v>
      </c>
      <c r="B81" s="121" t="s">
        <v>65</v>
      </c>
      <c r="C81" s="122" t="s">
        <v>228</v>
      </c>
      <c r="D81" s="122"/>
      <c r="E81" s="123">
        <v>69</v>
      </c>
      <c r="F81" s="124">
        <f t="shared" si="4"/>
        <v>1</v>
      </c>
    </row>
    <row r="82" spans="1:199" x14ac:dyDescent="0.25">
      <c r="A82" s="120">
        <v>70</v>
      </c>
      <c r="B82" s="121" t="s">
        <v>66</v>
      </c>
      <c r="C82" s="122" t="s">
        <v>228</v>
      </c>
      <c r="D82" s="122"/>
      <c r="E82" s="123">
        <v>70</v>
      </c>
      <c r="F82" s="124">
        <f t="shared" si="4"/>
        <v>1</v>
      </c>
      <c r="I82" s="115"/>
      <c r="J82" s="115"/>
      <c r="K82" s="128"/>
      <c r="L82" s="139"/>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c r="AL82" s="125"/>
      <c r="AM82" s="125"/>
      <c r="AN82" s="125"/>
      <c r="AO82" s="125"/>
      <c r="AP82" s="125"/>
      <c r="AQ82" s="125"/>
      <c r="AR82" s="125"/>
      <c r="AS82" s="125"/>
      <c r="AT82" s="125"/>
      <c r="AU82" s="125"/>
      <c r="AV82" s="125"/>
      <c r="AW82" s="125"/>
      <c r="AX82" s="125"/>
      <c r="AY82" s="125"/>
      <c r="AZ82" s="125"/>
      <c r="BA82" s="125"/>
      <c r="BB82" s="125"/>
      <c r="BC82" s="125"/>
      <c r="BD82" s="125"/>
      <c r="BE82" s="125"/>
      <c r="BF82" s="125"/>
      <c r="BG82" s="125"/>
      <c r="BH82" s="125"/>
      <c r="BI82" s="125"/>
      <c r="BJ82" s="125"/>
      <c r="BK82" s="125"/>
      <c r="BL82" s="125"/>
      <c r="BM82" s="125"/>
      <c r="BN82" s="125"/>
      <c r="BO82" s="125"/>
      <c r="BP82" s="125"/>
      <c r="BQ82" s="125"/>
      <c r="BR82" s="125"/>
      <c r="BS82" s="125"/>
      <c r="BT82" s="125"/>
      <c r="BU82" s="125"/>
      <c r="BV82" s="125"/>
      <c r="BW82" s="125"/>
      <c r="BX82" s="125"/>
      <c r="BY82" s="125"/>
      <c r="BZ82" s="125"/>
      <c r="CA82" s="125"/>
      <c r="CB82" s="125"/>
      <c r="CC82" s="125"/>
      <c r="CD82" s="125"/>
      <c r="CE82" s="125"/>
      <c r="CF82" s="125"/>
      <c r="CG82" s="125"/>
      <c r="CH82" s="125"/>
      <c r="CI82" s="125"/>
      <c r="CJ82" s="125"/>
      <c r="CK82" s="125"/>
      <c r="CL82" s="125"/>
      <c r="CM82" s="125"/>
      <c r="CN82" s="125"/>
      <c r="CO82" s="125"/>
      <c r="CP82" s="125"/>
      <c r="CQ82" s="125"/>
      <c r="CR82" s="125"/>
      <c r="CS82" s="125"/>
      <c r="CT82" s="125"/>
      <c r="CU82" s="125"/>
      <c r="CV82" s="125"/>
      <c r="CW82" s="125"/>
      <c r="CX82" s="125"/>
      <c r="CY82" s="125"/>
      <c r="CZ82" s="125"/>
      <c r="DA82" s="125"/>
      <c r="DB82" s="125"/>
      <c r="DC82" s="125"/>
      <c r="DD82" s="125"/>
      <c r="DE82" s="125"/>
      <c r="DF82" s="125"/>
      <c r="DG82" s="125"/>
      <c r="DH82" s="125"/>
      <c r="DI82" s="125"/>
      <c r="DJ82" s="125"/>
      <c r="DK82" s="125"/>
      <c r="DL82" s="125"/>
      <c r="DM82" s="125"/>
      <c r="DN82" s="125"/>
      <c r="DO82" s="125"/>
      <c r="DP82" s="125"/>
      <c r="DQ82" s="125"/>
      <c r="DR82" s="125"/>
      <c r="DS82" s="125"/>
      <c r="DT82" s="125"/>
      <c r="DU82" s="125"/>
      <c r="DV82" s="125"/>
      <c r="DW82" s="125"/>
      <c r="DX82" s="125"/>
      <c r="DY82" s="125"/>
      <c r="DZ82" s="125"/>
      <c r="EA82" s="125"/>
      <c r="EB82" s="125"/>
      <c r="EC82" s="125"/>
      <c r="ED82" s="125"/>
      <c r="EE82" s="125"/>
      <c r="EF82" s="125"/>
      <c r="EG82" s="125"/>
      <c r="EH82" s="125"/>
      <c r="EI82" s="125"/>
      <c r="EJ82" s="125"/>
      <c r="EK82" s="125"/>
      <c r="EL82" s="125"/>
      <c r="EM82" s="125"/>
      <c r="EN82" s="125"/>
      <c r="EO82" s="125"/>
      <c r="EP82" s="125"/>
      <c r="EQ82" s="125"/>
      <c r="ER82" s="125"/>
      <c r="ES82" s="125"/>
      <c r="ET82" s="125"/>
      <c r="EU82" s="125"/>
      <c r="EV82" s="125"/>
      <c r="EW82" s="125"/>
      <c r="EX82" s="125"/>
      <c r="EY82" s="125"/>
      <c r="EZ82" s="125"/>
      <c r="FA82" s="125"/>
      <c r="FB82" s="125"/>
      <c r="FC82" s="125"/>
      <c r="FD82" s="125"/>
      <c r="FE82" s="125"/>
      <c r="FF82" s="125"/>
      <c r="FG82" s="125"/>
      <c r="FH82" s="125"/>
      <c r="FI82" s="125"/>
      <c r="FJ82" s="125"/>
      <c r="FK82" s="125"/>
      <c r="FL82" s="125"/>
      <c r="FM82" s="125"/>
      <c r="FN82" s="125"/>
      <c r="FO82" s="125"/>
      <c r="FP82" s="125"/>
      <c r="FQ82" s="125"/>
      <c r="FR82" s="125"/>
      <c r="FS82" s="125"/>
      <c r="FT82" s="125"/>
      <c r="FU82" s="125"/>
      <c r="FV82" s="125"/>
      <c r="FW82" s="125"/>
      <c r="FX82" s="125"/>
      <c r="FY82" s="125"/>
      <c r="FZ82" s="125"/>
      <c r="GA82" s="125"/>
      <c r="GB82" s="125"/>
      <c r="GC82" s="125"/>
      <c r="GD82" s="125"/>
      <c r="GE82" s="125"/>
      <c r="GF82" s="125"/>
      <c r="GG82" s="125"/>
      <c r="GH82" s="125"/>
      <c r="GI82" s="125"/>
      <c r="GJ82" s="125"/>
      <c r="GK82" s="125"/>
      <c r="GL82" s="125"/>
      <c r="GM82" s="125"/>
      <c r="GN82" s="125"/>
      <c r="GO82" s="125"/>
      <c r="GP82" s="125"/>
      <c r="GQ82" s="125"/>
    </row>
    <row r="83" spans="1:199" x14ac:dyDescent="0.25">
      <c r="A83" s="120">
        <v>71</v>
      </c>
      <c r="B83" s="121" t="s">
        <v>67</v>
      </c>
      <c r="C83" s="122" t="s">
        <v>228</v>
      </c>
      <c r="D83" s="122"/>
      <c r="E83" s="123">
        <v>71</v>
      </c>
      <c r="F83" s="124">
        <f t="shared" si="4"/>
        <v>1</v>
      </c>
      <c r="K83" s="107"/>
      <c r="L83" s="140"/>
      <c r="M83" s="129"/>
      <c r="N83" s="129"/>
      <c r="BN83" s="110"/>
      <c r="BO83" s="110"/>
      <c r="BQ83" s="110"/>
      <c r="BS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c r="CY83" s="110"/>
      <c r="CZ83" s="110"/>
      <c r="DA83" s="110"/>
      <c r="DB83" s="110"/>
      <c r="DC83" s="110"/>
      <c r="DD83" s="110"/>
      <c r="DE83" s="110"/>
      <c r="DF83" s="110"/>
      <c r="DG83" s="110"/>
      <c r="DH83" s="110"/>
      <c r="DI83" s="110"/>
      <c r="DJ83" s="110"/>
      <c r="DK83" s="110"/>
      <c r="DL83" s="110"/>
      <c r="DM83" s="110"/>
      <c r="DN83" s="110"/>
      <c r="DO83" s="110"/>
      <c r="DP83" s="110"/>
      <c r="DQ83" s="110"/>
      <c r="DR83" s="110"/>
      <c r="DS83" s="110"/>
      <c r="DT83" s="110"/>
      <c r="DU83" s="110"/>
      <c r="DV83" s="110"/>
      <c r="DW83" s="110"/>
      <c r="DX83" s="110"/>
      <c r="DY83" s="110"/>
      <c r="DZ83" s="110"/>
      <c r="EA83" s="110"/>
      <c r="EB83" s="110"/>
      <c r="EC83" s="110"/>
      <c r="ED83" s="110"/>
      <c r="EE83" s="110"/>
      <c r="EF83" s="110"/>
      <c r="EG83" s="110"/>
      <c r="EH83" s="110"/>
      <c r="EI83" s="110"/>
      <c r="EJ83" s="110"/>
      <c r="EK83" s="110"/>
      <c r="EL83" s="110"/>
      <c r="EM83" s="110"/>
      <c r="EN83" s="110"/>
      <c r="EO83" s="110"/>
      <c r="EP83" s="110"/>
      <c r="EQ83" s="110"/>
      <c r="ER83" s="110"/>
      <c r="ES83" s="110"/>
      <c r="ET83" s="110"/>
      <c r="EU83" s="110"/>
      <c r="EV83" s="110"/>
      <c r="EW83" s="110"/>
      <c r="EX83" s="110"/>
      <c r="EY83" s="110"/>
      <c r="EZ83" s="110"/>
      <c r="FA83" s="110"/>
      <c r="FB83" s="110"/>
      <c r="FC83" s="110"/>
      <c r="FD83" s="110"/>
      <c r="FE83" s="110"/>
      <c r="FF83" s="110"/>
      <c r="FG83" s="110"/>
      <c r="FH83" s="110"/>
      <c r="FI83" s="110"/>
      <c r="FJ83" s="110"/>
      <c r="FK83" s="110"/>
      <c r="FL83" s="110"/>
      <c r="FM83" s="110"/>
      <c r="FN83" s="110"/>
      <c r="FO83" s="110"/>
      <c r="FP83" s="110"/>
      <c r="FQ83" s="110"/>
      <c r="FR83" s="110"/>
      <c r="FS83" s="110"/>
      <c r="FT83" s="110"/>
      <c r="FU83" s="110"/>
      <c r="FV83" s="110"/>
      <c r="FW83" s="110"/>
      <c r="FX83" s="110"/>
      <c r="FY83" s="110"/>
      <c r="FZ83" s="110"/>
      <c r="GA83" s="110"/>
      <c r="GB83" s="110"/>
      <c r="GC83" s="110"/>
      <c r="GD83" s="110"/>
      <c r="GE83" s="110"/>
      <c r="GF83" s="110"/>
      <c r="GG83" s="110"/>
      <c r="GH83" s="110"/>
      <c r="GI83" s="110"/>
      <c r="GJ83" s="110"/>
      <c r="GK83" s="110"/>
      <c r="GL83" s="110"/>
      <c r="GM83" s="110"/>
      <c r="GN83" s="110"/>
      <c r="GO83" s="110"/>
      <c r="GP83" s="110"/>
      <c r="GQ83" s="110"/>
    </row>
    <row r="84" spans="1:199" x14ac:dyDescent="0.25">
      <c r="A84" s="120">
        <v>72</v>
      </c>
      <c r="B84" s="127" t="s">
        <v>475</v>
      </c>
      <c r="C84" s="122" t="s">
        <v>228</v>
      </c>
      <c r="D84" s="122"/>
      <c r="E84" s="123">
        <v>72</v>
      </c>
      <c r="F84" s="124">
        <f t="shared" si="4"/>
        <v>1</v>
      </c>
    </row>
    <row r="85" spans="1:199" x14ac:dyDescent="0.25">
      <c r="A85" s="120">
        <v>73</v>
      </c>
      <c r="B85" s="121" t="s">
        <v>68</v>
      </c>
      <c r="C85" s="122" t="s">
        <v>228</v>
      </c>
      <c r="D85" s="122"/>
      <c r="E85" s="123">
        <v>73</v>
      </c>
      <c r="F85" s="124">
        <f t="shared" si="4"/>
        <v>1</v>
      </c>
    </row>
    <row r="86" spans="1:199" x14ac:dyDescent="0.25">
      <c r="A86" s="120">
        <v>74</v>
      </c>
      <c r="B86" s="121" t="s">
        <v>69</v>
      </c>
      <c r="C86" s="122"/>
      <c r="D86" s="122" t="s">
        <v>228</v>
      </c>
      <c r="E86" s="123">
        <v>74</v>
      </c>
      <c r="F86" s="124">
        <f t="shared" si="4"/>
        <v>2</v>
      </c>
    </row>
    <row r="87" spans="1:199" x14ac:dyDescent="0.25">
      <c r="A87" s="120">
        <v>75</v>
      </c>
      <c r="B87" s="121" t="s">
        <v>70</v>
      </c>
      <c r="C87" s="122"/>
      <c r="D87" s="122" t="s">
        <v>228</v>
      </c>
      <c r="E87" s="123">
        <v>75</v>
      </c>
      <c r="F87" s="124">
        <f t="shared" si="4"/>
        <v>2</v>
      </c>
    </row>
    <row r="88" spans="1:199" x14ac:dyDescent="0.25">
      <c r="A88" s="120">
        <v>76</v>
      </c>
      <c r="B88" s="121" t="s">
        <v>71</v>
      </c>
      <c r="C88" s="122" t="s">
        <v>228</v>
      </c>
      <c r="D88" s="122"/>
      <c r="E88" s="123">
        <v>76</v>
      </c>
      <c r="F88" s="124">
        <f t="shared" si="4"/>
        <v>1</v>
      </c>
    </row>
    <row r="89" spans="1:199" x14ac:dyDescent="0.25">
      <c r="A89" s="120">
        <v>77</v>
      </c>
      <c r="B89" s="121" t="s">
        <v>72</v>
      </c>
      <c r="C89" s="122" t="s">
        <v>228</v>
      </c>
      <c r="D89" s="122"/>
      <c r="E89" s="123">
        <v>77</v>
      </c>
      <c r="F89" s="124">
        <f t="shared" si="4"/>
        <v>1</v>
      </c>
    </row>
    <row r="90" spans="1:199" x14ac:dyDescent="0.25">
      <c r="A90" s="120">
        <v>78</v>
      </c>
      <c r="B90" s="121" t="s">
        <v>73</v>
      </c>
      <c r="C90" s="122"/>
      <c r="D90" s="122" t="s">
        <v>228</v>
      </c>
      <c r="E90" s="123">
        <v>78</v>
      </c>
      <c r="F90" s="124">
        <f t="shared" si="4"/>
        <v>2</v>
      </c>
    </row>
    <row r="91" spans="1:199" x14ac:dyDescent="0.25">
      <c r="A91" s="120">
        <v>79</v>
      </c>
      <c r="B91" s="121" t="s">
        <v>74</v>
      </c>
      <c r="C91" s="122" t="s">
        <v>228</v>
      </c>
      <c r="D91" s="122"/>
      <c r="E91" s="123">
        <v>79</v>
      </c>
      <c r="F91" s="124">
        <f t="shared" si="4"/>
        <v>1</v>
      </c>
    </row>
    <row r="92" spans="1:199" x14ac:dyDescent="0.25">
      <c r="A92" s="120">
        <v>80</v>
      </c>
      <c r="B92" s="121" t="s">
        <v>75</v>
      </c>
      <c r="C92" s="122" t="s">
        <v>228</v>
      </c>
      <c r="D92" s="122"/>
      <c r="E92" s="123">
        <v>80</v>
      </c>
      <c r="F92" s="124">
        <f t="shared" si="4"/>
        <v>1</v>
      </c>
    </row>
    <row r="93" spans="1:199" x14ac:dyDescent="0.25">
      <c r="A93" s="120">
        <v>81</v>
      </c>
      <c r="B93" s="121" t="s">
        <v>76</v>
      </c>
      <c r="C93" s="122" t="s">
        <v>228</v>
      </c>
      <c r="D93" s="122"/>
      <c r="E93" s="123">
        <v>81</v>
      </c>
      <c r="F93" s="124">
        <f t="shared" si="4"/>
        <v>1</v>
      </c>
    </row>
    <row r="94" spans="1:199" x14ac:dyDescent="0.25">
      <c r="A94" s="120">
        <v>82</v>
      </c>
      <c r="B94" s="121" t="s">
        <v>77</v>
      </c>
      <c r="C94" s="122" t="s">
        <v>228</v>
      </c>
      <c r="D94" s="122"/>
      <c r="E94" s="123">
        <v>82</v>
      </c>
      <c r="F94" s="124">
        <f t="shared" si="4"/>
        <v>1</v>
      </c>
    </row>
    <row r="95" spans="1:199" x14ac:dyDescent="0.25">
      <c r="A95" s="120">
        <v>83</v>
      </c>
      <c r="B95" s="121" t="s">
        <v>78</v>
      </c>
      <c r="C95" s="122"/>
      <c r="D95" s="122" t="s">
        <v>228</v>
      </c>
      <c r="E95" s="123">
        <v>83</v>
      </c>
      <c r="F95" s="124">
        <f t="shared" si="4"/>
        <v>2</v>
      </c>
    </row>
    <row r="96" spans="1:199" x14ac:dyDescent="0.25">
      <c r="A96" s="120">
        <v>84</v>
      </c>
      <c r="B96" s="121" t="s">
        <v>79</v>
      </c>
      <c r="C96" s="122" t="s">
        <v>228</v>
      </c>
      <c r="D96" s="122"/>
      <c r="E96" s="123">
        <v>84</v>
      </c>
      <c r="F96" s="124">
        <f t="shared" si="4"/>
        <v>1</v>
      </c>
    </row>
    <row r="97" spans="1:6" x14ac:dyDescent="0.25">
      <c r="A97" s="120">
        <v>85</v>
      </c>
      <c r="B97" s="121" t="s">
        <v>80</v>
      </c>
      <c r="C97" s="122" t="s">
        <v>228</v>
      </c>
      <c r="D97" s="122"/>
      <c r="E97" s="123">
        <v>85</v>
      </c>
      <c r="F97" s="124">
        <f t="shared" si="4"/>
        <v>1</v>
      </c>
    </row>
    <row r="98" spans="1:6" x14ac:dyDescent="0.25">
      <c r="A98" s="120">
        <v>86</v>
      </c>
      <c r="B98" s="121" t="s">
        <v>81</v>
      </c>
      <c r="C98" s="122" t="s">
        <v>228</v>
      </c>
      <c r="D98" s="122"/>
      <c r="E98" s="123">
        <v>86</v>
      </c>
      <c r="F98" s="124">
        <f t="shared" si="4"/>
        <v>1</v>
      </c>
    </row>
    <row r="99" spans="1:6" x14ac:dyDescent="0.25">
      <c r="A99" s="120">
        <v>87</v>
      </c>
      <c r="B99" s="121" t="s">
        <v>82</v>
      </c>
      <c r="C99" s="122"/>
      <c r="D99" s="122" t="s">
        <v>228</v>
      </c>
      <c r="E99" s="123">
        <v>87</v>
      </c>
      <c r="F99" s="124">
        <f t="shared" si="4"/>
        <v>2</v>
      </c>
    </row>
    <row r="100" spans="1:6" x14ac:dyDescent="0.25">
      <c r="A100" s="120">
        <v>88</v>
      </c>
      <c r="B100" s="121" t="s">
        <v>83</v>
      </c>
      <c r="C100" s="122" t="s">
        <v>228</v>
      </c>
      <c r="D100" s="122"/>
      <c r="E100" s="123">
        <v>88</v>
      </c>
      <c r="F100" s="124">
        <f t="shared" si="4"/>
        <v>1</v>
      </c>
    </row>
    <row r="101" spans="1:6" x14ac:dyDescent="0.25">
      <c r="A101" s="120">
        <v>89</v>
      </c>
      <c r="B101" s="121" t="s">
        <v>84</v>
      </c>
      <c r="C101" s="122" t="s">
        <v>228</v>
      </c>
      <c r="D101" s="122"/>
      <c r="E101" s="123">
        <v>89</v>
      </c>
      <c r="F101" s="124">
        <f t="shared" si="4"/>
        <v>1</v>
      </c>
    </row>
    <row r="102" spans="1:6" x14ac:dyDescent="0.25">
      <c r="A102" s="120">
        <v>90</v>
      </c>
      <c r="B102" s="121" t="s">
        <v>85</v>
      </c>
      <c r="C102" s="122"/>
      <c r="D102" s="122" t="s">
        <v>228</v>
      </c>
      <c r="E102" s="123">
        <v>90</v>
      </c>
      <c r="F102" s="124">
        <f t="shared" si="4"/>
        <v>2</v>
      </c>
    </row>
    <row r="103" spans="1:6" x14ac:dyDescent="0.25">
      <c r="A103" s="120">
        <v>91</v>
      </c>
      <c r="B103" s="121" t="s">
        <v>86</v>
      </c>
      <c r="C103" s="122" t="s">
        <v>228</v>
      </c>
      <c r="D103" s="122"/>
      <c r="E103" s="123">
        <v>91</v>
      </c>
      <c r="F103" s="124">
        <f t="shared" si="4"/>
        <v>1</v>
      </c>
    </row>
    <row r="104" spans="1:6" x14ac:dyDescent="0.25">
      <c r="A104" s="120">
        <v>92</v>
      </c>
      <c r="B104" s="121" t="s">
        <v>87</v>
      </c>
      <c r="C104" s="122"/>
      <c r="D104" s="122" t="s">
        <v>228</v>
      </c>
      <c r="E104" s="123">
        <v>92</v>
      </c>
      <c r="F104" s="124">
        <f t="shared" si="4"/>
        <v>2</v>
      </c>
    </row>
    <row r="105" spans="1:6" x14ac:dyDescent="0.25">
      <c r="A105" s="120">
        <v>93</v>
      </c>
      <c r="B105" s="121" t="s">
        <v>88</v>
      </c>
      <c r="C105" s="122"/>
      <c r="D105" s="122" t="s">
        <v>228</v>
      </c>
      <c r="E105" s="123">
        <v>93</v>
      </c>
      <c r="F105" s="124">
        <f t="shared" si="4"/>
        <v>2</v>
      </c>
    </row>
    <row r="106" spans="1:6" x14ac:dyDescent="0.25">
      <c r="A106" s="120">
        <v>94</v>
      </c>
      <c r="B106" s="121" t="s">
        <v>89</v>
      </c>
      <c r="C106" s="122"/>
      <c r="D106" s="122" t="s">
        <v>228</v>
      </c>
      <c r="E106" s="123">
        <v>94</v>
      </c>
      <c r="F106" s="124">
        <f t="shared" si="4"/>
        <v>2</v>
      </c>
    </row>
    <row r="107" spans="1:6" x14ac:dyDescent="0.25">
      <c r="A107" s="120">
        <v>95</v>
      </c>
      <c r="B107" s="121" t="s">
        <v>90</v>
      </c>
      <c r="C107" s="122" t="s">
        <v>228</v>
      </c>
      <c r="D107" s="122"/>
      <c r="E107" s="123">
        <v>95</v>
      </c>
      <c r="F107" s="124">
        <f t="shared" si="4"/>
        <v>1</v>
      </c>
    </row>
    <row r="108" spans="1:6" x14ac:dyDescent="0.25">
      <c r="A108" s="120">
        <v>96</v>
      </c>
      <c r="B108" s="121" t="s">
        <v>91</v>
      </c>
      <c r="C108" s="122"/>
      <c r="D108" s="122" t="s">
        <v>228</v>
      </c>
      <c r="E108" s="123">
        <v>96</v>
      </c>
      <c r="F108" s="124">
        <f t="shared" si="4"/>
        <v>2</v>
      </c>
    </row>
    <row r="109" spans="1:6" x14ac:dyDescent="0.25">
      <c r="A109" s="120">
        <v>97</v>
      </c>
      <c r="B109" s="121" t="s">
        <v>92</v>
      </c>
      <c r="C109" s="122"/>
      <c r="D109" s="122" t="s">
        <v>228</v>
      </c>
      <c r="E109" s="123">
        <v>97</v>
      </c>
      <c r="F109" s="124">
        <f t="shared" si="4"/>
        <v>2</v>
      </c>
    </row>
    <row r="110" spans="1:6" x14ac:dyDescent="0.25">
      <c r="A110" s="120">
        <v>98</v>
      </c>
      <c r="B110" s="121" t="s">
        <v>93</v>
      </c>
      <c r="C110" s="122" t="s">
        <v>228</v>
      </c>
      <c r="D110" s="122"/>
      <c r="E110" s="123">
        <v>98</v>
      </c>
      <c r="F110" s="124">
        <f t="shared" si="4"/>
        <v>1</v>
      </c>
    </row>
    <row r="111" spans="1:6" x14ac:dyDescent="0.25">
      <c r="A111" s="120">
        <v>99</v>
      </c>
      <c r="B111" s="121" t="s">
        <v>94</v>
      </c>
      <c r="C111" s="122" t="s">
        <v>228</v>
      </c>
      <c r="D111" s="122"/>
      <c r="E111" s="123">
        <v>99</v>
      </c>
      <c r="F111" s="124">
        <f t="shared" si="4"/>
        <v>1</v>
      </c>
    </row>
    <row r="112" spans="1:6" x14ac:dyDescent="0.25">
      <c r="A112" s="120">
        <v>100</v>
      </c>
      <c r="B112" s="121" t="s">
        <v>95</v>
      </c>
      <c r="C112" s="122" t="s">
        <v>228</v>
      </c>
      <c r="D112" s="122"/>
      <c r="E112" s="123">
        <v>100</v>
      </c>
      <c r="F112" s="124">
        <f t="shared" si="4"/>
        <v>1</v>
      </c>
    </row>
    <row r="113" spans="1:8" x14ac:dyDescent="0.25">
      <c r="A113" s="120">
        <v>101</v>
      </c>
      <c r="B113" s="121" t="s">
        <v>96</v>
      </c>
      <c r="C113" s="122" t="s">
        <v>228</v>
      </c>
      <c r="D113" s="122"/>
      <c r="E113" s="123">
        <v>101</v>
      </c>
      <c r="F113" s="124">
        <f t="shared" si="4"/>
        <v>1</v>
      </c>
    </row>
    <row r="114" spans="1:8" x14ac:dyDescent="0.25">
      <c r="A114" s="120">
        <v>102</v>
      </c>
      <c r="B114" s="121" t="s">
        <v>97</v>
      </c>
      <c r="C114" s="122"/>
      <c r="D114" s="122" t="s">
        <v>228</v>
      </c>
      <c r="E114" s="123">
        <v>102</v>
      </c>
      <c r="F114" s="124">
        <f t="shared" si="4"/>
        <v>2</v>
      </c>
    </row>
    <row r="115" spans="1:8" x14ac:dyDescent="0.25">
      <c r="A115" s="120">
        <v>103</v>
      </c>
      <c r="B115" s="121" t="s">
        <v>98</v>
      </c>
      <c r="C115" s="122"/>
      <c r="D115" s="122" t="s">
        <v>228</v>
      </c>
      <c r="E115" s="123">
        <v>103</v>
      </c>
      <c r="F115" s="124">
        <f t="shared" si="4"/>
        <v>2</v>
      </c>
    </row>
    <row r="116" spans="1:8" x14ac:dyDescent="0.25">
      <c r="A116" s="120">
        <v>104</v>
      </c>
      <c r="B116" s="121" t="s">
        <v>99</v>
      </c>
      <c r="C116" s="122"/>
      <c r="D116" s="122" t="s">
        <v>228</v>
      </c>
      <c r="E116" s="123">
        <v>104</v>
      </c>
      <c r="F116" s="124">
        <f t="shared" si="4"/>
        <v>2</v>
      </c>
    </row>
    <row r="117" spans="1:8" x14ac:dyDescent="0.25">
      <c r="A117" s="120">
        <v>105</v>
      </c>
      <c r="B117" s="121" t="s">
        <v>100</v>
      </c>
      <c r="C117" s="122" t="s">
        <v>228</v>
      </c>
      <c r="D117" s="122"/>
      <c r="E117" s="123">
        <v>105</v>
      </c>
      <c r="F117" s="124">
        <f t="shared" si="4"/>
        <v>1</v>
      </c>
    </row>
    <row r="118" spans="1:8" x14ac:dyDescent="0.25">
      <c r="A118" s="120">
        <v>106</v>
      </c>
      <c r="B118" s="121" t="s">
        <v>101</v>
      </c>
      <c r="C118" s="122" t="s">
        <v>228</v>
      </c>
      <c r="D118" s="122"/>
      <c r="E118" s="123">
        <v>106</v>
      </c>
      <c r="F118" s="124">
        <f t="shared" si="4"/>
        <v>1</v>
      </c>
    </row>
    <row r="119" spans="1:8" x14ac:dyDescent="0.25">
      <c r="A119" s="120">
        <v>107</v>
      </c>
      <c r="B119" s="121" t="s">
        <v>102</v>
      </c>
      <c r="C119" s="122" t="s">
        <v>228</v>
      </c>
      <c r="D119" s="122"/>
      <c r="E119" s="123">
        <v>107</v>
      </c>
      <c r="F119" s="124">
        <f t="shared" si="4"/>
        <v>1</v>
      </c>
    </row>
    <row r="120" spans="1:8" x14ac:dyDescent="0.25">
      <c r="A120" s="120">
        <v>108</v>
      </c>
      <c r="B120" s="121" t="s">
        <v>103</v>
      </c>
      <c r="C120" s="122" t="s">
        <v>228</v>
      </c>
      <c r="D120" s="122"/>
      <c r="E120" s="123">
        <v>108</v>
      </c>
      <c r="F120" s="124">
        <f t="shared" si="4"/>
        <v>1</v>
      </c>
    </row>
    <row r="121" spans="1:8" x14ac:dyDescent="0.25">
      <c r="A121" s="120">
        <v>109</v>
      </c>
      <c r="B121" s="121" t="s">
        <v>104</v>
      </c>
      <c r="C121" s="122"/>
      <c r="D121" s="122" t="s">
        <v>228</v>
      </c>
      <c r="E121" s="123">
        <v>109</v>
      </c>
      <c r="F121" s="124">
        <f t="shared" si="4"/>
        <v>2</v>
      </c>
    </row>
    <row r="122" spans="1:8" x14ac:dyDescent="0.25">
      <c r="A122" s="120">
        <v>110</v>
      </c>
      <c r="B122" s="121" t="s">
        <v>105</v>
      </c>
      <c r="C122" s="122" t="s">
        <v>228</v>
      </c>
      <c r="D122" s="122"/>
      <c r="E122" s="123">
        <v>110</v>
      </c>
      <c r="F122" s="124">
        <f t="shared" si="4"/>
        <v>1</v>
      </c>
    </row>
    <row r="123" spans="1:8" x14ac:dyDescent="0.25">
      <c r="A123" s="120">
        <v>111</v>
      </c>
      <c r="B123" s="121" t="s">
        <v>106</v>
      </c>
      <c r="C123" s="122"/>
      <c r="D123" s="122" t="s">
        <v>228</v>
      </c>
      <c r="E123" s="123">
        <v>111</v>
      </c>
      <c r="F123" s="124">
        <f t="shared" si="4"/>
        <v>2</v>
      </c>
    </row>
    <row r="124" spans="1:8" x14ac:dyDescent="0.25">
      <c r="A124" s="120">
        <v>112</v>
      </c>
      <c r="B124" s="121" t="s">
        <v>107</v>
      </c>
      <c r="C124" s="122" t="s">
        <v>228</v>
      </c>
      <c r="D124" s="122"/>
      <c r="E124" s="123">
        <v>112</v>
      </c>
      <c r="F124" s="124">
        <f t="shared" si="4"/>
        <v>1</v>
      </c>
    </row>
    <row r="125" spans="1:8" x14ac:dyDescent="0.25">
      <c r="A125" s="120">
        <v>113</v>
      </c>
      <c r="B125" s="121" t="s">
        <v>108</v>
      </c>
      <c r="C125" s="122"/>
      <c r="D125" s="122" t="s">
        <v>228</v>
      </c>
      <c r="E125" s="123">
        <v>113</v>
      </c>
      <c r="F125" s="124">
        <f t="shared" si="4"/>
        <v>2</v>
      </c>
    </row>
    <row r="126" spans="1:8" x14ac:dyDescent="0.25">
      <c r="A126" s="120">
        <v>114</v>
      </c>
      <c r="B126" s="121" t="s">
        <v>476</v>
      </c>
      <c r="C126" s="122"/>
      <c r="D126" s="122" t="s">
        <v>228</v>
      </c>
      <c r="E126" s="123">
        <v>114</v>
      </c>
      <c r="F126" s="124">
        <f t="shared" si="4"/>
        <v>2</v>
      </c>
    </row>
    <row r="127" spans="1:8" x14ac:dyDescent="0.25">
      <c r="A127" s="120">
        <v>115</v>
      </c>
      <c r="B127" s="121" t="s">
        <v>109</v>
      </c>
      <c r="C127" s="122"/>
      <c r="D127" s="122" t="s">
        <v>228</v>
      </c>
      <c r="E127" s="123">
        <v>115</v>
      </c>
      <c r="F127" s="124">
        <f t="shared" si="4"/>
        <v>2</v>
      </c>
    </row>
    <row r="128" spans="1:8" x14ac:dyDescent="0.25">
      <c r="A128" s="120">
        <v>116</v>
      </c>
      <c r="B128" s="127" t="s">
        <v>477</v>
      </c>
      <c r="C128" s="122"/>
      <c r="D128" s="122" t="s">
        <v>228</v>
      </c>
      <c r="E128" s="123">
        <v>116</v>
      </c>
      <c r="F128" s="124">
        <f t="shared" si="4"/>
        <v>2</v>
      </c>
      <c r="H128" s="107"/>
    </row>
    <row r="129" spans="1:6" x14ac:dyDescent="0.25">
      <c r="A129" s="120">
        <v>117</v>
      </c>
      <c r="B129" s="121" t="s">
        <v>110</v>
      </c>
      <c r="C129" s="122"/>
      <c r="D129" s="122" t="s">
        <v>228</v>
      </c>
      <c r="E129" s="123">
        <v>117</v>
      </c>
      <c r="F129" s="124">
        <f t="shared" si="4"/>
        <v>2</v>
      </c>
    </row>
    <row r="130" spans="1:6" x14ac:dyDescent="0.25">
      <c r="A130" s="120">
        <v>118</v>
      </c>
      <c r="B130" s="121" t="s">
        <v>111</v>
      </c>
      <c r="C130" s="122" t="s">
        <v>228</v>
      </c>
      <c r="D130" s="122"/>
      <c r="E130" s="123">
        <v>118</v>
      </c>
      <c r="F130" s="124">
        <f t="shared" si="4"/>
        <v>1</v>
      </c>
    </row>
    <row r="131" spans="1:6" x14ac:dyDescent="0.25">
      <c r="A131" s="120">
        <v>119</v>
      </c>
      <c r="B131" s="121" t="s">
        <v>112</v>
      </c>
      <c r="C131" s="122"/>
      <c r="D131" s="122" t="s">
        <v>228</v>
      </c>
      <c r="E131" s="123">
        <v>119</v>
      </c>
      <c r="F131" s="124">
        <f t="shared" si="4"/>
        <v>2</v>
      </c>
    </row>
    <row r="132" spans="1:6" x14ac:dyDescent="0.25">
      <c r="A132" s="120">
        <v>120</v>
      </c>
      <c r="B132" s="121" t="s">
        <v>113</v>
      </c>
      <c r="C132" s="122"/>
      <c r="D132" s="122" t="s">
        <v>228</v>
      </c>
      <c r="E132" s="123">
        <v>120</v>
      </c>
      <c r="F132" s="124">
        <f t="shared" si="4"/>
        <v>2</v>
      </c>
    </row>
    <row r="133" spans="1:6" x14ac:dyDescent="0.25">
      <c r="A133" s="120">
        <v>121</v>
      </c>
      <c r="B133" s="121" t="s">
        <v>114</v>
      </c>
      <c r="C133" s="122" t="s">
        <v>228</v>
      </c>
      <c r="D133" s="122"/>
      <c r="E133" s="123">
        <v>121</v>
      </c>
      <c r="F133" s="124">
        <f t="shared" si="4"/>
        <v>1</v>
      </c>
    </row>
    <row r="134" spans="1:6" x14ac:dyDescent="0.25">
      <c r="A134" s="120">
        <v>122</v>
      </c>
      <c r="B134" s="121" t="s">
        <v>115</v>
      </c>
      <c r="C134" s="122" t="s">
        <v>228</v>
      </c>
      <c r="D134" s="122"/>
      <c r="E134" s="123">
        <v>122</v>
      </c>
      <c r="F134" s="124">
        <f t="shared" si="4"/>
        <v>1</v>
      </c>
    </row>
    <row r="135" spans="1:6" x14ac:dyDescent="0.25">
      <c r="A135" s="120">
        <v>123</v>
      </c>
      <c r="B135" s="121" t="s">
        <v>116</v>
      </c>
      <c r="C135" s="122" t="s">
        <v>228</v>
      </c>
      <c r="D135" s="122"/>
      <c r="E135" s="123">
        <v>123</v>
      </c>
      <c r="F135" s="124">
        <f t="shared" si="4"/>
        <v>1</v>
      </c>
    </row>
    <row r="136" spans="1:6" x14ac:dyDescent="0.25">
      <c r="A136" s="120">
        <v>124</v>
      </c>
      <c r="B136" s="121" t="s">
        <v>117</v>
      </c>
      <c r="C136" s="122" t="s">
        <v>228</v>
      </c>
      <c r="D136" s="122"/>
      <c r="E136" s="123">
        <v>124</v>
      </c>
      <c r="F136" s="124">
        <f t="shared" si="4"/>
        <v>1</v>
      </c>
    </row>
    <row r="137" spans="1:6" x14ac:dyDescent="0.25">
      <c r="A137" s="120">
        <v>125</v>
      </c>
      <c r="B137" s="121" t="s">
        <v>118</v>
      </c>
      <c r="C137" s="122" t="s">
        <v>228</v>
      </c>
      <c r="D137" s="122"/>
      <c r="E137" s="123">
        <v>125</v>
      </c>
      <c r="F137" s="124">
        <f t="shared" si="4"/>
        <v>1</v>
      </c>
    </row>
    <row r="138" spans="1:6" x14ac:dyDescent="0.25">
      <c r="A138" s="120">
        <v>126</v>
      </c>
      <c r="B138" s="121" t="s">
        <v>478</v>
      </c>
      <c r="C138" s="122"/>
      <c r="D138" s="122" t="s">
        <v>228</v>
      </c>
      <c r="E138" s="123">
        <v>126</v>
      </c>
      <c r="F138" s="124">
        <f t="shared" si="4"/>
        <v>2</v>
      </c>
    </row>
    <row r="139" spans="1:6" x14ac:dyDescent="0.25">
      <c r="A139" s="120">
        <v>127</v>
      </c>
      <c r="B139" s="121" t="s">
        <v>119</v>
      </c>
      <c r="C139" s="122" t="s">
        <v>228</v>
      </c>
      <c r="D139" s="122"/>
      <c r="E139" s="123">
        <v>127</v>
      </c>
      <c r="F139" s="124">
        <f t="shared" si="4"/>
        <v>1</v>
      </c>
    </row>
    <row r="140" spans="1:6" x14ac:dyDescent="0.25">
      <c r="A140" s="120">
        <v>128</v>
      </c>
      <c r="B140" s="121" t="s">
        <v>120</v>
      </c>
      <c r="C140" s="122"/>
      <c r="D140" s="122" t="s">
        <v>228</v>
      </c>
      <c r="E140" s="123">
        <v>128</v>
      </c>
      <c r="F140" s="124">
        <f t="shared" si="4"/>
        <v>2</v>
      </c>
    </row>
    <row r="141" spans="1:6" x14ac:dyDescent="0.25">
      <c r="A141" s="120">
        <v>129</v>
      </c>
      <c r="B141" s="121" t="s">
        <v>479</v>
      </c>
      <c r="C141" s="122" t="s">
        <v>228</v>
      </c>
      <c r="D141" s="122"/>
      <c r="E141" s="123">
        <v>129</v>
      </c>
      <c r="F141" s="124">
        <f t="shared" si="4"/>
        <v>1</v>
      </c>
    </row>
    <row r="142" spans="1:6" x14ac:dyDescent="0.25">
      <c r="A142" s="120">
        <v>130</v>
      </c>
      <c r="B142" s="121" t="s">
        <v>121</v>
      </c>
      <c r="C142" s="122" t="s">
        <v>228</v>
      </c>
      <c r="D142" s="122"/>
      <c r="E142" s="123">
        <v>130</v>
      </c>
      <c r="F142" s="124">
        <f t="shared" ref="F142:F172" si="5">+IF(C142="X",1,IF(D142="X",2,""))</f>
        <v>1</v>
      </c>
    </row>
    <row r="143" spans="1:6" x14ac:dyDescent="0.25">
      <c r="A143" s="120">
        <v>131</v>
      </c>
      <c r="B143" s="121" t="s">
        <v>122</v>
      </c>
      <c r="C143" s="122"/>
      <c r="D143" s="122" t="s">
        <v>228</v>
      </c>
      <c r="E143" s="123">
        <v>131</v>
      </c>
      <c r="F143" s="124">
        <f t="shared" si="5"/>
        <v>2</v>
      </c>
    </row>
    <row r="144" spans="1:6" x14ac:dyDescent="0.25">
      <c r="A144" s="120">
        <v>132</v>
      </c>
      <c r="B144" s="121" t="s">
        <v>123</v>
      </c>
      <c r="C144" s="122" t="s">
        <v>228</v>
      </c>
      <c r="D144" s="122"/>
      <c r="E144" s="123">
        <v>132</v>
      </c>
      <c r="F144" s="124">
        <f t="shared" si="5"/>
        <v>1</v>
      </c>
    </row>
    <row r="145" spans="1:6" x14ac:dyDescent="0.25">
      <c r="A145" s="120">
        <v>133</v>
      </c>
      <c r="B145" s="121" t="s">
        <v>124</v>
      </c>
      <c r="C145" s="122" t="s">
        <v>228</v>
      </c>
      <c r="D145" s="122"/>
      <c r="E145" s="123">
        <v>133</v>
      </c>
      <c r="F145" s="124">
        <f t="shared" si="5"/>
        <v>1</v>
      </c>
    </row>
    <row r="146" spans="1:6" x14ac:dyDescent="0.25">
      <c r="A146" s="120">
        <v>134</v>
      </c>
      <c r="B146" s="121" t="s">
        <v>125</v>
      </c>
      <c r="C146" s="122"/>
      <c r="D146" s="122" t="s">
        <v>228</v>
      </c>
      <c r="E146" s="123">
        <v>134</v>
      </c>
      <c r="F146" s="124">
        <f t="shared" si="5"/>
        <v>2</v>
      </c>
    </row>
    <row r="147" spans="1:6" x14ac:dyDescent="0.25">
      <c r="A147" s="120">
        <v>135</v>
      </c>
      <c r="B147" s="121" t="s">
        <v>126</v>
      </c>
      <c r="C147" s="122"/>
      <c r="D147" s="122" t="s">
        <v>228</v>
      </c>
      <c r="E147" s="123">
        <v>135</v>
      </c>
      <c r="F147" s="124">
        <f t="shared" si="5"/>
        <v>2</v>
      </c>
    </row>
    <row r="148" spans="1:6" x14ac:dyDescent="0.25">
      <c r="A148" s="120">
        <v>136</v>
      </c>
      <c r="B148" s="121" t="s">
        <v>127</v>
      </c>
      <c r="C148" s="122" t="s">
        <v>228</v>
      </c>
      <c r="D148" s="122"/>
      <c r="E148" s="123">
        <v>136</v>
      </c>
      <c r="F148" s="124">
        <f t="shared" si="5"/>
        <v>1</v>
      </c>
    </row>
    <row r="149" spans="1:6" x14ac:dyDescent="0.25">
      <c r="A149" s="120">
        <v>137</v>
      </c>
      <c r="B149" s="127" t="s">
        <v>480</v>
      </c>
      <c r="C149" s="122"/>
      <c r="D149" s="122" t="s">
        <v>228</v>
      </c>
      <c r="E149" s="123">
        <v>137</v>
      </c>
      <c r="F149" s="124">
        <f t="shared" si="5"/>
        <v>2</v>
      </c>
    </row>
    <row r="150" spans="1:6" x14ac:dyDescent="0.25">
      <c r="A150" s="120">
        <v>138</v>
      </c>
      <c r="B150" s="121" t="s">
        <v>128</v>
      </c>
      <c r="C150" s="122" t="s">
        <v>228</v>
      </c>
      <c r="D150" s="122"/>
      <c r="E150" s="123">
        <v>138</v>
      </c>
      <c r="F150" s="124">
        <f t="shared" si="5"/>
        <v>1</v>
      </c>
    </row>
    <row r="151" spans="1:6" x14ac:dyDescent="0.25">
      <c r="A151" s="120">
        <v>139</v>
      </c>
      <c r="B151" s="121" t="s">
        <v>129</v>
      </c>
      <c r="C151" s="122"/>
      <c r="D151" s="122" t="s">
        <v>228</v>
      </c>
      <c r="E151" s="123">
        <v>139</v>
      </c>
      <c r="F151" s="124">
        <f t="shared" si="5"/>
        <v>2</v>
      </c>
    </row>
    <row r="152" spans="1:6" x14ac:dyDescent="0.25">
      <c r="A152" s="120">
        <v>140</v>
      </c>
      <c r="B152" s="121" t="s">
        <v>130</v>
      </c>
      <c r="C152" s="122" t="s">
        <v>228</v>
      </c>
      <c r="D152" s="122"/>
      <c r="E152" s="123">
        <v>140</v>
      </c>
      <c r="F152" s="124">
        <f t="shared" si="5"/>
        <v>1</v>
      </c>
    </row>
    <row r="153" spans="1:6" x14ac:dyDescent="0.25">
      <c r="A153" s="120">
        <v>141</v>
      </c>
      <c r="B153" s="121" t="s">
        <v>131</v>
      </c>
      <c r="C153" s="122" t="s">
        <v>228</v>
      </c>
      <c r="D153" s="122"/>
      <c r="E153" s="123">
        <v>141</v>
      </c>
      <c r="F153" s="124">
        <f t="shared" si="5"/>
        <v>1</v>
      </c>
    </row>
    <row r="154" spans="1:6" x14ac:dyDescent="0.25">
      <c r="A154" s="120">
        <v>142</v>
      </c>
      <c r="B154" s="121" t="s">
        <v>132</v>
      </c>
      <c r="C154" s="122" t="s">
        <v>228</v>
      </c>
      <c r="D154" s="122"/>
      <c r="E154" s="123">
        <v>142</v>
      </c>
      <c r="F154" s="124">
        <f t="shared" si="5"/>
        <v>1</v>
      </c>
    </row>
    <row r="155" spans="1:6" x14ac:dyDescent="0.25">
      <c r="A155" s="120">
        <v>143</v>
      </c>
      <c r="B155" s="121" t="s">
        <v>481</v>
      </c>
      <c r="C155" s="122"/>
      <c r="D155" s="122" t="s">
        <v>228</v>
      </c>
      <c r="E155" s="123">
        <v>143</v>
      </c>
      <c r="F155" s="124">
        <f t="shared" si="5"/>
        <v>2</v>
      </c>
    </row>
    <row r="156" spans="1:6" x14ac:dyDescent="0.25">
      <c r="A156" s="120">
        <v>144</v>
      </c>
      <c r="B156" s="121" t="s">
        <v>133</v>
      </c>
      <c r="C156" s="122" t="s">
        <v>228</v>
      </c>
      <c r="D156" s="122"/>
      <c r="E156" s="123">
        <v>144</v>
      </c>
      <c r="F156" s="124">
        <f t="shared" si="5"/>
        <v>1</v>
      </c>
    </row>
    <row r="157" spans="1:6" x14ac:dyDescent="0.25">
      <c r="A157" s="120">
        <v>145</v>
      </c>
      <c r="B157" s="121" t="s">
        <v>134</v>
      </c>
      <c r="C157" s="122" t="s">
        <v>228</v>
      </c>
      <c r="D157" s="122"/>
      <c r="E157" s="123">
        <v>145</v>
      </c>
      <c r="F157" s="124">
        <f t="shared" si="5"/>
        <v>1</v>
      </c>
    </row>
    <row r="158" spans="1:6" x14ac:dyDescent="0.25">
      <c r="A158" s="120">
        <v>146</v>
      </c>
      <c r="B158" s="121" t="s">
        <v>135</v>
      </c>
      <c r="C158" s="122" t="s">
        <v>228</v>
      </c>
      <c r="D158" s="122"/>
      <c r="E158" s="123">
        <v>146</v>
      </c>
      <c r="F158" s="124">
        <f t="shared" si="5"/>
        <v>1</v>
      </c>
    </row>
    <row r="159" spans="1:6" x14ac:dyDescent="0.25">
      <c r="A159" s="120">
        <v>147</v>
      </c>
      <c r="B159" s="121" t="s">
        <v>136</v>
      </c>
      <c r="C159" s="122" t="s">
        <v>228</v>
      </c>
      <c r="D159" s="122"/>
      <c r="E159" s="123">
        <v>147</v>
      </c>
      <c r="F159" s="124">
        <f t="shared" si="5"/>
        <v>1</v>
      </c>
    </row>
    <row r="160" spans="1:6" x14ac:dyDescent="0.25">
      <c r="A160" s="120">
        <v>148</v>
      </c>
      <c r="B160" s="121" t="s">
        <v>137</v>
      </c>
      <c r="C160" s="122" t="s">
        <v>228</v>
      </c>
      <c r="D160" s="122"/>
      <c r="E160" s="123">
        <v>148</v>
      </c>
      <c r="F160" s="124">
        <f t="shared" si="5"/>
        <v>1</v>
      </c>
    </row>
    <row r="161" spans="1:6" x14ac:dyDescent="0.25">
      <c r="A161" s="120">
        <v>149</v>
      </c>
      <c r="B161" s="121" t="s">
        <v>138</v>
      </c>
      <c r="C161" s="122" t="s">
        <v>228</v>
      </c>
      <c r="D161" s="122"/>
      <c r="E161" s="123">
        <v>149</v>
      </c>
      <c r="F161" s="124">
        <f t="shared" si="5"/>
        <v>1</v>
      </c>
    </row>
    <row r="162" spans="1:6" x14ac:dyDescent="0.25">
      <c r="A162" s="120">
        <v>150</v>
      </c>
      <c r="B162" s="121" t="s">
        <v>139</v>
      </c>
      <c r="C162" s="122"/>
      <c r="D162" s="122" t="s">
        <v>228</v>
      </c>
      <c r="E162" s="123">
        <v>150</v>
      </c>
      <c r="F162" s="124">
        <f t="shared" si="5"/>
        <v>2</v>
      </c>
    </row>
    <row r="163" spans="1:6" x14ac:dyDescent="0.25">
      <c r="A163" s="120">
        <v>151</v>
      </c>
      <c r="B163" s="121" t="s">
        <v>140</v>
      </c>
      <c r="C163" s="122"/>
      <c r="D163" s="122" t="s">
        <v>228</v>
      </c>
      <c r="E163" s="123">
        <v>151</v>
      </c>
      <c r="F163" s="124">
        <f t="shared" si="5"/>
        <v>2</v>
      </c>
    </row>
    <row r="164" spans="1:6" x14ac:dyDescent="0.25">
      <c r="A164" s="120">
        <v>152</v>
      </c>
      <c r="B164" s="121" t="s">
        <v>141</v>
      </c>
      <c r="C164" s="122"/>
      <c r="D164" s="122" t="s">
        <v>228</v>
      </c>
      <c r="E164" s="123">
        <v>152</v>
      </c>
      <c r="F164" s="124">
        <f t="shared" si="5"/>
        <v>2</v>
      </c>
    </row>
    <row r="165" spans="1:6" x14ac:dyDescent="0.25">
      <c r="A165" s="120">
        <v>153</v>
      </c>
      <c r="B165" s="121" t="s">
        <v>142</v>
      </c>
      <c r="C165" s="122" t="s">
        <v>228</v>
      </c>
      <c r="D165" s="122"/>
      <c r="E165" s="123">
        <v>153</v>
      </c>
      <c r="F165" s="124">
        <f t="shared" si="5"/>
        <v>1</v>
      </c>
    </row>
    <row r="166" spans="1:6" x14ac:dyDescent="0.25">
      <c r="A166" s="120">
        <v>154</v>
      </c>
      <c r="B166" s="121" t="s">
        <v>143</v>
      </c>
      <c r="C166" s="122"/>
      <c r="D166" s="122" t="s">
        <v>228</v>
      </c>
      <c r="E166" s="123">
        <v>154</v>
      </c>
      <c r="F166" s="124">
        <f t="shared" si="5"/>
        <v>2</v>
      </c>
    </row>
    <row r="167" spans="1:6" x14ac:dyDescent="0.25">
      <c r="A167" s="120">
        <v>155</v>
      </c>
      <c r="B167" s="121" t="s">
        <v>144</v>
      </c>
      <c r="C167" s="122" t="s">
        <v>228</v>
      </c>
      <c r="D167" s="122"/>
      <c r="E167" s="123">
        <v>155</v>
      </c>
      <c r="F167" s="124">
        <f t="shared" si="5"/>
        <v>1</v>
      </c>
    </row>
    <row r="168" spans="1:6" x14ac:dyDescent="0.25">
      <c r="A168" s="120">
        <v>156</v>
      </c>
      <c r="B168" s="121" t="s">
        <v>145</v>
      </c>
      <c r="C168" s="122" t="s">
        <v>228</v>
      </c>
      <c r="D168" s="122"/>
      <c r="E168" s="123">
        <v>156</v>
      </c>
      <c r="F168" s="124">
        <f t="shared" si="5"/>
        <v>1</v>
      </c>
    </row>
    <row r="169" spans="1:6" x14ac:dyDescent="0.25">
      <c r="A169" s="120">
        <v>157</v>
      </c>
      <c r="B169" s="121" t="s">
        <v>146</v>
      </c>
      <c r="C169" s="122"/>
      <c r="D169" s="122" t="s">
        <v>228</v>
      </c>
      <c r="E169" s="123">
        <v>157</v>
      </c>
      <c r="F169" s="124">
        <f t="shared" si="5"/>
        <v>2</v>
      </c>
    </row>
    <row r="170" spans="1:6" x14ac:dyDescent="0.25">
      <c r="A170" s="120">
        <v>158</v>
      </c>
      <c r="B170" s="121" t="s">
        <v>147</v>
      </c>
      <c r="C170" s="122" t="s">
        <v>228</v>
      </c>
      <c r="D170" s="122"/>
      <c r="E170" s="123">
        <v>158</v>
      </c>
      <c r="F170" s="124">
        <f t="shared" si="5"/>
        <v>1</v>
      </c>
    </row>
    <row r="171" spans="1:6" x14ac:dyDescent="0.25">
      <c r="A171" s="120">
        <v>159</v>
      </c>
      <c r="B171" s="121" t="s">
        <v>148</v>
      </c>
      <c r="C171" s="122" t="s">
        <v>228</v>
      </c>
      <c r="D171" s="122"/>
      <c r="E171" s="123">
        <v>159</v>
      </c>
      <c r="F171" s="124">
        <f t="shared" si="5"/>
        <v>1</v>
      </c>
    </row>
    <row r="172" spans="1:6" x14ac:dyDescent="0.25">
      <c r="A172" s="120">
        <v>160</v>
      </c>
      <c r="B172" s="121" t="s">
        <v>149</v>
      </c>
      <c r="C172" s="122" t="s">
        <v>228</v>
      </c>
      <c r="D172" s="122"/>
      <c r="E172" s="123">
        <v>160</v>
      </c>
      <c r="F172" s="124">
        <f t="shared" si="5"/>
        <v>1</v>
      </c>
    </row>
    <row r="173" spans="1:6" x14ac:dyDescent="0.25">
      <c r="A173" s="130"/>
      <c r="B173" s="131"/>
      <c r="C173" s="132" t="s">
        <v>439</v>
      </c>
      <c r="D173" s="132" t="s">
        <v>228</v>
      </c>
      <c r="E173" s="132"/>
      <c r="F173" s="124"/>
    </row>
  </sheetData>
  <mergeCells count="2">
    <mergeCell ref="B9:D11"/>
    <mergeCell ref="B2:D4"/>
  </mergeCells>
  <conditionalFormatting sqref="C13:D172">
    <cfRule type="containsBlanks" dxfId="1" priority="3">
      <formula>LEN(TRIM(C13))=0</formula>
    </cfRule>
  </conditionalFormatting>
  <conditionalFormatting sqref="C6:D7">
    <cfRule type="containsBlanks" dxfId="0" priority="1">
      <formula>LEN(TRIM(C6))=0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uardar1">
                <anchor moveWithCells="1" sizeWithCells="1">
                  <from>
                    <xdr:col>1</xdr:col>
                    <xdr:colOff>5029200</xdr:colOff>
                    <xdr:row>0</xdr:row>
                    <xdr:rowOff>28575</xdr:rowOff>
                  </from>
                  <to>
                    <xdr:col>1</xdr:col>
                    <xdr:colOff>6324600</xdr:colOff>
                    <xdr:row>0</xdr:row>
                    <xdr:rowOff>342900</xdr:rowOff>
                  </to>
                </anchor>
              </controlPr>
            </control>
          </mc:Choice>
        </mc:AlternateContent>
        <mc:AlternateContent xmlns:mc="http://schemas.openxmlformats.org/markup-compatibility/2006">
          <mc:Choice Requires="x14">
            <control shapeId="2050" r:id="rId4" name="Button 2">
              <controlPr defaultSize="0" print="0" autoFill="0" autoPict="0" macro="[0]!Borrar_Respuestas">
                <anchor moveWithCells="1" sizeWithCells="1">
                  <from>
                    <xdr:col>1</xdr:col>
                    <xdr:colOff>6429375</xdr:colOff>
                    <xdr:row>0</xdr:row>
                    <xdr:rowOff>28575</xdr:rowOff>
                  </from>
                  <to>
                    <xdr:col>2</xdr:col>
                    <xdr:colOff>28575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B7919-E8F3-4D05-8898-051D402CDD5D}">
  <sheetPr codeName="Hoja2">
    <tabColor rgb="FF5E69AA"/>
    <pageSetUpPr fitToPage="1"/>
  </sheetPr>
  <dimension ref="A1:BD57"/>
  <sheetViews>
    <sheetView showGridLines="0" zoomScale="84" zoomScaleNormal="84" zoomScaleSheetLayoutView="130" workbookViewId="0">
      <selection activeCell="L19" sqref="L19"/>
    </sheetView>
  </sheetViews>
  <sheetFormatPr baseColWidth="10" defaultColWidth="17.7109375" defaultRowHeight="14.25" zeroHeight="1" x14ac:dyDescent="0.2"/>
  <cols>
    <col min="1" max="1" width="3.7109375" style="75" customWidth="1"/>
    <col min="2" max="2" width="3.7109375" style="76" customWidth="1"/>
    <col min="3" max="3" width="7.28515625" style="76" customWidth="1"/>
    <col min="4" max="4" width="11.42578125" style="76" customWidth="1"/>
    <col min="5" max="5" width="8" style="76" customWidth="1"/>
    <col min="6" max="6" width="6.140625" style="76" customWidth="1"/>
    <col min="7" max="7" width="4" style="80" customWidth="1"/>
    <col min="8" max="8" width="4.85546875" style="101" customWidth="1"/>
    <col min="9" max="9" width="7.85546875" style="101" customWidth="1"/>
    <col min="10" max="10" width="5.7109375" style="101" customWidth="1"/>
    <col min="11" max="11" width="6.85546875" style="101" customWidth="1"/>
    <col min="12" max="12" width="4.85546875" style="101" customWidth="1"/>
    <col min="13" max="13" width="6.7109375" style="101" customWidth="1"/>
    <col min="14" max="14" width="6.7109375" style="75" customWidth="1"/>
    <col min="15" max="15" width="12.28515625" style="80" customWidth="1"/>
    <col min="16" max="16" width="10.28515625" style="80" customWidth="1"/>
    <col min="17" max="17" width="3.140625" style="75" customWidth="1"/>
    <col min="18" max="18" width="4.42578125" style="79" customWidth="1"/>
    <col min="19" max="19" width="6.85546875" style="79" customWidth="1"/>
    <col min="20" max="22" width="17.7109375" style="79" customWidth="1"/>
    <col min="23" max="23" width="10" style="79" customWidth="1"/>
    <col min="24" max="24" width="8.5703125" style="79" customWidth="1"/>
    <col min="25" max="25" width="17.7109375" style="79" customWidth="1"/>
    <col min="26" max="56" width="5.85546875" style="79" customWidth="1"/>
    <col min="57" max="16384" width="17.7109375" style="80"/>
  </cols>
  <sheetData>
    <row r="1" spans="1:56" x14ac:dyDescent="0.2">
      <c r="A1" s="79"/>
      <c r="B1" s="79"/>
      <c r="C1" s="186"/>
      <c r="D1" s="172"/>
      <c r="E1" s="172"/>
      <c r="F1" s="172"/>
      <c r="G1" s="187"/>
      <c r="H1" s="171"/>
      <c r="I1" s="171"/>
      <c r="J1" s="171"/>
      <c r="K1" s="171"/>
      <c r="L1" s="171"/>
      <c r="M1" s="171"/>
      <c r="N1" s="172"/>
      <c r="O1" s="172"/>
      <c r="P1" s="169"/>
      <c r="Q1" s="169"/>
      <c r="R1" s="90"/>
    </row>
    <row r="2" spans="1:56" s="75" customFormat="1" ht="8.4499999999999993" customHeight="1" x14ac:dyDescent="0.2">
      <c r="A2" s="75">
        <v>1</v>
      </c>
      <c r="B2" s="79"/>
      <c r="C2" s="181"/>
      <c r="D2" s="169"/>
      <c r="E2" s="169"/>
      <c r="F2" s="172"/>
      <c r="G2" s="186"/>
      <c r="H2" s="225"/>
      <c r="I2" s="225"/>
      <c r="J2" s="225"/>
      <c r="K2" s="225"/>
      <c r="L2" s="225"/>
      <c r="M2" s="225"/>
      <c r="N2" s="225"/>
      <c r="O2" s="225"/>
      <c r="P2" s="173"/>
      <c r="Q2" s="173"/>
      <c r="R2" s="90"/>
      <c r="S2" s="79" t="s">
        <v>935</v>
      </c>
      <c r="T2" s="79" t="s">
        <v>216</v>
      </c>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row>
    <row r="3" spans="1:56" s="82" customFormat="1" ht="15" customHeight="1" x14ac:dyDescent="0.25">
      <c r="A3" s="81"/>
      <c r="B3" s="81"/>
      <c r="C3" s="223" t="s">
        <v>934</v>
      </c>
      <c r="D3" s="174"/>
      <c r="E3" s="179" t="s">
        <v>422</v>
      </c>
      <c r="F3" s="224" t="str">
        <f>+'Inicio '!C9</f>
        <v>Amy Bridgit Cotrina Alvarado</v>
      </c>
      <c r="G3" s="224"/>
      <c r="H3" s="224"/>
      <c r="I3" s="224"/>
      <c r="J3" s="224"/>
      <c r="K3" s="224"/>
      <c r="L3" s="224"/>
      <c r="M3" s="224"/>
      <c r="N3" s="224"/>
      <c r="O3" s="224"/>
      <c r="P3" s="224"/>
      <c r="Q3" s="177"/>
      <c r="R3" s="81"/>
      <c r="S3" s="81" t="s">
        <v>936</v>
      </c>
      <c r="T3" s="81" t="s">
        <v>217</v>
      </c>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row>
    <row r="4" spans="1:56" ht="4.5" customHeight="1" x14ac:dyDescent="0.2">
      <c r="A4" s="79"/>
      <c r="B4" s="79"/>
      <c r="C4" s="223"/>
      <c r="D4" s="169"/>
      <c r="E4" s="169"/>
      <c r="G4" s="172"/>
      <c r="H4" s="171"/>
      <c r="I4" s="189"/>
      <c r="J4" s="189"/>
      <c r="K4" s="189"/>
      <c r="L4" s="171"/>
      <c r="M4" s="171"/>
      <c r="N4" s="189"/>
      <c r="O4" s="189"/>
      <c r="P4" s="187"/>
      <c r="Q4" s="187"/>
      <c r="S4" s="79" t="s">
        <v>942</v>
      </c>
      <c r="T4" s="79" t="s">
        <v>218</v>
      </c>
      <c r="W4" s="83"/>
    </row>
    <row r="5" spans="1:56" s="82" customFormat="1" ht="11.45" customHeight="1" x14ac:dyDescent="0.25">
      <c r="A5" s="81"/>
      <c r="B5" s="81"/>
      <c r="C5" s="223"/>
      <c r="D5" s="174"/>
      <c r="E5" s="179" t="s">
        <v>425</v>
      </c>
      <c r="F5" s="190" t="str">
        <f>+'Inicio '!H9</f>
        <v>14 años</v>
      </c>
      <c r="G5" s="191"/>
      <c r="I5" s="190"/>
      <c r="J5" s="190"/>
      <c r="K5" s="190"/>
      <c r="L5" s="190"/>
      <c r="M5" s="179" t="s">
        <v>424</v>
      </c>
      <c r="N5" s="185" t="str">
        <f>+'Inicio '!O10</f>
        <v>Varón</v>
      </c>
      <c r="O5" s="185"/>
      <c r="P5" s="185"/>
      <c r="Q5" s="177"/>
      <c r="R5" s="81"/>
      <c r="S5" s="81" t="s">
        <v>937</v>
      </c>
      <c r="T5" s="81" t="s">
        <v>219</v>
      </c>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row>
    <row r="6" spans="1:56" ht="4.5" customHeight="1" x14ac:dyDescent="0.2">
      <c r="A6" s="79"/>
      <c r="B6" s="79"/>
      <c r="C6" s="223"/>
      <c r="D6" s="169"/>
      <c r="E6" s="169"/>
      <c r="G6" s="172"/>
      <c r="H6" s="171"/>
      <c r="I6" s="189"/>
      <c r="J6" s="189"/>
      <c r="K6" s="189"/>
      <c r="L6" s="171"/>
      <c r="M6" s="171"/>
      <c r="N6" s="189"/>
      <c r="O6" s="189"/>
      <c r="P6" s="187"/>
      <c r="Q6" s="187"/>
      <c r="S6" s="79" t="s">
        <v>938</v>
      </c>
      <c r="T6" s="79" t="s">
        <v>244</v>
      </c>
    </row>
    <row r="7" spans="1:56" s="82" customFormat="1" ht="11.45" customHeight="1" x14ac:dyDescent="0.25">
      <c r="A7" s="81"/>
      <c r="B7" s="81"/>
      <c r="C7" s="223"/>
      <c r="D7" s="174"/>
      <c r="E7" s="179" t="s">
        <v>426</v>
      </c>
      <c r="F7" s="192" t="str" cm="1">
        <f t="array" aca="1" ref="F7" ca="1">INDIRECT(ADDRESS(A2+1,19))</f>
        <v>Varones de 13 a 15 años (España)</v>
      </c>
      <c r="G7" s="191"/>
      <c r="I7" s="176"/>
      <c r="J7" s="176"/>
      <c r="K7" s="176"/>
      <c r="L7" s="176"/>
      <c r="M7" s="176"/>
      <c r="N7" s="179" t="s">
        <v>943</v>
      </c>
      <c r="O7" s="198"/>
      <c r="P7" s="184">
        <f ca="1">+TODAY()</f>
        <v>46167</v>
      </c>
      <c r="Q7" s="177"/>
      <c r="R7" s="81"/>
      <c r="S7" s="81" t="s">
        <v>939</v>
      </c>
      <c r="T7" s="81" t="s">
        <v>245</v>
      </c>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81"/>
      <c r="BC7" s="81"/>
      <c r="BD7" s="81"/>
    </row>
    <row r="8" spans="1:56" ht="4.5" customHeight="1" x14ac:dyDescent="0.2">
      <c r="A8" s="79"/>
      <c r="B8" s="79"/>
      <c r="C8" s="223"/>
      <c r="D8" s="169"/>
      <c r="E8" s="170"/>
      <c r="G8" s="172"/>
      <c r="H8" s="172"/>
      <c r="I8" s="189"/>
      <c r="J8" s="189"/>
      <c r="K8" s="189"/>
      <c r="L8" s="172"/>
      <c r="M8" s="172"/>
      <c r="N8" s="189"/>
      <c r="O8" s="189"/>
      <c r="P8" s="187"/>
      <c r="Q8" s="187"/>
      <c r="S8" s="81" t="s">
        <v>940</v>
      </c>
      <c r="T8" s="81" t="s">
        <v>246</v>
      </c>
    </row>
    <row r="9" spans="1:56" s="82" customFormat="1" ht="15" customHeight="1" x14ac:dyDescent="0.25">
      <c r="A9" s="182"/>
      <c r="B9" s="183"/>
      <c r="C9" s="223"/>
      <c r="D9" s="174"/>
      <c r="E9" s="180" t="s">
        <v>423</v>
      </c>
      <c r="F9" s="198"/>
      <c r="G9" s="175"/>
      <c r="H9" s="178"/>
      <c r="I9" s="178"/>
      <c r="J9" s="178"/>
      <c r="K9" s="178"/>
      <c r="L9" s="178"/>
      <c r="M9" s="224" t="s">
        <v>271</v>
      </c>
      <c r="N9" s="224"/>
      <c r="O9" s="224"/>
      <c r="P9" s="224"/>
      <c r="Q9" s="177"/>
      <c r="R9" s="81"/>
      <c r="S9" s="79" t="s">
        <v>941</v>
      </c>
      <c r="T9" s="79" t="s">
        <v>247</v>
      </c>
      <c r="U9" s="193"/>
      <c r="V9" s="81"/>
      <c r="W9" s="81"/>
      <c r="X9" s="81"/>
      <c r="Y9" s="81"/>
      <c r="Z9" s="81"/>
      <c r="AA9" s="81"/>
      <c r="AB9" s="81"/>
      <c r="AC9" s="81"/>
      <c r="AD9" s="81"/>
      <c r="AE9" s="81"/>
      <c r="AF9" s="81"/>
      <c r="AG9" s="81"/>
      <c r="AH9" s="81"/>
      <c r="AI9" s="81"/>
      <c r="AJ9" s="81"/>
      <c r="AK9" s="81"/>
      <c r="AL9" s="81"/>
      <c r="AM9" s="81"/>
      <c r="AN9" s="81"/>
      <c r="AO9" s="81"/>
      <c r="AP9" s="81"/>
      <c r="AQ9" s="81"/>
      <c r="AR9" s="81"/>
      <c r="AS9" s="81"/>
      <c r="AT9" s="81"/>
      <c r="AU9" s="81"/>
      <c r="AV9" s="81"/>
      <c r="AW9" s="81"/>
      <c r="AX9" s="81"/>
      <c r="AY9" s="81"/>
      <c r="AZ9" s="81"/>
      <c r="BA9" s="81"/>
      <c r="BB9" s="81"/>
      <c r="BC9" s="81"/>
      <c r="BD9" s="81"/>
    </row>
    <row r="10" spans="1:56" ht="13.5" hidden="1" customHeight="1" x14ac:dyDescent="0.2">
      <c r="C10" s="194"/>
      <c r="D10" s="84"/>
      <c r="E10" s="84"/>
      <c r="F10" s="84"/>
      <c r="G10" s="85"/>
      <c r="H10" s="195"/>
      <c r="I10" s="196"/>
      <c r="J10" s="196"/>
      <c r="K10" s="196"/>
      <c r="L10" s="196"/>
      <c r="M10" s="196"/>
      <c r="N10" s="84"/>
      <c r="O10" s="84"/>
      <c r="P10" s="85"/>
      <c r="Q10" s="197"/>
    </row>
    <row r="11" spans="1:56" ht="12.75" customHeight="1" x14ac:dyDescent="0.2">
      <c r="A11" s="188"/>
      <c r="B11" s="172"/>
      <c r="C11" s="199"/>
      <c r="D11" s="172"/>
      <c r="E11" s="172"/>
      <c r="F11" s="172"/>
      <c r="G11" s="186"/>
      <c r="H11" s="171"/>
      <c r="I11" s="176"/>
      <c r="J11" s="176"/>
      <c r="K11" s="176"/>
      <c r="L11" s="176"/>
      <c r="M11" s="176"/>
      <c r="N11" s="172"/>
      <c r="O11" s="172"/>
      <c r="P11" s="172"/>
      <c r="Q11" s="172"/>
      <c r="R11" s="186"/>
      <c r="T11" s="86"/>
    </row>
    <row r="12" spans="1:56" ht="22.5" customHeight="1" x14ac:dyDescent="0.2">
      <c r="A12" s="87"/>
      <c r="B12" s="77"/>
      <c r="C12" s="77"/>
      <c r="D12" s="77"/>
      <c r="E12" s="77"/>
      <c r="F12" s="77"/>
      <c r="G12" s="88"/>
      <c r="H12" s="89"/>
      <c r="I12" s="89"/>
      <c r="J12" s="89"/>
      <c r="K12" s="89"/>
      <c r="L12" s="89"/>
      <c r="M12" s="89"/>
      <c r="N12" s="90"/>
      <c r="O12" s="90"/>
      <c r="P12" s="90"/>
      <c r="Q12" s="87"/>
      <c r="R12" s="90"/>
    </row>
    <row r="13" spans="1:56" ht="17.25" customHeight="1" x14ac:dyDescent="0.2">
      <c r="A13" s="87"/>
      <c r="B13" s="77"/>
      <c r="C13" s="163" t="s">
        <v>929</v>
      </c>
      <c r="D13" s="163"/>
      <c r="E13" s="163"/>
      <c r="F13" s="163"/>
      <c r="G13" s="166" t="s">
        <v>928</v>
      </c>
      <c r="H13" s="91">
        <f>+'Ingreso de Datos'!BT5</f>
        <v>0</v>
      </c>
      <c r="I13" s="91"/>
      <c r="J13" s="91"/>
      <c r="K13" s="91"/>
      <c r="L13" s="92"/>
      <c r="M13" s="91"/>
      <c r="N13" s="90"/>
      <c r="O13" s="90"/>
      <c r="P13" s="90"/>
      <c r="Q13" s="87"/>
      <c r="R13" s="90"/>
    </row>
    <row r="14" spans="1:56" ht="17.25" customHeight="1" x14ac:dyDescent="0.2">
      <c r="A14" s="87"/>
      <c r="B14" s="77"/>
      <c r="C14" s="163" t="s">
        <v>931</v>
      </c>
      <c r="D14" s="163"/>
      <c r="E14" s="163"/>
      <c r="F14" s="163"/>
      <c r="G14" s="166" t="s">
        <v>228</v>
      </c>
      <c r="H14" s="93">
        <f>+'Ingreso de Datos'!BV3</f>
        <v>487</v>
      </c>
      <c r="I14" s="94">
        <f ca="1">+IF(F7="Varones de 13 a 15 años (España)",Baremos!E131,IF(Perfil!F7="Varones de 16 a 19 años (España)",Baremos!E131,IF(Perfil!F7="Mujeres de 13 a 15 años (España)",Baremos!E131,IF(Perfil!F7="Mujeres de 16 a 19 años (España)",Baremos!E131,IF(Perfil!F7="Varones de  13 a 15 años (EEUU)",Baremos!A131,IF(Perfil!F7="Varones de 16 a 19 años (EEUU)",Baremos!A131,IF(Perfil!F7="Mujeres de 13 a 15 años (EEUU)",Baremos!A131,IF(Perfil!F7="Mujeres de 16 a 19 años (EEUU)",Baremos!A131))))))))</f>
        <v>90</v>
      </c>
      <c r="J14" s="94"/>
      <c r="K14" s="94"/>
      <c r="L14" s="95">
        <f ca="1">MAX(MIN(I14,115),1)</f>
        <v>90</v>
      </c>
      <c r="M14" s="94"/>
      <c r="N14" s="90"/>
      <c r="O14" s="78"/>
      <c r="P14" s="78"/>
      <c r="Q14" s="87">
        <v>1</v>
      </c>
      <c r="R14" s="90"/>
      <c r="S14" s="79" t="str">
        <f ca="1">IF(L14&lt;=2,"presenta un patrón de respuestas en el que minimiza de forma extrema sus síntomas, lo que invalida la interpretación del protocolo.",IF(L14&lt;=34,"presenta un nivel bajo de transparencia, lo que indica una reserva en la revelación de aspectos personales.",IF(L14&lt;=74,"el estilo de respuesta se sitúa en un nivel moderado, correspondiente a la media normativa en términos de apertura y sinceridad.",IF(L14&lt;=84,"tendencia a estar por encima de la media, reflejando una mayor disposición a revelar información personal.",IF(L14&lt;=98,"se evidencia una sinceridad elevada, es decir, se muestra altamente abierto y revelador en sus respuestas.",IF(L14&gt;=99,"presenta un patrón de respuestas caracterizado por la maximización de síntomas, lo que también invalida la interpretabilidad de los resultados."))))))</f>
        <v>se evidencia una sinceridad elevada, es decir, se muestra altamente abierto y revelador en sus respuestas.</v>
      </c>
    </row>
    <row r="15" spans="1:56" ht="17.25" customHeight="1" x14ac:dyDescent="0.2">
      <c r="A15" s="87"/>
      <c r="B15" s="77"/>
      <c r="C15" s="163" t="s">
        <v>932</v>
      </c>
      <c r="D15" s="163"/>
      <c r="E15" s="163"/>
      <c r="F15" s="163"/>
      <c r="G15" s="166" t="s">
        <v>150</v>
      </c>
      <c r="H15" s="94">
        <f>+'Ingreso de Datos'!BP20</f>
        <v>12</v>
      </c>
      <c r="I15" s="94" cm="1">
        <f t="array" aca="1" ref="I15" ca="1">+INDEX(INDIRECT("A"&amp;VLOOKUP(F7,S2:T9,2,FALSE)),MATCH(H15&amp;F7,INDIRECT("B"&amp;VLOOKUP(F7,S2:T9,2,FALSE))&amp;F7,0))</f>
        <v>67</v>
      </c>
      <c r="J15" s="94"/>
      <c r="K15" s="94"/>
      <c r="L15" s="95">
        <f t="shared" ref="L15:L16" ca="1" si="0">MAX(MIN(I15,115),1)</f>
        <v>67</v>
      </c>
      <c r="M15" s="94"/>
      <c r="N15" s="90"/>
      <c r="O15" s="78"/>
      <c r="P15" s="78"/>
      <c r="Q15" s="87">
        <v>2</v>
      </c>
      <c r="R15" s="90"/>
      <c r="S15" s="79" t="str">
        <f ca="1">IF(L15&lt;=34,"presenta un nivel bajo de deseabilidad, lo que implica una influencia mínima de la imagen positiva en su patrón de respuestas.",IF(L15&lt;=74,"presenta un estilo de respuesta en la media normativa, manifestándose de forma moderada la inclinación por proyectar una imagen favorable.",IF(L15&lt;=84,"presenta un estilo por encima de la media, lo que refleja una tendencia más marcada a mostrar una imagen idealizada.",IF(L15&gt;=85,"presenta una deseabilidad elevada, indicando que su perfil de respuestas se ve afectado por la intención de proyectar una imagen socialmente atractiva, moralmente virtuosa y emocionalmente serena."))))</f>
        <v>presenta un estilo de respuesta en la media normativa, manifestándose de forma moderada la inclinación por proyectar una imagen favorable.</v>
      </c>
    </row>
    <row r="16" spans="1:56" ht="17.25" customHeight="1" x14ac:dyDescent="0.2">
      <c r="A16" s="87"/>
      <c r="B16" s="77"/>
      <c r="C16" s="164" t="s">
        <v>933</v>
      </c>
      <c r="D16" s="164"/>
      <c r="E16" s="164"/>
      <c r="F16" s="164"/>
      <c r="G16" s="167" t="s">
        <v>151</v>
      </c>
      <c r="H16" s="96">
        <f>+'Ingreso de Datos'!BR19</f>
        <v>15</v>
      </c>
      <c r="I16" s="96" cm="1">
        <f t="array" aca="1" ref="I16" ca="1">+INDEX(INDIRECT("C"&amp;VLOOKUP(F7,S2:T9,2,FALSE)),MATCH(H16&amp;F7,INDIRECT("B"&amp;VLOOKUP(F7,S2:T9,2,FALSE))&amp;F7,0))</f>
        <v>99</v>
      </c>
      <c r="J16" s="96"/>
      <c r="K16" s="96"/>
      <c r="L16" s="97">
        <f t="shared" ca="1" si="0"/>
        <v>99</v>
      </c>
      <c r="M16" s="94"/>
      <c r="N16" s="90"/>
      <c r="O16" s="78"/>
      <c r="P16" s="78"/>
      <c r="Q16" s="87">
        <v>3</v>
      </c>
      <c r="R16" s="90"/>
      <c r="S16" s="79" t="str">
        <f ca="1">IF(L16&lt;=34,"presenta respuestas que se consideran sinceras y una tendencia baja a exagerar problemas personales.",IF(L16&lt;=74,"exhibe un estilo de respuesta dentro de la media, sin manifestar elevaciones notables ni indicios de autoimagen extremadamente negativa.",IF(L16&lt;=84,"presenta una inclinación por encima de la media a mostrar dificultades emocionales o personales, denotando una tendencia a percibirse de manera más negativa de lo habitual.",IF(L16&gt;=85,"manifiesta una alteración elevada, caracterizada por una propensión a denigrarse o desvalorizarse, mostrando problemas emocionales y personales más complicados de lo que probablemente se descubriría mediante una revisión objetiva."))))</f>
        <v>manifiesta una alteración elevada, caracterizada por una propensión a denigrarse o desvalorizarse, mostrando problemas emocionales y personales más complicados de lo que probablemente se descubriría mediante una revisión objetiva.</v>
      </c>
    </row>
    <row r="17" spans="1:19" ht="17.25" hidden="1" customHeight="1" x14ac:dyDescent="0.2">
      <c r="A17" s="87"/>
      <c r="B17" s="77"/>
      <c r="C17" s="165" t="s">
        <v>174</v>
      </c>
      <c r="D17" s="165"/>
      <c r="E17" s="165"/>
      <c r="F17" s="165"/>
      <c r="G17" s="168"/>
      <c r="H17" s="98" t="s">
        <v>204</v>
      </c>
      <c r="I17" s="98" t="s">
        <v>205</v>
      </c>
      <c r="J17" s="98" t="s">
        <v>206</v>
      </c>
      <c r="K17" s="98" t="s">
        <v>207</v>
      </c>
      <c r="L17" s="99" t="s">
        <v>205</v>
      </c>
      <c r="M17" s="98"/>
      <c r="N17" s="90"/>
      <c r="O17" s="78"/>
      <c r="P17" s="78"/>
      <c r="Q17" s="87"/>
      <c r="R17" s="90" t="str">
        <f t="shared" ref="R17" si="1">+L17</f>
        <v>TB</v>
      </c>
    </row>
    <row r="18" spans="1:19" ht="17.25" customHeight="1" x14ac:dyDescent="0.2">
      <c r="A18" s="87"/>
      <c r="B18" s="77"/>
      <c r="C18" s="163" t="s">
        <v>930</v>
      </c>
      <c r="D18" s="163"/>
      <c r="E18" s="163"/>
      <c r="F18" s="163"/>
      <c r="G18" s="166">
        <v>1</v>
      </c>
      <c r="H18" s="94">
        <f>+'Ingreso de Datos'!M47</f>
        <v>45</v>
      </c>
      <c r="I18" s="94" cm="1">
        <f t="array" aca="1" ref="I18" ca="1">+INDEX(INDIRECT("D"&amp;VLOOKUP(F7,S2:T9,2,FALSE)),MATCH(H18&amp;F7,INDIRECT("B"&amp;VLOOKUP(F7,S2:T9,2,FALSE))&amp;F7,0))</f>
        <v>91</v>
      </c>
      <c r="J18" s="94">
        <f>+Ajustes!E8</f>
        <v>-11</v>
      </c>
      <c r="K18" s="94"/>
      <c r="L18" s="95">
        <f ca="1">+Ajustes!G8</f>
        <v>80</v>
      </c>
      <c r="M18" s="94"/>
      <c r="N18" s="90"/>
      <c r="O18" s="78"/>
      <c r="P18" s="78"/>
      <c r="Q18" s="87">
        <v>1</v>
      </c>
      <c r="R18" s="90"/>
      <c r="S18" s="79" t="str">
        <f ca="1">IF(L18&lt;=60,"indica que no presenta o presenta en grado mínimo rasgos de "&amp;"personalidad introvertida.",IF(L18&lt;=74,"indica que se identifica una presencia muy leve de este patrón de personalidad, sin que ello represente una característica predominante o un factor "&amp;"de riesgo en el funcionamiento general. En estos casos, puede manifestar ciertos rasgos de reserva y desapego, pero sin que interfieran significativamente en su adaptación al"&amp;" entorno.",IF(L18&lt;=84,"indica que el patrón de personalidad introvertido se encuentra presente de manera más definida, aunque sin ser el rasgo predominante en su configuración"&amp;" psicológica. En estos casos, se observa una tendencia a la apatía y a la indiferencia afectiva, con una reducida implicación emocional en sus relaciones interpersonales y actividades"&amp;" cotidianas. Tiende a mantener un comportamiento reservado y poco expresivo, sin que ello implique una evitación activa de los demás, sino más bien una falta de interés o necesidad de"&amp;" vinculación social significativa.",IF(L18&gt;=85,"indica que la expresión del prototipo de personalidad introvertido se torna destacada o prominente. En este nivel, se manifiesta una actitud"&amp;" de desapego e indiferencia emocional de manera persistente, con una reducida capacidad para experimentar tanto la alegría como la tristeza con intensidad. Su comportamiento se caracteriza"&amp;" por la distancia afectiva y la ausencia de deseo por establecer vínculos cercanos o significativos. No se trata de una evitación social motivada por ansiedad o incomodidad, sino de una "&amp;"actitud pasiva frente a la interacción humana. Su implicación en las relaciones interpersonales es mínima, funcionando más como un observador de su entorno que como un participante "&amp;"activo. Las necesidades emocionales y afectivas son escasas, lo que se traduce en una notable falta de expresividad emocional y una ausencia de motivación para involucrarse en "&amp;"dinámicas sociales o afectivas. Este patrón de personalidad guarda similitudes con la personalidad esquizoide descrita en el DSM, destacando la tendencia a la indiferencia emocional y"&amp;" la limitada respuesta ante estímulos afectivos y sociales. Su mundo interno se mantiene distante de las experiencias interpersonales, con una notable falta de implicación en las "&amp;"relaciones humanas y una actitud caracterizada por la neutralidad afectiva y la ausencia de búsqueda de gratificación social."))))</f>
        <v>indica que el patrón de personalidad introvertido se encuentra presente de manera más definida, aunque sin ser el rasgo predominante en su configuración psicológica. En estos casos, se observa una tendencia a la apatía y a la indiferencia afectiva, con una reducida implicación emocional en sus relaciones interpersonales y actividades cotidianas. Tiende a mantener un comportamiento reservado y poco expresivo, sin que ello implique una evitación activa de los demás, sino más bien una falta de interés o necesidad de vinculación social significativa.</v>
      </c>
    </row>
    <row r="19" spans="1:19" ht="17.25" customHeight="1" x14ac:dyDescent="0.2">
      <c r="A19" s="87"/>
      <c r="B19" s="77"/>
      <c r="C19" s="163" t="s">
        <v>368</v>
      </c>
      <c r="D19" s="163"/>
      <c r="E19" s="163"/>
      <c r="F19" s="163"/>
      <c r="G19" s="166" t="s">
        <v>152</v>
      </c>
      <c r="H19" s="94">
        <f>+'Ingreso de Datos'!O40</f>
        <v>52</v>
      </c>
      <c r="I19" s="94" cm="1">
        <f t="array" aca="1" ref="I19" ca="1">+INDEX(INDIRECT("E"&amp;VLOOKUP(F7,S2:T9,2,FALSE)),MATCH(H19&amp;F7,INDIRECT("B"&amp;VLOOKUP(F7,S2:T9,2,FALSE))&amp;F7,0))</f>
        <v>106</v>
      </c>
      <c r="J19" s="94">
        <f>+Ajustes!E9</f>
        <v>-11</v>
      </c>
      <c r="K19" s="94">
        <f ca="1">+Ajustes!F9</f>
        <v>15</v>
      </c>
      <c r="L19" s="95">
        <f ca="1">+Ajustes!G9</f>
        <v>110</v>
      </c>
      <c r="M19" s="94"/>
      <c r="N19" s="90"/>
      <c r="O19" s="78"/>
      <c r="P19" s="78"/>
      <c r="Q19" s="87">
        <v>2</v>
      </c>
      <c r="R19" s="90"/>
      <c r="S19" s="79" t="str">
        <f ca="1">IF(L19&lt;=60,"indica que en este rango, las características asociadas"&amp;" al prototipo Inhibido se consideran ausentes o no significativas.",IF(L19&lt;=74,"se identifica una presencia muy leve de este patrón de personalidad, sin que ello represente un rasgo predominante o un "&amp;" factor que afecte significativamente el funcionamiento social y emocional. En estos casos, puede mostrar cierta cautela en las interacciones interpersonales y cierta reserva emocional"&amp;" , pero sin que esto limite de manera importante su capacidad de relacionarse con los demás.",IF(L19&lt;=84,"indica que se encuentra presente de manera más definida, aunque sin ser el"&amp;"  rasgo predominante en su configuración psicológica. En estos casos, se observa una tendencia a evitar el contacto social cercano debido a una marcada inseguridad personal. A pesar de"&amp;"  que existe un deseo de proximidad con los demás, este suele verse obstaculizado por experiencias previas que han reforzado la idea de que mantener distancia es la mejor forma"&amp;"  de evitar el rechazo. Es común que evite compartir sus pensamientos o emociones más profundas, prefiriendo mantener sus sentimientos en reserva para evitar la posibilidad de ser "&amp;" juzgado o rechazado.",IF(L19&gt;=85,"la expresión del prototipo de personalidad inhibido se torna destacada o prominente. En este nivel, se manifiesta una marcada timidez y una gran"&amp;"  incomodidad en situaciones sociales, lo que genera una tendencia persistente al aislamiento y a la evitación. A pesar del deseo de establecer vínculos cercanos, el temor al rechazo y la"&amp;"  falta de confianza en la aceptación de los demás generan una barrera para la interacción social. Su comportamiento está caracterizado por una notable autocontención emocional,"&amp;"  manteniendo un alto grado de reserva en cuanto a sus pensamientos y sentimientos personales. Tiende a experimentar un sentido de soledad, pero"&amp;"  evita activamente la cercanía"))))</f>
        <v>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row>
    <row r="20" spans="1:19" ht="17.25" customHeight="1" x14ac:dyDescent="0.2">
      <c r="A20" s="87"/>
      <c r="B20" s="77"/>
      <c r="C20" s="163" t="s">
        <v>369</v>
      </c>
      <c r="D20" s="163"/>
      <c r="E20" s="163"/>
      <c r="F20" s="163"/>
      <c r="G20" s="166" t="s">
        <v>153</v>
      </c>
      <c r="H20" s="94">
        <f>+'Ingreso de Datos'!Q27</f>
        <v>43</v>
      </c>
      <c r="I20" s="94" cm="1">
        <f t="array" aca="1" ref="I20" ca="1">+INDEX(INDIRECT("F"&amp;VLOOKUP(F7,S2:T9,2,FALSE)),MATCH(H20&amp;F7,INDIRECT("B"&amp;VLOOKUP(F7,S2:T9,2,FALSE))&amp;F7,0))</f>
        <v>109</v>
      </c>
      <c r="J20" s="94">
        <f>+Ajustes!E10</f>
        <v>-11</v>
      </c>
      <c r="K20" s="94">
        <f ca="1">+Ajustes!F10</f>
        <v>15</v>
      </c>
      <c r="L20" s="95">
        <f ca="1">+Ajustes!G10</f>
        <v>113</v>
      </c>
      <c r="M20" s="94"/>
      <c r="N20" s="90"/>
      <c r="O20" s="78"/>
      <c r="P20" s="78"/>
      <c r="Q20" s="87">
        <v>3</v>
      </c>
      <c r="R20" s="90"/>
      <c r="S20" s="79" t="str">
        <f ca="1">IF(L20&lt;=60,"indica una actitud generalmente optimista"&amp;" o realista ante la vida. En este rango pueden no mostrar las características típicas asociadas con el pesimismo"&amp;" o la depresión.",IF(L20&lt;=74,"indica una presencia muy leve de este patrón de "&amp;"personalidad, sin que ello represente un rasgo predominante o un factor que afecte significativamente su funcionamiento. En estos casos, puede experimentar ocasionales momentos"&amp;"de negatividad o inseguridad, pero sin que ello configure una perspectiva global persistentemente pesimista.",IF(L20&lt;=84,"indica que el patrón de personalidad pesimista se "&amp;"encuentra presente, aunque sin ser el rasgo dominante en la configuración psicológica. Se observa una tendencia a percibir el futuro con incertidumbre y desconfianza, con una "&amp;"predisposición a experimentar sentimientos de abatimiento. La autopercepción suele estar marcada por la duda sobre sus propias capacidades y un sentido recurrente de"&amp;" inadecuación.",IF(L20&gt;=85,"indica que el prototipo de personalidad pesimista se torna destacada o prominente. En este nivel, se observa una visión negativa del mundo y de sí mismo, con"&amp;" una tendencia persistente a experimentar tristeza. La perspectiva del futuro se configura como amenazante y sin esperanza, dificultando experimentar experiencias gratificantes. "&amp;"Su autoevaluación suele estar dominada por sentimientos de culpa y remordimiento, lo que refuerza una imagen personal de inadecuación y un sentido de inutilidad."&amp;" Este patrón de personalidad comparte características con la personalidad depresiva descrita en el DSM IV"))))</f>
        <v>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row>
    <row r="21" spans="1:19" ht="17.25" customHeight="1" x14ac:dyDescent="0.2">
      <c r="A21" s="87"/>
      <c r="B21" s="77"/>
      <c r="C21" s="163" t="s">
        <v>370</v>
      </c>
      <c r="D21" s="163"/>
      <c r="E21" s="163"/>
      <c r="F21" s="163"/>
      <c r="G21" s="166">
        <v>3</v>
      </c>
      <c r="H21" s="94">
        <f>+'Ingreso de Datos'!S51</f>
        <v>44</v>
      </c>
      <c r="I21" s="94" cm="1">
        <f t="array" aca="1" ref="I21" ca="1">+INDEX(INDIRECT("H"&amp;VLOOKUP(F7,S2:T9,2,FALSE)),MATCH(H21&amp;F7,INDIRECT("B"&amp;VLOOKUP(F7,S2:T9,2,FALSE))&amp;F7,0))</f>
        <v>42</v>
      </c>
      <c r="J21" s="94">
        <f>+Ajustes!E11</f>
        <v>-11</v>
      </c>
      <c r="K21" s="94"/>
      <c r="L21" s="95">
        <f ca="1">+Ajustes!G11</f>
        <v>31</v>
      </c>
      <c r="M21" s="94"/>
      <c r="N21" s="90"/>
      <c r="O21" s="78"/>
      <c r="P21" s="78"/>
      <c r="Q21" s="87">
        <v>4</v>
      </c>
      <c r="R21" s="90"/>
      <c r="S21" s="79" t="str">
        <f ca="1">IF(L21&lt;=60,"indica que tiene una menor propensión "&amp;"a la sumisión y dependencia. Aunque puede haber momentos en que prefiera la aprobación externa o muestre cierta reticencia a tomar la iniciativa, estas no son características "&amp;"predominantes. Puede mostrar una "&amp;"mezcla equilibrada de dependencia y autonomía, capaz de actuar independientemente cuando es necesario, aunque todavía "&amp;"pueda evitar situaciones de alto conflicto o liderazgo en "&amp;"contextos más desafiantes.",IF(L21&lt;=74,"se identifica una presencia muy leve de este patrón de personalidad, sin que ello represente un rasgo predominante o un factor que afecte "&amp;"significativamente su funcionamiento interpersonal. En estos casos, puede mostrar una tendencia a la cooperación y a evitar la imposición de sus deseos sobre los demás, pero sin que "&amp;"esto implique una dependencia marcada o una dificultad significativa para asumir la iniciativa.",IF(L21&lt;=84,"el patrón de personalidad sumiso se encuentra presente, aunque sin ser"&amp;" el rasgo dominante en la configuración psicológica. Se observa una marcada tendencia a evitar situaciones en las que se requiera liderazgo o toma de decisiones, prefiriendo "&amp;"adoptar un rol secundario en las interacciones sociales. Es común que busque la aprobación de los demás y que minimice sus logros personales, mostrando una autoevaluación "&amp;"caracterizada por la modestia y la subestimación de sus propias capacidades. Su actitud es dependiente, con una inclinación a mantener relaciones en las que la seguridad emocional"&amp;" provenga de figuras externas.",IF(L21&gt;=85,"la expresión del prototipo de personalidad sumiso se torna destacada o prominente. En este nivel, el comportamiento se caracteriza por una"&amp;" renuencia a asumir cualquier tipo de autoridad o liderazgo, mostrando una fuerte dependencia emocional en sus relaciones interpersonales. Su actitud refleja una necesidad constante"&amp;" de apoyo y validación, con un temor significativo a la separación o al rechazo. La tendencia a la autodevaluación es persistente, minimizando sus propias habilidades. Su estilo interpersonal"&amp;" está marcado por la complacencia y la evitación de cualquier tipo de conflicto, con una predisposición a subyugar sus propias necesidades para mantener la armonía en sus "&amp;"relaciones cercanas. Este patrón de personalidad guarda similitudes con la personalidad dependiente descrita en el DSM, en la medida en que el individuo ha aprendido a vincular su "&amp;"sensación de seguridad y bienestar con la aceptación y el apoyo constante de los demás."))))</f>
        <v>indica que tiene una menor propensión a la sumisión y dependencia. Aunque puede haber momentos en que prefiera la aprobación externa o muestre cierta reticencia a tomar la iniciativa, estas no son características predominantes. Puede mostrar una mezcla equilibrada de dependencia y autonomía, capaz de actuar independientemente cuando es necesario, aunque todavía pueda evitar situaciones de alto conflicto o liderazgo en contextos más desafiantes.</v>
      </c>
    </row>
    <row r="22" spans="1:19" ht="17.25" customHeight="1" x14ac:dyDescent="0.2">
      <c r="A22" s="87"/>
      <c r="B22" s="77"/>
      <c r="C22" s="163" t="s">
        <v>372</v>
      </c>
      <c r="D22" s="163"/>
      <c r="E22" s="163"/>
      <c r="F22" s="163"/>
      <c r="G22" s="166">
        <v>4</v>
      </c>
      <c r="H22" s="94">
        <f>+'Ingreso de Datos'!U44</f>
        <v>18</v>
      </c>
      <c r="I22" s="94" cm="1">
        <f t="array" aca="1" ref="I22" ca="1">+INDEX(INDIRECT("I"&amp;VLOOKUP(F7,S2:T9,2,FALSE)),MATCH(H22&amp;F7,INDIRECT("B"&amp;VLOOKUP(F7,S2:T9,2,FALSE))&amp;F7,0))</f>
        <v>11</v>
      </c>
      <c r="J22" s="94">
        <f>+Ajustes!E12</f>
        <v>-11</v>
      </c>
      <c r="K22" s="94"/>
      <c r="L22" s="95">
        <f ca="1">+Ajustes!G12</f>
        <v>1</v>
      </c>
      <c r="M22" s="94"/>
      <c r="N22" s="90"/>
      <c r="O22" s="78"/>
      <c r="P22" s="78"/>
      <c r="Q22" s="87">
        <v>5</v>
      </c>
      <c r="R22" s="90"/>
      <c r="S22" s="79" t="str">
        <f ca="1">IF(L22&lt;=60,"indica una baja presencia de rasgos histriónicos. En este rango, no busca activamente la"&amp;" atención o la aprobación de otros mediante la expresividad emocional o el comportamiento exhibicionista. Pueden tener relaciones más estables y menos dependientes de la"&amp;"  validación externa.",IF(L22&lt;=74,"se identifica una presencia muy leve de este patrón de personalidad, sin que ello represente un rasgo predominante o que afecte significativamente "&amp;" su funcionamiento social y emocional. En estos casos, puede manifestar un comportamiento sociable y comunicativo, con cierta inclinación por la expresividad emocional y"&amp;"  la interacción dinámica con los demás, pero sin que esto configure una necesidad constante de atención.",IF(L22&lt;=84,"el patrón de personalidad histriónico se encuentra presente,"&amp;"  aunque sin ser el rasgo dominante en la configuración psicológica. Se observa una tendencia a ser conversador y expresivo en su forma de interactuar. Tiende a establecer relaciones"&amp;"  de manera rápida y con gran intensidad, aunque estas suelen ser breves debido a su constante búsqueda de novedad y estimulación. Se aburre con facilidad cuando las situaciones o las "&amp;" relaciones se tornan rutinarias, por lo que busca experiencias nuevas.",IF(L22&gt;=85,"la expresión del prototipo de personalidad histriónico se torna destacada o prominente. En este"&amp;"  nivel, exhibe un comportamiento expresivo y necesita mantenerse en entornos donde la atención sea constante. Su estilo de interacción está caracterizado por un deseo persistente de"&amp;"  captar el interés de los demás. Tiende y a dramatizar sus emociones, mostrando una reactividad emocional intensa en distintas situaciones. Este patrón de personalidad guarda "&amp;" paralelismo con el trastorno histriónico de la personalidad descrito en el DSM, en la medida en que se orienta hacia la interacción social con un estilo expresivo, buscando continuamente"&amp;"  experiencias que mantengan su interés y evitando la estabilidad o la rutina en sus relaciones interpersonales. Está definido por una alta intensidad y dramatismo, con una necesidad"&amp;"  constante de atención."))))</f>
        <v>indica una baja presencia de rasgos histriónicos. En este rango, no busca activamente la atención o la aprobación de otros mediante la expresividad emocional o el comportamiento exhibicionista. Pueden tener relaciones más estables y menos dependientes de la  validación externa.</v>
      </c>
    </row>
    <row r="23" spans="1:19" ht="17.25" customHeight="1" x14ac:dyDescent="0.2">
      <c r="A23" s="87"/>
      <c r="B23" s="77"/>
      <c r="C23" s="163" t="s">
        <v>371</v>
      </c>
      <c r="D23" s="163"/>
      <c r="E23" s="163"/>
      <c r="F23" s="163"/>
      <c r="G23" s="166">
        <v>5</v>
      </c>
      <c r="H23" s="94">
        <f>+'Ingreso de Datos'!W42</f>
        <v>21</v>
      </c>
      <c r="I23" s="94" cm="1">
        <f t="array" aca="1" ref="I23" ca="1">+INDEX(INDIRECT("J"&amp;VLOOKUP(F7,S2:T9,2,FALSE)),MATCH(H23&amp;F7,INDIRECT("B"&amp;VLOOKUP(F7,S2:T9,2,FALSE))&amp;F7,0))</f>
        <v>21</v>
      </c>
      <c r="J23" s="94">
        <f>+Ajustes!E13</f>
        <v>-11</v>
      </c>
      <c r="K23" s="94"/>
      <c r="L23" s="95">
        <f ca="1">+Ajustes!G13</f>
        <v>10</v>
      </c>
      <c r="M23" s="94"/>
      <c r="N23" s="90"/>
      <c r="O23" s="78"/>
      <c r="P23" s="78"/>
      <c r="Q23" s="87">
        <v>6</v>
      </c>
      <c r="R23" s="90"/>
      <c r="S23" s="79" t="str">
        <f ca="1">IF(L23&lt;=60,"indica una baja presencia de rasgos egocéntricos o narcisistas. En este rango"&amp;" probablemente muestra una consideración equilibrada por los demás y una autoestima saludable que no se inclina hacia la autovaloración excesiva o la explotación de"&amp;" otros.",IF(L23&lt;=74,"se identifica una presencia muy leve de este patrón de personalidad, sin que ello represente un rasgo predominante o que afecte significativamente su"&amp;" funcionamiento. En estos casos, puede mostrarse seguro de sí mismo y con un sentido de autoestima elevado, pero sin que esto implique una actitud arrogante o explotadora en sus"&amp;" relaciones interpersonales.",IF(L23&lt;=84,"el patrón de personalidad egocéntrico se encuentra presente, aunque sin ser el rasgo dominante en la configuración psicológica. Se observa una"&amp;" tendencia a actuar con confianza en sí mismo y una baja disposición a cuestionar su propio valor. Su comportamiento suele percibirse como pretencioso o centrado en sus "&amp;"propios intereses, con una limitada preocupación por las necesidades ajenas. Aunque acepta y busca elogios de los demás, su autoestima no depende de una validación externa constante, "&amp;"ya que mantiene una actitud de superioridad con independencia del reconocimiento social real.",IF(L23&gt;=85,"la expresión del prototipo de personalidad egocéntrico se torna destacada "&amp;"o prominente. En este nivel, se muestra notablemente arrogante y exhibe una confianza en sí mismo que rara vez admite dudas o cuestionamientos. Su comportamiento se caracteriza "&amp;"por una actitud de superioridad, donde la percepción de su propio valor es elevada, incluso en ausencia de logros objetivos que la respalden. Su interacción con los demás tiende "&amp;"a ser utilitaria, mostrando una baja consideración por las necesidades o sentimientos ajenos. Puede adoptar una postura explotadora en sus relaciones interpersonales, buscando "&amp;"obtener beneficios personales sin reflexionar demasiado sobre el impacto en los otros. Su aire de esnobismo y autosuficiencia minimiza la necesidad de confirmación externa, ya"&amp;" que la creencia en su propia valía es interna y persistente. Este patrón de personalidad mantiene un paralelismo con la personalidad narcisista descrita en el DSM, en la medida en que"&amp;" exhibe un sentido de grandiosidad y una autoimagen inflada que se sostiene con independencia de la validación social genuina. Su actitud se basa en la convicción de que su posición"&amp;" y capacidades lo distinguen del resto, lo que se traduce en un estilo interpersonal marcado por la arrogancia y una limitada empatía hacia los demás."))))</f>
        <v>indica una baja presencia de rasgos egocéntricos o narcisistas. En este rango probablemente muestra una consideración equilibrada por los demás y una autoestima saludable que no se inclina hacia la autovaloración excesiva o la explotación de otros.</v>
      </c>
    </row>
    <row r="24" spans="1:19" ht="17.25" customHeight="1" x14ac:dyDescent="0.2">
      <c r="A24" s="87"/>
      <c r="B24" s="77"/>
      <c r="C24" s="163" t="s">
        <v>373</v>
      </c>
      <c r="D24" s="163"/>
      <c r="E24" s="163"/>
      <c r="F24" s="163"/>
      <c r="G24" s="166" t="s">
        <v>154</v>
      </c>
      <c r="H24" s="94">
        <f>+'Ingreso de Datos'!Y42</f>
        <v>31</v>
      </c>
      <c r="I24" s="94" cm="1">
        <f t="array" aca="1" ref="I24" ca="1">+INDEX(INDIRECT("K"&amp;VLOOKUP(F7,S2:T9,2,FALSE)),MATCH(H24&amp;F7,INDIRECT("B"&amp;VLOOKUP(F7,S2:T9,2,FALSE))&amp;F7,0))</f>
        <v>52</v>
      </c>
      <c r="J24" s="94">
        <f>+Ajustes!E14</f>
        <v>-11</v>
      </c>
      <c r="K24" s="94"/>
      <c r="L24" s="95">
        <f ca="1">+Ajustes!G14</f>
        <v>41</v>
      </c>
      <c r="M24" s="94"/>
      <c r="N24" s="90"/>
      <c r="O24" s="78"/>
      <c r="P24" s="78"/>
      <c r="Q24" s="87">
        <v>7</v>
      </c>
      <c r="R24" s="90"/>
      <c r="S24" s="79" t="str">
        <f ca="1">IF(L24&lt;=60,"indica una baja presencia de comportamientos y actitudes rebeldes. En este rango, probablemente "&amp;" se ajusta a las normas sociales y legales y muestra un respeto general por las autoridades y las reglas establecidas.",IF(L24&lt;=74,"se identifica "&amp;"una presencia muy leve de este patrón de personalidad, sin que ello represente un rasgo predominante o que afecte significativamente su comportamiento. En estos casos, puede mostrar"&amp;" cierta resistencia a la autoridad y una actitud independiente, pero sin que esto implique un patrón consistente de conducta desafiante o antisocial.",IF(L24&lt;=84,"el patrón de"&amp;" personalidad rebelde se encuentra presente, aunque sin ser el rasgo dominante en la configuración psicológica. Se observa una tendencia a resistirse a las normas y a desafiar la"&amp;" autoridad de figuras paternas, educativas o institucionales. La actitud se caracteriza por un comportamiento provocador y un rechazo a las restricciones impuestas por"&amp;" otros. Puede presentar dificultades en la adaptación a estructuras jerárquicas, mostrando una disposición a la confrontación cuando percibe que sus deseos o decisiones están siendo"&amp;" limitados. Aunque esta conducta no alcanza niveles extremos, sí está presente de manera recurrente en su interacción con el entorno.",IF(L24&gt;=85,"la expresión del prototipo de personalidad"&amp;" rebelde se torna destacada o prominente. En este nivel, el comportamiento se define por una marcada resistencia a ajustarse a las normas socialmente aceptadas y una tendencia a "&amp;"involucrarse en conflictos con figuras de autoridad, como padres, docentes o incluso instancias legales. Su actitud se caracteriza por una disposición hostil y desafiante, con una inclinación "&amp;"a desafiar activamente cualquier intento de control externo. Puede manifestar comportamientos tramposos o manipuladores como una forma de obtener ventaja en sus relaciones "&amp;"interpersonales o para evitar consecuencias adversas. Además, es común que adopte un estilo de interacción marcado por la desconfianza y el resentimiento, asumiendo que los "&amp;"demás actúan con engaño o desprecio, lo que lo lleva a responder con actitudes defensivas o agresivas. Este patrón de personalidad guarda similitudes con el trastorno antisocial de la "&amp;"personalidad descrito en el DSM, en la medida en que no solo desafía la autoridad y las normas, sino que también puede involucrarse en conductas ilegales o perjudiciales con la intención "&amp;"de obtener un beneficio personal o de desafiar activamente las reglas establecidas. Su comportamiento refleja un estilo de afrontamiento basado en la oposición y el desafío, manteniendo "&amp;"una actitud de enfrentamiento constante con el entorno."))))</f>
        <v>indica una baja presencia de comportamientos y actitudes rebeldes. En este rango, probablemente  se ajusta a las normas sociales y legales y muestra un respeto general por las autoridades y las reglas establecidas.</v>
      </c>
    </row>
    <row r="25" spans="1:19" ht="17.25" customHeight="1" x14ac:dyDescent="0.2">
      <c r="A25" s="87"/>
      <c r="B25" s="77"/>
      <c r="C25" s="163" t="s">
        <v>374</v>
      </c>
      <c r="D25" s="163"/>
      <c r="E25" s="163"/>
      <c r="F25" s="163"/>
      <c r="G25" s="166" t="s">
        <v>155</v>
      </c>
      <c r="H25" s="94">
        <f>+'Ingreso de Datos'!AA25</f>
        <v>9</v>
      </c>
      <c r="I25" s="94" cm="1">
        <f t="array" aca="1" ref="I25" ca="1">+INDEX(INDIRECT("T"&amp;VLOOKUP(F7,S2:T9,2,FALSE)),MATCH(H25&amp;F7,INDIRECT("B"&amp;VLOOKUP(F7,S2:T9,2,FALSE))&amp;F7,0))</f>
        <v>46</v>
      </c>
      <c r="J25" s="94">
        <f>+Ajustes!E15</f>
        <v>-11</v>
      </c>
      <c r="K25" s="94"/>
      <c r="L25" s="95">
        <f ca="1">+Ajustes!G15</f>
        <v>35</v>
      </c>
      <c r="M25" s="94"/>
      <c r="N25" s="90"/>
      <c r="O25" s="78"/>
      <c r="P25" s="78"/>
      <c r="Q25" s="87">
        <v>8</v>
      </c>
      <c r="R25" s="90"/>
      <c r="S25" s="79" t="str">
        <f ca="1">IF(L25&lt;=60,"indica que en este rango, las características"&amp;" asociadas al prototipo Rudo se consideran ausentes o no significativas. No se observan tendencias marcadas hacia la dureza, obstinación o dominación de otros."&amp;" No muestra inclinación a cuestionar los derechos de los demás o a asumir el control en la mayoría de las situaciones.",IF(L25&lt;=74,"se identifica una presencia muy leve de este patrón de personalidad,"&amp;" sin que ello represente un rasgo predominante o que afecte significativamente su interacción con los demás. En estos casos, puede manifestar cierta firmeza y actitud directa en sus"&amp;" relaciones, pero sin que esto implique un comportamiento hostil o abusivo.",IF(L25&lt;=84,"el patrón de personalidad rudo se encuentra presente, aunque sin ser el rasgo dominante en la "&amp;"configuración psicológica. Se observa una tendencia a imponerse sobre los demás y a cuestionar sus derechos, mostrando poca tolerancia hacia las debilidades ajenas. Su estilo "&amp;"de interacción tiende a ser directo y poco considerado, con una baja disposición a la empatía o a la comprensión de las dificultades de los demás. Prefiere asumir el control en la mayoría "&amp;"de las situaciones y puede mostrarse impaciente ante aquellos que percibe como menos capaces o vulnerables. Aunque estas características no alcanzan un nivel extremo, están "&amp;"presentes de manera recurrente en su forma de relacionarse con los otros.",IF(L25&gt;=85,"la expresión del prototipo de personalidad rudo se torna destacada o prominente. En este nivel, "&amp;"exhibe un comportamiento marcadamente dominante y hostil, con una inclinación persistente a subyugar a los demás y a imponer su voluntad sin consideración por sus derechos o sentimientos"&amp;". Su actitud se caracteriza por la falta de amabilidad y una notable impaciencia ante cualquier muestra de vulnerabilidad o debilidad en los otros. La interacción con su entorno suele "&amp;"estar mediada por la intimidación y el control, mostrando una tendencia a desestimar las necesidades ajenas en favor de su propio dominio. Es común que adopte un estilo interpersonal "&amp;"basado en la imposición, la dureza y el desprecio hacia aquellos que considera inferiores o incapaces. Este patrón de personalidad guarda similitudes con el trastorno sádico descrito"&amp;" en el DSM, en la medida en que parece encontrar placer o satisfacción en ejercer control mediante la imposición de estrés, temor o crueldad en sus relaciones interpersonales."&amp;" Su forma de interacción se basa en una inversión del principio dolor-placer, considerando la dominación y la dureza como la vía preferida para relacionarse con los demás."&amp;" Su conducta refleja una orientación al poder y al sometimiento de los otros, estableciendo dinámicas interpersonales donde la imposición y el abuso pueden estar presentes de"&amp;" manera consistente."))))</f>
        <v>indica que en este rango, las características asociadas al prototipo Rudo se consideran ausentes o no significativas. No se observan tendencias marcadas hacia la dureza, obstinación o dominación de otros. No muestra inclinación a cuestionar los derechos de los demás o a asumir el control en la mayoría de las situaciones.</v>
      </c>
    </row>
    <row r="26" spans="1:19" ht="17.25" customHeight="1" x14ac:dyDescent="0.2">
      <c r="A26" s="87"/>
      <c r="B26" s="77"/>
      <c r="C26" s="163" t="s">
        <v>376</v>
      </c>
      <c r="D26" s="163"/>
      <c r="E26" s="163"/>
      <c r="F26" s="163"/>
      <c r="G26" s="166">
        <v>7</v>
      </c>
      <c r="H26" s="94">
        <f>+'Ingreso de Datos'!AC42</f>
        <v>34</v>
      </c>
      <c r="I26" s="94" cm="1">
        <f t="array" aca="1" ref="I26" ca="1">+INDEX(INDIRECT("R"&amp;VLOOKUP(F7,S2:T9,2,FALSE)),MATCH(H26&amp;F7,INDIRECT("B"&amp;VLOOKUP(F7,S2:T9,2,FALSE))&amp;F7,0))</f>
        <v>25</v>
      </c>
      <c r="J26" s="94">
        <f>+Ajustes!E16</f>
        <v>-11</v>
      </c>
      <c r="K26" s="94"/>
      <c r="L26" s="95">
        <f ca="1">+Ajustes!G16</f>
        <v>14</v>
      </c>
      <c r="M26" s="94"/>
      <c r="N26" s="90"/>
      <c r="O26" s="78"/>
      <c r="P26" s="78"/>
      <c r="Q26" s="87">
        <v>9</v>
      </c>
      <c r="R26" s="90"/>
      <c r="S26" s="79" t="str">
        <f ca="1">IF(L26&lt;=60,"indica que no muestra una tendencia de patrón de"&amp;" personalidad de conformista.",IF(L26&lt;=74,"indica presencia muy leve de este patrón de personalidad, sin que ello represente un rasgo predominante o que afecte significativamente"&amp;" su funcionamiento. En estos casos, tiende a ser organizado y responsable, con una inclinación por seguir reglas y mantener un estilo de vida estructurado, sin que esto limite su "&amp;"flexibilidad o adaptación a situaciones imprevistas.",IF(L26&lt;=84,"el patrón de personalidad conformista se encuentra presente, aunque sin ser el rasgo dominante en la configuración "&amp;"psicológica. Se observa una tendencia a cumplir estrictamente con normas y expectativas, evitando cualquier desviación de lo que se considera correcto o adecuado. Su estilo de vida se"&amp;" caracteriza por la planificación meticulosa y el rechazo a la incertidumbre, lo que puede generar un alto grado de control sobre sus propias emociones y comportamientos. Su actitud es"&amp;" predominantemente reservada y cautelosa, con una marcada necesidad de orden y predictibilidad en su entorno. Aunque no se manifiesta de manera extrema, la autoexigencia y la contención"&amp;" emocional son aspectos notables de su personalidad.",IF(L26&gt;=85,"indica que la expresión del prototipo de personalidad conformista se torna destacada o prominente. En este"&amp;" nivel, exhibe un comportamiento rígidamente controlado, con una marcada preocupación por hacer lo correcto y ajustarse a las expectativas sociales. Su actitud se define por una"&amp;" estricta disciplina y un esfuerzo constante por evitar cualquier situación que implique incertidumbre o improvisación. Su necesidad de estructura lo lleva a establecer demandas elevadas "&amp;"para sí mismo, lo que puede generar un alto nivel de tensión interna. Aunque en apariencia es obediente y sumamente responsable, este patrón de personalidad también está acompañado "&amp;"de una intensa represión emocional, derivada de un conflicto interno entre la rabia reprimida y el temor a la vergüenza, la culpa o la desaprobación social. Este perfil de personalidad"&amp;" guarda similitudes con el trastorno obsesivo-compulsivo de la personalidad descrito en el DSM, en la medida en que enfrenta un conflicto entre la necesidad de control y una oposición interna "&amp;"reprimida. La conformidad extrema y la autoimposición de estándares rigurosos actúan como mecanismos para mantener contenida cualquier expresión de descontento o resentimiento."&amp;" La vacilación, la duda y la tendencia a la pasividad en ciertas situaciones son reflejo de la lucha interna entre la necesidad de orden y la presencia de deseos ocultos de oposición, "&amp;"que rara vez son expresados de manera abierta."))))</f>
        <v>indica que no muestra una tendencia de patrón de personalidad de conformista.</v>
      </c>
    </row>
    <row r="27" spans="1:19" ht="17.25" customHeight="1" x14ac:dyDescent="0.2">
      <c r="A27" s="87"/>
      <c r="B27" s="77"/>
      <c r="C27" s="163" t="s">
        <v>375</v>
      </c>
      <c r="D27" s="163"/>
      <c r="E27" s="163"/>
      <c r="F27" s="163"/>
      <c r="G27" s="166" t="s">
        <v>156</v>
      </c>
      <c r="H27" s="94">
        <f>+'Ingreso de Datos'!AE46</f>
        <v>48</v>
      </c>
      <c r="I27" s="94" cm="1">
        <f t="array" aca="1" ref="I27" ca="1">+INDEX(INDIRECT("P"&amp;VLOOKUP(F7,S2:T9,2,FALSE)),MATCH(H27&amp;F7,INDIRECT("B"&amp;VLOOKUP(F7,S2:T9,2,FALSE))&amp;F7,0))</f>
        <v>110</v>
      </c>
      <c r="J27" s="94">
        <f>+Ajustes!E17</f>
        <v>-11</v>
      </c>
      <c r="K27" s="94"/>
      <c r="L27" s="95">
        <f ca="1">+Ajustes!G17</f>
        <v>99</v>
      </c>
      <c r="M27" s="94"/>
      <c r="N27" s="90"/>
      <c r="O27" s="78"/>
      <c r="P27" s="78"/>
      <c r="Q27" s="87">
        <v>10</v>
      </c>
      <c r="R27" s="90"/>
      <c r="S27" s="79" t="str">
        <f ca="1">IF(L27&lt;=60,"indica que una baja incidencia de comportamiento oposicionista,"&amp;" indicando que generalmente cumple"&amp;" con las expectativas sin mostrar resistencia significativa o negativismo hacia los demás.",IF(L27&lt;=74,"se identifica una presencia muy"&amp;" leve de este patrón de personalidad, sin que ello represente un rasgo predominante o que afecte significativamente su interacción con el entorno. En estos casos, "&amp;" puede manifestar ocasionales episodios de irritabilidad o descontento, pero sin que esto configure un patrón persistente de negativismo o conducta desafiante.",IF(L27&lt;=84,"el patrón de "&amp;"personalidad oposicionista se encuentra presente, aunque sin ser el rasgo dominante en la configuración psicológica. Se observa una tendencia a experimentar cambios "&amp;"repentinos en el estado de ánimo, con momentos en los que puede mostrarse extrovertido y agradable, seguidos de episodios de hostilidad e irritabilidad. Su comportamiento es"&amp;" impredecible, alternando entre el cumplimiento de las expectativas de los demás y la resistencia pasiva a la autoridad. Aunque experimenta sentimientos intensos de culpa y descontento"&amp;" consigo mismo.",IF(L27&gt;=85,"la expresión del prototipo de personalidad oposicionista se torna destacada o prominente. En este nivel, el comportamiento se caracteriza por una"&amp;" marcada ambivalencia en las relaciones interpersonales y una actitud negativista persistente. Su estilo de interacción se define por una resistencia a someterse a las expectativas"&amp;" de los demás, al mismo tiempo que experimenta sentimientos de culpa y autodesaprobación por no cumplir con lo que se espera de él. La expresión emocional es errática, con una"&amp;" alternancia entre la conformidad aparente y una oposición desafiante, lo que genera dificultades en la estabilidad de sus vínculos interpersonales. Su patrón de comportamiento refleja"&amp;" una lucha constante entre el deseo de aceptación y la necesidad de autonomía, lo que da lugar a reacciones impredecibles y a una dificultad para regular la expresión de"&amp;" su malestar. Este perfil de personalidad guarda similitudes con la personalidad pasivo-agresiva del DSM-III y con la personalidad negativista del DSM-IV, en la medida en que "&amp;"oscila entre la obediencia y la resistencia, sin lograr resolver la ambivalencia en su conducta. Su patrón de funcionamiento está definido por una trayectoria errática, caracterizada por el"&amp;" descontento con los demás y consigo mismo, expresando una combinación de autocrítica y terco negativismo. Su relación con el entorno se desarrolla a través de la oposición indirecta,"&amp;" manifestando una resistencia a las demandas externas mientras experimenta una fuerte insatisfacción interna."))))</f>
        <v>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row>
    <row r="28" spans="1:19" ht="17.25" customHeight="1" x14ac:dyDescent="0.2">
      <c r="A28" s="87"/>
      <c r="B28" s="77"/>
      <c r="C28" s="164" t="s">
        <v>377</v>
      </c>
      <c r="D28" s="164"/>
      <c r="E28" s="164"/>
      <c r="F28" s="164"/>
      <c r="G28" s="167" t="s">
        <v>157</v>
      </c>
      <c r="H28" s="96">
        <f>+'Ingreso de Datos'!AG47</f>
        <v>61</v>
      </c>
      <c r="I28" s="96" cm="1">
        <f t="array" aca="1" ref="I28" ca="1">+INDEX(INDIRECT("O"&amp;VLOOKUP(F7,S2:T9,2,FALSE)),MATCH(H28&amp;F7,INDIRECT("B"&amp;VLOOKUP(F7,S2:T9,2,FALSE))&amp;F7,0))</f>
        <v>111</v>
      </c>
      <c r="J28" s="96">
        <f>+Ajustes!E18</f>
        <v>-11</v>
      </c>
      <c r="K28" s="96">
        <f ca="1">+Ajustes!F18</f>
        <v>15</v>
      </c>
      <c r="L28" s="97">
        <f ca="1">+Ajustes!G18</f>
        <v>115</v>
      </c>
      <c r="M28" s="94"/>
      <c r="N28" s="90"/>
      <c r="O28" s="78"/>
      <c r="P28" s="78"/>
      <c r="Q28" s="87">
        <v>11</v>
      </c>
      <c r="R28" s="90"/>
      <c r="S28" s="79" t="str">
        <f ca="1">IF(L28&lt;=60,"indica una baja incidencia de comportamiento "&amp;"autopunitivo.",IF(L28&lt;=74,"se identifica una presencia muy leve de este patrón de personalidad, sin que ello represente un rasgo predominante o que afecte significativamente su funcionamiento. "&amp;"En estos casos, puede mostrar cierta tendencia a minimizar sus logros o a desvalorizarse en algunas situaciones, pero sin que esto configure un patrón persistente de "&amp;"autosabotaje o autodestrucción.",IF(L28&lt;=84,"indica que el patrón de personalidad autopunitivo se encuentra presente, aunque sin ser el rasgo dominante en la configuración psicológica. "&amp;"Se observa una tendencia a socavar los propios esfuerzos y a negar el disfrute de experiencias positivas. Su relación con los demás suele estar marcada por la sumisión y la complacencia"&amp;" excesiva, facilitando que otros se aprovechen de su disposición a priorizar las necesidades ajenas sobre las propias. Es común que enfatice sus aspectos negativos y se coloque "&amp;"en una posición de inferioridad, lo que contribuye a un ciclo de autoevaluación negativa y desvalorización personal.",IF(L28&gt;=85,"la expresión del prototipo de personalidad autopunitivo"&amp;" se torna destacada o prominente. En este nivel, actúa de manera sistemáticamente perjudicial para sí mismo, mostrando una actitud de resignación ante el sufrimiento y una"&amp;" disposición a aceptar el dolor como parte central de su experiencia emocional. Su conducta se caracteriza por el autosabotaje constante, evitando activamente el éxito o las "&amp;"experiencias gratificantes y convirtiendo las circunstancias favorables en nuevas fuentes de angustia. Su estilo interpersonal se basa en la sumisión, permitiendo o incluso propiciando "&amp;"que otros lo exploten o lo humillen. Suele recordar y revivir episodios dolorosos del pasado de manera recurrente, reforzando así su sensación de indignidad y sufrimiento autoimpuesto."&amp;" Su actitud está marcada por la renuncia a cualquier forma de reconocimiento o autoafirmación, lo que lo lleva a intensificar sus dificultades y a posicionarse en una dinámica de inferioridad "&amp;"o servidumbre en sus relaciones interpersonales. Este perfil de personalidad guarda similitudes con la personalidad autodestructiva descrita en el DSM, en la medida en que tiende a"&amp;" perpetuar su propio malestar mediante un ciclo de autodevaluación y negación del bienestar. Su comportamiento está orientado a reforzar la percepción de que merece ser castigado o"&amp;" despreciado, mostrando una resistencia activa a cualquier intento externo de mejorar su condición emocional o social. Su tendencia a la autoinfravaloración y a la autosacrificación lo"&amp;" coloca en una posición vulnerable ante la explotación y el abuso, al mismo tiempo que fortalece su identidad basada en la angustia y el sufrimiento."))))</f>
        <v>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row>
    <row r="29" spans="1:19" ht="18" customHeight="1" x14ac:dyDescent="0.2">
      <c r="A29" s="87"/>
      <c r="B29" s="77"/>
      <c r="C29" s="164" t="s">
        <v>378</v>
      </c>
      <c r="D29" s="164"/>
      <c r="E29" s="164"/>
      <c r="F29" s="164"/>
      <c r="G29" s="167">
        <v>9</v>
      </c>
      <c r="H29" s="96">
        <f>+'Ingreso de Datos'!AI24</f>
        <v>27</v>
      </c>
      <c r="I29" s="96" cm="1">
        <f t="array" aca="1" ref="I29" ca="1">+INDEX(INDIRECT("U"&amp;VLOOKUP(F7,S2:T9,2,FALSE)),MATCH(H29&amp;F7,INDIRECT("B"&amp;VLOOKUP(F7,S2:T9,2,FALSE))&amp;F7,0))</f>
        <v>85</v>
      </c>
      <c r="J29" s="96">
        <f>+Ajustes!E19</f>
        <v>-11</v>
      </c>
      <c r="K29" s="96">
        <f ca="1">+Ajustes!F19</f>
        <v>15</v>
      </c>
      <c r="L29" s="97">
        <f ca="1">+Ajustes!G19</f>
        <v>89</v>
      </c>
      <c r="M29" s="94"/>
      <c r="N29" s="90"/>
      <c r="O29" s="78"/>
      <c r="P29" s="78"/>
      <c r="Q29" s="87">
        <v>1</v>
      </c>
      <c r="R29" s="90"/>
      <c r="S29" s="79" t="str">
        <f ca="1">IF(L29&lt;=60,"Indica una baja incidencia de las características asociadas"&amp;" con la tendencia límite.",IF(L29&lt;=74,"se identifica una presencia muy leve de este patrón de personalidad, sin que ello represente un rasgo predominante o que afecte significativamente su"&amp;" funcionamiento. En estos casos, puede experimentar algunas fluctuaciones en su estado de ánimo o cierta inestabilidad en sus relaciones, pero sin que esto configure un patrón persistente"&amp;" de desregulación emocional o impulsividad.",IF(L29&lt;=84,"el patrón de personalidad de tendencia límite se encuentra presente, aunque sin ser el rasgo dominante en la configuración"&amp;" psicológica. Se observa una tendencia a experimentar estados emocionales intensos y variables, alternando entre episodios de abatimiento, ansiedad, irritabilidad o euforia."&amp;" Su comportamiento puede tornarse caprichoso e impulsivo, con cambios abruptos en la forma en que percibe sus relaciones interpersonales. Es común que muestre una fuerte ambivalencia"&amp;" en sus vínculos, oscilando entre la idealización y la desvalorización de los demás. Puede manifestar temor al abandono, lo que lo lleva a reaccionar de manera extrema ante "&amp;"situaciones que percibe como amenazantes para su estabilidad emocional. Su sentido de identidad suele ser frágil, con dificultades para mantener una autoimagen estable y coherente"&amp;" a lo largo del tiempo.",IF(L29&gt;=85,"la expresión del prototipo de personalidad de tendencia límite se torna destacada o prominente. En este nivel, presenta una marcada"&amp;" desorganización interna, con una constante oscilación entre extremos opuestos en su comportamiento y estado emocional. Su inestabilidad afectiva se manifiesta en cambios"&amp;" abruptos de humor, con periodos de abatimiento y apatía que pueden alternarse con episodios de rabia intensa, ansiedad o euforia. En el ámbito interpersonal, predominan sentimientos "&amp;"contradictorios de amor, culpa y hostilidad hacia los demás, lo que dificulta la construcción de relaciones estables. Su estructura psíquica presenta una cohesión reducida, con"&amp;" dificultades para mantener una posición equilibrada entre la dependencia y la independencia, entre la impulsividad y la pasividad, o entre la obediencia y la oposición. En este nivel de expresión, "&amp;"la presencia de pensamientos autolesivos y suicidas puede ser recurrente, y algunos pueden llegar a actuar en función de estos impulsos. Su comportamiento tiende a ser errático, con"&amp;" una marcada dificultad para mantener la consistencia en sus decisiones y acciones. Reiteradamente, sabotea o contradice sus propios esfuerzos, reflejando un estado interno caracterizado "&amp;"por una profunda división intrapsíquica. Su funcionamiento se encuentra marcado por una fractura entre sus orientaciones internas y su forma de relacionarse con los demás, lo"&amp;" que genera un patrón de inestabilidad persistente tanto a nivel emocional como interpersonal. Este perfil de personalidad guarda similitudes con el trastorno límite de la"&amp;" personalidad descrito en el DSM, en la medida en que muestra una estructura psíquica caracterizada por una marcada discordia interna y una incapacidad para mantener un sentido "&amp;"coherente de sí mismo. Su funcionamiento se ve afectado por una polarización constante en sus emociones, relaciones y comportamientos, lo que lo lleva a alternar entre impulsividad y"&amp;" retraimiento, entre dependencia y oposición, y entre la búsqueda de aprobación y el rechazo activo de la misma. Su experiencia subjetiva está dominada por una sensación de "&amp;"vacío, inestabilidad y conflicto interno, lo que genera dificultades significativas en su capacidad para mantener relaciones interpersonales estables y una "&amp;"identidad consolidada."))))</f>
        <v>la expresión del prototipo de personalidad de tendencia límite se torna destacada o prominente. En este nivel, presenta una marcada desorganización interna, con una constante oscilación entre extremos opuestos en su comportamiento y estado emocional. Su inestabilidad afectiva se manifiesta en cambios abruptos de humor, con periodos de abatimiento y apatía que pueden alternarse con episodios de rabia intensa, ansiedad o euforia. En el ámbito interpersonal, predominan sentimientos contradictorios de amor, culpa y hostilidad hacia los demás, lo que dificulta la construcción de relaciones estables. Su estructura psíquica presenta una cohesión reducida, con dificultades para mantener una posición equilibrada entre la dependencia y la independencia, entre la impulsividad y la pasividad, o entre la obediencia y la oposición. En este nivel de expresión, la presencia de pensamientos autolesivos y suicidas puede ser recurrente, y algunos pueden llegar a actuar en función de estos impulsos. Su comportamiento tiende a ser errático, con una marcada dificultad para mantener la consistencia en sus decisiones y acciones. Reiteradamente, sabotea o contradice sus propios esfuerzos, reflejando un estado interno caracterizado por una profunda división intrapsíquica. Su funcionamiento se encuentra marcado por una fractura entre sus orientaciones internas y su forma de relacionarse con los demás, lo que genera un patrón de inestabilidad persistente tanto a nivel emocional como interpersonal. Este perfil de personalidad guarda similitudes con el trastorno límite de la personalidad descrito en el DSM, en la medida en que muestra una estructura psíquica caracterizada por una marcada discordia interna y una incapacidad para mantener un sentido coherente de sí mismo. Su funcionamiento se ve afectado por una polarización constante en sus emociones, relaciones y comportamientos, lo que lo lleva a alternar entre impulsividad y retraimiento, entre dependencia y oposición, y entre la búsqueda de aprobación y el rechazo activo de la misma. Su experiencia subjetiva está dominada por una sensación de vacío, inestabilidad y conflicto interno, lo que genera dificultades significativas en su capacidad para mantener relaciones interpersonales estables y una identidad consolidada.</v>
      </c>
    </row>
    <row r="30" spans="1:19" ht="17.25" hidden="1" customHeight="1" x14ac:dyDescent="0.2">
      <c r="A30" s="87"/>
      <c r="B30" s="77"/>
      <c r="C30" s="165" t="s">
        <v>187</v>
      </c>
      <c r="D30" s="165"/>
      <c r="E30" s="165"/>
      <c r="F30" s="165"/>
      <c r="G30" s="168"/>
      <c r="H30" s="98" t="s">
        <v>204</v>
      </c>
      <c r="I30" s="98" t="s">
        <v>205</v>
      </c>
      <c r="J30" s="98" t="s">
        <v>208</v>
      </c>
      <c r="K30" s="98" t="s">
        <v>209</v>
      </c>
      <c r="L30" s="99" t="s">
        <v>205</v>
      </c>
      <c r="M30" s="98"/>
      <c r="N30" s="89"/>
      <c r="O30" s="78"/>
      <c r="P30" s="78"/>
      <c r="Q30" s="87"/>
      <c r="R30" s="90"/>
    </row>
    <row r="31" spans="1:19" ht="17.25" customHeight="1" x14ac:dyDescent="0.2">
      <c r="A31" s="87"/>
      <c r="B31" s="77"/>
      <c r="C31" s="163" t="s">
        <v>396</v>
      </c>
      <c r="D31" s="163"/>
      <c r="E31" s="163"/>
      <c r="F31" s="163"/>
      <c r="G31" s="166" t="s">
        <v>158</v>
      </c>
      <c r="H31" s="94">
        <f>+'Ingreso de Datos'!AK35</f>
        <v>22</v>
      </c>
      <c r="I31" s="94" cm="1">
        <f t="array" aca="1" ref="I31" ca="1">+INDEX(INDIRECT("X"&amp;VLOOKUP(F7,S2:T9,2,FALSE)),MATCH(H31&amp;F7,INDIRECT("B"&amp;VLOOKUP(F7,S2:T9,2,FALSE))&amp;F7,0))</f>
        <v>72</v>
      </c>
      <c r="J31" s="94">
        <f ca="1">+Ajustes!E21</f>
        <v>-3</v>
      </c>
      <c r="K31" s="94">
        <f ca="1">+Ajustes!F21</f>
        <v>-4</v>
      </c>
      <c r="L31" s="95">
        <f ca="1">+Ajustes!G21</f>
        <v>65</v>
      </c>
      <c r="M31" s="94"/>
      <c r="N31" s="90"/>
      <c r="O31" s="78"/>
      <c r="P31" s="78"/>
      <c r="Q31" s="87">
        <v>1</v>
      </c>
      <c r="R31" s="90"/>
      <c r="S31" s="79" t="str">
        <f ca="1">IF(L31&lt;=35,"la identidad personal se percibe como un"&amp;" punto fuerte, indicando una autodefinición clara y estable. En este caso, muestra seguridad en su sentido de sí mismo, sus valores y sus objetivos, logrando integrar adecuadamente"&amp;" su identidad dentro de su contexto social y familiar.",IF(L31&lt;=60,"la preocupación respecto a la identidad es inferior, lo que indica que puede experimentar dudas ocasionales "&amp;"sobre su identidad y su futuro, pero sin que esto represente un problema significativo en su desarrollo. Puede haber cierto cuestionamiento sobre sus valores y aspiraciones, pero "&amp;"este proceso forma parte del desarrollo normal y no afecta de manera sustancial su sentido de estabilidad personal.",IF(L31&lt;=74,"la identidad se percibe como un tema ligeramente "&amp;"problemático. En este nivel, puede experimentar períodos de incertidumbre y desorientación respecto a quién es y qué desea en el futuro. Aunque este proceso es común durante "&amp;"el desarrollo psicosocial, la falta de claridad en sus valores, metas y sentido de sí mismo puede generar momentos de inseguridad y confusión.",IF(L31&lt;=84,"la difusión de la identidad se "&amp;"convierte en un área pendiente de resolver, percibida como problemática. En este nivel, muestra una dificultad para definir sus valores, propósitos y dirección en la vida. Puede"&amp;" sentirse descentrado y con dudas constantes sobre la persona en la que desea convertirse. Es común que experimente confusión sobre su identidad social, vocacional y personal, lo "&amp;"que puede afectar su sentido de independencia y su capacidad para integrarse en grupos de iguales.",IF(L31&gt;=85,"esta área"&amp;" representa una de sus principales preocupaciones. Existe una confusión "&amp;"significativa y constante sobre su identidad y el rumbo que desea tomar. Su sentido"&amp;" del yo se encuentra inestable, lo que puede generar una incertidumbre respecto a "&amp;"sus valores, aspiraciones y la clase de persona que quiere ser. Esta falta de claridad"&amp;" afecta su capacidad para establecer metas y proyectarse a futuro.")))))</f>
        <v>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row>
    <row r="32" spans="1:19" ht="17.25" customHeight="1" x14ac:dyDescent="0.2">
      <c r="A32" s="87"/>
      <c r="B32" s="77"/>
      <c r="C32" s="163" t="s">
        <v>397</v>
      </c>
      <c r="D32" s="163"/>
      <c r="E32" s="163"/>
      <c r="F32" s="163"/>
      <c r="G32" s="166" t="s">
        <v>159</v>
      </c>
      <c r="H32" s="91">
        <f>+'Ingreso de Datos'!AM41</f>
        <v>52</v>
      </c>
      <c r="I32" s="91" cm="1">
        <f t="array" aca="1" ref="I32" ca="1">+INDEX(INDIRECT("Z"&amp;VLOOKUP(F7,S2:T9,2,FALSE)),MATCH(H32&amp;F7,INDIRECT("B"&amp;VLOOKUP(F7,S2:T9,2,FALSE))&amp;F7,0))</f>
        <v>105</v>
      </c>
      <c r="J32" s="91">
        <f ca="1">+Ajustes!E22</f>
        <v>-3</v>
      </c>
      <c r="K32" s="91">
        <f ca="1">+Ajustes!F22</f>
        <v>-4</v>
      </c>
      <c r="L32" s="92">
        <f ca="1">+Ajustes!G22</f>
        <v>98</v>
      </c>
      <c r="M32" s="94"/>
      <c r="N32" s="90"/>
      <c r="O32" s="78"/>
      <c r="P32" s="78"/>
      <c r="Q32" s="87">
        <v>2</v>
      </c>
      <c r="S32" s="79" t="str">
        <f ca="1">IF(L32&lt;=35,"la autovaloración se percibe como un punto"&amp;" fuerte. En este caso, mantiene una imagen positiva de sí mismo, mostrando confianza en sus capacidades y sintiéndose conforme con su identidad personal. Su sentido de autoestima"&amp;" es estable, permitiéndole afrontar desafíos sin una autopercepción negativa persistente.",IF(L32&lt;=60,"la preocupación sobre la autovaloración es inferior, lo que indica que, aunque "&amp;"pueda experimentar dudas ocasionales sobre sí mismo, estas no representan una dificultad significativa. Puede haber momentos de inseguridad o insatisfacción, pero sin que esto"&amp;" afecte de manera constante su sentido de valía personal.",IF(L32&lt;=74,"la desvalorización de sí mismo se percibe como un tema ligeramente problemático. En este nivel, puede mostrar"&amp;" episodios de autocrítica frecuente y comparaciones negativas con los demás. Aunque mantiene cierto grado de confianza en sí mismo, sus sentimientos de insatisfacción con su"&amp;" autoimagen pueden generarle dudas sobre su capacidad para alcanzar sus aspiraciones personales.",IF(L32&lt;=84,"la desvalorización de sí mismo se convierte en un área"&amp;" pendiente de resolver y problemática. En este nivel, experimenta una percepción negativa persistente sobre sí mismo, sintiéndose insuficiente y con un marcado sentimiento de frustración"&amp;" respecto a quién es y quién le gustaría ser. Manifiesta una autovaloración frágil, con una tendencia a centrarse en sus defectos y limitaciones, lo que puede generar un impacto significativo"&amp;" en su estado emocional y en su confianza para afrontar diferentes situaciones. Es común que exprese verbalmente su baja autoestima y que perciba pocos aspectos admirables en"&amp;" su persona.",IF(L32&gt;=85,"la desvalorización de sí mismo constituye el área principal de preocupación. En este nivel, mantiene una visión profundamente negativa sobre su propia identidad"&amp;" y capacidades, con una autopercepción caracterizada por el sentimiento de inadecuación y la convicción de que nunca logrará alcanzar sus propias expectativas. Sus sentimientos"&amp;" de insatisfacción personal son persistentes y afectan significativamente su forma de relacionarse con los demás y de enfrentar situaciones cotidianas. Existe una marcada tendencia"&amp;" a compararse con los demás desde una perspectiva desfavorable, lo que refuerza su sensación de inferioridad. Su discurso suele estar dominado por expresiones de autocrítica y"&amp;" desesperanza respecto a su futuro, reflejando un profundo malestar con su autoimagen y su sentido de identidad.")))))</f>
        <v>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row>
    <row r="33" spans="1:19" ht="17.25" customHeight="1" x14ac:dyDescent="0.2">
      <c r="A33" s="87"/>
      <c r="B33" s="77"/>
      <c r="C33" s="163" t="s">
        <v>398</v>
      </c>
      <c r="D33" s="163"/>
      <c r="E33" s="163"/>
      <c r="F33" s="163"/>
      <c r="G33" s="166" t="s">
        <v>160</v>
      </c>
      <c r="H33" s="94">
        <f>+'Ingreso de Datos'!AO20</f>
        <v>25</v>
      </c>
      <c r="I33" s="94" cm="1">
        <f t="array" aca="1" ref="I33" ca="1">+INDEX(INDIRECT("V"&amp;VLOOKUP(F7,S2:T9,2,FALSE)),MATCH(H33&amp;F7,INDIRECT("B"&amp;VLOOKUP(F7,S2:T9,2,FALSE))&amp;F7,0))</f>
        <v>110</v>
      </c>
      <c r="J33" s="94"/>
      <c r="K33" s="94"/>
      <c r="L33" s="95">
        <f ca="1">+Ajustes!G23</f>
        <v>107</v>
      </c>
      <c r="M33" s="94"/>
      <c r="N33" s="90"/>
      <c r="O33" s="78"/>
      <c r="P33" s="78"/>
      <c r="Q33" s="87">
        <v>3</v>
      </c>
      <c r="R33" s="90"/>
      <c r="S33" s="79" t="str">
        <f ca="1">IF(L33&lt;=35,"la percepción de la propia imagen"&amp;" corporal se considera un punto fuerte. En este caso, muestra una actitud positiva respecto a su apariencia física, aceptando los cambios asociados al desarrollo sin que estos generen"&amp;" malestar significativo. Su autoimagen es estable, lo que le permite desenvolverse con confianza en su entorno social.",IF(L33&lt;=60,"la preocupación respecto a la imagen corporal es "&amp;"inferior, lo que indica que puede experimentar algunas dudas sobre su apariencia, pero sin que esto represente una fuente constante de insatisfacción. Puede haber momentos de inseguridad"&amp;" relacionados con su atractivo, pero estos no afectan de manera su bienestar emocional ni su interacción con los demás.",IF(L33&lt;=74,"el desagrado por el propio cuerpo se percibe"&amp;" como un tema ligeramente problemático. En este nivel, puede sentirse insatisfecho con ciertos aspectos específicos de su apariencia, lo que lo lleva a examinarse con mayor autocrítica."&amp;" Puede comparar su imagen con la de otros y mostrar preocupación por su nivel de atractivo social, aunque sin que esto afecte de manera severa su funcionamiento general.",IF(L33&lt;=84,"la insatisfacción con la imagen corporal se convierte en un área pendiente de resolver, considerada problemática. En este nivel, experimenta un malestar persistente con "&amp;"su apariencia física, expresando un descontento recurrente con su desarrollo corporal. Su percepción negativa de sí mismo se ve influida por la evaluación externa y por la comparación "&amp;"con estándares de atractivo social. Es común que perciba deficiencias en su morfología, lo que puede afectar su autoconfianza y su participación en entornos sociales.",IF(L33&gt;=85,"el"&amp;"desagrado por el propio cuerpo constituye el área principal de preocupación. En este nivel, mantiene una visión negativa constante sobre su imagen corporal, con una insatisfacción profunda y"&amp;" persistente respecto a su apariencia. Su autopercepción se encuentra marcada por un sentimiento de inconformidad, lo que lo lleva a centrarse en defectos percibidos de manera"&amp;" exagerada o en la comparación recurrente con estándares externos de atractivo. En muchos casos, la insatisfacción persiste incluso cuando los cambios físicos han alcanzado su"&amp;" desarrollo, lo que refleja un patrón de autopercepción negativa. La preocupación por su imagen corporal afecta significativamente su estado emocional y su comportamiento, influyendo "&amp;"en la forma en que se relaciona con los demás y en su nivel de comodidad en entornos sociales.")))))</f>
        <v>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row>
    <row r="34" spans="1:19" ht="17.25" customHeight="1" x14ac:dyDescent="0.2">
      <c r="A34" s="87"/>
      <c r="B34" s="77"/>
      <c r="C34" s="163" t="s">
        <v>399</v>
      </c>
      <c r="D34" s="163"/>
      <c r="E34" s="163"/>
      <c r="F34" s="163"/>
      <c r="G34" s="166" t="s">
        <v>161</v>
      </c>
      <c r="H34" s="91">
        <f>+'Ingreso de Datos'!AQ40</f>
        <v>35</v>
      </c>
      <c r="I34" s="91" cm="1">
        <f t="array" aca="1" ref="I34" ca="1">+INDEX(INDIRECT("M"&amp;VLOOKUP(F7,S2:T9,2,FALSE)),MATCH(H34&amp;F7,INDIRECT("B"&amp;VLOOKUP(F7,S2:T9,2,FALSE))&amp;F7,0))</f>
        <v>66</v>
      </c>
      <c r="J34" s="91">
        <f ca="1">+Ajustes!E24</f>
        <v>-3</v>
      </c>
      <c r="K34" s="91"/>
      <c r="L34" s="92">
        <f ca="1">+Ajustes!G24</f>
        <v>63</v>
      </c>
      <c r="M34" s="94"/>
      <c r="N34" s="90"/>
      <c r="O34" s="78"/>
      <c r="P34" s="78"/>
      <c r="Q34" s="87">
        <v>4</v>
      </c>
      <c r="R34" s="90"/>
      <c r="S34" s="79" t="str">
        <f ca="1">IF(L34&lt;=35,"la sexualidad se percibe como un punto fuerte."&amp;" En este caso, muestra comodidad y seguridad respecto a su identidad y expresión sexual. La sexualidad es integrada sin generar malestar significativo, permitiéndole afrontar"&amp;" con naturalidad los cambios y expectativas asociados a esta etapa del desarrollo.",IF(L34&lt;=60,"la incomodidad respecto al sexo es inferior, lo que indica que puede experimentar dudas o"&amp;" inquietudes ocasionales sobre su sexualidad, pero sin que esto tenga un impacto relevante en su bienestar emocional. Su proceso de desarrollo en esta área avanza sin generar conflictos"&amp;" persistentes, permitiéndole explorar y definir su identidad sexual sin una carga emocional significativa.",IF(L34&lt;=74,"la sexualidad se percibe como un tema ligeramente "&amp;"problemático. En este nivel, puede experimentar cierta inquietud o confusión respecto a sus impulsos sexuales y los roles que su sexualidad conlleva. Puede sentir incertidumbre"&amp;" sobre cómo integrar su identidad sexual dentro del contexto social, familiar o cultural en el que se desenvuelve. Aunque esta preocupación no es severa, genera una ligera"&amp;" inseguridad que puede afectar su nivel de comodidad con su expresión sexual.",IF(L34&lt;=84,"la incomodidad respecto al sexo se convierte en un área pendiente de resolver, considerada"&amp;" problemática. En este nivel, experimenta una inquietud en relación con su sexualidad, lo que puede generar conflictos internos persistentes. Es común que muestre temor o"&amp;" rechazo hacia ciertos aspectos de su identidad sexual o que se sienta incómodo ante la posibilidad de expresar sus impulsos.",IF(L34&gt;=85,"la incomodidad respecto al sexo constituye"&amp;" el área principal de preocupación. En este nivel, experimenta un conflicto significativo y constante en torno a su identidad sexual, sus impulsos y los roles asociados a la sexualidad. "&amp;"Su percepción en esta área está marcada por una lucha interna en la que predominan sentimientos de confusión, temor o rechazo hacia aspectos de su desarrollo sexual. Es común"&amp;" que evite situaciones o pensamientos relacionados con la sexualidad, experimentando una inquietud en torno a este tema. En los niveles más elevados, la incomodidad respecto al "&amp;"sexo se mantiene de manera rígida, dificultando la aceptación y exploración natural de esta dimensión del desarrollo. Su percepción de la sexualidad está influida por creencias"&amp;" externas, actitudes familiares.")))))</f>
        <v>la sexualidad se percibe como un tema ligeramente problemático. En este nivel, puede experimentar cierta inquietud o confusión respecto a sus impulsos sexuales y los roles que su sexualidad conlleva. Puede sentir incertidumbre sobre cómo integrar su identidad sexual dentro del contexto social, familiar o cultural en el que se desenvuelve. Aunque esta preocupación no es severa, genera una ligera inseguridad que puede afectar su nivel de comodidad con su expresión sexual.</v>
      </c>
    </row>
    <row r="35" spans="1:19" ht="17.25" customHeight="1" x14ac:dyDescent="0.2">
      <c r="A35" s="87"/>
      <c r="B35" s="77"/>
      <c r="C35" s="163" t="s">
        <v>403</v>
      </c>
      <c r="D35" s="163"/>
      <c r="E35" s="163"/>
      <c r="F35" s="163"/>
      <c r="G35" s="166" t="s">
        <v>162</v>
      </c>
      <c r="H35" s="94">
        <f>+'Ingreso de Datos'!AS22</f>
        <v>21</v>
      </c>
      <c r="I35" s="94" cm="1">
        <f t="array" aca="1" ref="I35" ca="1">+INDEX(INDIRECT("N"&amp;VLOOKUP(F7,S2:T9,2,FALSE)),MATCH(H35&amp;F7,INDIRECT("B"&amp;VLOOKUP(F7,S2:T9,2,FALSE))&amp;F7,0))</f>
        <v>82</v>
      </c>
      <c r="J35" s="94">
        <f ca="1">+Ajustes!E25</f>
        <v>-3</v>
      </c>
      <c r="K35" s="94"/>
      <c r="L35" s="95">
        <f ca="1">+Ajustes!G25</f>
        <v>79</v>
      </c>
      <c r="M35" s="94"/>
      <c r="N35" s="90"/>
      <c r="O35" s="78"/>
      <c r="P35" s="78"/>
      <c r="Q35" s="87">
        <v>5</v>
      </c>
      <c r="R35" s="90"/>
      <c r="S35" s="79" t="str">
        <f ca="1">IF(L35&lt;=35,"se siente seguro y aceptado"&amp;" por sus compañeros. No experimenta consternación ni tristeza significativa por el rechazo de sus iguales y mantiene una actitud positiva hacia sus relaciones sociales, sintiéndose parte "&amp;"de su grupo de compañeros.",IF(L35&lt;=60,"la inseguridad con los iguales es una preocupación inferior, lo que indica que puede experimentar dudas ocasionales sobre su aceptación"&amp;" social, pero sin que esto represente un problema persistente. Puede mostrar cierto interés en la validación de los demás, pero su autoestima y confianza social se mantienen relativamente"&amp;" estables.",IF(L35&lt;=74,"la inseguridad con los iguales se percibe como un tema ligeramente problemático. En este nivel, puede experimentar momentos de incertidumbre sobre su aceptación "&amp;"en el grupo, sintiéndose ocasionalmente excluido o rechazado. Su preocupación por la validación social puede generar cierto grado de inseguridad en interacciones con sus pares,"&amp;" aunque esto no afecta de manera constante su funcionamiento.",IF(L35&lt;=84,"la inseguridad con los iguales se convierte en un área pendiente de resolver, considerada problemática. En"&amp;" este nivel, muestra una preocupación persistente por la manera en que es percibido por los demás, lo que genera una sensación recurrente de rechazo o exclusión. Puede experimentar"&amp;" tristeza y frustración al no sentirse aceptado, afectando su confianza en entornos sociales. Su temor a la desaprobación puede llevarlo a evitar interacciones o a retirarse de"&amp;" su grupo de pares, intensificando así su sensación de aislamiento.",IF(L35&gt;=85,"la inseguridad con los iguales constituye el área principal de preocupación. En este nivel,"&amp;" experimenta un malestar significativo y constante en relación con su aceptación social. La sensación de rechazo y exclusión se mantiene de manera persistente, generando un estado de"&amp;" tristeza. Su deseo de ser aceptado por los demás choca con la percepción de que no logra obtener la aprobación esperada, lo que refuerza un patrón de retraimiento y aislamiento social"&amp;". Su interacción con los demás está marcada por la inseguridad, con una tendencia a evitar situaciones donde perciba la posibilidad de ser rechazado. Esta percepción afecta su "&amp;"autoestima y su confianza en la construcción de relaciones interpersonales estables.")))))</f>
        <v>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row>
    <row r="36" spans="1:19" ht="17.25" customHeight="1" x14ac:dyDescent="0.2">
      <c r="A36" s="87"/>
      <c r="B36" s="77"/>
      <c r="C36" s="163" t="s">
        <v>400</v>
      </c>
      <c r="D36" s="163"/>
      <c r="E36" s="163"/>
      <c r="F36" s="163"/>
      <c r="G36" s="166" t="s">
        <v>163</v>
      </c>
      <c r="H36" s="91">
        <f>+'Ingreso de Datos'!AU42</f>
        <v>11</v>
      </c>
      <c r="I36" s="91" cm="1">
        <f t="array" aca="1" ref="I36" ca="1">+INDEX(INDIRECT("L"&amp;VLOOKUP(F7,S2:T9,2,FALSE)),MATCH(H36&amp;F7,INDIRECT("B"&amp;VLOOKUP(F7,S2:T9,2,FALSE))&amp;F7,0))</f>
        <v>6</v>
      </c>
      <c r="J36" s="91">
        <f ca="1">+Ajustes!E26</f>
        <v>-3</v>
      </c>
      <c r="K36" s="91"/>
      <c r="L36" s="92">
        <f ca="1">+Ajustes!G26</f>
        <v>3</v>
      </c>
      <c r="M36" s="94"/>
      <c r="N36" s="90"/>
      <c r="O36" s="78"/>
      <c r="P36" s="78"/>
      <c r="Q36" s="87">
        <v>6</v>
      </c>
      <c r="R36" s="90"/>
      <c r="S36" s="79" t="str">
        <f ca="1">IF(L36&lt;=35,"la sensibilidad social se considera un punto fuerte."&amp;" En este caso, muestra un alto grado de empatía y consideración por los demás, valorando el bienestar ajeno y estableciendo relaciones interpersonales basadas en el respeto "&amp;"y la cooperación. Sus vínculos tienden a ser cálidos y afectuosos, con una disposición a comprender las emociones y necesidades de quienes lo rodean.",IF(L36&lt;=60,"la insensibilidad"&amp;" social es una preocupación inferior, lo que indica que puede mostrar cierta independencia emocional y un enfoque en sus propios objetivos, pero sin que esto represente una actitud de"&amp;" frialdad o indiferencia hacia los demás. Puede establecer relaciones interpersonales satisfactorias y mantener un grado de empatía funcional en su entorno.",IF(L36&lt;=74,"la insensibilidad"&amp;" social se percibe como un tema ligeramente problemático. En este nivel, puede manifestar cierta distancia afectiva en sus relaciones, mostrando un menor interés por los sentimientos"&amp;" y necesidades de los demás. Su comportamiento puede reflejar una tendencia a priorizar sus propios deseos sin prestar demasiada atención a las consecuencias que esto puede"&amp;" tener en su entorno social. Aunque no se trata de una actitud extrema, puede haber dificultades para desarrollar vínculos personales cálidos.",IF(L36&lt;=84,"la insensibilidad social"&amp;" se convierte en un área pendiente de resolver, considerada problemática. En este nivel, muestra una indiferencia hacia los demás, con una escasa preocupación por el bienestar"&amp;" ajeno. Su actitud puede estar caracterizada por la ausencia de empatía y un enfoque predominantemente egocéntrico en sus interacciones. Es común que evite o minimice las"&amp;" necesidades emocionales de quienes lo rodean, lo que puede generar dificultades en la construcción y mantenimiento de relaciones interpersonales estables.",IF(L36&gt;=85,"la"&amp;" insensibilidad social constituye el área principal de preocupación. En este nivel, mantiene una actitud de frialdad y desapego emocional, mostrando una indiferencia constante hacia los "&amp;"sentimientos y derechos de los demás. Su comportamiento puede estar marcado por la ausencia de vínculos afectivos profundos, con una tendencia a actuar en función de sus"&amp;" propios intereses sin considerar el impacto que sus acciones puedan tener en quienes lo rodean. La falta de empatía es persistente y se manifiesta en una limitada capacidad para comprender"&amp;" o responder de manera afectuosa a las necesidades ajenas. En los niveles más elevados, la insensibilidad social se mantiene de manera rígida, afectando de manera significativa la"&amp;" forma en que interactúa con su entorno. Su enfoque en sus propios objetivos puede llevarlo a ignorar o anular los derechos de los demás, estableciendo relaciones basadas en la "&amp;"conveniencia más que en el afecto genuino. Su frialdad emocional y su falta de interés por construir vínculos significativos pueden generar un distanciamiento progresivo en sus"&amp;" relaciones interpersonales, limitando su capacidad para establecer conexiones basadas en la reciprocidad y el respeto.")))))</f>
        <v>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row>
    <row r="37" spans="1:19" ht="17.25" customHeight="1" x14ac:dyDescent="0.2">
      <c r="A37" s="87"/>
      <c r="B37" s="77"/>
      <c r="C37" s="163" t="s">
        <v>401</v>
      </c>
      <c r="D37" s="163"/>
      <c r="E37" s="163"/>
      <c r="F37" s="163"/>
      <c r="G37" s="166" t="s">
        <v>164</v>
      </c>
      <c r="H37" s="94">
        <f>+'Ingreso de Datos'!AW31</f>
        <v>23</v>
      </c>
      <c r="I37" s="94" cm="1">
        <f t="array" aca="1" ref="I37" ca="1">+INDEX(INDIRECT("Y"&amp;VLOOKUP(F7,S2:T9,2,FALSE)),MATCH(H37&amp;F7,INDIRECT("B"&amp;VLOOKUP(F7,S2:T9,2,FALSE))&amp;F7,0))</f>
        <v>79</v>
      </c>
      <c r="J37" s="94">
        <f ca="1">+Ajustes!E27</f>
        <v>-3</v>
      </c>
      <c r="K37" s="94">
        <f ca="1">+Ajustes!F27</f>
        <v>-4</v>
      </c>
      <c r="L37" s="95">
        <f ca="1">+Ajustes!G27</f>
        <v>72</v>
      </c>
      <c r="M37" s="94"/>
      <c r="N37" s="90"/>
      <c r="O37" s="78"/>
      <c r="P37" s="78"/>
      <c r="Q37" s="87">
        <v>7</v>
      </c>
      <c r="R37" s="90"/>
      <c r="S37" s="79" t="str">
        <f ca="1">IF(L37&lt;=35,"la relación familiar se considera un punto fuerte."&amp;" En este caso, percibe su entorno familiar como estable y armonioso, experimentando apoyo por parte de su núcleo familiar y mostrando un vínculo positivo con sus padres o cuidadores."&amp;" La comunicación y la convivencia en el hogar no representan una fuente de malestar significativo.",IF(L37&lt;=60,"la discordancia familiar es una preocupación inferior, lo que indica que "&amp;"puede experimentar desacuerdos ocasionales en el entorno familiar, pero sin que esto genere un impacto constante en su bienestar emocional. Puede haber momentos de tensión o diferencias"&amp;" en la dinámica familiar, pero estos no afectan de manera significativa su percepción del hogar como un espacio de apoyo.",IF(L37&lt;=74,"la discordancia familiar se percibe como un"&amp;" tema ligeramente problemático. En este nivel, puede sentir cierta tensión en sus relaciones familiares, con momentos en los que experimenta distancia emocional o dificultades en la "&amp;"comunicación con sus padres. Puede percibir el hogar como un entorno donde se presentan conflictos ocasionales, aunque sin que estos sean persistentes o afecten su "&amp;"estabilidad.",IF(L37&lt;=84,"la discordancia familiar se convierte en un área pendiente de resolver, considerada problemática. En este nivel, experimenta un ambiente familiar "&amp;"caracterizado por frecuentes desacuerdos y una sensación de falta de apoyo. Puede percibir a sus padres como emocionalmente distantes o críticos, lo que genera un "&amp;"sentimiento de insatisfacción en su relación con ellos. La convivencia en el hogar puede estar marcada por conflictos recurrentes, y la percepción de tensión familiar es una fuente"&amp;" constante de malestar.",IF(L37&gt;=85,"la discordancia familiar constituye el área principal de preocupación. En este nivel, percibe su entorno familiar como una fuente de conflicto y "&amp;"tensión. Existe una sensación persistente de distanciamiento con sus padres, acompañada de la percepción de que el hogar carece de elementos de apoyo o comprensión. "&amp;"Dependiendo de su personalidad, esta percepción puede estar relacionada con una experiencia de rechazo parental o con una actitud de rebelión ante las normas familiares. Su convivencia "&amp;"se ve afectada por una falta de conexión con los miembros de la familia, lo que puede generar una sensación de aislamiento dentro del hogar. En los niveles más elevados, la discordancia "&amp;"familiar se mantiene de manera constante, afectando significativamente su percepción sobre su entorno. Su visión del hogar está dominada por la sensación de conflicto, falta de afecto o "&amp;"incomprensión, lo que refuerza un distanciamiento emocional con su familia. La convivencia puede verse deteriorada por disputas frecuentes, dificultad para establecer acuerdos"&amp;" y una sensación persistente de insatisfacción con las relaciones familiares.")))))</f>
        <v>la discordancia familiar se percibe como un tema ligeramente problemático. En este nivel, puede sentir cierta tensión en sus relaciones familiares, con momentos en los que experimenta distancia emocional o dificultades en la comunicación con sus padres. Puede percibir el hogar como un entorno donde se presentan conflictos ocasionales, aunque sin que estos sean persistentes o afecten su estabilidad.</v>
      </c>
    </row>
    <row r="38" spans="1:19" ht="17.25" customHeight="1" x14ac:dyDescent="0.2">
      <c r="A38" s="87"/>
      <c r="B38" s="77"/>
      <c r="C38" s="164" t="s">
        <v>402</v>
      </c>
      <c r="D38" s="164"/>
      <c r="E38" s="164"/>
      <c r="F38" s="164"/>
      <c r="G38" s="167" t="s">
        <v>165</v>
      </c>
      <c r="H38" s="151">
        <f>+'Ingreso de Datos'!AY27</f>
        <v>25</v>
      </c>
      <c r="I38" s="151" cm="1">
        <f t="array" aca="1" ref="I38" ca="1">+INDEX(INDIRECT("Q"&amp;VLOOKUP(F7,S2:T9,2,FALSE)),MATCH(H38&amp;F7,INDIRECT("B"&amp;VLOOKUP(F7,S2:T9,2,FALSE))&amp;F7,0))</f>
        <v>114</v>
      </c>
      <c r="J38" s="151">
        <f ca="1">+Ajustes!E28</f>
        <v>-3</v>
      </c>
      <c r="K38" s="151"/>
      <c r="L38" s="152">
        <f ca="1">+Ajustes!G28</f>
        <v>111</v>
      </c>
      <c r="M38" s="94"/>
      <c r="N38" s="90"/>
      <c r="O38" s="78"/>
      <c r="P38" s="78"/>
      <c r="Q38" s="87">
        <v>8</v>
      </c>
      <c r="R38" s="90"/>
      <c r="S38" s="79" t="str">
        <f ca="1">IF(L38&lt;=35,"la ausencia de preocupación en esta área se"&amp;" considera un punto fuerte. En este caso, no reporta experiencias significativas de abuso en la infancia ni expresa sentimientos de vergüenza o disgusto relacionados con su"&amp;" entorno familiar o con figuras cercanas.",IF(L38&lt;=60,"la preocupación sobre abusos en la infancia es inferior, lo que indica que no percibe esta temática como un factor que impacte"&amp;" de manera relevante en su vida actual. Puede haber recuerdos aislados de experiencias negativas en su infancia, pero sin que estos generen un malestar persistente o significativo en "&amp;"su funcionamiento emocional y social.",IF(L38&lt;=74,"los recuerdos de abuso en la infancia se perciben como un tema ligeramente problemático. En este nivel, puede "&amp;"experimentar sentimientos de incomodidad o malestar al recordar ciertas interacciones familiares o experiencias de su infancia. Puede existir cierta dificultad para procesar estos recuerdos,"&amp;" aunque el impacto en su vida cotidiana no es severo ni recurrente.",IF(L38&lt;=84,"la percepción de abuso en la infancia se convierte en un área pendiente de resolver, considerada problemática. "&amp;"En este nivel, expresa vergüenza, disgusto al recordar episodios de abuso verbal, físico o sexual. Es común que estas experiencias hayan afectado su percepción sobre sí mismo y "&amp;"su confianza en los demás. La relación con su familia o con figuras de autoridad puede estar mediada por sentimientos de desconfianza o resentimiento, lo que dificulta su sentido de "&amp;"seguridad en las relaciones interpersonales.",IF(L38&gt;=85,"el abuso en la infancia constituye el área principal de preocupación. En este nivel, experimenta un malestar constante "&amp;"al recordar situaciones de abuso. Los sentimientos de vergüenza, culpa o disgusto pueden estar presentes de manera persistente, generando dificultades en su autoimagen y en su "&amp;"capacidad para establecer relaciones interpersonales.")))))</f>
        <v>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row>
    <row r="39" spans="1:19" ht="17.25" hidden="1" customHeight="1" x14ac:dyDescent="0.2">
      <c r="A39" s="87"/>
      <c r="B39" s="77"/>
      <c r="C39" s="165" t="s">
        <v>196</v>
      </c>
      <c r="D39" s="165"/>
      <c r="E39" s="165"/>
      <c r="F39" s="165"/>
      <c r="G39" s="168"/>
      <c r="H39" s="98" t="s">
        <v>204</v>
      </c>
      <c r="I39" s="98" t="s">
        <v>205</v>
      </c>
      <c r="J39" s="98" t="s">
        <v>208</v>
      </c>
      <c r="K39" s="98" t="s">
        <v>209</v>
      </c>
      <c r="L39" s="99" t="s">
        <v>205</v>
      </c>
      <c r="M39" s="98"/>
      <c r="N39" s="90"/>
      <c r="O39" s="78"/>
      <c r="P39" s="78"/>
      <c r="Q39" s="87"/>
      <c r="R39" s="90"/>
    </row>
    <row r="40" spans="1:19" ht="17.25" customHeight="1" x14ac:dyDescent="0.2">
      <c r="A40" s="87"/>
      <c r="B40" s="77"/>
      <c r="C40" s="163" t="s">
        <v>381</v>
      </c>
      <c r="D40" s="163"/>
      <c r="E40" s="163"/>
      <c r="F40" s="163"/>
      <c r="G40" s="166" t="s">
        <v>166</v>
      </c>
      <c r="H40" s="91">
        <f>+'Ingreso de Datos'!BA23</f>
        <v>36</v>
      </c>
      <c r="I40" s="91" cm="1">
        <f t="array" aca="1" ref="I40" ca="1">+INDEX(INDIRECT("AA"&amp;VLOOKUP(F7,S2:T9,2,FALSE)),MATCH(H40&amp;F7,INDIRECT("B"&amp;VLOOKUP(F7,S2:T9,2,FALSE))&amp;F7,0))</f>
        <v>113</v>
      </c>
      <c r="J40" s="94">
        <f ca="1">+Ajustes!E30</f>
        <v>-3</v>
      </c>
      <c r="K40" s="94"/>
      <c r="L40" s="95">
        <f ca="1">+Ajustes!G30</f>
        <v>110</v>
      </c>
      <c r="M40" s="94"/>
      <c r="N40" s="90"/>
      <c r="O40" s="78"/>
      <c r="P40" s="78"/>
      <c r="Q40" s="87">
        <v>1</v>
      </c>
      <c r="R40" s="90"/>
      <c r="S40" s="79" t="str">
        <f ca="1">IF(L40&lt;=60,"la puntuación obtenida se encuentra dentro de"&amp;" un rango en el que no se identifican semejanzas con los adolescentes que presentan trastornos de la conducta alimentaria. No se observan indicadores que reflejen "&amp;"preocupación extrema por el peso, el miedo a la obesidad o la presencia de patrones alimentarios desadaptativos como restricción severa de la ingesta, episodios de alimentación incontrolada"&amp;" o conductas compensatorias.",IF(L40&lt;=74,"muestra algunas semejanzas con adolescentes que presentan preocupaciones relacionadas con la alimentación y"&amp;" el peso. Puede estar presente ciertos indicios de inquietud por su imagen corporal o intentos esporádicos de control alimentario, aunque sin llegar a un patrón clínicamente"&amp;" significativo. Estas manifestaciones puede fluctuar en función de situaciones externas.",IF(L40&lt;=84,"se identifica "&amp;"niveles moderados de características asociadas a los trastornos de la conducta alimentaria. Es posible que muestre una preocupación intensa por el peso y la apariencia física, "&amp;"con tendencia a restringir la ingesta de alimentos o experimentar episodios de ingesta descontrolada seguidos de conductas compensatorias como el uso de laxantes, diuréticos "&amp;"o vómitos autoinducidos. La relación con la alimentación puede estar caracterizada por patrones rígidos y una percepción distorsionada del peso corporal.",IF(L40&gt;=85,"se observa una alta probabilidad de que manifieste un cuadro característico "&amp;"de los trastornos de la conducta alimentaria. La preocupación por el peso y la figura adquiere un nivel central en su experiencia, lo que puede traducirse en conductas extremas como"&amp;" restricción alimentaria, episodios de alimentación incontrolada y la implementación de métodos compensatorios para evitar el aumento de peso. Es frecuente la presencia de un"&amp;" temor persistente a ganar peso, incluso cuando el peso se encuentra por debajo de lo esperado. Estos patrones suelen estar enmarcados en una distorsión de la imagen "&amp;"corporal y una relación disfuncional con la alimentación, reflejando una exacerbación del estilo de personalidad subyacente."))))</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row>
    <row r="41" spans="1:19" ht="17.25" customHeight="1" x14ac:dyDescent="0.2">
      <c r="A41" s="87"/>
      <c r="B41" s="77"/>
      <c r="C41" s="163" t="s">
        <v>382</v>
      </c>
      <c r="D41" s="163"/>
      <c r="E41" s="163"/>
      <c r="F41" s="163"/>
      <c r="G41" s="166" t="s">
        <v>167</v>
      </c>
      <c r="H41" s="94">
        <f>+'Ingreso de Datos'!BC38</f>
        <v>12</v>
      </c>
      <c r="I41" s="94" cm="1">
        <f t="array" aca="1" ref="I41" ca="1">+INDEX(INDIRECT("BB"&amp;VLOOKUP(F7,S2:T9,2,FALSE)),MATCH(H41&amp;F7,INDIRECT("B"&amp;VLOOKUP(F7,S2:T9,2,FALSE))&amp;F7,0))</f>
        <v>50</v>
      </c>
      <c r="J41" s="94"/>
      <c r="K41" s="94"/>
      <c r="L41" s="95">
        <f ca="1">+Ajustes!G31</f>
        <v>50</v>
      </c>
      <c r="M41" s="94"/>
      <c r="N41" s="90"/>
      <c r="O41" s="78"/>
      <c r="P41" s="78"/>
      <c r="Q41" s="87">
        <v>2</v>
      </c>
      <c r="R41" s="90"/>
      <c r="S41" s="79" t="str">
        <f ca="1">IF(L41&lt;=60,"la puntuación obtenida se encuentra dentro de"&amp;" un rango en el que no se identifican semejanzas con adolescentes que presentan un patrón inadecuado de consumo de alcohol o drogas. No se observan indicadores que reflejen un"&amp;" deterioro significativo en su rendimiento o comportamiento asociado al uso de sustancias, ni evidencia de conductas orientadas a la obtención de estas.",IF(L41&lt;=74,"presenta "&amp;"ciertas semejanzas con adolescentes que han experimentado contacto o curiosidad por el consumo de sustancias, aunque sin manifestar un patrón de abuso significativo. Puede haber"&amp;" indicios de exposición a contextos donde el consumo es una opción presente, así como actitudes permisivas o exploratorias respecto al uso de alcohol o drogas, sin que esto "&amp;"represente un deterioro marcado en su funcionamiento diario.",IF(L41&lt;=84,"se identifican niveles moderados de características asociadas al abuso de sustancias. Es posible"&amp;" que haya desarrollado patrones de consumo que impactan en su comportamiento y rendimiento. Puede invertir una cantidad considerable de tiempo en la obtención y uso de sustancias"&amp;", lo que puede llevar a la adopción de conductas socialmente inaceptables. A pesar de reconocer los efectos negativos que esto genera en su vida, el consumo puede mantenerse"&amp;" como una conducta persistente.",IF(L41&gt;=85,"se observa una alta probabilidad de que manifieste un patrón marcado de abuso de sustancias. La conducta de consumo de alcohol o"&amp;" drogas ha adquirido una relevancia central en su vida, afectando su desempeño en diversas áreas y contribuyendo al deterioro de su comportamiento. Dedica una cantidad"&amp;"considerable de tiempo a la obtención y consumo de estas sustancias, mostrando una falta de control sobre su uso. A pesar de ser consciente de los efectos perjudiciales que esto genera,"&amp;" el consumo persiste, reflejando una inclinación establecida hacia este patrón de comportamiento."))))</f>
        <v>la puntuación obtenida se encuentra dentro de un rango en el que no se identifican semejanzas con adolescentes que presentan un patrón inadecuado de consumo de alcohol o drogas. No se observan indicadores que reflejen un deterioro significativo en su rendimiento o comportamiento asociado al uso de sustancias, ni evidencia de conductas orientadas a la obtención de estas.</v>
      </c>
    </row>
    <row r="42" spans="1:19" ht="17.25" customHeight="1" x14ac:dyDescent="0.2">
      <c r="A42" s="87"/>
      <c r="B42" s="77"/>
      <c r="C42" s="163" t="s">
        <v>383</v>
      </c>
      <c r="D42" s="163"/>
      <c r="E42" s="163"/>
      <c r="F42" s="163"/>
      <c r="G42" s="166" t="s">
        <v>168</v>
      </c>
      <c r="H42" s="94">
        <f>+'Ingreso de Datos'!BE37</f>
        <v>11</v>
      </c>
      <c r="I42" s="94" cm="1">
        <f t="array" aca="1" ref="I42" ca="1">+INDEX(INDIRECT("CC"&amp;VLOOKUP(F7,S2:T9,2,FALSE)),MATCH(H42&amp;F7,INDIRECT("B"&amp;VLOOKUP(F7,S2:T9,2,FALSE))&amp;F7,0))</f>
        <v>6</v>
      </c>
      <c r="J42" s="94"/>
      <c r="K42" s="94"/>
      <c r="L42" s="95">
        <f ca="1">+Ajustes!G32</f>
        <v>6</v>
      </c>
      <c r="M42" s="94"/>
      <c r="N42" s="90"/>
      <c r="O42" s="78"/>
      <c r="P42" s="78"/>
      <c r="Q42" s="87">
        <v>3</v>
      </c>
      <c r="R42" s="90"/>
      <c r="S42" s="79" t="str">
        <f ca="1">IF(L42&lt;=60,"la puntuación obtenida se encuentra dentro de un rango en el que no "&amp;"se identifican semejanzas con adolescentes que presentan inclinaciones hacia conductas delictivas. No se observan indicadores que reflejen comportamientos asociados a la violación"&amp;" de normas sociales, transgresión de derechos ajenos o participación en actividades antisociales.",IF(L42&lt;=74,"presenta ciertas semejanzas con adolescentes que han mostrado "&amp;"comportamientos desafiantes frente a normas y reglas sociales. Puede existir episodios esporádicos en los que se ha manifestado actitudes de oposición, deshonestidad o conductas que"&amp;" rozan la transgresión de límites establecidos, aunque sin llegar a establecer un patrón delictivo sostenido. Estas manifestaciones pueden estar influenciadas por factores contextuales, "&amp;"sin consolidarse como un rasgo dominante en su conducta.",IF(L42&lt;=84,"se identifica niveles moderados de características asociadas a la predisposición a la delincuencia. Es posible"&amp;" que haya participado en conductas que implican violaciones de normas sociales o acciones que afectan a otros. Puede presentarse episodios de engaño, manipulación, agresión o"&amp;" robos; denota tendencia a desafiar restricciones impuestas por la autoridad. Estos comportamientos pueden estar relacionados con una mayor tolerancia al riesgo y una dificultad "&amp;"para ajustarse a normas sociales establecidas.",IF(L42&gt;=85,"se observa una alta probabilidad de que manifieste un patrón característico de predisposición a la delincuencia. La conducta"&amp;" transgresora puede estar consolidada, reflejándose en actos que implican la violación de derechos de otros y el incumplimiento de normas establecidas. Es posible que haya"&amp;" participado en amenazas, uso de armas, robos, engaños reiterados o agresiones físicas. Estas conductas pueden mantenerse de manera persistente a pesar de las consecuencias "&amp;"negativas asociadas, manifestando una inclinación hacia acciones que desafían las normas establecidasd en la sociedad."))))</f>
        <v>la puntuación obtenida se encuentra dentro de un rango en el que no se identifican semejanzas con adolescentes que presentan inclinaciones hacia conductas delictivas. No se observan indicadores que reflejen comportamientos asociados a la violación de normas sociales, transgresión de derechos ajenos o participación en actividades antisociales.</v>
      </c>
    </row>
    <row r="43" spans="1:19" ht="17.25" customHeight="1" x14ac:dyDescent="0.2">
      <c r="A43" s="87"/>
      <c r="B43" s="77"/>
      <c r="C43" s="163" t="s">
        <v>384</v>
      </c>
      <c r="D43" s="163"/>
      <c r="E43" s="163"/>
      <c r="F43" s="163"/>
      <c r="G43" s="166" t="s">
        <v>169</v>
      </c>
      <c r="H43" s="94">
        <f>+'Ingreso de Datos'!BG27</f>
        <v>22</v>
      </c>
      <c r="I43" s="94" cm="1">
        <f t="array" aca="1" ref="I43" ca="1">+INDEX(INDIRECT("DD"&amp;VLOOKUP(F7,S2:T9,2,FALSE)),MATCH(H43&amp;F7,INDIRECT("B"&amp;VLOOKUP(F7,S2:T9,2,FALSE))&amp;F7,0))</f>
        <v>70</v>
      </c>
      <c r="J43" s="94"/>
      <c r="K43" s="94"/>
      <c r="L43" s="95">
        <f ca="1">+Ajustes!G33</f>
        <v>70</v>
      </c>
      <c r="M43" s="94"/>
      <c r="N43" s="90"/>
      <c r="O43" s="78"/>
      <c r="P43" s="78"/>
      <c r="Q43" s="87">
        <v>4</v>
      </c>
      <c r="R43" s="90"/>
      <c r="S43" s="79" t="str">
        <f ca="1">IF(L43&lt;=60,"la puntuación obtenida se encuentra dentro de un rango en"&amp;" el que no se identifican semejanzas con adolescentes que presentan comportamientos asociados a la transgresión de normas o la violación de derechos ajenos. No se observan "&amp;"indicadores que reflejen inclinaciones hacia conductas antisociales, engaños persistentes, agresiones o participación en actividades delictivas.",IF(L43&lt;=74,"presenta ciertas semejanzas "&amp;"con adolescentes que han mostrado actitudes desafiantes ante normas y reglas sociales. Puede haber episodios esporádicos en los que se han manifestado conductas de oposición,"&amp;" engaño o transgresión de límites establecidos. Sin embargo, estas acciones no representan un patrón delictivo consolidado y pueden fluctuar en función del contexto o de situaciones"&amp;" específicas.",IF(L43&lt;=84,"se identifican niveles moderados de características asociadas a la predisposición a la delincuencia. Es posible que haya mostrado comportamientos en"&amp;" los que se transgreden normas sociales o se afectan los derechos de otros. Pueden presentarse episodios de manipulación, engaño persistente, agresiones, robos o amenazas, lo"&amp;" que indica una tendencia a desafiar restricciones impuestas por la autoridad. Estas conductas pueden estar relacionadas con una menor adherencia a normas y un menor reconocimiento "&amp;"de las consecuencias de sus actos.",IF(L43&gt;=85,"se observa una alta probabilidad de que el evaluado manifieste un patrón característico de predisposición a la delincuencia. Su"&amp;" comportamiento puede estar marcado por una tendencia estable a la violación de normas y la transgresión de derechos ajenos. Es posible que haya participado en actos de agresión,"&amp;" amenazas, robos, uso de armas o engaños recurrentes. Estas conductas pueden mantenerse a pesar de las consecuencias negativas que generan, reflejando una inclinación hacia acciones "&amp;"que desafían los límites sociales y legales establecidos."))))</f>
        <v>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row>
    <row r="44" spans="1:19" ht="17.25" customHeight="1" x14ac:dyDescent="0.2">
      <c r="A44" s="87"/>
      <c r="B44" s="77"/>
      <c r="C44" s="163" t="s">
        <v>385</v>
      </c>
      <c r="D44" s="163"/>
      <c r="E44" s="163"/>
      <c r="F44" s="163"/>
      <c r="G44" s="166" t="s">
        <v>170</v>
      </c>
      <c r="H44" s="94">
        <f>+'Ingreso de Datos'!BI45</f>
        <v>43</v>
      </c>
      <c r="I44" s="94" cm="1">
        <f t="array" aca="1" ref="I44" ca="1">+INDEX(INDIRECT("EE"&amp;VLOOKUP(F7,S2:T9,2,FALSE)),MATCH(H44&amp;F7,INDIRECT("B"&amp;VLOOKUP(F7,S2:T9,2,FALSE))&amp;F7,0))</f>
        <v>103</v>
      </c>
      <c r="J44" s="94">
        <f ca="1">+Ajustes!E34</f>
        <v>-3</v>
      </c>
      <c r="K44" s="94">
        <f ca="1">+Ajustes!F34</f>
        <v>-4</v>
      </c>
      <c r="L44" s="95">
        <f ca="1">+Ajustes!G34</f>
        <v>96</v>
      </c>
      <c r="M44" s="94"/>
      <c r="N44" s="90"/>
      <c r="O44" s="78"/>
      <c r="P44" s="78"/>
      <c r="Q44" s="87">
        <v>5</v>
      </c>
      <c r="R44" s="90"/>
      <c r="S44" s="79" t="str">
        <f ca="1">IF(L44&lt;=60,"la puntuación obtenida se encuentra dentro de un"&amp;" rango en el que no se identifican semejanzas con adolescentes que presentan estados persistentes de ansiedad. No se observan indicadores que reflejen preocupación excesiva,"&amp;" nerviosismo recurrente o una sensación constante de aprensión ante eventos futuros.",IF(L44&lt;=74,"presenta algunas semejanzas con adolescentes que pueden experimentar "&amp;"cierta inquietud ante diversas situaciones. Puede presentarse episodios de preocupación o tensión, aunque estos no alcanzan una intensidad que genere un malestar significativo en su"&amp;" estado emocional. La ansiedad puede manifestarse de manera ocasional sin constituir un rasgo predominante en su funcionamiento.",IF(L44&lt;=84,"se identifican niveles "&amp;"moderados de características asociadas a la ansiedad. experimenta una sensación persistente de nerviosismo y aprensión, acompañada de una incomodidad constante. Puede "&amp;"estar en un estado de alerta ante la posibilidad de que ocurra algo negativo, mostrando dificultades para relajarse o deshacerse de la preocupación. La ansiedad influye en su comportamiento"&amp;" y genera una percepción de malestar prolongado.",IF(L44&gt;=85,"se observa una alta probabilidad de que manifieste un patrón característico de ansiedad significativa. La sensación de "&amp;"aprensión y desasosiego es constante, con una percepción continua de que algo negativo puede ocurrir. Puede presentar un estado de inquietud permanente, acompañado de una"&amp;" expectativa de angustia sin una causa clara. La ansiedad se encuentra presente en diversos ámbitos y afecta su funcionamiento diario, generando un malestar emocional"&amp;" sostenido."))))</f>
        <v>se observa una alta probabilidad de que manifieste un patrón característico de ansiedad significativa. La sensación de aprensión y desasosiego es constante, con una percepción continua de que algo negativo puede ocurrir. Puede presentar un estado de inquietud permanente, acompañado de una expectativa de angustia sin una causa clara. La ansiedad se encuentra presente en diversos ámbitos y afecta su funcionamiento diario, generando un malestar emocional sostenido.</v>
      </c>
    </row>
    <row r="45" spans="1:19" ht="17.25" customHeight="1" x14ac:dyDescent="0.2">
      <c r="A45" s="87"/>
      <c r="B45" s="77"/>
      <c r="C45" s="163" t="s">
        <v>386</v>
      </c>
      <c r="D45" s="163"/>
      <c r="E45" s="163"/>
      <c r="F45" s="163"/>
      <c r="G45" s="166" t="s">
        <v>171</v>
      </c>
      <c r="H45" s="94">
        <f>+'Ingreso de Datos'!BK36</f>
        <v>50</v>
      </c>
      <c r="I45" s="94" cm="1">
        <f t="array" aca="1" ref="I45" ca="1">+INDEX(INDIRECT("FF"&amp;VLOOKUP(F7,S2:T9,2,FALSE)),MATCH(H45&amp;F7,INDIRECT("B"&amp;VLOOKUP(F7,S2:T9,2,FALSE))&amp;F7,0))</f>
        <v>112</v>
      </c>
      <c r="J45" s="94">
        <f ca="1">+Ajustes!E35</f>
        <v>-3</v>
      </c>
      <c r="K45" s="94">
        <f ca="1">+Ajustes!F35</f>
        <v>-4</v>
      </c>
      <c r="L45" s="95">
        <f ca="1">+Ajustes!G35</f>
        <v>105</v>
      </c>
      <c r="M45" s="94"/>
      <c r="N45" s="90"/>
      <c r="O45" s="78"/>
      <c r="P45" s="78"/>
      <c r="Q45" s="87">
        <v>6</v>
      </c>
      <c r="R45" s="90"/>
      <c r="S45" s="79" t="str">
        <f ca="1">IF(L45&lt;=60,"la puntuación obtenida se encuentra dentro de un "&amp;"rango en el que no se identifican semejanzas con adolescentes que presentan un estado de ánimo deprimido. No se observan indicadores que reflejen disminución en el nivel de actividad,"&amp;" pérdida de confianza, sentimientos de culpa o una percepción negativa sobre el futuro.",IF(L45&lt;=74,"presenta ciertas semejanzas con adolescentes que pueden experimentar momentos"&amp;" de desánimo o una ligera disminución en su nivel de energía. Puede haber indicios de una leve insatisfacción con su desempeño o con su autoimagen, sin que esto represente una alteración "&amp;"significativa en su estado de ánimo o funcionamiento diario.",IF(L45&lt;=84,"se identifican niveles moderados de características asociadas al afecto depresivo. Presenta una disminución"&amp;" en su nivel de actividad, acompañada de sentimientos de culpa, fatiga y desesperanza respecto al futuro. Manifesta una tendencia al aislamiento social y una pérdida de confianza en sus"&amp;" capacidades, con una percepción reducida de su propio atractivo y una sensación de inadecuación personal.",IF(L45&gt;=85,"se observa una alta probabilidad de que manifieste"&amp;" un patrón característico de afecto depresivo. Su nivel de actividad se encuentra reducido en comparación con su funcionamiento previo. Presenta una pérdida de eficacia, sentimientos "&amp;"persistentes de culpa y fatiga, así como una visión desesperanzada del futuro. Es frecuente el aislamiento social y una notable disminución en la confianza en sí mismo, lo que se acompaña"&amp;" de una percepción negativa de su adecuación personal y su atractivo."))))</f>
        <v>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row>
    <row r="46" spans="1:19" ht="17.25" customHeight="1" x14ac:dyDescent="0.2">
      <c r="A46" s="87"/>
      <c r="B46" s="77"/>
      <c r="C46" s="163" t="s">
        <v>387</v>
      </c>
      <c r="D46" s="163"/>
      <c r="E46" s="163"/>
      <c r="F46" s="163"/>
      <c r="G46" s="166" t="s">
        <v>172</v>
      </c>
      <c r="H46" s="94">
        <f>+'Ingreso de Datos'!BM28</f>
        <v>40</v>
      </c>
      <c r="I46" s="94" cm="1">
        <f t="array" aca="1" ref="I46" ca="1">+INDEX(INDIRECT("GG"&amp;VLOOKUP(F7,S2:T9,2,FALSE)),MATCH(H46&amp;F7,INDIRECT("B"&amp;VLOOKUP(F7,S2:T9,2,FALSE))&amp;F7,0))</f>
        <v>115</v>
      </c>
      <c r="J46" s="94">
        <f ca="1">+Ajustes!E36</f>
        <v>-3</v>
      </c>
      <c r="K46" s="94">
        <f ca="1">+Ajustes!F36</f>
        <v>-4</v>
      </c>
      <c r="L46" s="95">
        <f ca="1">+Ajustes!G36</f>
        <v>108</v>
      </c>
      <c r="M46" s="94"/>
      <c r="N46" s="90"/>
      <c r="O46" s="78"/>
      <c r="P46" s="78"/>
      <c r="Q46" s="87">
        <v>7</v>
      </c>
      <c r="R46" s="90"/>
      <c r="S46" s="79" t="str">
        <f ca="1">IF(L46&lt;=60,"la puntuación obtenida se encuentra dentro de un"&amp;" rango en el que no se identifican semejanzas con adolescentes que presentan ideación o planes suicidas. No se observan indicadores que reflejen una sensación persistente de falta "&amp;"de valor, ausencia de objetivos o pensamientos relacionados con la percepción de que los demás estarían mejor sin su presencia.",IF(L46&lt;=74,"presenta ciertas semejanzas con adolescentes"&amp;" que han experimentado momentos de desesperanza o pensamientos de inutilidad. Puede manifestarse sentimientos ocasionales de falta de propósito o desvalorización personal, "&amp;"aunque estos no constituyen un patrón persistente ni están acompañados de ideación suicida estructurada.",IF(L46&lt;=84,"se identifican niveles moderados de características asociadas"&amp;" a la tendencia suicida. Experimenta una sensación recurrente de falta de valor y ausencia de metas, acompañada de pensamientos en los que considera la posibilidad de que "&amp;"los demás estarían mejor sin su presencia. La ideación suicida puede estar presente, aunque no necesariamente acompañada de planes específicos o una intención "&amp;"consolidada de llevarla a cabo.",IF(L46&gt;=85,"se observa una alta probabilidad de que manifieste un patrón característico de tendencia suicida. La presencia de ideación y planes"&amp;" suicidas es un aspecto relevante en su perfil, acompañado de un marcado sentimiento de inutilidad y una percepción persistente de que su existencia carece de propósito. La idea"&amp;" de que los demás estarían mejor sin su presencia es un pensamiento recurrente y significativo en su experiencia."))))</f>
        <v>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row>
    <row r="47" spans="1:19" x14ac:dyDescent="0.2">
      <c r="A47" s="87"/>
      <c r="B47" s="77"/>
      <c r="C47" s="77"/>
      <c r="D47" s="77"/>
      <c r="E47" s="77"/>
      <c r="F47" s="77"/>
      <c r="G47" s="78"/>
      <c r="H47" s="100"/>
      <c r="I47" s="100"/>
      <c r="J47" s="100"/>
      <c r="K47" s="100"/>
      <c r="L47" s="100"/>
      <c r="M47" s="100"/>
      <c r="N47" s="87"/>
      <c r="O47" s="78"/>
      <c r="P47" s="78"/>
      <c r="Q47" s="87"/>
      <c r="R47" s="90"/>
    </row>
    <row r="48" spans="1:19" x14ac:dyDescent="0.2">
      <c r="A48" s="87"/>
      <c r="B48" s="77"/>
      <c r="C48" s="77"/>
      <c r="D48" s="77"/>
      <c r="E48" s="77"/>
      <c r="F48" s="77"/>
      <c r="G48" s="78"/>
      <c r="H48" s="100"/>
      <c r="I48" s="100"/>
      <c r="J48" s="100"/>
      <c r="K48" s="100"/>
      <c r="L48" s="100"/>
      <c r="M48" s="100"/>
      <c r="N48" s="87"/>
      <c r="O48" s="78"/>
      <c r="P48" s="78"/>
      <c r="Q48" s="87"/>
      <c r="R48" s="90"/>
    </row>
    <row r="49" spans="3:56" x14ac:dyDescent="0.2"/>
    <row r="50" spans="3:56" x14ac:dyDescent="0.2"/>
    <row r="51" spans="3:56" x14ac:dyDescent="0.2">
      <c r="V51" s="102" t="s">
        <v>292</v>
      </c>
      <c r="W51" s="102" t="s">
        <v>260</v>
      </c>
      <c r="X51" s="81" t="s">
        <v>272</v>
      </c>
      <c r="Y51" s="102" t="s">
        <v>262</v>
      </c>
      <c r="Z51" s="103" t="s">
        <v>274</v>
      </c>
      <c r="AA51" s="103" t="s">
        <v>275</v>
      </c>
      <c r="AB51" s="103" t="s">
        <v>276</v>
      </c>
      <c r="AC51" s="103" t="s">
        <v>277</v>
      </c>
      <c r="AD51" s="103" t="s">
        <v>278</v>
      </c>
      <c r="AE51" s="103" t="s">
        <v>152</v>
      </c>
      <c r="AF51" s="103" t="s">
        <v>153</v>
      </c>
      <c r="AG51" s="103" t="s">
        <v>279</v>
      </c>
      <c r="AH51" s="103" t="s">
        <v>280</v>
      </c>
      <c r="AI51" s="103" t="s">
        <v>281</v>
      </c>
      <c r="AJ51" s="103" t="s">
        <v>154</v>
      </c>
      <c r="AK51" s="103" t="s">
        <v>155</v>
      </c>
      <c r="AL51" s="103" t="s">
        <v>282</v>
      </c>
      <c r="AM51" s="103" t="s">
        <v>156</v>
      </c>
      <c r="AN51" s="103" t="s">
        <v>157</v>
      </c>
      <c r="AO51" s="103" t="s">
        <v>283</v>
      </c>
      <c r="AP51" s="103" t="s">
        <v>284</v>
      </c>
      <c r="AQ51" s="103" t="s">
        <v>285</v>
      </c>
      <c r="AR51" s="103" t="s">
        <v>286</v>
      </c>
      <c r="AS51" s="103" t="s">
        <v>287</v>
      </c>
      <c r="AT51" s="103" t="s">
        <v>288</v>
      </c>
      <c r="AU51" s="103" t="s">
        <v>289</v>
      </c>
      <c r="AV51" s="103" t="s">
        <v>290</v>
      </c>
      <c r="AW51" s="103" t="s">
        <v>291</v>
      </c>
      <c r="AX51" s="103" t="s">
        <v>166</v>
      </c>
      <c r="AY51" s="103" t="s">
        <v>167</v>
      </c>
      <c r="AZ51" s="103" t="s">
        <v>168</v>
      </c>
      <c r="BA51" s="103" t="s">
        <v>169</v>
      </c>
      <c r="BB51" s="103" t="s">
        <v>170</v>
      </c>
      <c r="BC51" s="103" t="s">
        <v>171</v>
      </c>
      <c r="BD51" s="103" t="s">
        <v>172</v>
      </c>
    </row>
    <row r="52" spans="3:56" x14ac:dyDescent="0.2">
      <c r="V52" s="81" t="str">
        <f>+F3</f>
        <v>Amy Bridgit Cotrina Alvarado</v>
      </c>
      <c r="W52" s="81" t="str">
        <f>+F5</f>
        <v>14 años</v>
      </c>
      <c r="X52" s="81" t="str">
        <f>+N5</f>
        <v>Varón</v>
      </c>
      <c r="Y52" s="81" t="str">
        <f ca="1">+F7</f>
        <v>Varones de 13 a 15 años (España)</v>
      </c>
      <c r="Z52" s="83">
        <f>+H13</f>
        <v>0</v>
      </c>
      <c r="AA52" s="83">
        <f ca="1">+L14</f>
        <v>90</v>
      </c>
      <c r="AB52" s="83">
        <f ca="1">+L15</f>
        <v>67</v>
      </c>
      <c r="AC52" s="83">
        <f ca="1">+L16</f>
        <v>99</v>
      </c>
      <c r="AD52" s="83">
        <f ca="1">+L18</f>
        <v>80</v>
      </c>
      <c r="AE52" s="83">
        <f ca="1">+L19</f>
        <v>110</v>
      </c>
      <c r="AF52" s="83">
        <f ca="1">+L20</f>
        <v>113</v>
      </c>
      <c r="AG52" s="83">
        <f ca="1">+L21</f>
        <v>31</v>
      </c>
      <c r="AH52" s="83">
        <f ca="1">+L22</f>
        <v>1</v>
      </c>
      <c r="AI52" s="83">
        <f ca="1">+L23</f>
        <v>10</v>
      </c>
      <c r="AJ52" s="83">
        <f ca="1">+L24</f>
        <v>41</v>
      </c>
      <c r="AK52" s="83">
        <f ca="1">+L25</f>
        <v>35</v>
      </c>
      <c r="AL52" s="83">
        <f ca="1">+L26</f>
        <v>14</v>
      </c>
      <c r="AM52" s="83">
        <f ca="1">+L27</f>
        <v>99</v>
      </c>
      <c r="AN52" s="83">
        <f ca="1">+L28</f>
        <v>115</v>
      </c>
      <c r="AO52" s="83">
        <f ca="1">+L29</f>
        <v>89</v>
      </c>
      <c r="AP52" s="83">
        <f ca="1">+L31</f>
        <v>65</v>
      </c>
      <c r="AQ52" s="83">
        <f ca="1">+L32</f>
        <v>98</v>
      </c>
      <c r="AR52" s="83">
        <f ca="1">+L33</f>
        <v>107</v>
      </c>
      <c r="AS52" s="83">
        <f ca="1">+L34</f>
        <v>63</v>
      </c>
      <c r="AT52" s="83">
        <f ca="1">+L35</f>
        <v>79</v>
      </c>
      <c r="AU52" s="83">
        <f ca="1">+L36</f>
        <v>3</v>
      </c>
      <c r="AV52" s="83">
        <f ca="1">+L37</f>
        <v>72</v>
      </c>
      <c r="AW52" s="83">
        <f ca="1">+L38</f>
        <v>111</v>
      </c>
      <c r="AX52" s="83">
        <f ca="1">+L40</f>
        <v>110</v>
      </c>
      <c r="AY52" s="83">
        <f ca="1">+L41</f>
        <v>50</v>
      </c>
      <c r="AZ52" s="83">
        <f ca="1">+L42</f>
        <v>6</v>
      </c>
      <c r="BA52" s="83">
        <f ca="1">+L43</f>
        <v>70</v>
      </c>
      <c r="BB52" s="83">
        <f ca="1">+L44</f>
        <v>96</v>
      </c>
      <c r="BC52" s="83">
        <f ca="1">+L45</f>
        <v>105</v>
      </c>
      <c r="BD52" s="83">
        <f ca="1">+L46</f>
        <v>108</v>
      </c>
    </row>
    <row r="53" spans="3:56" x14ac:dyDescent="0.2">
      <c r="C53" s="77"/>
      <c r="D53" s="77"/>
      <c r="E53" s="104" t="str">
        <f ca="1">IF(COUNTIF(L18:L28,"&gt;59")=0,"No hay Prototipo de Personalidad Claro","Existe un prototipo de personalidad marcado")</f>
        <v>Existe un prototipo de personalidad marcado</v>
      </c>
      <c r="F53" s="104"/>
      <c r="G53" s="78"/>
      <c r="H53" s="105"/>
      <c r="I53" s="105"/>
      <c r="J53" s="105"/>
      <c r="K53" s="105"/>
      <c r="L53" s="105"/>
      <c r="M53" s="105"/>
      <c r="N53" s="87"/>
      <c r="O53" s="79"/>
      <c r="P53" s="79"/>
    </row>
    <row r="54" spans="3:56" x14ac:dyDescent="0.2">
      <c r="C54" s="77"/>
      <c r="D54" s="77"/>
      <c r="E54" s="106" t="str">
        <f>IF(COUNTBLANK('Ingreso de Datos'!F13:F172)&gt;10,"Número de Respuestas Insuficiente.Falta "&amp;(COUNTBLANK('Ingreso de Datos'!F13:F172)-10) &amp;" respuestas","Hay suficientes respuestas")</f>
        <v>Hay suficientes respuestas</v>
      </c>
      <c r="F54" s="106"/>
      <c r="G54" s="78"/>
      <c r="H54" s="100"/>
      <c r="I54" s="100"/>
      <c r="J54" s="100"/>
      <c r="K54" s="100"/>
      <c r="L54" s="100"/>
      <c r="M54" s="100"/>
      <c r="N54" s="87"/>
    </row>
    <row r="55" spans="3:56" x14ac:dyDescent="0.2"/>
    <row r="56" spans="3:56" x14ac:dyDescent="0.2"/>
    <row r="57" spans="3:56" x14ac:dyDescent="0.2"/>
  </sheetData>
  <mergeCells count="4">
    <mergeCell ref="C3:C9"/>
    <mergeCell ref="M9:P9"/>
    <mergeCell ref="F3:P3"/>
    <mergeCell ref="H2:O2"/>
  </mergeCells>
  <printOptions verticalCentered="1"/>
  <pageMargins left="0.62992125984251968" right="0.23622047244094491" top="0.39370078740157483" bottom="0.55118110236220474" header="0.31496062992125984" footer="0.31496062992125984"/>
  <pageSetup fitToHeight="0" orientation="portrait" horizontalDpi="0" verticalDpi="0" r:id="rId1"/>
  <ignoredErrors>
    <ignoredError sqref="S17 S30 S39" unlockedFormula="1"/>
    <ignoredError sqref="L44:L4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083" r:id="rId4" name="Drop Down 11">
              <controlPr defaultSize="0" autoLine="0" autoPict="0">
                <anchor moveWithCells="1">
                  <from>
                    <xdr:col>5</xdr:col>
                    <xdr:colOff>9525</xdr:colOff>
                    <xdr:row>5</xdr:row>
                    <xdr:rowOff>47625</xdr:rowOff>
                  </from>
                  <to>
                    <xdr:col>9</xdr:col>
                    <xdr:colOff>266700</xdr:colOff>
                    <xdr:row>7</xdr:row>
                    <xdr:rowOff>47625</xdr:rowOff>
                  </to>
                </anchor>
              </controlPr>
            </control>
          </mc:Choice>
        </mc:AlternateContent>
        <mc:AlternateContent xmlns:mc="http://schemas.openxmlformats.org/markup-compatibility/2006">
          <mc:Choice Requires="x14">
            <control shapeId="3086" r:id="rId5" name="Button 14">
              <controlPr defaultSize="0" print="0" autoFill="0" autoPict="0" macro="[0]!guardar2">
                <anchor moveWithCells="1" sizeWithCells="1">
                  <from>
                    <xdr:col>2</xdr:col>
                    <xdr:colOff>38100</xdr:colOff>
                    <xdr:row>50</xdr:row>
                    <xdr:rowOff>9525</xdr:rowOff>
                  </from>
                  <to>
                    <xdr:col>3</xdr:col>
                    <xdr:colOff>333375</xdr:colOff>
                    <xdr:row>51</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26B03-8A86-4A8D-87B6-1B911F5EE0F4}">
  <sheetPr codeName="Hoja3">
    <tabColor rgb="FFD6D9EA"/>
    <pageSetUpPr fitToPage="1"/>
  </sheetPr>
  <dimension ref="A1:O315"/>
  <sheetViews>
    <sheetView showGridLines="0" tabSelected="1" topLeftCell="A155" zoomScaleNormal="100" zoomScaleSheetLayoutView="100" workbookViewId="0">
      <selection activeCell="K36" sqref="K36"/>
    </sheetView>
  </sheetViews>
  <sheetFormatPr baseColWidth="10" defaultColWidth="11.42578125" defaultRowHeight="16.5" customHeight="1" outlineLevelRow="1" x14ac:dyDescent="0.25"/>
  <cols>
    <col min="1" max="1" width="4.7109375" style="52" customWidth="1"/>
    <col min="2" max="2" width="21.42578125" style="52" customWidth="1"/>
    <col min="3" max="8" width="13.85546875" style="52" customWidth="1"/>
    <col min="9" max="9" width="15" style="52" bestFit="1" customWidth="1"/>
    <col min="10" max="10" width="6.85546875" style="52" customWidth="1"/>
    <col min="11" max="11" width="8.140625" style="52" customWidth="1"/>
    <col min="12" max="12" width="32.42578125" style="53" customWidth="1"/>
    <col min="13" max="13" width="4.7109375" style="54" customWidth="1"/>
    <col min="14" max="14" width="22.5703125" style="54" customWidth="1"/>
    <col min="15" max="15" width="11.42578125" style="52" customWidth="1"/>
    <col min="16" max="16384" width="11.42578125" style="52"/>
  </cols>
  <sheetData>
    <row r="1" spans="2:15" ht="20.25" customHeight="1" x14ac:dyDescent="0.25"/>
    <row r="2" spans="2:15" ht="20.25" customHeight="1" x14ac:dyDescent="0.25">
      <c r="B2" s="205" t="s">
        <v>395</v>
      </c>
      <c r="C2" s="205"/>
      <c r="D2" s="205"/>
      <c r="E2" s="205"/>
      <c r="F2" s="205"/>
      <c r="G2" s="205"/>
      <c r="H2" s="205"/>
      <c r="I2" s="205"/>
      <c r="L2" s="53" t="str">
        <f>+Perfil!C13</f>
        <v>Fiabilidad</v>
      </c>
      <c r="M2" s="54">
        <f>+Perfil!H13</f>
        <v>0</v>
      </c>
      <c r="N2" s="53" t="str">
        <f>+IF(M2=0,"protocolo válido.",IF(M2=1,"que el perfil debe interpretarse con cautela.",IF(M2=2,"protocolo inválido.")))</f>
        <v>protocolo válido.</v>
      </c>
    </row>
    <row r="3" spans="2:15" ht="20.25" customHeight="1" x14ac:dyDescent="0.25"/>
    <row r="4" spans="2:15" ht="20.25" customHeight="1" x14ac:dyDescent="0.25">
      <c r="B4" s="55" t="s">
        <v>365</v>
      </c>
      <c r="C4" s="56"/>
      <c r="D4" s="56"/>
      <c r="E4" s="56"/>
      <c r="F4" s="56"/>
      <c r="G4" s="56"/>
      <c r="H4" s="56"/>
      <c r="I4" s="56"/>
      <c r="L4" s="57" t="s">
        <v>257</v>
      </c>
      <c r="M4" s="58" t="s">
        <v>205</v>
      </c>
      <c r="N4" s="58" t="s">
        <v>258</v>
      </c>
      <c r="O4" s="59"/>
    </row>
    <row r="5" spans="2:15" ht="20.25" customHeight="1" x14ac:dyDescent="0.25">
      <c r="B5" s="200" t="s">
        <v>405</v>
      </c>
      <c r="C5" s="200"/>
      <c r="D5" s="200"/>
      <c r="E5" s="200"/>
      <c r="F5" s="200"/>
      <c r="G5" s="200"/>
      <c r="H5" s="200"/>
      <c r="I5" s="200"/>
      <c r="L5" s="53" t="str">
        <f>+Perfil!C14</f>
        <v>Transparencia</v>
      </c>
      <c r="M5" s="54">
        <f ca="1">+Perfil!L14</f>
        <v>90</v>
      </c>
      <c r="N5" s="61" t="str">
        <f ca="1">+Perfil!S14</f>
        <v>se evidencia una sinceridad elevada, es decir, se muestra altamente abierto y revelador en sus respuestas.</v>
      </c>
    </row>
    <row r="6" spans="2:15" ht="20.25" customHeight="1" x14ac:dyDescent="0.25">
      <c r="B6" s="200"/>
      <c r="C6" s="200"/>
      <c r="D6" s="200"/>
      <c r="E6" s="200"/>
      <c r="F6" s="200"/>
      <c r="G6" s="200"/>
      <c r="H6" s="200"/>
      <c r="I6" s="200"/>
      <c r="L6" s="53" t="str">
        <f>+Perfil!C15</f>
        <v>Deseabilidad</v>
      </c>
      <c r="M6" s="54">
        <f ca="1">+Perfil!L15</f>
        <v>67</v>
      </c>
      <c r="N6" s="61" t="str">
        <f ca="1">+Perfil!S15</f>
        <v>presenta un estilo de respuesta en la media normativa, manifestándose de forma moderada la inclinación por proyectar una imagen favorable.</v>
      </c>
    </row>
    <row r="7" spans="2:15" ht="20.25" customHeight="1" x14ac:dyDescent="0.25">
      <c r="B7" s="200"/>
      <c r="C7" s="200"/>
      <c r="D7" s="200"/>
      <c r="E7" s="200"/>
      <c r="F7" s="200"/>
      <c r="G7" s="200"/>
      <c r="H7" s="200"/>
      <c r="I7" s="200"/>
      <c r="L7" s="53" t="str">
        <f>+Perfil!C16</f>
        <v>Alteración</v>
      </c>
      <c r="M7" s="54">
        <f ca="1">+Perfil!L16</f>
        <v>99</v>
      </c>
      <c r="N7" s="61" t="str">
        <f ca="1">+Perfil!S16</f>
        <v>manifiesta una alteración elevada, caracterizada por una propensión a denigrarse o desvalorizarse, mostrando problemas emocionales y personales más complicados de lo que probablemente se descubriría mediante una revisión objetiva.</v>
      </c>
    </row>
    <row r="8" spans="2:15" ht="20.25" customHeight="1" x14ac:dyDescent="0.25">
      <c r="B8" s="60"/>
      <c r="C8" s="60"/>
      <c r="D8" s="60"/>
      <c r="E8" s="60"/>
      <c r="F8" s="60"/>
      <c r="G8" s="60"/>
      <c r="H8" s="60"/>
      <c r="I8" s="60"/>
      <c r="N8" s="61"/>
    </row>
    <row r="9" spans="2:15" ht="20.25" customHeight="1" x14ac:dyDescent="0.25">
      <c r="B9" s="62" t="s">
        <v>361</v>
      </c>
      <c r="C9" s="60"/>
      <c r="D9" s="60"/>
      <c r="E9" s="60"/>
      <c r="F9" s="60"/>
      <c r="G9" s="60"/>
      <c r="H9" s="60"/>
      <c r="I9" s="60"/>
    </row>
    <row r="10" spans="2:15" ht="20.25" customHeight="1" x14ac:dyDescent="0.25">
      <c r="B10" s="200" t="str">
        <f>+CONCATENATE("La escala V consta de 2 ítems que son improbables."&amp;" Una puntuación de 0 indica que el protocolo es válido. Una puntuación de 1 sugiere que"&amp;" los resultados deben interpretarse con cautela. Una puntuación de 2 indica que el protocolo es inválido."," ",Perfil!W9," ",Perfil!G2,"","ha obtenido una puntuación de"," ",Perfil!H13," ","en la escala V, indica"," ",N2)</f>
        <v>La escala V consta de 2 ítems que son improbables. Una puntuación de 0 indica que el protocolo es válido. Una puntuación de 1 sugiere que los resultados deben interpretarse con cautela. Una puntuación de 2 indica que el protocolo es inválido.  ha obtenido una puntuación de 0 en la escala V, indica protocolo válido.</v>
      </c>
      <c r="C10" s="200"/>
      <c r="D10" s="200"/>
      <c r="E10" s="200"/>
      <c r="F10" s="200"/>
      <c r="G10" s="200"/>
      <c r="H10" s="200"/>
      <c r="I10" s="200"/>
    </row>
    <row r="11" spans="2:15" ht="20.25" customHeight="1" x14ac:dyDescent="0.25">
      <c r="B11" s="200"/>
      <c r="C11" s="200"/>
      <c r="D11" s="200"/>
      <c r="E11" s="200"/>
      <c r="F11" s="200"/>
      <c r="G11" s="200"/>
      <c r="H11" s="200"/>
      <c r="I11" s="200"/>
    </row>
    <row r="12" spans="2:15" ht="20.25" customHeight="1" x14ac:dyDescent="0.25">
      <c r="B12" s="200"/>
      <c r="C12" s="200"/>
      <c r="D12" s="200"/>
      <c r="E12" s="200"/>
      <c r="F12" s="200"/>
      <c r="G12" s="200"/>
      <c r="H12" s="200"/>
      <c r="I12" s="200"/>
    </row>
    <row r="13" spans="2:15" ht="20.25" customHeight="1" x14ac:dyDescent="0.25">
      <c r="B13" s="200"/>
      <c r="C13" s="200"/>
      <c r="D13" s="200"/>
      <c r="E13" s="200"/>
      <c r="F13" s="200"/>
      <c r="G13" s="200"/>
      <c r="H13" s="200"/>
      <c r="I13" s="200"/>
    </row>
    <row r="14" spans="2:15" ht="20.25" customHeight="1" x14ac:dyDescent="0.25">
      <c r="B14" s="63" t="s">
        <v>362</v>
      </c>
      <c r="C14" s="63"/>
      <c r="D14" s="64"/>
      <c r="E14" s="64"/>
      <c r="F14" s="64"/>
      <c r="G14" s="64"/>
      <c r="H14" s="64"/>
      <c r="I14" s="64"/>
      <c r="L14" s="52"/>
      <c r="M14" s="52"/>
      <c r="N14" s="52"/>
    </row>
    <row r="15" spans="2:15" ht="20.25" customHeight="1" x14ac:dyDescent="0.25">
      <c r="B15" s="206" t="str">
        <f ca="1">+CONCATENATE("Esta escala mide el grado en que el adolescente ha sido abierto, sincero y revelador sobre sí mismo al responder el inventario."," ",Perfil!F3," ","obtuvo una puntuación de"," ",Informe!M4," ",Informe!M5,", ",Informe!N5)</f>
        <v>Esta escala mide el grado en que el adolescente ha sido abierto, sincero y revelador sobre sí mismo al responder el inventario. Amy Bridgit Cotrina Alvarado obtuvo una puntuación de TB 90, se evidencia una sinceridad elevada, es decir, se muestra altamente abierto y revelador en sus respuestas.</v>
      </c>
      <c r="C15" s="206"/>
      <c r="D15" s="206"/>
      <c r="E15" s="206"/>
      <c r="F15" s="206"/>
      <c r="G15" s="206"/>
      <c r="H15" s="206"/>
      <c r="I15" s="206"/>
      <c r="L15" s="52"/>
      <c r="M15" s="52"/>
      <c r="N15" s="52"/>
    </row>
    <row r="16" spans="2:15" ht="20.25" customHeight="1" x14ac:dyDescent="0.25">
      <c r="B16" s="206"/>
      <c r="C16" s="206"/>
      <c r="D16" s="206"/>
      <c r="E16" s="206"/>
      <c r="F16" s="206"/>
      <c r="G16" s="206"/>
      <c r="H16" s="206"/>
      <c r="I16" s="206"/>
      <c r="L16" s="52"/>
      <c r="M16" s="52"/>
      <c r="N16" s="52"/>
    </row>
    <row r="17" spans="2:14" ht="20.25" customHeight="1" x14ac:dyDescent="0.25">
      <c r="B17" s="206"/>
      <c r="C17" s="206"/>
      <c r="D17" s="206"/>
      <c r="E17" s="206"/>
      <c r="F17" s="206"/>
      <c r="G17" s="206"/>
      <c r="H17" s="206"/>
      <c r="I17" s="206"/>
      <c r="L17" s="52"/>
      <c r="M17" s="52"/>
      <c r="N17" s="52"/>
    </row>
    <row r="18" spans="2:14" ht="20.25" customHeight="1" x14ac:dyDescent="0.25">
      <c r="B18" s="206"/>
      <c r="C18" s="206"/>
      <c r="D18" s="206"/>
      <c r="E18" s="206"/>
      <c r="F18" s="206"/>
      <c r="G18" s="206"/>
      <c r="H18" s="206"/>
      <c r="I18" s="206"/>
      <c r="L18" s="52"/>
      <c r="M18" s="52"/>
      <c r="N18" s="52"/>
    </row>
    <row r="19" spans="2:14" ht="20.25" customHeight="1" outlineLevel="1" x14ac:dyDescent="0.25">
      <c r="B19" s="206"/>
      <c r="C19" s="206"/>
      <c r="D19" s="206"/>
      <c r="E19" s="206"/>
      <c r="F19" s="206"/>
      <c r="G19" s="206"/>
      <c r="H19" s="206"/>
      <c r="I19" s="206"/>
      <c r="L19" s="52"/>
      <c r="M19" s="52"/>
      <c r="N19" s="52"/>
    </row>
    <row r="20" spans="2:14" ht="20.25" customHeight="1" x14ac:dyDescent="0.25">
      <c r="B20" s="63" t="s">
        <v>363</v>
      </c>
      <c r="C20" s="64"/>
      <c r="D20" s="64"/>
      <c r="E20" s="64"/>
      <c r="F20" s="64"/>
      <c r="G20" s="64"/>
      <c r="H20" s="64"/>
      <c r="I20" s="64"/>
      <c r="L20" s="52"/>
      <c r="M20" s="52"/>
      <c r="N20" s="52"/>
    </row>
    <row r="21" spans="2:14" ht="20.25" customHeight="1" x14ac:dyDescent="0.25">
      <c r="B21" s="210" t="str">
        <f ca="1">+CONCATENATE("Esta escala mide la tendencia"&amp;" del adolescente a presentar una imagen positiva de sí mismo, posiblemente ocultando o minimizando sus dificultades."," ",Perfil!F3," ","obtuvo una puntuación de"," ",Informe!M4," ",Informe!M6,", ",Informe!N6)</f>
        <v>Esta escala mide la tendencia del adolescente a presentar una imagen positiva de sí mismo, posiblemente ocultando o minimizando sus dificultades. Amy Bridgit Cotrina Alvarado obtuvo una puntuación de TB 67, presenta un estilo de respuesta en la media normativa, manifestándose de forma moderada la inclinación por proyectar una imagen favorable.</v>
      </c>
      <c r="C21" s="210"/>
      <c r="D21" s="210"/>
      <c r="E21" s="210"/>
      <c r="F21" s="210"/>
      <c r="G21" s="210"/>
      <c r="H21" s="210"/>
      <c r="I21" s="210"/>
      <c r="L21" s="52"/>
      <c r="M21" s="52"/>
      <c r="N21" s="52"/>
    </row>
    <row r="22" spans="2:14" ht="20.25" customHeight="1" x14ac:dyDescent="0.25">
      <c r="B22" s="210"/>
      <c r="C22" s="210"/>
      <c r="D22" s="210"/>
      <c r="E22" s="210"/>
      <c r="F22" s="210"/>
      <c r="G22" s="210"/>
      <c r="H22" s="210"/>
      <c r="I22" s="210"/>
      <c r="L22" s="52"/>
      <c r="M22" s="52"/>
      <c r="N22" s="52"/>
    </row>
    <row r="23" spans="2:14" ht="20.25" customHeight="1" x14ac:dyDescent="0.25">
      <c r="B23" s="210"/>
      <c r="C23" s="210"/>
      <c r="D23" s="210"/>
      <c r="E23" s="210"/>
      <c r="F23" s="210"/>
      <c r="G23" s="210"/>
      <c r="H23" s="210"/>
      <c r="I23" s="210"/>
      <c r="L23" s="52"/>
      <c r="M23" s="52"/>
      <c r="N23" s="52"/>
    </row>
    <row r="24" spans="2:14" ht="20.25" customHeight="1" x14ac:dyDescent="0.25">
      <c r="B24" s="210"/>
      <c r="C24" s="210"/>
      <c r="D24" s="210"/>
      <c r="E24" s="210"/>
      <c r="F24" s="210"/>
      <c r="G24" s="210"/>
      <c r="H24" s="210"/>
      <c r="I24" s="210"/>
      <c r="L24" s="52"/>
      <c r="M24" s="52"/>
      <c r="N24" s="52"/>
    </row>
    <row r="25" spans="2:14" ht="20.25" customHeight="1" outlineLevel="1" x14ac:dyDescent="0.25">
      <c r="B25" s="210"/>
      <c r="C25" s="210"/>
      <c r="D25" s="210"/>
      <c r="E25" s="210"/>
      <c r="F25" s="210"/>
      <c r="G25" s="210"/>
      <c r="H25" s="210"/>
      <c r="I25" s="210"/>
      <c r="L25" s="52"/>
      <c r="M25" s="52"/>
      <c r="N25" s="52"/>
    </row>
    <row r="26" spans="2:14" ht="20.25" customHeight="1" x14ac:dyDescent="0.25">
      <c r="B26" s="63" t="s">
        <v>364</v>
      </c>
      <c r="C26" s="60"/>
      <c r="D26" s="60"/>
      <c r="E26" s="60"/>
      <c r="F26" s="60"/>
      <c r="G26" s="60"/>
      <c r="H26" s="60"/>
      <c r="I26" s="60"/>
      <c r="L26" s="52"/>
      <c r="M26" s="52"/>
      <c r="N26" s="52"/>
    </row>
    <row r="27" spans="2:14" ht="20.25" customHeight="1" x14ac:dyDescent="0.25">
      <c r="B27" s="200" t="str">
        <f ca="1">+CONCATENATE("Esta escala evalúa la tendencia del adolescente a exagerar sus problemas o a presentarse de manera más perturbada de lo que realmente está."," ",Perfil!F3," ","obtuvo una puntuación de"," ",Informe!M4," ",Informe!M7,", ",Informe!N7)</f>
        <v>Esta escala evalúa la tendencia del adolescente a exagerar sus problemas o a presentarse de manera más perturbada de lo que realmente está. Amy Bridgit Cotrina Alvarado obtuvo una puntuación de TB 99, manifiesta una alteración elevada, caracterizada por una propensión a denigrarse o desvalorizarse, mostrando problemas emocionales y personales más complicados de lo que probablemente se descubriría mediante una revisión objetiva.</v>
      </c>
      <c r="C27" s="200"/>
      <c r="D27" s="200"/>
      <c r="E27" s="200"/>
      <c r="F27" s="200"/>
      <c r="G27" s="200"/>
      <c r="H27" s="200"/>
      <c r="I27" s="200"/>
      <c r="L27" s="52"/>
      <c r="M27" s="52"/>
      <c r="N27" s="52"/>
    </row>
    <row r="28" spans="2:14" ht="20.25" customHeight="1" x14ac:dyDescent="0.25">
      <c r="B28" s="200"/>
      <c r="C28" s="200"/>
      <c r="D28" s="200"/>
      <c r="E28" s="200"/>
      <c r="F28" s="200"/>
      <c r="G28" s="200"/>
      <c r="H28" s="200"/>
      <c r="I28" s="200"/>
      <c r="L28" s="52"/>
      <c r="M28" s="52"/>
      <c r="N28" s="52"/>
    </row>
    <row r="29" spans="2:14" ht="20.25" customHeight="1" x14ac:dyDescent="0.25">
      <c r="B29" s="200"/>
      <c r="C29" s="200"/>
      <c r="D29" s="200"/>
      <c r="E29" s="200"/>
      <c r="F29" s="200"/>
      <c r="G29" s="200"/>
      <c r="H29" s="200"/>
      <c r="I29" s="200"/>
      <c r="L29" s="52"/>
      <c r="M29" s="52"/>
      <c r="N29" s="52"/>
    </row>
    <row r="30" spans="2:14" ht="20.25" customHeight="1" x14ac:dyDescent="0.25">
      <c r="B30" s="200"/>
      <c r="C30" s="200"/>
      <c r="D30" s="200"/>
      <c r="E30" s="200"/>
      <c r="F30" s="200"/>
      <c r="G30" s="200"/>
      <c r="H30" s="200"/>
      <c r="I30" s="200"/>
      <c r="L30" s="52"/>
      <c r="M30" s="52"/>
      <c r="N30" s="52"/>
    </row>
    <row r="31" spans="2:14" ht="20.25" customHeight="1" outlineLevel="1" x14ac:dyDescent="0.25">
      <c r="B31" s="200"/>
      <c r="C31" s="200"/>
      <c r="D31" s="200"/>
      <c r="E31" s="200"/>
      <c r="F31" s="200"/>
      <c r="G31" s="200"/>
      <c r="H31" s="200"/>
      <c r="I31" s="200"/>
      <c r="L31" s="52"/>
      <c r="M31" s="52"/>
      <c r="N31" s="52"/>
    </row>
    <row r="32" spans="2:14" ht="20.25" customHeight="1" outlineLevel="1" x14ac:dyDescent="0.25">
      <c r="B32" s="200"/>
      <c r="C32" s="200"/>
      <c r="D32" s="200"/>
      <c r="E32" s="200"/>
      <c r="F32" s="200"/>
      <c r="G32" s="200"/>
      <c r="H32" s="200"/>
      <c r="I32" s="200"/>
      <c r="L32" s="52"/>
      <c r="M32" s="52"/>
      <c r="N32" s="52"/>
    </row>
    <row r="33" spans="2:15" ht="20.25" customHeight="1" x14ac:dyDescent="0.25">
      <c r="B33" s="60"/>
      <c r="C33" s="60"/>
      <c r="D33" s="60"/>
      <c r="E33" s="60"/>
      <c r="F33" s="60"/>
      <c r="G33" s="60"/>
      <c r="H33" s="60"/>
      <c r="I33" s="60"/>
      <c r="L33" s="52"/>
      <c r="M33" s="52"/>
      <c r="N33" s="52"/>
    </row>
    <row r="34" spans="2:15" ht="20.25" customHeight="1" x14ac:dyDescent="0.25">
      <c r="B34" s="65" t="s">
        <v>433</v>
      </c>
      <c r="C34" s="60"/>
      <c r="D34" s="60"/>
      <c r="E34" s="60"/>
      <c r="F34" s="60"/>
      <c r="G34" s="60"/>
      <c r="H34" s="60"/>
      <c r="I34" s="60"/>
      <c r="L34" s="52"/>
      <c r="M34" s="52"/>
      <c r="N34" s="52"/>
    </row>
    <row r="35" spans="2:15" ht="20.25" customHeight="1" x14ac:dyDescent="0.25">
      <c r="B35" s="200" t="s">
        <v>471</v>
      </c>
      <c r="C35" s="200"/>
      <c r="D35" s="200"/>
      <c r="E35" s="200"/>
      <c r="F35" s="200"/>
      <c r="G35" s="200"/>
      <c r="H35" s="200"/>
      <c r="I35" s="200"/>
      <c r="K35" s="58" t="s">
        <v>205</v>
      </c>
      <c r="L35" s="57" t="s">
        <v>259</v>
      </c>
      <c r="M35" s="58" t="s">
        <v>205</v>
      </c>
      <c r="N35" s="58" t="s">
        <v>258</v>
      </c>
      <c r="O35" s="59" t="s">
        <v>438</v>
      </c>
    </row>
    <row r="36" spans="2:15" ht="20.25" customHeight="1" x14ac:dyDescent="0.25">
      <c r="B36" s="200"/>
      <c r="C36" s="200"/>
      <c r="D36" s="200"/>
      <c r="E36" s="200"/>
      <c r="F36" s="200"/>
      <c r="G36" s="200"/>
      <c r="H36" s="200"/>
      <c r="I36" s="200"/>
      <c r="K36" s="54">
        <f ca="1">M36+(COUNTA($M$36:$M$47)-ROW()+2)*0.001</f>
        <v>79.977999999999994</v>
      </c>
      <c r="L36" s="53" t="s">
        <v>367</v>
      </c>
      <c r="M36" s="54">
        <f ca="1">+Perfil!L18</f>
        <v>80</v>
      </c>
      <c r="N36" s="53" t="str">
        <f ca="1">+Perfil!S18</f>
        <v>indica que el patrón de personalidad introvertido se encuentra presente de manera más definida, aunque sin ser el rasgo predominante en su configuración psicológica. En estos casos, se observa una tendencia a la apatía y a la indiferencia afectiva, con una reducida implicación emocional en sus relaciones interpersonales y actividades cotidianas. Tiende a mantener un comportamiento reservado y poco expresivo, sin que ello implique una evitación activa de los demás, sino más bien una falta de interés o necesidad de vinculación social significativa.</v>
      </c>
      <c r="O36" s="52" t="s">
        <v>464</v>
      </c>
    </row>
    <row r="37" spans="2:15" ht="20.25" customHeight="1" x14ac:dyDescent="0.25">
      <c r="B37" s="200" t="str">
        <f ca="1">+CONCATENATE(L47," (",O47,") ",Perfil!F3," ","obtuvo una puntuación de"," ",Informe!M35," ",Informe!M47,", ",Informe!N47)</f>
        <v>Tendencia límite (Mide la inestabilidad emocional significativa, con fluctuaciones en el estado de ánimo, dificultades en la identidad y comportamientos autodestructivos) Amy Bridgit Cotrina Alvarado obtuvo una puntuación de TB 89, la expresión del prototipo de personalidad de tendencia límite se torna destacada o prominente. En este nivel, presenta una marcada desorganización interna, con una constante oscilación entre extremos opuestos en su comportamiento y estado emocional. Su inestabilidad afectiva se manifiesta en cambios abruptos de humor, con periodos de abatimiento y apatía que pueden alternarse con episodios de rabia intensa, ansiedad o euforia. En el ámbito interpersonal, predominan sentimientos contradictorios de amor, culpa y hostilidad hacia los demás, lo que dificulta la construcción de relaciones estables. Su estructura psíquica presenta una cohesión reducida, con dificultades para mantener una posición equilibrada entre la dependencia y la independencia, entre la impulsividad y la pasividad, o entre la obediencia y la oposición. En este nivel de expresión, la presencia de pensamientos autolesivos y suicidas puede ser recurrente, y algunos pueden llegar a actuar en función de estos impulsos. Su comportamiento tiende a ser errático, con una marcada dificultad para mantener la consistencia en sus decisiones y acciones. Reiteradamente, sabotea o contradice sus propios esfuerzos, reflejando un estado interno caracterizado por una profunda división intrapsíquica. Su funcionamiento se encuentra marcado por una fractura entre sus orientaciones internas y su forma de relacionarse con los demás, lo que genera un patrón de inestabilidad persistente tanto a nivel emocional como interpersonal. Este perfil de personalidad guarda similitudes con el trastorno límite de la personalidad descrito en el DSM, en la medida en que muestra una estructura psíquica caracterizada por una marcada discordia interna y una incapacidad para mantener un sentido coherente de sí mismo. Su funcionamiento se ve afectado por una polarización constante en sus emociones, relaciones y comportamientos, lo que lo lleva a alternar entre impulsividad y retraimiento, entre dependencia y oposición, y entre la búsqueda de aprobación y el rechazo activo de la misma. Su experiencia subjetiva está dominada por una sensación de vacío, inestabilidad y conflicto interno, lo que genera dificultades significativas en su capacidad para mantener relaciones interpersonales estables y una identidad consolidada.</v>
      </c>
      <c r="C37" s="200"/>
      <c r="D37" s="200"/>
      <c r="E37" s="200"/>
      <c r="F37" s="200"/>
      <c r="G37" s="200"/>
      <c r="H37" s="200"/>
      <c r="I37" s="200"/>
      <c r="K37" s="54">
        <f t="shared" ref="K36:K47" ca="1" si="0">M37+(COUNTA($M$36:$M$47)-ROW()+2)*0.001</f>
        <v>109.977</v>
      </c>
      <c r="L37" s="53" t="s">
        <v>368</v>
      </c>
      <c r="M37" s="54">
        <f ca="1">+Perfil!L19</f>
        <v>110</v>
      </c>
      <c r="N37" s="53" t="str">
        <f ca="1">+Perfil!S19</f>
        <v>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c r="O37" s="52" t="s">
        <v>465</v>
      </c>
    </row>
    <row r="38" spans="2:15" ht="20.25" customHeight="1" x14ac:dyDescent="0.25">
      <c r="B38" s="200"/>
      <c r="C38" s="200"/>
      <c r="D38" s="200"/>
      <c r="E38" s="200"/>
      <c r="F38" s="200"/>
      <c r="G38" s="200"/>
      <c r="H38" s="200"/>
      <c r="I38" s="200"/>
      <c r="K38" s="54">
        <f t="shared" ca="1" si="0"/>
        <v>112.976</v>
      </c>
      <c r="L38" s="53" t="s">
        <v>369</v>
      </c>
      <c r="M38" s="54">
        <f ca="1">+Perfil!L20</f>
        <v>113</v>
      </c>
      <c r="N38" s="53" t="str">
        <f ca="1">+Perfil!S20</f>
        <v>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c r="O38" s="52" t="s">
        <v>466</v>
      </c>
    </row>
    <row r="39" spans="2:15" ht="20.25" customHeight="1" collapsed="1" x14ac:dyDescent="0.25">
      <c r="B39" s="200"/>
      <c r="C39" s="200"/>
      <c r="D39" s="200"/>
      <c r="E39" s="200"/>
      <c r="F39" s="200"/>
      <c r="G39" s="200"/>
      <c r="H39" s="200"/>
      <c r="I39" s="200"/>
      <c r="K39" s="54">
        <f t="shared" ca="1" si="0"/>
        <v>30.975000000000001</v>
      </c>
      <c r="L39" s="53" t="s">
        <v>370</v>
      </c>
      <c r="M39" s="54">
        <f ca="1">+Perfil!L21</f>
        <v>31</v>
      </c>
      <c r="N39" s="53" t="str">
        <f ca="1">+Perfil!S21</f>
        <v>indica que tiene una menor propensión a la sumisión y dependencia. Aunque puede haber momentos en que prefiera la aprobación externa o muestre cierta reticencia a tomar la iniciativa, estas no son características predominantes. Puede mostrar una mezcla equilibrada de dependencia y autonomía, capaz de actuar independientemente cuando es necesario, aunque todavía pueda evitar situaciones de alto conflicto o liderazgo en contextos más desafiantes.</v>
      </c>
      <c r="O39" s="52" t="s">
        <v>467</v>
      </c>
    </row>
    <row r="40" spans="2:15" ht="20.25" customHeight="1" x14ac:dyDescent="0.25">
      <c r="B40" s="200"/>
      <c r="C40" s="200"/>
      <c r="D40" s="200"/>
      <c r="E40" s="200"/>
      <c r="F40" s="200"/>
      <c r="G40" s="200"/>
      <c r="H40" s="200"/>
      <c r="I40" s="200"/>
      <c r="K40" s="54">
        <f t="shared" ca="1" si="0"/>
        <v>0.97399999999999998</v>
      </c>
      <c r="L40" s="53" t="s">
        <v>372</v>
      </c>
      <c r="M40" s="54">
        <f ca="1">+Perfil!L22</f>
        <v>1</v>
      </c>
      <c r="N40" s="53" t="str">
        <f ca="1">+Perfil!S22</f>
        <v>indica una baja presencia de rasgos histriónicos. En este rango, no busca activamente la atención o la aprobación de otros mediante la expresividad emocional o el comportamiento exhibicionista. Pueden tener relaciones más estables y menos dependientes de la  validación externa.</v>
      </c>
      <c r="O40" s="52" t="s">
        <v>407</v>
      </c>
    </row>
    <row r="41" spans="2:15" ht="20.25" customHeight="1" x14ac:dyDescent="0.25">
      <c r="B41" s="200"/>
      <c r="C41" s="200"/>
      <c r="D41" s="200"/>
      <c r="E41" s="200"/>
      <c r="F41" s="200"/>
      <c r="G41" s="200"/>
      <c r="H41" s="200"/>
      <c r="I41" s="200"/>
      <c r="K41" s="54">
        <f t="shared" ca="1" si="0"/>
        <v>9.9730000000000008</v>
      </c>
      <c r="L41" s="53" t="s">
        <v>371</v>
      </c>
      <c r="M41" s="54">
        <f ca="1">+Perfil!L23</f>
        <v>10</v>
      </c>
      <c r="N41" s="53" t="str">
        <f ca="1">+Perfil!S23</f>
        <v>indica una baja presencia de rasgos egocéntricos o narcisistas. En este rango probablemente muestra una consideración equilibrada por los demás y una autoestima saludable que no se inclina hacia la autovaloración excesiva o la explotación de otros.</v>
      </c>
      <c r="O41" s="52" t="s">
        <v>408</v>
      </c>
    </row>
    <row r="42" spans="2:15" ht="20.25" customHeight="1" outlineLevel="1" x14ac:dyDescent="0.25">
      <c r="B42" s="200"/>
      <c r="C42" s="200"/>
      <c r="D42" s="200"/>
      <c r="E42" s="200"/>
      <c r="F42" s="200"/>
      <c r="G42" s="200"/>
      <c r="H42" s="200"/>
      <c r="I42" s="200"/>
      <c r="K42" s="54">
        <f t="shared" ca="1" si="0"/>
        <v>40.972000000000001</v>
      </c>
      <c r="L42" s="53" t="s">
        <v>373</v>
      </c>
      <c r="M42" s="54">
        <f ca="1">+Perfil!L24</f>
        <v>41</v>
      </c>
      <c r="N42" s="53" t="str">
        <f ca="1">+Perfil!S24</f>
        <v>indica una baja presencia de comportamientos y actitudes rebeldes. En este rango, probablemente  se ajusta a las normas sociales y legales y muestra un respeto general por las autoridades y las reglas establecidas.</v>
      </c>
      <c r="O42" s="52" t="s">
        <v>468</v>
      </c>
    </row>
    <row r="43" spans="2:15" ht="20.25" customHeight="1" outlineLevel="1" x14ac:dyDescent="0.25">
      <c r="B43" s="200"/>
      <c r="C43" s="200"/>
      <c r="D43" s="200"/>
      <c r="E43" s="200"/>
      <c r="F43" s="200"/>
      <c r="G43" s="200"/>
      <c r="H43" s="200"/>
      <c r="I43" s="200"/>
      <c r="K43" s="54">
        <f t="shared" ca="1" si="0"/>
        <v>34.970999999999997</v>
      </c>
      <c r="L43" s="53" t="s">
        <v>374</v>
      </c>
      <c r="M43" s="54">
        <f ca="1">+Perfil!L25</f>
        <v>35</v>
      </c>
      <c r="N43" s="53" t="str">
        <f ca="1">+Perfil!S25</f>
        <v>indica que en este rango, las características asociadas al prototipo Rudo se consideran ausentes o no significativas. No se observan tendencias marcadas hacia la dureza, obstinación o dominación de otros. No muestra inclinación a cuestionar los derechos de los demás o a asumir el control en la mayoría de las situaciones.</v>
      </c>
      <c r="O43" s="52" t="s">
        <v>409</v>
      </c>
    </row>
    <row r="44" spans="2:15" ht="20.25" customHeight="1" outlineLevel="1" x14ac:dyDescent="0.25">
      <c r="B44" s="200"/>
      <c r="C44" s="200"/>
      <c r="D44" s="200"/>
      <c r="E44" s="200"/>
      <c r="F44" s="200"/>
      <c r="G44" s="200"/>
      <c r="H44" s="200"/>
      <c r="I44" s="200"/>
      <c r="K44" s="54">
        <f t="shared" ca="1" si="0"/>
        <v>13.97</v>
      </c>
      <c r="L44" s="53" t="s">
        <v>376</v>
      </c>
      <c r="M44" s="54">
        <f ca="1">+Perfil!L26</f>
        <v>14</v>
      </c>
      <c r="N44" s="53" t="str">
        <f ca="1">+Perfil!S26</f>
        <v>indica que no muestra una tendencia de patrón de personalidad de conformista.</v>
      </c>
      <c r="O44" s="52" t="s">
        <v>419</v>
      </c>
    </row>
    <row r="45" spans="2:15" ht="20.25" customHeight="1" outlineLevel="1" x14ac:dyDescent="0.25">
      <c r="B45" s="200"/>
      <c r="C45" s="200"/>
      <c r="D45" s="200"/>
      <c r="E45" s="200"/>
      <c r="F45" s="200"/>
      <c r="G45" s="200"/>
      <c r="H45" s="200"/>
      <c r="I45" s="200"/>
      <c r="K45" s="54">
        <f t="shared" ca="1" si="0"/>
        <v>98.968999999999994</v>
      </c>
      <c r="L45" s="53" t="s">
        <v>375</v>
      </c>
      <c r="M45" s="54">
        <f ca="1">+Perfil!L27</f>
        <v>99</v>
      </c>
      <c r="N45" s="53" t="str">
        <f ca="1">+Perfil!S27</f>
        <v>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c r="O45" s="52" t="s">
        <v>420</v>
      </c>
    </row>
    <row r="46" spans="2:15" ht="20.25" customHeight="1" outlineLevel="1" x14ac:dyDescent="0.25">
      <c r="B46" s="200"/>
      <c r="C46" s="200"/>
      <c r="D46" s="200"/>
      <c r="E46" s="200"/>
      <c r="F46" s="200"/>
      <c r="G46" s="200"/>
      <c r="H46" s="200"/>
      <c r="I46" s="200"/>
      <c r="K46" s="54">
        <f t="shared" ca="1" si="0"/>
        <v>114.968</v>
      </c>
      <c r="L46" s="53" t="s">
        <v>377</v>
      </c>
      <c r="M46" s="54">
        <f ca="1">+Perfil!L28</f>
        <v>115</v>
      </c>
      <c r="N46" s="53" t="str">
        <f ca="1">+Perfil!S28</f>
        <v>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c r="O46" s="52" t="s">
        <v>421</v>
      </c>
    </row>
    <row r="47" spans="2:15" ht="20.25" customHeight="1" outlineLevel="1" x14ac:dyDescent="0.25">
      <c r="B47" s="200"/>
      <c r="C47" s="200"/>
      <c r="D47" s="200"/>
      <c r="E47" s="200"/>
      <c r="F47" s="200"/>
      <c r="G47" s="200"/>
      <c r="H47" s="200"/>
      <c r="I47" s="200"/>
      <c r="K47" s="54">
        <f t="shared" ca="1" si="0"/>
        <v>88.966999999999999</v>
      </c>
      <c r="L47" s="53" t="s">
        <v>378</v>
      </c>
      <c r="M47" s="54">
        <f ca="1">+Perfil!L29</f>
        <v>89</v>
      </c>
      <c r="N47" s="53" t="str">
        <f ca="1">+Perfil!S29</f>
        <v>la expresión del prototipo de personalidad de tendencia límite se torna destacada o prominente. En este nivel, presenta una marcada desorganización interna, con una constante oscilación entre extremos opuestos en su comportamiento y estado emocional. Su inestabilidad afectiva se manifiesta en cambios abruptos de humor, con periodos de abatimiento y apatía que pueden alternarse con episodios de rabia intensa, ansiedad o euforia. En el ámbito interpersonal, predominan sentimientos contradictorios de amor, culpa y hostilidad hacia los demás, lo que dificulta la construcción de relaciones estables. Su estructura psíquica presenta una cohesión reducida, con dificultades para mantener una posición equilibrada entre la dependencia y la independencia, entre la impulsividad y la pasividad, o entre la obediencia y la oposición. En este nivel de expresión, la presencia de pensamientos autolesivos y suicidas puede ser recurrente, y algunos pueden llegar a actuar en función de estos impulsos. Su comportamiento tiende a ser errático, con una marcada dificultad para mantener la consistencia en sus decisiones y acciones. Reiteradamente, sabotea o contradice sus propios esfuerzos, reflejando un estado interno caracterizado por una profunda división intrapsíquica. Su funcionamiento se encuentra marcado por una fractura entre sus orientaciones internas y su forma de relacionarse con los demás, lo que genera un patrón de inestabilidad persistente tanto a nivel emocional como interpersonal. Este perfil de personalidad guarda similitudes con el trastorno límite de la personalidad descrito en el DSM, en la medida en que muestra una estructura psíquica caracterizada por una marcada discordia interna y una incapacidad para mantener un sentido coherente de sí mismo. Su funcionamiento se ve afectado por una polarización constante en sus emociones, relaciones y comportamientos, lo que lo lleva a alternar entre impulsividad y retraimiento, entre dependencia y oposición, y entre la búsqueda de aprobación y el rechazo activo de la misma. Su experiencia subjetiva está dominada por una sensación de vacío, inestabilidad y conflicto interno, lo que genera dificultades significativas en su capacidad para mantener relaciones interpersonales estables y una identidad consolidada.</v>
      </c>
      <c r="O47" s="52" t="s">
        <v>469</v>
      </c>
    </row>
    <row r="48" spans="2:15" ht="20.25" customHeight="1" outlineLevel="1" x14ac:dyDescent="0.25">
      <c r="B48" s="200"/>
      <c r="C48" s="200"/>
      <c r="D48" s="200"/>
      <c r="E48" s="200"/>
      <c r="F48" s="200"/>
      <c r="G48" s="200"/>
      <c r="H48" s="200"/>
      <c r="I48" s="200"/>
      <c r="M48" s="58" t="s">
        <v>205</v>
      </c>
      <c r="N48" s="58" t="s">
        <v>258</v>
      </c>
      <c r="O48" s="59" t="s">
        <v>438</v>
      </c>
    </row>
    <row r="49" spans="2:15" ht="20.25" customHeight="1" outlineLevel="1" x14ac:dyDescent="0.25">
      <c r="B49" s="200"/>
      <c r="C49" s="200"/>
      <c r="D49" s="200"/>
      <c r="E49" s="200"/>
      <c r="F49" s="200"/>
      <c r="G49" s="200"/>
      <c r="H49" s="200"/>
      <c r="I49" s="200"/>
      <c r="K49" s="54">
        <v>1</v>
      </c>
      <c r="L49" s="53" t="str">
        <f ca="1">VLOOKUP(LARGE($K$36:$K$46,K49),$K$36:$L$46,2,0)</f>
        <v>Autopunitivo</v>
      </c>
      <c r="M49" s="54">
        <f ca="1">ROUND(LARGE($K$36:$K$46,K49),1)</f>
        <v>115</v>
      </c>
      <c r="N49" s="53" t="str">
        <f ca="1">VLOOKUP(L49,$L$35:$N$46,3,0)</f>
        <v>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c r="O49" s="52" t="str">
        <f ca="1">VLOOKUP(L49,$L$35:$O$46,4,0)</f>
        <v>Evalúa la tendencia a comportamientos autodestructivos. En esta escala suelen ser sus peores enemigos, actúan de forma lesiva para ellos mismos y, a veces, dan la sensación de que están contentos de sufrir</v>
      </c>
    </row>
    <row r="50" spans="2:15" ht="20.25" customHeight="1" outlineLevel="1" x14ac:dyDescent="0.25">
      <c r="B50" s="200"/>
      <c r="C50" s="200"/>
      <c r="D50" s="200"/>
      <c r="E50" s="200"/>
      <c r="F50" s="200"/>
      <c r="G50" s="200"/>
      <c r="H50" s="200"/>
      <c r="I50" s="200"/>
      <c r="K50" s="54">
        <v>2</v>
      </c>
      <c r="L50" s="53" t="str">
        <f t="shared" ref="L50:L52" ca="1" si="1">VLOOKUP(LARGE($K$36:$K$46,K50),$K$36:$L$46,2,0)</f>
        <v>Pesimista</v>
      </c>
      <c r="M50" s="54">
        <f t="shared" ref="M50:M52" ca="1" si="2">ROUND(LARGE($K$36:$K$46,K50),1)</f>
        <v>113</v>
      </c>
      <c r="N50" s="53" t="str">
        <f t="shared" ref="N50:N52" ca="1" si="3">VLOOKUP(L50,$L$35:$N$46,3,0)</f>
        <v>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c r="O50" s="52" t="str">
        <f t="shared" ref="O50:O52" ca="1" si="4">VLOOKUP(L50,$L$35:$O$46,4,0)</f>
        <v>Evalúa la tendencia a sentirse abatidos y desanimados, a veces desde la infancia. Tienen una perspectiva vital pesimista, ven el futuro como algo amenazador y triste</v>
      </c>
    </row>
    <row r="51" spans="2:15" ht="20.25" customHeight="1" outlineLevel="1" x14ac:dyDescent="0.25">
      <c r="B51" s="200"/>
      <c r="C51" s="200"/>
      <c r="D51" s="200"/>
      <c r="E51" s="200"/>
      <c r="F51" s="200"/>
      <c r="G51" s="200"/>
      <c r="H51" s="200"/>
      <c r="I51" s="200"/>
      <c r="K51" s="54">
        <v>3</v>
      </c>
      <c r="L51" s="53" t="str">
        <f t="shared" ca="1" si="1"/>
        <v>Inhibido</v>
      </c>
      <c r="M51" s="54">
        <f t="shared" ca="1" si="2"/>
        <v>110</v>
      </c>
      <c r="N51" s="53" t="str">
        <f t="shared" ca="1" si="3"/>
        <v>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c r="O51" s="52" t="str">
        <f t="shared" ca="1" si="4"/>
        <v>Mide la tendencia a ser bastante vergonzosos o a sentirse incómodos en las relaciones con los otros. A estas personas les gustaría la proximidad de los otros pero han aprendido que es mejor mantener su propia distancia y no confiar en la amistad de otros</v>
      </c>
    </row>
    <row r="52" spans="2:15" ht="20.25" customHeight="1" outlineLevel="1" x14ac:dyDescent="0.25">
      <c r="B52" s="200"/>
      <c r="C52" s="200"/>
      <c r="D52" s="200"/>
      <c r="E52" s="200"/>
      <c r="F52" s="200"/>
      <c r="G52" s="200"/>
      <c r="H52" s="200"/>
      <c r="I52" s="200"/>
      <c r="K52" s="54">
        <v>4</v>
      </c>
      <c r="L52" s="53" t="str">
        <f t="shared" ca="1" si="1"/>
        <v>Oposicionista</v>
      </c>
      <c r="M52" s="54">
        <f t="shared" ca="1" si="2"/>
        <v>99</v>
      </c>
      <c r="N52" s="53" t="str">
        <f t="shared" ca="1" si="3"/>
        <v>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c r="O52" s="52" t="str">
        <f t="shared" ca="1" si="4"/>
        <v>Evalúa la tendencia a comportamientos descontentos, hoscos y pasivo-agresivos</v>
      </c>
    </row>
    <row r="53" spans="2:15" ht="20.25" customHeight="1" outlineLevel="1" x14ac:dyDescent="0.25">
      <c r="B53" s="200"/>
      <c r="C53" s="200"/>
      <c r="D53" s="200"/>
      <c r="E53" s="200"/>
      <c r="F53" s="200"/>
      <c r="G53" s="200"/>
      <c r="H53" s="200"/>
      <c r="I53" s="200"/>
      <c r="L53" s="52"/>
      <c r="M53" s="52"/>
      <c r="N53" s="52"/>
    </row>
    <row r="54" spans="2:15" ht="20.25" customHeight="1" outlineLevel="1" x14ac:dyDescent="0.25">
      <c r="B54" s="200"/>
      <c r="C54" s="200"/>
      <c r="D54" s="200"/>
      <c r="E54" s="200"/>
      <c r="F54" s="200"/>
      <c r="G54" s="200"/>
      <c r="H54" s="200"/>
      <c r="I54" s="200"/>
      <c r="L54" s="52"/>
      <c r="M54" s="52"/>
      <c r="N54" s="52"/>
    </row>
    <row r="55" spans="2:15" ht="20.25" customHeight="1" outlineLevel="1" x14ac:dyDescent="0.25">
      <c r="B55" s="200"/>
      <c r="C55" s="200"/>
      <c r="D55" s="200"/>
      <c r="E55" s="200"/>
      <c r="F55" s="200"/>
      <c r="G55" s="200"/>
      <c r="H55" s="200"/>
      <c r="I55" s="200"/>
      <c r="L55" s="52"/>
      <c r="M55" s="52"/>
      <c r="N55" s="52"/>
    </row>
    <row r="56" spans="2:15" ht="20.25" customHeight="1" outlineLevel="1" x14ac:dyDescent="0.25">
      <c r="B56" s="200"/>
      <c r="C56" s="200"/>
      <c r="D56" s="200"/>
      <c r="E56" s="200"/>
      <c r="F56" s="200"/>
      <c r="G56" s="200"/>
      <c r="H56" s="200"/>
      <c r="I56" s="200"/>
      <c r="L56" s="52"/>
      <c r="M56" s="52"/>
      <c r="N56" s="52"/>
    </row>
    <row r="57" spans="2:15" ht="20.25" customHeight="1" outlineLevel="1" x14ac:dyDescent="0.25">
      <c r="B57" s="200"/>
      <c r="C57" s="200"/>
      <c r="D57" s="200"/>
      <c r="E57" s="200"/>
      <c r="F57" s="200"/>
      <c r="G57" s="200"/>
      <c r="H57" s="200"/>
      <c r="I57" s="200"/>
      <c r="L57" s="52"/>
      <c r="M57" s="52"/>
      <c r="N57" s="52"/>
    </row>
    <row r="58" spans="2:15" ht="20.25" customHeight="1" x14ac:dyDescent="0.25">
      <c r="B58" s="60"/>
      <c r="C58" s="60"/>
      <c r="D58" s="60"/>
      <c r="E58" s="60"/>
      <c r="F58" s="60"/>
      <c r="G58" s="60"/>
      <c r="H58" s="60"/>
      <c r="I58" s="60"/>
      <c r="L58" s="52"/>
      <c r="M58" s="52"/>
      <c r="N58" s="52"/>
    </row>
    <row r="59" spans="2:15" ht="20.25" customHeight="1" x14ac:dyDescent="0.25">
      <c r="B59" s="65" t="s">
        <v>434</v>
      </c>
      <c r="C59" s="60"/>
      <c r="D59" s="60"/>
      <c r="E59" s="60"/>
      <c r="F59" s="60"/>
      <c r="G59" s="60"/>
      <c r="H59" s="60"/>
      <c r="I59" s="60"/>
      <c r="L59" s="52"/>
      <c r="M59" s="52"/>
      <c r="N59" s="52"/>
    </row>
    <row r="60" spans="2:15" ht="20.25" customHeight="1" x14ac:dyDescent="0.25">
      <c r="B60" s="200" t="s">
        <v>366</v>
      </c>
      <c r="C60" s="200"/>
      <c r="D60" s="200"/>
      <c r="E60" s="200"/>
      <c r="F60" s="200"/>
      <c r="G60" s="200"/>
      <c r="H60" s="200"/>
      <c r="I60" s="200"/>
      <c r="L60" s="52"/>
      <c r="M60" s="52"/>
      <c r="N60" s="52"/>
    </row>
    <row r="61" spans="2:15" ht="20.25" customHeight="1" x14ac:dyDescent="0.25">
      <c r="B61" s="200"/>
      <c r="C61" s="200"/>
      <c r="D61" s="200"/>
      <c r="E61" s="200"/>
      <c r="F61" s="200"/>
      <c r="G61" s="200"/>
      <c r="H61" s="200"/>
      <c r="I61" s="200"/>
      <c r="L61" s="52"/>
      <c r="M61" s="52"/>
      <c r="N61" s="52"/>
    </row>
    <row r="62" spans="2:15" ht="20.25" customHeight="1" x14ac:dyDescent="0.25">
      <c r="B62" s="200"/>
      <c r="C62" s="200"/>
      <c r="D62" s="200"/>
      <c r="E62" s="200"/>
      <c r="F62" s="200"/>
      <c r="G62" s="200"/>
      <c r="H62" s="200"/>
      <c r="I62" s="200"/>
      <c r="L62" s="52"/>
      <c r="M62" s="52"/>
      <c r="N62" s="52"/>
    </row>
    <row r="63" spans="2:15" ht="20.25" customHeight="1" x14ac:dyDescent="0.25">
      <c r="B63" s="200"/>
      <c r="C63" s="200"/>
      <c r="D63" s="200"/>
      <c r="E63" s="200"/>
      <c r="F63" s="200"/>
      <c r="G63" s="200"/>
      <c r="H63" s="200"/>
      <c r="I63" s="200"/>
      <c r="L63" s="52"/>
      <c r="M63" s="52"/>
      <c r="N63" s="52"/>
    </row>
    <row r="64" spans="2:15" ht="20.25" customHeight="1" x14ac:dyDescent="0.25">
      <c r="B64" s="200"/>
      <c r="C64" s="200"/>
      <c r="D64" s="200"/>
      <c r="E64" s="200"/>
      <c r="F64" s="200"/>
      <c r="G64" s="200"/>
      <c r="H64" s="200"/>
      <c r="I64" s="200"/>
      <c r="L64" s="52"/>
      <c r="M64" s="52"/>
      <c r="N64" s="52"/>
    </row>
    <row r="65" spans="2:14" ht="20.25" customHeight="1" x14ac:dyDescent="0.25">
      <c r="B65" s="200" t="str">
        <f ca="1">CONCATENATE(Perfil!F3," ","muestra patrones de personalidad de"," ",Informe!L49," (",O49,"). ","Su puntuación de"," ",Informe!M48," ",Informe!M49,","," ",N49,)</f>
        <v>Amy Bridgit Cotrina Alvarado muestra patrones de personalidad de Autopunitivo (Evalúa la tendencia a comportamientos autodestructivos. En esta escala suelen ser sus peores enemigos, actúan de forma lesiva para ellos mismos y, a veces, dan la sensación de que están contentos de sufrir). Su puntuación de TB 115, 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c r="C65" s="200"/>
      <c r="D65" s="200"/>
      <c r="E65" s="200"/>
      <c r="F65" s="200"/>
      <c r="G65" s="200"/>
      <c r="H65" s="200"/>
      <c r="I65" s="200"/>
      <c r="L65" s="52"/>
      <c r="M65" s="52"/>
      <c r="N65" s="52"/>
    </row>
    <row r="66" spans="2:14" ht="20.25" customHeight="1" x14ac:dyDescent="0.25">
      <c r="B66" s="200"/>
      <c r="C66" s="200"/>
      <c r="D66" s="200"/>
      <c r="E66" s="200"/>
      <c r="F66" s="200"/>
      <c r="G66" s="200"/>
      <c r="H66" s="200"/>
      <c r="I66" s="200"/>
      <c r="L66" s="52"/>
      <c r="M66" s="52"/>
      <c r="N66" s="52"/>
    </row>
    <row r="67" spans="2:14" ht="20.25" customHeight="1" x14ac:dyDescent="0.25">
      <c r="B67" s="200"/>
      <c r="C67" s="200"/>
      <c r="D67" s="200"/>
      <c r="E67" s="200"/>
      <c r="F67" s="200"/>
      <c r="G67" s="200"/>
      <c r="H67" s="200"/>
      <c r="I67" s="200"/>
      <c r="L67" s="52"/>
      <c r="M67" s="52"/>
      <c r="N67" s="52"/>
    </row>
    <row r="68" spans="2:14" ht="20.25" customHeight="1" x14ac:dyDescent="0.25">
      <c r="B68" s="200"/>
      <c r="C68" s="200"/>
      <c r="D68" s="200"/>
      <c r="E68" s="200"/>
      <c r="F68" s="200"/>
      <c r="G68" s="200"/>
      <c r="H68" s="200"/>
      <c r="I68" s="200"/>
      <c r="L68" s="52"/>
      <c r="M68" s="52"/>
      <c r="N68" s="52"/>
    </row>
    <row r="69" spans="2:14" ht="20.25" customHeight="1" x14ac:dyDescent="0.25">
      <c r="B69" s="200"/>
      <c r="C69" s="200"/>
      <c r="D69" s="200"/>
      <c r="E69" s="200"/>
      <c r="F69" s="200"/>
      <c r="G69" s="200"/>
      <c r="H69" s="200"/>
      <c r="I69" s="200"/>
      <c r="L69" s="52"/>
      <c r="M69" s="52"/>
      <c r="N69" s="52"/>
    </row>
    <row r="70" spans="2:14" ht="20.25" customHeight="1" x14ac:dyDescent="0.25">
      <c r="B70" s="200"/>
      <c r="C70" s="200"/>
      <c r="D70" s="200"/>
      <c r="E70" s="200"/>
      <c r="F70" s="200"/>
      <c r="G70" s="200"/>
      <c r="H70" s="200"/>
      <c r="I70" s="200"/>
    </row>
    <row r="71" spans="2:14" ht="20.25" customHeight="1" x14ac:dyDescent="0.25">
      <c r="B71" s="200"/>
      <c r="C71" s="200"/>
      <c r="D71" s="200"/>
      <c r="E71" s="200"/>
      <c r="F71" s="200"/>
      <c r="G71" s="200"/>
      <c r="H71" s="200"/>
      <c r="I71" s="200"/>
    </row>
    <row r="72" spans="2:14" ht="20.25" customHeight="1" x14ac:dyDescent="0.25">
      <c r="B72" s="200"/>
      <c r="C72" s="200"/>
      <c r="D72" s="200"/>
      <c r="E72" s="200"/>
      <c r="F72" s="200"/>
      <c r="G72" s="200"/>
      <c r="H72" s="200"/>
      <c r="I72" s="200"/>
    </row>
    <row r="73" spans="2:14" ht="20.25" customHeight="1" x14ac:dyDescent="0.25">
      <c r="B73" s="200"/>
      <c r="C73" s="200"/>
      <c r="D73" s="200"/>
      <c r="E73" s="200"/>
      <c r="F73" s="200"/>
      <c r="G73" s="200"/>
      <c r="H73" s="200"/>
      <c r="I73" s="200"/>
    </row>
    <row r="74" spans="2:14" ht="20.25" customHeight="1" x14ac:dyDescent="0.25">
      <c r="B74" s="200"/>
      <c r="C74" s="200"/>
      <c r="D74" s="200"/>
      <c r="E74" s="200"/>
      <c r="F74" s="200"/>
      <c r="G74" s="200"/>
      <c r="H74" s="200"/>
      <c r="I74" s="200"/>
    </row>
    <row r="75" spans="2:14" ht="20.25" customHeight="1" outlineLevel="1" x14ac:dyDescent="0.25">
      <c r="B75" s="200"/>
      <c r="C75" s="200"/>
      <c r="D75" s="200"/>
      <c r="E75" s="200"/>
      <c r="F75" s="200"/>
      <c r="G75" s="200"/>
      <c r="H75" s="200"/>
      <c r="I75" s="200"/>
    </row>
    <row r="76" spans="2:14" ht="20.25" customHeight="1" outlineLevel="1" x14ac:dyDescent="0.25">
      <c r="B76" s="200"/>
      <c r="C76" s="200"/>
      <c r="D76" s="200"/>
      <c r="E76" s="200"/>
      <c r="F76" s="200"/>
      <c r="G76" s="200"/>
      <c r="H76" s="200"/>
      <c r="I76" s="200"/>
    </row>
    <row r="77" spans="2:14" ht="20.25" customHeight="1" outlineLevel="1" x14ac:dyDescent="0.25">
      <c r="B77" s="200"/>
      <c r="C77" s="200"/>
      <c r="D77" s="200"/>
      <c r="E77" s="200"/>
      <c r="F77" s="200"/>
      <c r="G77" s="200"/>
      <c r="H77" s="200"/>
      <c r="I77" s="200"/>
    </row>
    <row r="78" spans="2:14" ht="20.25" customHeight="1" outlineLevel="1" x14ac:dyDescent="0.25">
      <c r="B78" s="200"/>
      <c r="C78" s="200"/>
      <c r="D78" s="200"/>
      <c r="E78" s="200"/>
      <c r="F78" s="200"/>
      <c r="G78" s="200"/>
      <c r="H78" s="200"/>
      <c r="I78" s="200"/>
    </row>
    <row r="79" spans="2:14" ht="20.25" customHeight="1" outlineLevel="1" x14ac:dyDescent="0.25">
      <c r="B79" s="200"/>
      <c r="C79" s="200"/>
      <c r="D79" s="200"/>
      <c r="E79" s="200"/>
      <c r="F79" s="200"/>
      <c r="G79" s="200"/>
      <c r="H79" s="200"/>
      <c r="I79" s="200"/>
    </row>
    <row r="80" spans="2:14" ht="20.25" customHeight="1" outlineLevel="1" x14ac:dyDescent="0.25">
      <c r="B80" s="200"/>
      <c r="C80" s="200"/>
      <c r="D80" s="200"/>
      <c r="E80" s="200"/>
      <c r="F80" s="200"/>
      <c r="G80" s="200"/>
      <c r="H80" s="200"/>
      <c r="I80" s="200"/>
    </row>
    <row r="81" spans="2:15" ht="20.25" customHeight="1" outlineLevel="1" x14ac:dyDescent="0.25">
      <c r="B81" s="200"/>
      <c r="C81" s="200"/>
      <c r="D81" s="200"/>
      <c r="E81" s="200"/>
      <c r="F81" s="200"/>
      <c r="G81" s="200"/>
      <c r="H81" s="200"/>
      <c r="I81" s="200"/>
    </row>
    <row r="82" spans="2:15" ht="20.25" customHeight="1" outlineLevel="1" x14ac:dyDescent="0.25">
      <c r="B82" s="200"/>
      <c r="C82" s="200"/>
      <c r="D82" s="200"/>
      <c r="E82" s="200"/>
      <c r="F82" s="200"/>
      <c r="G82" s="200"/>
      <c r="H82" s="200"/>
      <c r="I82" s="200"/>
    </row>
    <row r="83" spans="2:15" ht="20.25" customHeight="1" x14ac:dyDescent="0.25">
      <c r="B83" s="200" t="str">
        <f ca="1">CONCATENATE("Además de este patrón de personalidad"," ",L49,", ",Perfil!W9," ","también presenta características de los siguientes prototipos, que destacan en su personalidad:")</f>
        <v>Además de este patrón de personalidad Autopunitivo,  también presenta características de los siguientes prototipos, que destacan en su personalidad:</v>
      </c>
      <c r="C83" s="200"/>
      <c r="D83" s="200"/>
      <c r="E83" s="200"/>
      <c r="F83" s="200"/>
      <c r="G83" s="200"/>
      <c r="H83" s="200"/>
      <c r="I83" s="200"/>
      <c r="K83" s="58" t="s">
        <v>205</v>
      </c>
      <c r="L83" s="57" t="s">
        <v>196</v>
      </c>
      <c r="M83" s="58" t="s">
        <v>205</v>
      </c>
      <c r="N83" s="58" t="s">
        <v>258</v>
      </c>
      <c r="O83" s="59" t="s">
        <v>438</v>
      </c>
    </row>
    <row r="84" spans="2:15" ht="20.25" customHeight="1" x14ac:dyDescent="0.25">
      <c r="B84" s="200"/>
      <c r="C84" s="200"/>
      <c r="D84" s="200"/>
      <c r="E84" s="200"/>
      <c r="F84" s="200"/>
      <c r="G84" s="200"/>
      <c r="H84" s="200"/>
      <c r="I84" s="200"/>
      <c r="K84" s="52">
        <f t="shared" ref="K84:K89" ca="1" si="5">M84+(COUNTA($M$84:$M$90)-ROW()+2)*0.001</f>
        <v>109.925</v>
      </c>
      <c r="L84" s="53" t="s">
        <v>381</v>
      </c>
      <c r="M84" s="54">
        <f ca="1">+Perfil!L40</f>
        <v>110</v>
      </c>
      <c r="N84" s="53" t="str">
        <f ca="1">+Perfil!S40</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O84" s="52" t="s">
        <v>380</v>
      </c>
    </row>
    <row r="85" spans="2:15" ht="20.25" customHeight="1" x14ac:dyDescent="0.25">
      <c r="B85" s="200" t="str">
        <f ca="1">CONCATENATE(L50," (",O50,"). ",Perfil!F3," ","obtuvo una puntuación de"," ",M48," ",M50,", ",N50)</f>
        <v>Pesimista (Evalúa la tendencia a sentirse abatidos y desanimados, a veces desde la infancia. Tienen una perspectiva vital pesimista, ven el futuro como algo amenazador y triste). Amy Bridgit Cotrina Alvarado obtuvo una puntuación de TB 113, 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c r="C85" s="200"/>
      <c r="D85" s="200"/>
      <c r="E85" s="200"/>
      <c r="F85" s="200"/>
      <c r="G85" s="200"/>
      <c r="H85" s="200"/>
      <c r="I85" s="200"/>
      <c r="K85" s="52">
        <f t="shared" ca="1" si="5"/>
        <v>49.923999999999999</v>
      </c>
      <c r="L85" s="53" t="s">
        <v>382</v>
      </c>
      <c r="M85" s="54">
        <f ca="1">+Perfil!L41</f>
        <v>50</v>
      </c>
      <c r="N85" s="53" t="str">
        <f ca="1">+Perfil!S41</f>
        <v>la puntuación obtenida se encuentra dentro de un rango en el que no se identifican semejanzas con adolescentes que presentan un patrón inadecuado de consumo de alcohol o drogas. No se observan indicadores que reflejen un deterioro significativo en su rendimiento o comportamiento asociado al uso de sustancias, ni evidencia de conductas orientadas a la obtención de estas.</v>
      </c>
      <c r="O85" s="52" t="s">
        <v>389</v>
      </c>
    </row>
    <row r="86" spans="2:15" ht="20.25" customHeight="1" x14ac:dyDescent="0.25">
      <c r="B86" s="200"/>
      <c r="C86" s="200"/>
      <c r="D86" s="200"/>
      <c r="E86" s="200"/>
      <c r="F86" s="200"/>
      <c r="G86" s="200"/>
      <c r="H86" s="200"/>
      <c r="I86" s="200"/>
      <c r="K86" s="52">
        <f t="shared" ca="1" si="5"/>
        <v>5.923</v>
      </c>
      <c r="L86" s="53" t="s">
        <v>383</v>
      </c>
      <c r="M86" s="54">
        <f ca="1">+Perfil!L42</f>
        <v>6</v>
      </c>
      <c r="N86" s="53" t="str">
        <f ca="1">+Perfil!S42</f>
        <v>la puntuación obtenida se encuentra dentro de un rango en el que no se identifican semejanzas con adolescentes que presentan inclinaciones hacia conductas delictivas. No se observan indicadores que reflejen comportamientos asociados a la violación de normas sociales, transgresión de derechos ajenos o participación en actividades antisociales.</v>
      </c>
      <c r="O86" s="52" t="s">
        <v>390</v>
      </c>
    </row>
    <row r="87" spans="2:15" ht="20.25" customHeight="1" x14ac:dyDescent="0.25">
      <c r="B87" s="200"/>
      <c r="C87" s="200"/>
      <c r="D87" s="200"/>
      <c r="E87" s="200"/>
      <c r="F87" s="200"/>
      <c r="G87" s="200"/>
      <c r="H87" s="200"/>
      <c r="I87" s="200"/>
      <c r="K87" s="52">
        <f t="shared" ca="1" si="5"/>
        <v>69.921999999999997</v>
      </c>
      <c r="L87" s="53" t="s">
        <v>384</v>
      </c>
      <c r="M87" s="54">
        <f ca="1">+Perfil!L43</f>
        <v>70</v>
      </c>
      <c r="N87" s="53" t="str">
        <f ca="1">+Perfil!S43</f>
        <v>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c r="O87" s="52" t="s">
        <v>391</v>
      </c>
    </row>
    <row r="88" spans="2:15" ht="20.25" customHeight="1" x14ac:dyDescent="0.25">
      <c r="B88" s="200"/>
      <c r="C88" s="200"/>
      <c r="D88" s="200"/>
      <c r="E88" s="200"/>
      <c r="F88" s="200"/>
      <c r="G88" s="200"/>
      <c r="H88" s="200"/>
      <c r="I88" s="200"/>
      <c r="K88" s="52">
        <f t="shared" ca="1" si="5"/>
        <v>95.921000000000006</v>
      </c>
      <c r="L88" s="53" t="s">
        <v>385</v>
      </c>
      <c r="M88" s="54">
        <f ca="1">+Perfil!L44</f>
        <v>96</v>
      </c>
      <c r="N88" s="53" t="str">
        <f ca="1">+Perfil!S44</f>
        <v>se observa una alta probabilidad de que manifieste un patrón característico de ansiedad significativa. La sensación de aprensión y desasosiego es constante, con una percepción continua de que algo negativo puede ocurrir. Puede presentar un estado de inquietud permanente, acompañado de una expectativa de angustia sin una causa clara. La ansiedad se encuentra presente en diversos ámbitos y afecta su funcionamiento diario, generando un malestar emocional sostenido.</v>
      </c>
      <c r="O88" s="52" t="s">
        <v>392</v>
      </c>
    </row>
    <row r="89" spans="2:15" ht="20.25" customHeight="1" x14ac:dyDescent="0.25">
      <c r="B89" s="200"/>
      <c r="C89" s="200"/>
      <c r="D89" s="200"/>
      <c r="E89" s="200"/>
      <c r="F89" s="200"/>
      <c r="G89" s="200"/>
      <c r="H89" s="200"/>
      <c r="I89" s="200"/>
      <c r="K89" s="52">
        <f t="shared" ca="1" si="5"/>
        <v>104.92</v>
      </c>
      <c r="L89" s="53" t="s">
        <v>386</v>
      </c>
      <c r="M89" s="54">
        <f ca="1">+Perfil!L45</f>
        <v>105</v>
      </c>
      <c r="N89" s="53" t="str">
        <f ca="1">+Perfil!S45</f>
        <v>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c r="O89" s="52" t="s">
        <v>393</v>
      </c>
    </row>
    <row r="90" spans="2:15" ht="20.25" customHeight="1" x14ac:dyDescent="0.25">
      <c r="B90" s="200"/>
      <c r="C90" s="200"/>
      <c r="D90" s="200"/>
      <c r="E90" s="200"/>
      <c r="F90" s="200"/>
      <c r="G90" s="200"/>
      <c r="H90" s="200"/>
      <c r="I90" s="200"/>
      <c r="K90" s="52">
        <f ca="1">M90+(COUNTA($M$84:$M$90)-ROW()+2)*0.001</f>
        <v>107.919</v>
      </c>
      <c r="L90" s="53" t="s">
        <v>387</v>
      </c>
      <c r="M90" s="54">
        <f ca="1">+Perfil!L46</f>
        <v>108</v>
      </c>
      <c r="N90" s="53" t="str">
        <f ca="1">+Perfil!S46</f>
        <v>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c r="O90" s="52" t="s">
        <v>394</v>
      </c>
    </row>
    <row r="91" spans="2:15" ht="20.25" customHeight="1" outlineLevel="1" x14ac:dyDescent="0.25">
      <c r="B91" s="200"/>
      <c r="C91" s="200"/>
      <c r="D91" s="200"/>
      <c r="E91" s="200"/>
      <c r="F91" s="200"/>
      <c r="G91" s="200"/>
      <c r="H91" s="200"/>
      <c r="I91" s="200"/>
      <c r="N91" s="53"/>
    </row>
    <row r="92" spans="2:15" ht="20.25" customHeight="1" outlineLevel="1" x14ac:dyDescent="0.25">
      <c r="B92" s="200"/>
      <c r="C92" s="200"/>
      <c r="D92" s="200"/>
      <c r="E92" s="200"/>
      <c r="F92" s="200"/>
      <c r="G92" s="200"/>
      <c r="H92" s="200"/>
      <c r="I92" s="200"/>
      <c r="N92" s="53"/>
    </row>
    <row r="93" spans="2:15" ht="20.25" customHeight="1" outlineLevel="1" x14ac:dyDescent="0.25">
      <c r="B93" s="200"/>
      <c r="C93" s="200"/>
      <c r="D93" s="200"/>
      <c r="E93" s="200"/>
      <c r="F93" s="200"/>
      <c r="G93" s="200"/>
      <c r="H93" s="200"/>
      <c r="I93" s="200"/>
      <c r="N93" s="53"/>
    </row>
    <row r="94" spans="2:15" ht="20.25" customHeight="1" outlineLevel="1" x14ac:dyDescent="0.25">
      <c r="B94" s="200"/>
      <c r="C94" s="200"/>
      <c r="D94" s="200"/>
      <c r="E94" s="200"/>
      <c r="F94" s="200"/>
      <c r="G94" s="200"/>
      <c r="H94" s="200"/>
      <c r="I94" s="200"/>
      <c r="N94" s="53"/>
    </row>
    <row r="95" spans="2:15" ht="20.25" customHeight="1" outlineLevel="1" x14ac:dyDescent="0.25">
      <c r="B95" s="200"/>
      <c r="C95" s="200"/>
      <c r="D95" s="200"/>
      <c r="E95" s="200"/>
      <c r="F95" s="200"/>
      <c r="G95" s="200"/>
      <c r="H95" s="200"/>
      <c r="I95" s="200"/>
      <c r="N95" s="53"/>
    </row>
    <row r="96" spans="2:15" ht="20.25" customHeight="1" outlineLevel="1" x14ac:dyDescent="0.25">
      <c r="B96" s="200"/>
      <c r="C96" s="200"/>
      <c r="D96" s="200"/>
      <c r="E96" s="200"/>
      <c r="F96" s="200"/>
      <c r="G96" s="200"/>
      <c r="H96" s="200"/>
      <c r="I96" s="200"/>
      <c r="N96" s="53"/>
    </row>
    <row r="97" spans="2:14" ht="20.25" customHeight="1" outlineLevel="1" x14ac:dyDescent="0.25">
      <c r="B97" s="200"/>
      <c r="C97" s="200"/>
      <c r="D97" s="200"/>
      <c r="E97" s="200"/>
      <c r="F97" s="200"/>
      <c r="G97" s="200"/>
      <c r="H97" s="200"/>
      <c r="I97" s="200"/>
      <c r="N97" s="53"/>
    </row>
    <row r="98" spans="2:14" ht="20.25" customHeight="1" outlineLevel="1" x14ac:dyDescent="0.25">
      <c r="B98" s="200"/>
      <c r="C98" s="200"/>
      <c r="D98" s="200"/>
      <c r="E98" s="200"/>
      <c r="F98" s="200"/>
      <c r="G98" s="200"/>
      <c r="H98" s="200"/>
      <c r="I98" s="200"/>
      <c r="N98" s="53"/>
    </row>
    <row r="99" spans="2:14" ht="20.25" customHeight="1" outlineLevel="1" x14ac:dyDescent="0.25">
      <c r="B99" s="200"/>
      <c r="C99" s="200"/>
      <c r="D99" s="200"/>
      <c r="E99" s="200"/>
      <c r="F99" s="200"/>
      <c r="G99" s="200"/>
      <c r="H99" s="200"/>
      <c r="I99" s="200"/>
      <c r="L99" s="52"/>
      <c r="M99" s="52"/>
      <c r="N99" s="52"/>
    </row>
    <row r="100" spans="2:14" ht="20.25" customHeight="1" outlineLevel="1" x14ac:dyDescent="0.25">
      <c r="B100" s="200"/>
      <c r="C100" s="200"/>
      <c r="D100" s="200"/>
      <c r="E100" s="200"/>
      <c r="F100" s="200"/>
      <c r="G100" s="200"/>
      <c r="H100" s="200"/>
      <c r="I100" s="200"/>
      <c r="L100" s="52"/>
      <c r="M100" s="52"/>
      <c r="N100" s="52"/>
    </row>
    <row r="101" spans="2:14" ht="20.25" customHeight="1" outlineLevel="1" x14ac:dyDescent="0.25">
      <c r="B101" s="200"/>
      <c r="C101" s="200"/>
      <c r="D101" s="200"/>
      <c r="E101" s="200"/>
      <c r="F101" s="200"/>
      <c r="G101" s="200"/>
      <c r="H101" s="200"/>
      <c r="I101" s="200"/>
      <c r="L101" s="52"/>
      <c r="M101" s="52"/>
      <c r="N101" s="52"/>
    </row>
    <row r="102" spans="2:14" ht="20.25" customHeight="1" outlineLevel="1" x14ac:dyDescent="0.25">
      <c r="B102" s="200"/>
      <c r="C102" s="200"/>
      <c r="D102" s="200"/>
      <c r="E102" s="200"/>
      <c r="F102" s="200"/>
      <c r="G102" s="200"/>
      <c r="H102" s="200"/>
      <c r="I102" s="200"/>
    </row>
    <row r="103" spans="2:14" ht="20.25" customHeight="1" x14ac:dyDescent="0.25">
      <c r="B103" s="200" t="str">
        <f ca="1">CONCATENATE(L51," (",O51,"). ",Perfil!F3," ","obtuvo una puntuación de"," ",M48," ",M51,", ",N51)</f>
        <v>Inhibido (Mide la tendencia a ser bastante vergonzosos o a sentirse incómodos en las relaciones con los otros. A estas personas les gustaría la proximidad de los otros pero han aprendido que es mejor mantener su propia distancia y no confiar en la amistad de otros). Amy Bridgit Cotrina Alvarado obtuvo una puntuación de TB 110, 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c r="C103" s="200"/>
      <c r="D103" s="200"/>
      <c r="E103" s="200"/>
      <c r="F103" s="200"/>
      <c r="G103" s="200"/>
      <c r="H103" s="200"/>
      <c r="I103" s="200"/>
      <c r="N103" s="53"/>
    </row>
    <row r="104" spans="2:14" ht="20.25" customHeight="1" x14ac:dyDescent="0.25">
      <c r="B104" s="200"/>
      <c r="C104" s="200"/>
      <c r="D104" s="200"/>
      <c r="E104" s="200"/>
      <c r="F104" s="200"/>
      <c r="G104" s="200"/>
      <c r="H104" s="200"/>
      <c r="I104" s="200"/>
    </row>
    <row r="105" spans="2:14" ht="20.25" customHeight="1" x14ac:dyDescent="0.25">
      <c r="B105" s="200"/>
      <c r="C105" s="200"/>
      <c r="D105" s="200"/>
      <c r="E105" s="200"/>
      <c r="F105" s="200"/>
      <c r="G105" s="200"/>
      <c r="H105" s="200"/>
      <c r="I105" s="200"/>
    </row>
    <row r="106" spans="2:14" ht="20.25" customHeight="1" x14ac:dyDescent="0.25">
      <c r="B106" s="200"/>
      <c r="C106" s="200"/>
      <c r="D106" s="200"/>
      <c r="E106" s="200"/>
      <c r="F106" s="200"/>
      <c r="G106" s="200"/>
      <c r="H106" s="200"/>
      <c r="I106" s="200"/>
      <c r="J106" s="66"/>
    </row>
    <row r="107" spans="2:14" ht="20.25" customHeight="1" x14ac:dyDescent="0.25">
      <c r="B107" s="200"/>
      <c r="C107" s="200"/>
      <c r="D107" s="200"/>
      <c r="E107" s="200"/>
      <c r="F107" s="200"/>
      <c r="G107" s="200"/>
      <c r="H107" s="200"/>
      <c r="I107" s="200"/>
      <c r="J107" s="66"/>
    </row>
    <row r="108" spans="2:14" ht="20.25" customHeight="1" outlineLevel="1" x14ac:dyDescent="0.25">
      <c r="B108" s="200"/>
      <c r="C108" s="200"/>
      <c r="D108" s="200"/>
      <c r="E108" s="200"/>
      <c r="F108" s="200"/>
      <c r="G108" s="200"/>
      <c r="H108" s="200"/>
      <c r="I108" s="200"/>
      <c r="J108" s="66"/>
    </row>
    <row r="109" spans="2:14" ht="20.25" customHeight="1" outlineLevel="1" x14ac:dyDescent="0.25">
      <c r="B109" s="200"/>
      <c r="C109" s="200"/>
      <c r="D109" s="200"/>
      <c r="E109" s="200"/>
      <c r="F109" s="200"/>
      <c r="G109" s="200"/>
      <c r="H109" s="200"/>
      <c r="I109" s="200"/>
      <c r="J109" s="66"/>
    </row>
    <row r="110" spans="2:14" ht="20.25" customHeight="1" outlineLevel="1" x14ac:dyDescent="0.25">
      <c r="B110" s="200"/>
      <c r="C110" s="200"/>
      <c r="D110" s="200"/>
      <c r="E110" s="200"/>
      <c r="F110" s="200"/>
      <c r="G110" s="200"/>
      <c r="H110" s="200"/>
      <c r="I110" s="200"/>
      <c r="J110" s="66"/>
    </row>
    <row r="111" spans="2:14" ht="20.25" customHeight="1" outlineLevel="1" x14ac:dyDescent="0.25">
      <c r="B111" s="200"/>
      <c r="C111" s="200"/>
      <c r="D111" s="200"/>
      <c r="E111" s="200"/>
      <c r="F111" s="200"/>
      <c r="G111" s="200"/>
      <c r="H111" s="200"/>
      <c r="I111" s="200"/>
      <c r="J111" s="66"/>
    </row>
    <row r="112" spans="2:14" ht="20.25" customHeight="1" outlineLevel="1" x14ac:dyDescent="0.25">
      <c r="B112" s="200"/>
      <c r="C112" s="200"/>
      <c r="D112" s="200"/>
      <c r="E112" s="200"/>
      <c r="F112" s="200"/>
      <c r="G112" s="200"/>
      <c r="H112" s="200"/>
      <c r="I112" s="200"/>
      <c r="J112" s="66"/>
    </row>
    <row r="113" spans="2:15" ht="20.25" customHeight="1" outlineLevel="1" x14ac:dyDescent="0.25">
      <c r="B113" s="200"/>
      <c r="C113" s="200"/>
      <c r="D113" s="200"/>
      <c r="E113" s="200"/>
      <c r="F113" s="200"/>
      <c r="G113" s="200"/>
      <c r="H113" s="200"/>
      <c r="I113" s="200"/>
      <c r="J113" s="66"/>
    </row>
    <row r="114" spans="2:15" ht="20.25" customHeight="1" outlineLevel="1" x14ac:dyDescent="0.25">
      <c r="B114" s="200"/>
      <c r="C114" s="200"/>
      <c r="D114" s="200"/>
      <c r="E114" s="200"/>
      <c r="F114" s="200"/>
      <c r="G114" s="200"/>
      <c r="H114" s="200"/>
      <c r="I114" s="200"/>
      <c r="J114" s="66"/>
    </row>
    <row r="115" spans="2:15" ht="20.25" customHeight="1" outlineLevel="1" x14ac:dyDescent="0.25">
      <c r="B115" s="200"/>
      <c r="C115" s="200"/>
      <c r="D115" s="200"/>
      <c r="E115" s="200"/>
      <c r="F115" s="200"/>
      <c r="G115" s="200"/>
      <c r="H115" s="200"/>
      <c r="I115" s="200"/>
      <c r="J115" s="66"/>
    </row>
    <row r="116" spans="2:15" ht="20.25" customHeight="1" outlineLevel="1" x14ac:dyDescent="0.25">
      <c r="B116" s="200"/>
      <c r="C116" s="200"/>
      <c r="D116" s="200"/>
      <c r="E116" s="200"/>
      <c r="F116" s="200"/>
      <c r="G116" s="200"/>
      <c r="H116" s="200"/>
      <c r="I116" s="200"/>
      <c r="J116" s="66"/>
    </row>
    <row r="117" spans="2:15" ht="20.25" customHeight="1" outlineLevel="1" x14ac:dyDescent="0.25">
      <c r="B117" s="200"/>
      <c r="C117" s="200"/>
      <c r="D117" s="200"/>
      <c r="E117" s="200"/>
      <c r="F117" s="200"/>
      <c r="G117" s="200"/>
      <c r="H117" s="200"/>
      <c r="I117" s="200"/>
      <c r="J117" s="66"/>
    </row>
    <row r="118" spans="2:15" ht="20.25" customHeight="1" outlineLevel="1" x14ac:dyDescent="0.25">
      <c r="B118" s="200"/>
      <c r="C118" s="200"/>
      <c r="D118" s="200"/>
      <c r="E118" s="200"/>
      <c r="F118" s="200"/>
      <c r="G118" s="200"/>
      <c r="H118" s="200"/>
      <c r="I118" s="200"/>
    </row>
    <row r="119" spans="2:15" ht="20.25" customHeight="1" x14ac:dyDescent="0.25">
      <c r="B119" s="200" t="str">
        <f ca="1">CONCATENATE(L52," (",O52,"). ",Perfil!F3," ","obtuvo una puntuación de"," ",M48," ",M52,", ",N52)</f>
        <v>Oposicionista (Evalúa la tendencia a comportamientos descontentos, hoscos y pasivo-agresivos). Amy Bridgit Cotrina Alvarado obtuvo una puntuación de TB 99, 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c r="C119" s="200"/>
      <c r="D119" s="200"/>
      <c r="E119" s="200"/>
      <c r="F119" s="200"/>
      <c r="G119" s="200"/>
      <c r="H119" s="200"/>
      <c r="I119" s="200"/>
    </row>
    <row r="120" spans="2:15" ht="20.25" customHeight="1" x14ac:dyDescent="0.25">
      <c r="B120" s="200"/>
      <c r="C120" s="200"/>
      <c r="D120" s="200"/>
      <c r="E120" s="200"/>
      <c r="F120" s="200"/>
      <c r="G120" s="200"/>
      <c r="H120" s="200"/>
      <c r="I120" s="200"/>
      <c r="L120" s="57" t="s">
        <v>196</v>
      </c>
      <c r="M120" s="54" t="s">
        <v>205</v>
      </c>
      <c r="N120" s="58" t="s">
        <v>258</v>
      </c>
      <c r="O120" s="59" t="s">
        <v>438</v>
      </c>
    </row>
    <row r="121" spans="2:15" ht="20.25" customHeight="1" x14ac:dyDescent="0.25">
      <c r="B121" s="200"/>
      <c r="C121" s="200"/>
      <c r="D121" s="200"/>
      <c r="E121" s="200"/>
      <c r="F121" s="200"/>
      <c r="G121" s="200"/>
      <c r="H121" s="200"/>
      <c r="I121" s="200"/>
      <c r="K121" s="52">
        <v>1</v>
      </c>
      <c r="L121" s="53" t="str">
        <f ca="1">VLOOKUP(LARGE($K$84:$K$90,K221),$K$84:$L$90,2,0)</f>
        <v>Trastornos de la alimentación</v>
      </c>
      <c r="M121" s="54">
        <f ca="1">ROUND(LARGE($K$84:$K$90,K121),0)</f>
        <v>110</v>
      </c>
      <c r="N121" s="53" t="str">
        <f ca="1">VLOOKUP(L121,$L$84:$N$90,3,0)</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O121" s="52" t="str">
        <f ca="1">VLOOKUP(L121,$L$84:$O$90,4,0)</f>
        <v>Evalúa la tendencia a la anorexia o la bulimia nerviosas. Identifica patrones de alimentación problemáticos, preocupación excesiva por el peso y temor intenso a volverse obeso</v>
      </c>
    </row>
    <row r="122" spans="2:15" ht="20.25" customHeight="1" x14ac:dyDescent="0.25">
      <c r="B122" s="200"/>
      <c r="C122" s="200"/>
      <c r="D122" s="200"/>
      <c r="E122" s="200"/>
      <c r="F122" s="200"/>
      <c r="G122" s="200"/>
      <c r="H122" s="200"/>
      <c r="I122" s="200"/>
      <c r="K122" s="52">
        <v>2</v>
      </c>
      <c r="L122" s="53" t="str">
        <f ca="1">VLOOKUP(LARGE($K$84:$K$90,K222),$K$84:$L$90,2,0)</f>
        <v>Tendencia al suicidio</v>
      </c>
      <c r="M122" s="54">
        <f ca="1">ROUND(LARGE($K$84:$K$90,K122),0)</f>
        <v>108</v>
      </c>
      <c r="N122" s="53" t="str">
        <f ca="1">VLOOKUP(L122,$L$84:$N$90,3,0)</f>
        <v>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c r="O122" s="52" t="str">
        <f ca="1">VLOOKUP(L122,$L$84:$O$90,4,0)</f>
        <v>Evalúa la presencia de ideación y planes suicidas. Mide sentimientos de falta de valor, ausencia de objetivos y la creencia de que los demás estarían mejor sin el adolescente</v>
      </c>
    </row>
    <row r="123" spans="2:15" ht="20.25" customHeight="1" x14ac:dyDescent="0.25">
      <c r="B123" s="200"/>
      <c r="C123" s="200"/>
      <c r="D123" s="200"/>
      <c r="E123" s="200"/>
      <c r="F123" s="200"/>
      <c r="G123" s="200"/>
      <c r="H123" s="200"/>
      <c r="I123" s="200"/>
      <c r="K123" s="52">
        <v>3</v>
      </c>
      <c r="L123" s="53" t="str">
        <f ca="1">VLOOKUP(LARGE($K$84:$K$90,K223),$K$84:$L$90,2,0)</f>
        <v>Afecto depresivo</v>
      </c>
      <c r="M123" s="54">
        <f ca="1">ROUND(LARGE($K$84:$K$90,K123),0)</f>
        <v>105</v>
      </c>
      <c r="N123" s="53" t="str">
        <f ca="1">VLOOKUP(L123,$L$84:$N$90,3,0)</f>
        <v>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c r="O123" s="52" t="str">
        <f ca="1">VLOOKUP(L123,$L$84:$O$90,4,0)</f>
        <v>Identifica síntomas de depresión como disminución de la actividad, sentimientos de culpa, fatiga, desesperanza, aislamiento social, pérdida de confianza y disminución de los sentimientos de adecuación y del propio atractivo</v>
      </c>
    </row>
    <row r="124" spans="2:15" ht="20.25" customHeight="1" x14ac:dyDescent="0.25">
      <c r="B124" s="200"/>
      <c r="C124" s="200"/>
      <c r="D124" s="200"/>
      <c r="E124" s="200"/>
      <c r="F124" s="200"/>
      <c r="G124" s="200"/>
      <c r="H124" s="200"/>
      <c r="I124" s="200"/>
      <c r="N124" s="53"/>
    </row>
    <row r="125" spans="2:15" ht="20.25" customHeight="1" outlineLevel="1" x14ac:dyDescent="0.25">
      <c r="B125" s="200"/>
      <c r="C125" s="200"/>
      <c r="D125" s="200"/>
      <c r="E125" s="200"/>
      <c r="F125" s="200"/>
      <c r="G125" s="200"/>
      <c r="H125" s="200"/>
      <c r="I125" s="200"/>
      <c r="N125" s="53"/>
    </row>
    <row r="126" spans="2:15" ht="20.25" customHeight="1" outlineLevel="1" x14ac:dyDescent="0.25">
      <c r="B126" s="200"/>
      <c r="C126" s="200"/>
      <c r="D126" s="200"/>
      <c r="E126" s="200"/>
      <c r="F126" s="200"/>
      <c r="G126" s="200"/>
      <c r="H126" s="200"/>
      <c r="I126" s="200"/>
      <c r="N126" s="53"/>
    </row>
    <row r="127" spans="2:15" ht="20.25" customHeight="1" outlineLevel="1" x14ac:dyDescent="0.25">
      <c r="B127" s="200"/>
      <c r="C127" s="200"/>
      <c r="D127" s="200"/>
      <c r="E127" s="200"/>
      <c r="F127" s="200"/>
      <c r="G127" s="200"/>
      <c r="H127" s="200"/>
      <c r="I127" s="200"/>
      <c r="N127" s="53"/>
    </row>
    <row r="128" spans="2:15" ht="20.25" customHeight="1" outlineLevel="1" x14ac:dyDescent="0.25">
      <c r="B128" s="200"/>
      <c r="C128" s="200"/>
      <c r="D128" s="200"/>
      <c r="E128" s="200"/>
      <c r="F128" s="200"/>
      <c r="G128" s="200"/>
      <c r="H128" s="200"/>
      <c r="I128" s="200"/>
      <c r="N128" s="53"/>
    </row>
    <row r="129" spans="2:14" ht="20.25" customHeight="1" outlineLevel="1" x14ac:dyDescent="0.25">
      <c r="B129" s="200"/>
      <c r="C129" s="200"/>
      <c r="D129" s="200"/>
      <c r="E129" s="200"/>
      <c r="F129" s="200"/>
      <c r="G129" s="200"/>
      <c r="H129" s="200"/>
      <c r="I129" s="200"/>
      <c r="N129" s="53"/>
    </row>
    <row r="130" spans="2:14" ht="20.25" customHeight="1" outlineLevel="1" x14ac:dyDescent="0.25">
      <c r="B130" s="200"/>
      <c r="C130" s="200"/>
      <c r="D130" s="200"/>
      <c r="E130" s="200"/>
      <c r="F130" s="200"/>
      <c r="G130" s="200"/>
      <c r="H130" s="200"/>
      <c r="I130" s="200"/>
      <c r="N130" s="53"/>
    </row>
    <row r="131" spans="2:14" ht="20.25" customHeight="1" outlineLevel="1" x14ac:dyDescent="0.25">
      <c r="B131" s="200"/>
      <c r="C131" s="200"/>
      <c r="D131" s="200"/>
      <c r="E131" s="200"/>
      <c r="F131" s="200"/>
      <c r="G131" s="200"/>
      <c r="H131" s="200"/>
      <c r="I131" s="200"/>
      <c r="N131" s="53"/>
    </row>
    <row r="132" spans="2:14" ht="20.25" customHeight="1" outlineLevel="1" x14ac:dyDescent="0.25">
      <c r="B132" s="200"/>
      <c r="C132" s="200"/>
      <c r="D132" s="200"/>
      <c r="E132" s="200"/>
      <c r="F132" s="200"/>
      <c r="G132" s="200"/>
      <c r="H132" s="200"/>
      <c r="I132" s="200"/>
      <c r="N132" s="53"/>
    </row>
    <row r="133" spans="2:14" ht="20.25" customHeight="1" outlineLevel="1" x14ac:dyDescent="0.25">
      <c r="B133" s="200"/>
      <c r="C133" s="200"/>
      <c r="D133" s="200"/>
      <c r="E133" s="200"/>
      <c r="F133" s="200"/>
      <c r="G133" s="200"/>
      <c r="H133" s="200"/>
      <c r="I133" s="200"/>
      <c r="N133" s="53"/>
    </row>
    <row r="134" spans="2:14" ht="20.25" customHeight="1" outlineLevel="1" x14ac:dyDescent="0.25">
      <c r="B134" s="200"/>
      <c r="C134" s="200"/>
      <c r="D134" s="200"/>
      <c r="E134" s="200"/>
      <c r="F134" s="200"/>
      <c r="G134" s="200"/>
      <c r="H134" s="200"/>
      <c r="I134" s="200"/>
      <c r="N134" s="53"/>
    </row>
    <row r="135" spans="2:14" ht="20.25" customHeight="1" outlineLevel="1" x14ac:dyDescent="0.25">
      <c r="B135" s="200"/>
      <c r="C135" s="200"/>
      <c r="D135" s="200"/>
      <c r="E135" s="200"/>
      <c r="F135" s="200"/>
      <c r="G135" s="200"/>
      <c r="H135" s="200"/>
      <c r="I135" s="200"/>
      <c r="N135" s="53"/>
    </row>
    <row r="136" spans="2:14" ht="20.25" customHeight="1" outlineLevel="1" x14ac:dyDescent="0.25">
      <c r="B136" s="200"/>
      <c r="C136" s="200"/>
      <c r="D136" s="200"/>
      <c r="E136" s="200"/>
      <c r="F136" s="200"/>
      <c r="G136" s="200"/>
      <c r="H136" s="200"/>
      <c r="I136" s="200"/>
      <c r="N136" s="53"/>
    </row>
    <row r="137" spans="2:14" ht="20.25" customHeight="1" outlineLevel="1" x14ac:dyDescent="0.25">
      <c r="B137" s="200"/>
      <c r="C137" s="200"/>
      <c r="D137" s="200"/>
      <c r="E137" s="200"/>
      <c r="F137" s="200"/>
      <c r="G137" s="200"/>
      <c r="H137" s="200"/>
      <c r="I137" s="200"/>
      <c r="L137" s="52"/>
      <c r="M137" s="52"/>
      <c r="N137" s="52"/>
    </row>
    <row r="138" spans="2:14" ht="20.25" customHeight="1" outlineLevel="1" x14ac:dyDescent="0.25">
      <c r="B138" s="60"/>
      <c r="C138" s="60"/>
      <c r="D138" s="60"/>
      <c r="E138" s="60"/>
      <c r="F138" s="60"/>
      <c r="G138" s="60"/>
      <c r="H138" s="60"/>
      <c r="I138" s="60"/>
      <c r="L138" s="52"/>
      <c r="M138" s="52"/>
      <c r="N138" s="52"/>
    </row>
    <row r="139" spans="2:14" ht="20.25" customHeight="1" x14ac:dyDescent="0.25">
      <c r="B139" s="65" t="s">
        <v>379</v>
      </c>
      <c r="C139" s="60"/>
      <c r="D139" s="60"/>
      <c r="E139" s="60"/>
      <c r="F139" s="60"/>
      <c r="G139" s="60"/>
      <c r="H139" s="60"/>
      <c r="I139" s="60"/>
      <c r="L139" s="52"/>
      <c r="M139" s="52"/>
      <c r="N139" s="52"/>
    </row>
    <row r="140" spans="2:14" ht="20.25" customHeight="1" x14ac:dyDescent="0.25">
      <c r="B140" s="200" t="str">
        <f>CONCATENATE("Los síndromes clínicos son un conjunto de comportamientos, pensamientos y sentimientos agrupados que indican un estado psicológico problemático activo. A"&amp;" diferencia de los prototipos de personalidad, que son patrones de personalidad más duraderos, los síndromes clínicos tienden a ser más estados relativamente diferenciados y transitorios,"&amp;" que crecen y disminuyen en periodo de tiempo, dependiendo de las situaciones. En el contexto del Inventario Clínico para Adolescentes de Millon (MACI), los síndromes clínicos se conceptualizan como"&amp;"  extensiones o distorsiones de la personalidad básica del adolescente. Son de tipo reactivo, siento substancialmente de una duración breve"&amp;" que los trastornos de personalidad, representan estados en los que se manifiesta claramente un proceso patológico activo. A continuación,"&amp;" se describirán los síndromes clínicos destacados en"," ",Perfil!F3,":")</f>
        <v>Los síndromes clínicos son un conjunto de comportamientos, pensamientos y sentimientos agrupados que indican un estado psicológico problemático activo. A diferencia de los prototipos de personalidad, que son patrones de personalidad más duraderos, los síndromes clínicos tienden a ser más estados relativamente diferenciados y transitorios, que crecen y disminuyen en periodo de tiempo, dependiendo de las situaciones. En el contexto del Inventario Clínico para Adolescentes de Millon (MACI), los síndromes clínicos se conceptualizan como  extensiones o distorsiones de la personalidad básica del adolescente. Son de tipo reactivo, siento substancialmente de una duración breve que los trastornos de personalidad, representan estados en los que se manifiesta claramente un proceso patológico activo. A continuación, se describirán los síndromes clínicos destacados en Amy Bridgit Cotrina Alvarado:</v>
      </c>
      <c r="C140" s="200"/>
      <c r="D140" s="200"/>
      <c r="E140" s="200"/>
      <c r="F140" s="200"/>
      <c r="G140" s="200"/>
      <c r="H140" s="200"/>
      <c r="I140" s="200"/>
      <c r="L140" s="52"/>
      <c r="M140" s="52"/>
      <c r="N140" s="52"/>
    </row>
    <row r="141" spans="2:14" ht="20.25" customHeight="1" x14ac:dyDescent="0.25">
      <c r="B141" s="200"/>
      <c r="C141" s="200"/>
      <c r="D141" s="200"/>
      <c r="E141" s="200"/>
      <c r="F141" s="200"/>
      <c r="G141" s="200"/>
      <c r="H141" s="200"/>
      <c r="I141" s="200"/>
    </row>
    <row r="142" spans="2:14" ht="20.25" customHeight="1" x14ac:dyDescent="0.25">
      <c r="B142" s="200"/>
      <c r="C142" s="200"/>
      <c r="D142" s="200"/>
      <c r="E142" s="200"/>
      <c r="F142" s="200"/>
      <c r="G142" s="200"/>
      <c r="H142" s="200"/>
      <c r="I142" s="200"/>
    </row>
    <row r="143" spans="2:14" ht="20.25" customHeight="1" x14ac:dyDescent="0.25">
      <c r="B143" s="200"/>
      <c r="C143" s="200"/>
      <c r="D143" s="200"/>
      <c r="E143" s="200"/>
      <c r="F143" s="200"/>
      <c r="G143" s="200"/>
      <c r="H143" s="200"/>
      <c r="I143" s="200"/>
    </row>
    <row r="144" spans="2:14" ht="20.25" customHeight="1" x14ac:dyDescent="0.25">
      <c r="B144" s="200"/>
      <c r="C144" s="200"/>
      <c r="D144" s="200"/>
      <c r="E144" s="200"/>
      <c r="F144" s="200"/>
      <c r="G144" s="200"/>
      <c r="H144" s="200"/>
      <c r="I144" s="200"/>
    </row>
    <row r="145" spans="2:9" ht="20.25" customHeight="1" x14ac:dyDescent="0.25">
      <c r="B145" s="200"/>
      <c r="C145" s="200"/>
      <c r="D145" s="200"/>
      <c r="E145" s="200"/>
      <c r="F145" s="200"/>
      <c r="G145" s="200"/>
      <c r="H145" s="200"/>
      <c r="I145" s="200"/>
    </row>
    <row r="146" spans="2:9" ht="20.25" customHeight="1" x14ac:dyDescent="0.25">
      <c r="B146" s="200"/>
      <c r="C146" s="200"/>
      <c r="D146" s="200"/>
      <c r="E146" s="200"/>
      <c r="F146" s="200"/>
      <c r="G146" s="200"/>
      <c r="H146" s="200"/>
      <c r="I146" s="200"/>
    </row>
    <row r="147" spans="2:9" ht="20.25" customHeight="1" x14ac:dyDescent="0.25">
      <c r="B147" s="200"/>
      <c r="C147" s="200"/>
      <c r="D147" s="200"/>
      <c r="E147" s="200"/>
      <c r="F147" s="200"/>
      <c r="G147" s="200"/>
      <c r="H147" s="200"/>
      <c r="I147" s="200"/>
    </row>
    <row r="148" spans="2:9" ht="20.25" customHeight="1" x14ac:dyDescent="0.25">
      <c r="B148" s="200"/>
      <c r="C148" s="200"/>
      <c r="D148" s="200"/>
      <c r="E148" s="200"/>
      <c r="F148" s="200"/>
      <c r="G148" s="200"/>
      <c r="H148" s="200"/>
      <c r="I148" s="200"/>
    </row>
    <row r="149" spans="2:9" ht="20.25" customHeight="1" x14ac:dyDescent="0.25">
      <c r="B149" s="200"/>
      <c r="C149" s="200"/>
      <c r="D149" s="200"/>
      <c r="E149" s="200"/>
      <c r="F149" s="200"/>
      <c r="G149" s="200"/>
      <c r="H149" s="200"/>
      <c r="I149" s="200"/>
    </row>
    <row r="150" spans="2:9" ht="20.25" customHeight="1" outlineLevel="1" x14ac:dyDescent="0.25">
      <c r="B150" s="200"/>
      <c r="C150" s="200"/>
      <c r="D150" s="200"/>
      <c r="E150" s="200"/>
      <c r="F150" s="200"/>
      <c r="G150" s="200"/>
      <c r="H150" s="200"/>
      <c r="I150" s="200"/>
    </row>
    <row r="151" spans="2:9" ht="20.25" customHeight="1" outlineLevel="1" x14ac:dyDescent="0.25">
      <c r="B151" s="200"/>
      <c r="C151" s="200"/>
      <c r="D151" s="200"/>
      <c r="E151" s="200"/>
      <c r="F151" s="200"/>
      <c r="G151" s="200"/>
      <c r="H151" s="200"/>
      <c r="I151" s="200"/>
    </row>
    <row r="152" spans="2:9" ht="20.25" customHeight="1" outlineLevel="1" x14ac:dyDescent="0.25">
      <c r="B152" s="200"/>
      <c r="C152" s="200"/>
      <c r="D152" s="200"/>
      <c r="E152" s="200"/>
      <c r="F152" s="200"/>
      <c r="G152" s="200"/>
      <c r="H152" s="200"/>
      <c r="I152" s="200"/>
    </row>
    <row r="153" spans="2:9" ht="20.25" customHeight="1" outlineLevel="1" x14ac:dyDescent="0.25">
      <c r="B153" s="200"/>
      <c r="C153" s="200"/>
      <c r="D153" s="200"/>
      <c r="E153" s="200"/>
      <c r="F153" s="200"/>
      <c r="G153" s="200"/>
      <c r="H153" s="200"/>
      <c r="I153" s="200"/>
    </row>
    <row r="154" spans="2:9" ht="20.25" customHeight="1" outlineLevel="1" x14ac:dyDescent="0.25">
      <c r="B154" s="200"/>
      <c r="C154" s="200"/>
      <c r="D154" s="200"/>
      <c r="E154" s="200"/>
      <c r="F154" s="200"/>
      <c r="G154" s="200"/>
      <c r="H154" s="200"/>
      <c r="I154" s="200"/>
    </row>
    <row r="155" spans="2:9" ht="20.25" customHeight="1" x14ac:dyDescent="0.25">
      <c r="B155" s="200" t="str">
        <f ca="1">+CONCATENATE(Perfil!F3," ","muestra una puntuación"," ",Informe!M120," ",Informe!M121,", ","en el síndrome de"," ",Informe!L121," (",O121,"). ","El resultado"," ",N121)</f>
        <v>Amy Bridgit Cotrina Alvarado muestra una puntuación TB 110, en el síndrome de Trastornos de la alimentación (Evalúa la tendencia a la anorexia o la bulimia nerviosas. Identifica patrones de alimentación problemáticos, preocupación excesiva por el peso y temor intenso a volverse obeso). El resultado 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C155" s="200"/>
      <c r="D155" s="200"/>
      <c r="E155" s="200"/>
      <c r="F155" s="200"/>
      <c r="G155" s="200"/>
      <c r="H155" s="200"/>
      <c r="I155" s="200"/>
    </row>
    <row r="156" spans="2:9" ht="20.25" customHeight="1" x14ac:dyDescent="0.25">
      <c r="B156" s="200"/>
      <c r="C156" s="200"/>
      <c r="D156" s="200"/>
      <c r="E156" s="200"/>
      <c r="F156" s="200"/>
      <c r="G156" s="200"/>
      <c r="H156" s="200"/>
      <c r="I156" s="200"/>
    </row>
    <row r="157" spans="2:9" ht="20.25" customHeight="1" x14ac:dyDescent="0.25">
      <c r="B157" s="200"/>
      <c r="C157" s="200"/>
      <c r="D157" s="200"/>
      <c r="E157" s="200"/>
      <c r="F157" s="200"/>
      <c r="G157" s="200"/>
      <c r="H157" s="200"/>
      <c r="I157" s="200"/>
    </row>
    <row r="158" spans="2:9" ht="20.25" customHeight="1" x14ac:dyDescent="0.25">
      <c r="B158" s="200"/>
      <c r="C158" s="200"/>
      <c r="D158" s="200"/>
      <c r="E158" s="200"/>
      <c r="F158" s="200"/>
      <c r="G158" s="200"/>
      <c r="H158" s="200"/>
      <c r="I158" s="200"/>
    </row>
    <row r="159" spans="2:9" ht="20.25" customHeight="1" x14ac:dyDescent="0.25">
      <c r="B159" s="200"/>
      <c r="C159" s="200"/>
      <c r="D159" s="200"/>
      <c r="E159" s="200"/>
      <c r="F159" s="200"/>
      <c r="G159" s="200"/>
      <c r="H159" s="200"/>
      <c r="I159" s="200"/>
    </row>
    <row r="160" spans="2:9" ht="20.25" customHeight="1" x14ac:dyDescent="0.25">
      <c r="B160" s="200"/>
      <c r="C160" s="200"/>
      <c r="D160" s="200"/>
      <c r="E160" s="200"/>
      <c r="F160" s="200"/>
      <c r="G160" s="200"/>
      <c r="H160" s="200"/>
      <c r="I160" s="200"/>
    </row>
    <row r="161" spans="2:9" ht="20.25" customHeight="1" x14ac:dyDescent="0.25">
      <c r="B161" s="200"/>
      <c r="C161" s="200"/>
      <c r="D161" s="200"/>
      <c r="E161" s="200"/>
      <c r="F161" s="200"/>
      <c r="G161" s="200"/>
      <c r="H161" s="200"/>
      <c r="I161" s="200"/>
    </row>
    <row r="162" spans="2:9" ht="20.25" customHeight="1" x14ac:dyDescent="0.25">
      <c r="B162" s="200"/>
      <c r="C162" s="200"/>
      <c r="D162" s="200"/>
      <c r="E162" s="200"/>
      <c r="F162" s="200"/>
      <c r="G162" s="200"/>
      <c r="H162" s="200"/>
      <c r="I162" s="200"/>
    </row>
    <row r="163" spans="2:9" ht="20.25" customHeight="1" x14ac:dyDescent="0.25">
      <c r="B163" s="200"/>
      <c r="C163" s="200"/>
      <c r="D163" s="200"/>
      <c r="E163" s="200"/>
      <c r="F163" s="200"/>
      <c r="G163" s="200"/>
      <c r="H163" s="200"/>
      <c r="I163" s="200"/>
    </row>
    <row r="164" spans="2:9" ht="20.25" customHeight="1" outlineLevel="1" x14ac:dyDescent="0.25">
      <c r="B164" s="200"/>
      <c r="C164" s="200"/>
      <c r="D164" s="200"/>
      <c r="E164" s="200"/>
      <c r="F164" s="200"/>
      <c r="G164" s="200"/>
      <c r="H164" s="200"/>
      <c r="I164" s="200"/>
    </row>
    <row r="165" spans="2:9" ht="20.25" customHeight="1" outlineLevel="1" x14ac:dyDescent="0.25">
      <c r="B165" s="200"/>
      <c r="C165" s="200"/>
      <c r="D165" s="200"/>
      <c r="E165" s="200"/>
      <c r="F165" s="200"/>
      <c r="G165" s="200"/>
      <c r="H165" s="200"/>
      <c r="I165" s="200"/>
    </row>
    <row r="166" spans="2:9" ht="20.25" customHeight="1" outlineLevel="1" x14ac:dyDescent="0.25">
      <c r="B166" s="200"/>
      <c r="C166" s="200"/>
      <c r="D166" s="200"/>
      <c r="E166" s="200"/>
      <c r="F166" s="200"/>
      <c r="G166" s="200"/>
      <c r="H166" s="200"/>
      <c r="I166" s="200"/>
    </row>
    <row r="167" spans="2:9" ht="20.25" customHeight="1" outlineLevel="1" x14ac:dyDescent="0.25">
      <c r="B167" s="200"/>
      <c r="C167" s="200"/>
      <c r="D167" s="200"/>
      <c r="E167" s="200"/>
      <c r="F167" s="200"/>
      <c r="G167" s="200"/>
      <c r="H167" s="200"/>
      <c r="I167" s="200"/>
    </row>
    <row r="168" spans="2:9" ht="20.25" customHeight="1" x14ac:dyDescent="0.25">
      <c r="B168" s="200" t="str">
        <f>+CONCATENATE("Además de este síndrome,"," ",Perfil!F3," ","también presenta características de los siguientes síndromes clínicos, que pueden estar presentes en menor medida o ausentes:")</f>
        <v>Además de este síndrome, Amy Bridgit Cotrina Alvarado también presenta características de los siguientes síndromes clínicos, que pueden estar presentes en menor medida o ausentes:</v>
      </c>
      <c r="C168" s="200"/>
      <c r="D168" s="200"/>
      <c r="E168" s="200"/>
      <c r="F168" s="200"/>
      <c r="G168" s="200"/>
      <c r="H168" s="200"/>
      <c r="I168" s="200"/>
    </row>
    <row r="169" spans="2:9" ht="20.25" customHeight="1" x14ac:dyDescent="0.25">
      <c r="B169" s="200"/>
      <c r="C169" s="200"/>
      <c r="D169" s="200"/>
      <c r="E169" s="200"/>
      <c r="F169" s="200"/>
      <c r="G169" s="200"/>
      <c r="H169" s="200"/>
      <c r="I169" s="200"/>
    </row>
    <row r="170" spans="2:9" ht="20.25" customHeight="1" x14ac:dyDescent="0.25">
      <c r="B170" s="60"/>
      <c r="C170" s="60"/>
      <c r="D170" s="60"/>
      <c r="E170" s="60"/>
      <c r="F170" s="60"/>
      <c r="G170" s="60"/>
      <c r="H170" s="60"/>
      <c r="I170" s="60"/>
    </row>
    <row r="171" spans="2:9" ht="20.25" customHeight="1" x14ac:dyDescent="0.25">
      <c r="B171" s="200" t="str">
        <f ca="1">+CONCATENATE(L122," (",O122,"). ",Perfil!F3," ","obtuvo una puntuación de"," ",M120," ",M122,", ","lo que"," ",N122)</f>
        <v>Tendencia al suicidio (Evalúa la presencia de ideación y planes suicidas. Mide sentimientos de falta de valor, ausencia de objetivos y la creencia de que los demás estarían mejor sin el adolescente). Amy Bridgit Cotrina Alvarado obtuvo una puntuación de TB 108, lo que 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c r="C171" s="200"/>
      <c r="D171" s="200"/>
      <c r="E171" s="200"/>
      <c r="F171" s="200"/>
      <c r="G171" s="200"/>
      <c r="H171" s="200"/>
      <c r="I171" s="200"/>
    </row>
    <row r="172" spans="2:9" ht="20.25" customHeight="1" x14ac:dyDescent="0.25">
      <c r="B172" s="200"/>
      <c r="C172" s="200"/>
      <c r="D172" s="200"/>
      <c r="E172" s="200"/>
      <c r="F172" s="200"/>
      <c r="G172" s="200"/>
      <c r="H172" s="200"/>
      <c r="I172" s="200"/>
    </row>
    <row r="173" spans="2:9" ht="20.25" customHeight="1" x14ac:dyDescent="0.25">
      <c r="B173" s="200"/>
      <c r="C173" s="200"/>
      <c r="D173" s="200"/>
      <c r="E173" s="200"/>
      <c r="F173" s="200"/>
      <c r="G173" s="200"/>
      <c r="H173" s="200"/>
      <c r="I173" s="200"/>
    </row>
    <row r="174" spans="2:9" ht="20.25" customHeight="1" x14ac:dyDescent="0.25">
      <c r="B174" s="200"/>
      <c r="C174" s="200"/>
      <c r="D174" s="200"/>
      <c r="E174" s="200"/>
      <c r="F174" s="200"/>
      <c r="G174" s="200"/>
      <c r="H174" s="200"/>
      <c r="I174" s="200"/>
    </row>
    <row r="175" spans="2:9" ht="20.25" customHeight="1" x14ac:dyDescent="0.25">
      <c r="B175" s="200"/>
      <c r="C175" s="200"/>
      <c r="D175" s="200"/>
      <c r="E175" s="200"/>
      <c r="F175" s="200"/>
      <c r="G175" s="200"/>
      <c r="H175" s="200"/>
      <c r="I175" s="200"/>
    </row>
    <row r="176" spans="2:9" ht="20.25" customHeight="1" x14ac:dyDescent="0.25">
      <c r="B176" s="200"/>
      <c r="C176" s="200"/>
      <c r="D176" s="200"/>
      <c r="E176" s="200"/>
      <c r="F176" s="200"/>
      <c r="G176" s="200"/>
      <c r="H176" s="200"/>
      <c r="I176" s="200"/>
    </row>
    <row r="177" spans="2:9" ht="20.25" customHeight="1" x14ac:dyDescent="0.25">
      <c r="B177" s="200"/>
      <c r="C177" s="200"/>
      <c r="D177" s="200"/>
      <c r="E177" s="200"/>
      <c r="F177" s="200"/>
      <c r="G177" s="200"/>
      <c r="H177" s="200"/>
      <c r="I177" s="200"/>
    </row>
    <row r="178" spans="2:9" ht="20.25" customHeight="1" outlineLevel="1" x14ac:dyDescent="0.25">
      <c r="B178" s="200"/>
      <c r="C178" s="200"/>
      <c r="D178" s="200"/>
      <c r="E178" s="200"/>
      <c r="F178" s="200"/>
      <c r="G178" s="200"/>
      <c r="H178" s="200"/>
      <c r="I178" s="200"/>
    </row>
    <row r="179" spans="2:9" ht="20.25" customHeight="1" outlineLevel="1" x14ac:dyDescent="0.25">
      <c r="B179" s="200"/>
      <c r="C179" s="200"/>
      <c r="D179" s="200"/>
      <c r="E179" s="200"/>
      <c r="F179" s="200"/>
      <c r="G179" s="200"/>
      <c r="H179" s="200"/>
      <c r="I179" s="200"/>
    </row>
    <row r="180" spans="2:9" ht="20.25" customHeight="1" outlineLevel="1" x14ac:dyDescent="0.25">
      <c r="B180" s="200"/>
      <c r="C180" s="200"/>
      <c r="D180" s="200"/>
      <c r="E180" s="200"/>
      <c r="F180" s="200"/>
      <c r="G180" s="200"/>
      <c r="H180" s="200"/>
      <c r="I180" s="200"/>
    </row>
    <row r="181" spans="2:9" ht="20.25" customHeight="1" outlineLevel="1" x14ac:dyDescent="0.25">
      <c r="B181" s="200"/>
      <c r="C181" s="200"/>
      <c r="D181" s="200"/>
      <c r="E181" s="200"/>
      <c r="F181" s="200"/>
      <c r="G181" s="200"/>
      <c r="H181" s="200"/>
      <c r="I181" s="200"/>
    </row>
    <row r="182" spans="2:9" ht="20.25" customHeight="1" outlineLevel="1" x14ac:dyDescent="0.25">
      <c r="B182" s="200"/>
      <c r="C182" s="200"/>
      <c r="D182" s="200"/>
      <c r="E182" s="200"/>
      <c r="F182" s="200"/>
      <c r="G182" s="200"/>
      <c r="H182" s="200"/>
      <c r="I182" s="200"/>
    </row>
    <row r="183" spans="2:9" ht="20.25" customHeight="1" x14ac:dyDescent="0.25">
      <c r="B183" s="200" t="str">
        <f ca="1">+CONCATENATE(L123," (",O123,"). ",Perfil!F3," ","obtuvo una puntuación de"," ",M120," ",M123,", ","lo que"," ",N123)</f>
        <v>Afecto depresivo (Identifica síntomas de depresión como disminución de la actividad, sentimientos de culpa, fatiga, desesperanza, aislamiento social, pérdida de confianza y disminución de los sentimientos de adecuación y del propio atractivo). Amy Bridgit Cotrina Alvarado obtuvo una puntuación de TB 105, lo que 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c r="C183" s="200"/>
      <c r="D183" s="200"/>
      <c r="E183" s="200"/>
      <c r="F183" s="200"/>
      <c r="G183" s="200"/>
      <c r="H183" s="200"/>
      <c r="I183" s="200"/>
    </row>
    <row r="184" spans="2:9" ht="20.25" customHeight="1" x14ac:dyDescent="0.25">
      <c r="B184" s="200"/>
      <c r="C184" s="200"/>
      <c r="D184" s="200"/>
      <c r="E184" s="200"/>
      <c r="F184" s="200"/>
      <c r="G184" s="200"/>
      <c r="H184" s="200"/>
      <c r="I184" s="200"/>
    </row>
    <row r="185" spans="2:9" ht="20.25" customHeight="1" x14ac:dyDescent="0.25">
      <c r="B185" s="200"/>
      <c r="C185" s="200"/>
      <c r="D185" s="200"/>
      <c r="E185" s="200"/>
      <c r="F185" s="200"/>
      <c r="G185" s="200"/>
      <c r="H185" s="200"/>
      <c r="I185" s="200"/>
    </row>
    <row r="186" spans="2:9" ht="20.25" customHeight="1" x14ac:dyDescent="0.25">
      <c r="B186" s="200"/>
      <c r="C186" s="200"/>
      <c r="D186" s="200"/>
      <c r="E186" s="200"/>
      <c r="F186" s="200"/>
      <c r="G186" s="200"/>
      <c r="H186" s="200"/>
      <c r="I186" s="200"/>
    </row>
    <row r="187" spans="2:9" ht="20.25" customHeight="1" x14ac:dyDescent="0.25">
      <c r="B187" s="200"/>
      <c r="C187" s="200"/>
      <c r="D187" s="200"/>
      <c r="E187" s="200"/>
      <c r="F187" s="200"/>
      <c r="G187" s="200"/>
      <c r="H187" s="200"/>
      <c r="I187" s="200"/>
    </row>
    <row r="188" spans="2:9" ht="20.25" customHeight="1" x14ac:dyDescent="0.25">
      <c r="B188" s="200"/>
      <c r="C188" s="200"/>
      <c r="D188" s="200"/>
      <c r="E188" s="200"/>
      <c r="F188" s="200"/>
      <c r="G188" s="200"/>
      <c r="H188" s="200"/>
      <c r="I188" s="200"/>
    </row>
    <row r="189" spans="2:9" ht="20.25" customHeight="1" x14ac:dyDescent="0.25">
      <c r="B189" s="200"/>
      <c r="C189" s="200"/>
      <c r="D189" s="200"/>
      <c r="E189" s="200"/>
      <c r="F189" s="200"/>
      <c r="G189" s="200"/>
      <c r="H189" s="200"/>
      <c r="I189" s="200"/>
    </row>
    <row r="190" spans="2:9" ht="20.25" customHeight="1" x14ac:dyDescent="0.25">
      <c r="B190" s="200"/>
      <c r="C190" s="200"/>
      <c r="D190" s="200"/>
      <c r="E190" s="200"/>
      <c r="F190" s="200"/>
      <c r="G190" s="200"/>
      <c r="H190" s="200"/>
      <c r="I190" s="200"/>
    </row>
    <row r="191" spans="2:9" ht="20.25" customHeight="1" x14ac:dyDescent="0.25">
      <c r="B191" s="200"/>
      <c r="C191" s="200"/>
      <c r="D191" s="200"/>
      <c r="E191" s="200"/>
      <c r="F191" s="200"/>
      <c r="G191" s="200"/>
      <c r="H191" s="200"/>
      <c r="I191" s="200"/>
    </row>
    <row r="192" spans="2:9" ht="20.25" customHeight="1" x14ac:dyDescent="0.25">
      <c r="B192" s="200"/>
      <c r="C192" s="200"/>
      <c r="D192" s="200"/>
      <c r="E192" s="200"/>
      <c r="F192" s="200"/>
      <c r="G192" s="200"/>
      <c r="H192" s="200"/>
      <c r="I192" s="200"/>
    </row>
    <row r="193" spans="2:15" ht="20.25" customHeight="1" outlineLevel="1" x14ac:dyDescent="0.25">
      <c r="B193" s="200"/>
      <c r="C193" s="200"/>
      <c r="D193" s="200"/>
      <c r="E193" s="200"/>
      <c r="F193" s="200"/>
      <c r="G193" s="200"/>
      <c r="H193" s="200"/>
      <c r="I193" s="200"/>
    </row>
    <row r="194" spans="2:15" ht="20.25" customHeight="1" outlineLevel="1" x14ac:dyDescent="0.25">
      <c r="B194" s="200"/>
      <c r="C194" s="200"/>
      <c r="D194" s="200"/>
      <c r="E194" s="200"/>
      <c r="F194" s="200"/>
      <c r="G194" s="200"/>
      <c r="H194" s="200"/>
      <c r="I194" s="200"/>
    </row>
    <row r="195" spans="2:15" ht="20.25" customHeight="1" outlineLevel="1" x14ac:dyDescent="0.25">
      <c r="B195" s="200"/>
      <c r="C195" s="200"/>
      <c r="D195" s="200"/>
      <c r="E195" s="200"/>
      <c r="F195" s="200"/>
      <c r="G195" s="200"/>
      <c r="H195" s="200"/>
      <c r="I195" s="200"/>
    </row>
    <row r="196" spans="2:15" ht="20.25" customHeight="1" outlineLevel="1" x14ac:dyDescent="0.25">
      <c r="B196" s="200"/>
      <c r="C196" s="200"/>
      <c r="D196" s="200"/>
      <c r="E196" s="200"/>
      <c r="F196" s="200"/>
      <c r="G196" s="200"/>
      <c r="H196" s="200"/>
      <c r="I196" s="200"/>
    </row>
    <row r="197" spans="2:15" ht="20.25" customHeight="1" x14ac:dyDescent="0.25">
      <c r="B197" s="67"/>
      <c r="C197" s="67"/>
      <c r="D197" s="67"/>
      <c r="E197" s="67"/>
      <c r="F197" s="67"/>
      <c r="G197" s="67"/>
      <c r="H197" s="67"/>
      <c r="I197" s="67"/>
    </row>
    <row r="198" spans="2:15" ht="20.25" customHeight="1" x14ac:dyDescent="0.25">
      <c r="B198" s="65" t="s">
        <v>388</v>
      </c>
      <c r="C198" s="67"/>
      <c r="D198" s="67"/>
      <c r="E198" s="67"/>
      <c r="F198" s="67"/>
      <c r="G198" s="67"/>
      <c r="H198" s="67"/>
      <c r="I198" s="67"/>
    </row>
    <row r="199" spans="2:15" ht="20.25" customHeight="1" x14ac:dyDescent="0.25">
      <c r="B199" s="200" t="str">
        <f>CONCATENATE("El MACI (Inventario Clínico para Adolescentes de Millon) las preocupaciones expresadas se"&amp;" centran en los sentimientos y actitudes acerca de cuestiones que tienden a preocupar a la mayoría de los adolescentes con problemas. La intensidad con que se experimenta queda reflejada en la evaluación de las puntuaciones de"&amp;" cada escala, hay que destacar que estas escalas representan percepciones más que criterios o comportamientos objetivamente observables. A continuación, se detallarán las preocupaciones destacadas:")</f>
        <v>El MACI (Inventario Clínico para Adolescentes de Millon) las preocupaciones expresadas se centran en los sentimientos y actitudes acerca de cuestiones que tienden a preocupar a la mayoría de los adolescentes con problemas. La intensidad con que se experimenta queda reflejada en la evaluación de las puntuaciones de cada escala, hay que destacar que estas escalas representan percepciones más que criterios o comportamientos objetivamente observables. A continuación, se detallarán las preocupaciones destacadas:</v>
      </c>
      <c r="C199" s="200"/>
      <c r="D199" s="200"/>
      <c r="E199" s="200"/>
      <c r="F199" s="200"/>
      <c r="G199" s="200"/>
      <c r="H199" s="200"/>
      <c r="I199" s="200"/>
      <c r="K199" s="58" t="s">
        <v>205</v>
      </c>
      <c r="L199" s="57" t="s">
        <v>187</v>
      </c>
      <c r="M199" s="58" t="s">
        <v>205</v>
      </c>
      <c r="N199" s="58" t="s">
        <v>258</v>
      </c>
      <c r="O199" s="59" t="s">
        <v>438</v>
      </c>
    </row>
    <row r="200" spans="2:15" ht="20.25" customHeight="1" x14ac:dyDescent="0.25">
      <c r="B200" s="200"/>
      <c r="C200" s="200"/>
      <c r="D200" s="200"/>
      <c r="E200" s="200"/>
      <c r="F200" s="200"/>
      <c r="G200" s="200"/>
      <c r="H200" s="200"/>
      <c r="I200" s="200"/>
      <c r="K200" s="52">
        <f t="shared" ref="K200:K207" ca="1" si="6">M200+(COUNTA($M$200:$M$207)-ROW()+2)*0.001</f>
        <v>64.81</v>
      </c>
      <c r="L200" s="53" t="s">
        <v>396</v>
      </c>
      <c r="M200" s="54">
        <f ca="1">+Perfil!L31</f>
        <v>65</v>
      </c>
      <c r="N200" s="53" t="str">
        <f ca="1">+Perfil!S31</f>
        <v>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c r="O200" s="52" t="s">
        <v>410</v>
      </c>
    </row>
    <row r="201" spans="2:15" ht="20.25" customHeight="1" x14ac:dyDescent="0.25">
      <c r="B201" s="200"/>
      <c r="C201" s="200"/>
      <c r="D201" s="200"/>
      <c r="E201" s="200"/>
      <c r="F201" s="200"/>
      <c r="G201" s="200"/>
      <c r="H201" s="200"/>
      <c r="I201" s="200"/>
      <c r="K201" s="52">
        <f t="shared" ca="1" si="6"/>
        <v>97.808999999999997</v>
      </c>
      <c r="L201" s="53" t="s">
        <v>397</v>
      </c>
      <c r="M201" s="54">
        <f ca="1">+Perfil!L32</f>
        <v>98</v>
      </c>
      <c r="N201" s="53" t="str">
        <f ca="1">+Perfil!S32</f>
        <v>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c r="O201" s="52" t="s">
        <v>411</v>
      </c>
    </row>
    <row r="202" spans="2:15" ht="20.25" customHeight="1" x14ac:dyDescent="0.25">
      <c r="B202" s="200"/>
      <c r="C202" s="200"/>
      <c r="D202" s="200"/>
      <c r="E202" s="200"/>
      <c r="F202" s="200"/>
      <c r="G202" s="200"/>
      <c r="H202" s="200"/>
      <c r="I202" s="200"/>
      <c r="K202" s="52">
        <f t="shared" ca="1" si="6"/>
        <v>106.80800000000001</v>
      </c>
      <c r="L202" s="53" t="s">
        <v>398</v>
      </c>
      <c r="M202" s="54">
        <f ca="1">+Perfil!L33</f>
        <v>107</v>
      </c>
      <c r="N202" s="53" t="str">
        <f ca="1">+Perfil!S33</f>
        <v>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c r="O202" s="52" t="s">
        <v>412</v>
      </c>
    </row>
    <row r="203" spans="2:15" ht="20.25" customHeight="1" x14ac:dyDescent="0.25">
      <c r="B203" s="200"/>
      <c r="C203" s="200"/>
      <c r="D203" s="200"/>
      <c r="E203" s="200"/>
      <c r="F203" s="200"/>
      <c r="G203" s="200"/>
      <c r="H203" s="200"/>
      <c r="I203" s="200"/>
      <c r="K203" s="52">
        <f t="shared" ca="1" si="6"/>
        <v>62.807000000000002</v>
      </c>
      <c r="L203" s="53" t="s">
        <v>399</v>
      </c>
      <c r="M203" s="54">
        <f ca="1">+Perfil!L34</f>
        <v>63</v>
      </c>
      <c r="N203" s="53" t="str">
        <f ca="1">+Perfil!S34</f>
        <v>la sexualidad se percibe como un tema ligeramente problemático. En este nivel, puede experimentar cierta inquietud o confusión respecto a sus impulsos sexuales y los roles que su sexualidad conlleva. Puede sentir incertidumbre sobre cómo integrar su identidad sexual dentro del contexto social, familiar o cultural en el que se desenvuelve. Aunque esta preocupación no es severa, genera una ligera inseguridad que puede afectar su nivel de comodidad con su expresión sexual.</v>
      </c>
      <c r="O203" s="52" t="s">
        <v>413</v>
      </c>
    </row>
    <row r="204" spans="2:15" ht="20.25" customHeight="1" x14ac:dyDescent="0.25">
      <c r="B204" s="200" t="str">
        <f ca="1">CONCATENATE(Perfil!F3," ","obtuvo una puntuación de"," ",M220," ",M221,", ","en la escala de"," ",L221," (",O221,"). ","Su resultado"," ",N221)</f>
        <v>Amy Bridgit Cotrina Alvarado obtuvo una puntuación de TB 111, en la escala de Abusos en la infancia (Evalúa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 Su resultado 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c r="C204" s="200"/>
      <c r="D204" s="200"/>
      <c r="E204" s="200"/>
      <c r="F204" s="200"/>
      <c r="G204" s="200"/>
      <c r="H204" s="200"/>
      <c r="I204" s="200"/>
      <c r="K204" s="52">
        <f t="shared" ca="1" si="6"/>
        <v>78.805999999999997</v>
      </c>
      <c r="L204" s="53" t="s">
        <v>403</v>
      </c>
      <c r="M204" s="54">
        <f ca="1">+Perfil!L35</f>
        <v>79</v>
      </c>
      <c r="N204" s="53" t="str">
        <f ca="1">+Perfil!S35</f>
        <v>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c r="O204" s="52" t="s">
        <v>414</v>
      </c>
    </row>
    <row r="205" spans="2:15" ht="20.25" customHeight="1" x14ac:dyDescent="0.25">
      <c r="B205" s="200"/>
      <c r="C205" s="200"/>
      <c r="D205" s="200"/>
      <c r="E205" s="200"/>
      <c r="F205" s="200"/>
      <c r="G205" s="200"/>
      <c r="H205" s="200"/>
      <c r="I205" s="200"/>
      <c r="K205" s="52">
        <f t="shared" ca="1" si="6"/>
        <v>2.8050000000000002</v>
      </c>
      <c r="L205" s="53" t="s">
        <v>400</v>
      </c>
      <c r="M205" s="54">
        <f ca="1">+Perfil!L36</f>
        <v>3</v>
      </c>
      <c r="N205" s="53" t="str">
        <f ca="1">+Perfil!S36</f>
        <v>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c r="O205" s="52" t="s">
        <v>415</v>
      </c>
    </row>
    <row r="206" spans="2:15" ht="20.25" customHeight="1" x14ac:dyDescent="0.25">
      <c r="B206" s="200"/>
      <c r="C206" s="200"/>
      <c r="D206" s="200"/>
      <c r="E206" s="200"/>
      <c r="F206" s="200"/>
      <c r="G206" s="200"/>
      <c r="H206" s="200"/>
      <c r="I206" s="200"/>
      <c r="K206" s="52">
        <f t="shared" ca="1" si="6"/>
        <v>71.804000000000002</v>
      </c>
      <c r="L206" s="53" t="s">
        <v>401</v>
      </c>
      <c r="M206" s="54">
        <f ca="1">+Perfil!L37</f>
        <v>72</v>
      </c>
      <c r="N206" s="53" t="str">
        <f ca="1">+Perfil!S37</f>
        <v>la discordancia familiar se percibe como un tema ligeramente problemático. En este nivel, puede sentir cierta tensión en sus relaciones familiares, con momentos en los que experimenta distancia emocional o dificultades en la comunicación con sus padres. Puede percibir el hogar como un entorno donde se presentan conflictos ocasionales, aunque sin que estos sean persistentes o afecten su estabilidad.</v>
      </c>
      <c r="O206" s="52" t="s">
        <v>416</v>
      </c>
    </row>
    <row r="207" spans="2:15" ht="20.25" customHeight="1" x14ac:dyDescent="0.25">
      <c r="B207" s="200"/>
      <c r="C207" s="200"/>
      <c r="D207" s="200"/>
      <c r="E207" s="200"/>
      <c r="F207" s="200"/>
      <c r="G207" s="200"/>
      <c r="H207" s="200"/>
      <c r="I207" s="200"/>
      <c r="K207" s="52">
        <f t="shared" ca="1" si="6"/>
        <v>110.803</v>
      </c>
      <c r="L207" s="53" t="s">
        <v>402</v>
      </c>
      <c r="M207" s="54">
        <f ca="1">+Perfil!L38</f>
        <v>111</v>
      </c>
      <c r="N207" s="53" t="str">
        <f ca="1">+Perfil!S38</f>
        <v>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c r="O207" s="52" t="s">
        <v>470</v>
      </c>
    </row>
    <row r="208" spans="2:15" ht="20.25" customHeight="1" x14ac:dyDescent="0.25">
      <c r="B208" s="200"/>
      <c r="C208" s="200"/>
      <c r="D208" s="200"/>
      <c r="E208" s="200"/>
      <c r="F208" s="200"/>
      <c r="G208" s="200"/>
      <c r="H208" s="200"/>
      <c r="I208" s="200"/>
    </row>
    <row r="209" spans="2:15" ht="20.25" customHeight="1" x14ac:dyDescent="0.25">
      <c r="B209" s="200"/>
      <c r="C209" s="200"/>
      <c r="D209" s="200"/>
      <c r="E209" s="200"/>
      <c r="F209" s="200"/>
      <c r="G209" s="200"/>
      <c r="H209" s="200"/>
      <c r="I209" s="200"/>
    </row>
    <row r="210" spans="2:15" ht="20.25" customHeight="1" x14ac:dyDescent="0.25">
      <c r="B210" s="200"/>
      <c r="C210" s="200"/>
      <c r="D210" s="200"/>
      <c r="E210" s="200"/>
      <c r="F210" s="200"/>
      <c r="G210" s="200"/>
      <c r="H210" s="200"/>
      <c r="I210" s="200"/>
    </row>
    <row r="211" spans="2:15" ht="20.25" customHeight="1" x14ac:dyDescent="0.25">
      <c r="B211" s="200"/>
      <c r="C211" s="200"/>
      <c r="D211" s="200"/>
      <c r="E211" s="200"/>
      <c r="F211" s="200"/>
      <c r="G211" s="200"/>
      <c r="H211" s="200"/>
      <c r="I211" s="200"/>
    </row>
    <row r="212" spans="2:15" ht="20.25" customHeight="1" x14ac:dyDescent="0.25">
      <c r="B212" s="200"/>
      <c r="C212" s="200"/>
      <c r="D212" s="200"/>
      <c r="E212" s="200"/>
      <c r="F212" s="200"/>
      <c r="G212" s="200"/>
      <c r="H212" s="200"/>
      <c r="I212" s="200"/>
    </row>
    <row r="213" spans="2:15" ht="20.25" customHeight="1" x14ac:dyDescent="0.25">
      <c r="B213" s="200"/>
      <c r="C213" s="200"/>
      <c r="D213" s="200"/>
      <c r="E213" s="200"/>
      <c r="F213" s="200"/>
      <c r="G213" s="200"/>
      <c r="H213" s="200"/>
      <c r="I213" s="200"/>
    </row>
    <row r="214" spans="2:15" ht="20.25" customHeight="1" x14ac:dyDescent="0.25">
      <c r="B214" s="200"/>
      <c r="C214" s="200"/>
      <c r="D214" s="200"/>
      <c r="E214" s="200"/>
      <c r="F214" s="200"/>
      <c r="G214" s="200"/>
      <c r="H214" s="200"/>
      <c r="I214" s="200"/>
    </row>
    <row r="215" spans="2:15" ht="20.25" customHeight="1" x14ac:dyDescent="0.25">
      <c r="B215" s="200"/>
      <c r="C215" s="200"/>
      <c r="D215" s="200"/>
      <c r="E215" s="200"/>
      <c r="F215" s="200"/>
      <c r="G215" s="200"/>
      <c r="H215" s="200"/>
      <c r="I215" s="200"/>
    </row>
    <row r="216" spans="2:15" ht="20.25" customHeight="1" x14ac:dyDescent="0.25">
      <c r="B216" s="200"/>
      <c r="C216" s="200"/>
      <c r="D216" s="200"/>
      <c r="E216" s="200"/>
      <c r="F216" s="200"/>
      <c r="G216" s="200"/>
      <c r="H216" s="200"/>
      <c r="I216" s="200"/>
    </row>
    <row r="217" spans="2:15" ht="20.25" customHeight="1" outlineLevel="1" x14ac:dyDescent="0.25">
      <c r="B217" s="200"/>
      <c r="C217" s="200"/>
      <c r="D217" s="200"/>
      <c r="E217" s="200"/>
      <c r="F217" s="200"/>
      <c r="G217" s="200"/>
      <c r="H217" s="200"/>
      <c r="I217" s="200"/>
    </row>
    <row r="218" spans="2:15" ht="20.25" customHeight="1" outlineLevel="1" x14ac:dyDescent="0.25">
      <c r="B218" s="200"/>
      <c r="C218" s="200"/>
      <c r="D218" s="200"/>
      <c r="E218" s="200"/>
      <c r="F218" s="200"/>
      <c r="G218" s="200"/>
      <c r="H218" s="200"/>
      <c r="I218" s="200"/>
    </row>
    <row r="219" spans="2:15" ht="20.25" customHeight="1" outlineLevel="1" x14ac:dyDescent="0.25">
      <c r="B219" s="200"/>
      <c r="C219" s="200"/>
      <c r="D219" s="200"/>
      <c r="E219" s="200"/>
      <c r="F219" s="200"/>
      <c r="G219" s="200"/>
      <c r="H219" s="200"/>
      <c r="I219" s="200"/>
    </row>
    <row r="220" spans="2:15" ht="20.25" customHeight="1" x14ac:dyDescent="0.25">
      <c r="B220" s="200" t="str">
        <f ca="1">+CONCATENATE("Además de la escala de"," ",L221,", ",Perfil!W9," ","también presenta otras preocupaciones significativas, reflejadas en las siguientes escalas:")</f>
        <v>Además de la escala de Abusos en la infancia,  también presenta otras preocupaciones significativas, reflejadas en las siguientes escalas:</v>
      </c>
      <c r="C220" s="200"/>
      <c r="D220" s="200"/>
      <c r="E220" s="200"/>
      <c r="F220" s="200"/>
      <c r="G220" s="200"/>
      <c r="H220" s="200"/>
      <c r="I220" s="200"/>
      <c r="L220" s="57" t="s">
        <v>187</v>
      </c>
      <c r="M220" s="58" t="s">
        <v>205</v>
      </c>
      <c r="N220" s="58" t="s">
        <v>258</v>
      </c>
      <c r="O220" s="59" t="s">
        <v>438</v>
      </c>
    </row>
    <row r="221" spans="2:15" ht="20.25" customHeight="1" x14ac:dyDescent="0.25">
      <c r="B221" s="200"/>
      <c r="C221" s="200"/>
      <c r="D221" s="200"/>
      <c r="E221" s="200"/>
      <c r="F221" s="200"/>
      <c r="G221" s="200"/>
      <c r="H221" s="200"/>
      <c r="I221" s="200"/>
      <c r="K221" s="52">
        <v>1</v>
      </c>
      <c r="L221" s="53" t="str">
        <f ca="1">VLOOKUP(LARGE($K$200:$K$207,K221),$K$200:$L$207,2,0)</f>
        <v>Abusos en la infancia</v>
      </c>
      <c r="M221" s="54">
        <f ca="1">ROUND(LARGE($K$200:$K$207,K221),0)</f>
        <v>111</v>
      </c>
      <c r="N221" s="53" t="str">
        <f ca="1">VLOOKUP(L221,$L$200:$N$207,3,0)</f>
        <v>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c r="O221" s="52" t="str">
        <f ca="1">VLOOKUP(L221,$L$200:$O$207,4,0)</f>
        <v>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v>
      </c>
    </row>
    <row r="222" spans="2:15" ht="20.25" customHeight="1" x14ac:dyDescent="0.25">
      <c r="B222" s="60"/>
      <c r="C222" s="60"/>
      <c r="D222" s="60"/>
      <c r="E222" s="60"/>
      <c r="F222" s="60"/>
      <c r="G222" s="60"/>
      <c r="H222" s="60"/>
      <c r="I222" s="60"/>
      <c r="K222" s="52">
        <v>2</v>
      </c>
      <c r="L222" s="53" t="str">
        <f ca="1">VLOOKUP(LARGE($K$200:$K$207,K222),$K$200:$L$207,2,0)</f>
        <v>Desagrado por el propio cuerpo</v>
      </c>
      <c r="M222" s="54">
        <f t="shared" ref="M222:M224" ca="1" si="7">ROUND(LARGE($K$200:$K$207,K222),0)</f>
        <v>107</v>
      </c>
      <c r="N222" s="53" t="str">
        <f ca="1">VLOOKUP(L222,$L$200:$N$207,3,0)</f>
        <v>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c r="O222" s="52" t="str">
        <f ca="1">VLOOKUP(L222,$L$200:$O$207,4,0)</f>
        <v>Evalúa el descontento con las deficiencias o desviaciones percibidas en la maduración o morfología corporal. Mide la insatisfacción con el atractivo físico y social</v>
      </c>
    </row>
    <row r="223" spans="2:15" ht="20.25" customHeight="1" x14ac:dyDescent="0.25">
      <c r="B223" s="200" t="str">
        <f ca="1">+CONCATENATE("Se observa una puntuación de"," ",M220," ",M222,", ","en la escala de"," ",L222," (",O222,"). ","La puntuación obtenida"," ",N222)</f>
        <v>Se observa una puntuación de TB 107, en la escala de Desagrado por el propio cuerpo (Evalúa el descontento con las deficiencias o desviaciones percibidas en la maduración o morfología corporal. Mide la insatisfacción con el atractivo físico y social). La puntuación obtenida 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c r="C223" s="200"/>
      <c r="D223" s="200"/>
      <c r="E223" s="200"/>
      <c r="F223" s="200"/>
      <c r="G223" s="200"/>
      <c r="H223" s="200"/>
      <c r="I223" s="200"/>
      <c r="K223" s="52">
        <v>3</v>
      </c>
      <c r="L223" s="53" t="str">
        <f ca="1">VLOOKUP(LARGE($K$200:$K$207,K223),$K$200:$L$207,2,0)</f>
        <v>Desvalorización de sí mismo</v>
      </c>
      <c r="M223" s="54">
        <f t="shared" ca="1" si="7"/>
        <v>98</v>
      </c>
      <c r="N223" s="53" t="str">
        <f ca="1">VLOOKUP(L223,$L$200:$N$207,3,0)</f>
        <v>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c r="O223" s="52" t="str">
        <f ca="1">VLOOKUP(L223,$L$200:$O$207,4,0)</f>
        <v>Mide la insatisfacción con la imagen de sí mismo y los sentimientos de baja autoestima. Evalúa la percepción de tener poco que admirar en uno mismo y el temor a no alcanzar las expectativas</v>
      </c>
    </row>
    <row r="224" spans="2:15" ht="20.25" customHeight="1" x14ac:dyDescent="0.25">
      <c r="B224" s="200"/>
      <c r="C224" s="200"/>
      <c r="D224" s="200"/>
      <c r="E224" s="200"/>
      <c r="F224" s="200"/>
      <c r="G224" s="200"/>
      <c r="H224" s="200"/>
      <c r="I224" s="200"/>
      <c r="K224" s="52">
        <v>4</v>
      </c>
      <c r="L224" s="53" t="str">
        <f ca="1">VLOOKUP(LARGE($K$200:$K$207,K224),$K$200:$L$207,2,0)</f>
        <v>Inseguridad con los iguales</v>
      </c>
      <c r="M224" s="54">
        <f t="shared" ca="1" si="7"/>
        <v>79</v>
      </c>
      <c r="N224" s="53" t="str">
        <f ca="1">VLOOKUP(L224,$L$200:$N$207,3,0)</f>
        <v>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c r="O224" s="52" t="str">
        <f ca="1">VLOOKUP(L224,$L$200:$O$207,4,0)</f>
        <v>Evalúa la tristeza y consternación por ser rechazado por los compañeros. Mide el deseo de aprobación y la tendencia al aislamiento debido a la incapacidad de obtener aceptación</v>
      </c>
    </row>
    <row r="225" spans="2:15" ht="20.25" customHeight="1" x14ac:dyDescent="0.25">
      <c r="B225" s="200"/>
      <c r="C225" s="200"/>
      <c r="D225" s="200"/>
      <c r="E225" s="200"/>
      <c r="F225" s="200"/>
      <c r="G225" s="200"/>
      <c r="H225" s="200"/>
      <c r="I225" s="200"/>
      <c r="L225" s="52"/>
      <c r="M225" s="52"/>
      <c r="N225" s="52"/>
    </row>
    <row r="226" spans="2:15" ht="20.25" customHeight="1" x14ac:dyDescent="0.25">
      <c r="B226" s="200"/>
      <c r="C226" s="200"/>
      <c r="D226" s="200"/>
      <c r="E226" s="200"/>
      <c r="F226" s="200"/>
      <c r="G226" s="200"/>
      <c r="H226" s="200"/>
      <c r="I226" s="200"/>
      <c r="L226" s="53" t="s">
        <v>435</v>
      </c>
      <c r="M226" s="54" t="s">
        <v>205</v>
      </c>
      <c r="N226" s="58" t="s">
        <v>258</v>
      </c>
      <c r="O226" s="59" t="s">
        <v>438</v>
      </c>
    </row>
    <row r="227" spans="2:15" ht="20.25" customHeight="1" x14ac:dyDescent="0.25">
      <c r="B227" s="200"/>
      <c r="C227" s="200"/>
      <c r="D227" s="200"/>
      <c r="E227" s="200"/>
      <c r="F227" s="200"/>
      <c r="G227" s="200"/>
      <c r="H227" s="200"/>
      <c r="I227" s="200"/>
      <c r="K227" s="52">
        <v>1</v>
      </c>
      <c r="L227" s="53" t="str" cm="1">
        <f t="array" aca="1" ref="L227" ca="1">IFERROR(VLOOKUP(SMALL(IF($K$200:$K$207&lt;=35,$K$200:$K$207),K227),$K$200:$L$207,2,0),"")</f>
        <v>Insensibilidad social</v>
      </c>
      <c r="M227" s="54" cm="1">
        <f t="array" aca="1" ref="M227" ca="1">IFERROR(ROUND(LARGE(IF($K$200:$K$207&lt;=35,$K$200:$K$207),K227),0),"")</f>
        <v>3</v>
      </c>
      <c r="N227" s="53" t="str">
        <f ca="1">IF(L227="","",VLOOKUP(L227,$L$200:$N$207,3,0))</f>
        <v>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c r="O227" s="52" t="str">
        <f ca="1">IF(L227="","",VLOOKUP(L227,$L$200:$O$207,4,0))</f>
        <v>Mide la frialdad e indiferencia hacia el bienestar de otros. Evalúa la falta de empatía y el escaso interés en construir vínculos personales cálidos o afectuosos</v>
      </c>
    </row>
    <row r="228" spans="2:15" ht="20.25" customHeight="1" x14ac:dyDescent="0.25">
      <c r="B228" s="200"/>
      <c r="C228" s="200"/>
      <c r="D228" s="200"/>
      <c r="E228" s="200"/>
      <c r="F228" s="200"/>
      <c r="G228" s="200"/>
      <c r="H228" s="200"/>
      <c r="I228" s="200"/>
      <c r="K228" s="52">
        <v>2</v>
      </c>
      <c r="L228" s="53" t="str" cm="1">
        <f t="array" aca="1" ref="L228" ca="1">IFERROR(VLOOKUP(SMALL(IF($K$200:$K$207&lt;=35,$K$200:$K$207),K228),$K$200:$L$207,2,0),"")</f>
        <v/>
      </c>
      <c r="M228" s="54" t="str" cm="1">
        <f t="array" aca="1" ref="M228" ca="1">IFERROR(ROUND(LARGE(IF($K$200:$K$207&lt;=35,$K$200:$K$207),K228),0),"")</f>
        <v/>
      </c>
      <c r="N228" s="53" t="str">
        <f ca="1">IF(L228="","",VLOOKUP(L228,$L$200:$N$207,3,0))</f>
        <v/>
      </c>
      <c r="O228" s="52" t="str">
        <f ca="1">IF(L228="","",VLOOKUP(L228,$L$200:$O$207,4,0))</f>
        <v/>
      </c>
    </row>
    <row r="229" spans="2:15" ht="20.25" customHeight="1" x14ac:dyDescent="0.25">
      <c r="B229" s="200"/>
      <c r="C229" s="200"/>
      <c r="D229" s="200"/>
      <c r="E229" s="200"/>
      <c r="F229" s="200"/>
      <c r="G229" s="200"/>
      <c r="H229" s="200"/>
      <c r="I229" s="200"/>
      <c r="N229" s="53"/>
    </row>
    <row r="230" spans="2:15" ht="20.25" customHeight="1" x14ac:dyDescent="0.25">
      <c r="B230" s="200"/>
      <c r="C230" s="200"/>
      <c r="D230" s="200"/>
      <c r="E230" s="200"/>
      <c r="F230" s="200"/>
      <c r="G230" s="200"/>
      <c r="H230" s="200"/>
      <c r="I230" s="200"/>
      <c r="N230" s="53"/>
    </row>
    <row r="231" spans="2:15" ht="20.25" customHeight="1" x14ac:dyDescent="0.25">
      <c r="B231" s="200"/>
      <c r="C231" s="200"/>
      <c r="D231" s="200"/>
      <c r="E231" s="200"/>
      <c r="F231" s="200"/>
      <c r="G231" s="200"/>
      <c r="H231" s="200"/>
      <c r="I231" s="200"/>
      <c r="N231" s="53"/>
    </row>
    <row r="232" spans="2:15" ht="20.25" customHeight="1" outlineLevel="1" x14ac:dyDescent="0.25">
      <c r="B232" s="200"/>
      <c r="C232" s="200"/>
      <c r="D232" s="200"/>
      <c r="E232" s="200"/>
      <c r="F232" s="200"/>
      <c r="G232" s="200"/>
      <c r="H232" s="200"/>
      <c r="I232" s="200"/>
      <c r="N232" s="53"/>
    </row>
    <row r="233" spans="2:15" ht="20.25" customHeight="1" outlineLevel="1" x14ac:dyDescent="0.25">
      <c r="B233" s="200"/>
      <c r="C233" s="200"/>
      <c r="D233" s="200"/>
      <c r="E233" s="200"/>
      <c r="F233" s="200"/>
      <c r="G233" s="200"/>
      <c r="H233" s="200"/>
      <c r="I233" s="200"/>
      <c r="N233" s="53"/>
    </row>
    <row r="234" spans="2:15" ht="20.25" customHeight="1" x14ac:dyDescent="0.25">
      <c r="B234" s="200" t="str">
        <f ca="1">+CONCATENATE("También se observa una puntuación de"," ",M220," ",M223,", ","en la escala de"," ",L223," (",O223,"). ","La puntuación obtenida"," ",N223)</f>
        <v>También se observa una puntuación de TB 98, en la escala de Desvalorización de sí mismo (Mide la insatisfacción con la imagen de sí mismo y los sentimientos de baja autoestima. Evalúa la percepción de tener poco que admirar en uno mismo y el temor a no alcanzar las expectativas). La puntuación obtenida 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c r="C234" s="200"/>
      <c r="D234" s="200"/>
      <c r="E234" s="200"/>
      <c r="F234" s="200"/>
      <c r="G234" s="200"/>
      <c r="H234" s="200"/>
      <c r="I234" s="200"/>
      <c r="N234" s="53"/>
    </row>
    <row r="235" spans="2:15" ht="20.25" customHeight="1" x14ac:dyDescent="0.25">
      <c r="B235" s="200"/>
      <c r="C235" s="200"/>
      <c r="D235" s="200"/>
      <c r="E235" s="200"/>
      <c r="F235" s="200"/>
      <c r="G235" s="200"/>
      <c r="H235" s="200"/>
      <c r="I235" s="200"/>
      <c r="N235" s="53"/>
    </row>
    <row r="236" spans="2:15" ht="20.25" customHeight="1" x14ac:dyDescent="0.25">
      <c r="B236" s="200"/>
      <c r="C236" s="200"/>
      <c r="D236" s="200"/>
      <c r="E236" s="200"/>
      <c r="F236" s="200"/>
      <c r="G236" s="200"/>
      <c r="H236" s="200"/>
      <c r="I236" s="200"/>
      <c r="N236" s="53"/>
    </row>
    <row r="237" spans="2:15" ht="20.25" customHeight="1" x14ac:dyDescent="0.25">
      <c r="B237" s="200"/>
      <c r="C237" s="200"/>
      <c r="D237" s="200"/>
      <c r="E237" s="200"/>
      <c r="F237" s="200"/>
      <c r="G237" s="200"/>
      <c r="H237" s="200"/>
      <c r="I237" s="200"/>
      <c r="N237" s="53"/>
    </row>
    <row r="238" spans="2:15" ht="20.25" customHeight="1" x14ac:dyDescent="0.25">
      <c r="B238" s="200"/>
      <c r="C238" s="200"/>
      <c r="D238" s="200"/>
      <c r="E238" s="200"/>
      <c r="F238" s="200"/>
      <c r="G238" s="200"/>
      <c r="H238" s="200"/>
      <c r="I238" s="200"/>
      <c r="N238" s="53"/>
    </row>
    <row r="239" spans="2:15" ht="20.25" customHeight="1" x14ac:dyDescent="0.25">
      <c r="B239" s="200"/>
      <c r="C239" s="200"/>
      <c r="D239" s="200"/>
      <c r="E239" s="200"/>
      <c r="F239" s="200"/>
      <c r="G239" s="200"/>
      <c r="H239" s="200"/>
      <c r="I239" s="200"/>
      <c r="N239" s="53"/>
    </row>
    <row r="240" spans="2:15" ht="20.25" customHeight="1" x14ac:dyDescent="0.25">
      <c r="B240" s="200"/>
      <c r="C240" s="200"/>
      <c r="D240" s="200"/>
      <c r="E240" s="200"/>
      <c r="F240" s="200"/>
      <c r="G240" s="200"/>
      <c r="H240" s="200"/>
      <c r="I240" s="200"/>
      <c r="N240" s="53"/>
    </row>
    <row r="241" spans="2:14" ht="20.25" customHeight="1" x14ac:dyDescent="0.25">
      <c r="B241" s="200"/>
      <c r="C241" s="200"/>
      <c r="D241" s="200"/>
      <c r="E241" s="200"/>
      <c r="F241" s="200"/>
      <c r="G241" s="200"/>
      <c r="H241" s="200"/>
      <c r="I241" s="200"/>
      <c r="N241" s="53"/>
    </row>
    <row r="242" spans="2:14" ht="20.25" customHeight="1" x14ac:dyDescent="0.25">
      <c r="B242" s="200"/>
      <c r="C242" s="200"/>
      <c r="D242" s="200"/>
      <c r="E242" s="200"/>
      <c r="F242" s="200"/>
      <c r="G242" s="200"/>
      <c r="H242" s="200"/>
      <c r="I242" s="200"/>
      <c r="N242" s="53"/>
    </row>
    <row r="243" spans="2:14" ht="20.25" customHeight="1" outlineLevel="1" x14ac:dyDescent="0.25">
      <c r="B243" s="200"/>
      <c r="C243" s="200"/>
      <c r="D243" s="200"/>
      <c r="E243" s="200"/>
      <c r="F243" s="200"/>
      <c r="G243" s="200"/>
      <c r="H243" s="200"/>
      <c r="I243" s="200"/>
      <c r="N243" s="53"/>
    </row>
    <row r="244" spans="2:14" ht="20.25" customHeight="1" outlineLevel="1" x14ac:dyDescent="0.25">
      <c r="B244" s="200"/>
      <c r="C244" s="200"/>
      <c r="D244" s="200"/>
      <c r="E244" s="200"/>
      <c r="F244" s="200"/>
      <c r="G244" s="200"/>
      <c r="H244" s="200"/>
      <c r="I244" s="200"/>
      <c r="N244" s="53"/>
    </row>
    <row r="245" spans="2:14" ht="20.25" customHeight="1" x14ac:dyDescent="0.25">
      <c r="B245" s="200" t="str">
        <f ca="1">+CONCATENATE("Por último, se observa una puntuación de"," ",M220," ",M224,", ","en la escala de"," ",L224," (",O224,"). ","La puntuación obtenida"," ",N224)</f>
        <v>Por último, se observa una puntuación de TB 79, en la escala de Inseguridad con los iguales (Evalúa la tristeza y consternación por ser rechazado por los compañeros. Mide el deseo de aprobación y la tendencia al aislamiento debido a la incapacidad de obtener aceptación). La puntuación obtenida 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c r="C245" s="200"/>
      <c r="D245" s="200"/>
      <c r="E245" s="200"/>
      <c r="F245" s="200"/>
      <c r="G245" s="200"/>
      <c r="H245" s="200"/>
      <c r="I245" s="200"/>
      <c r="N245" s="53"/>
    </row>
    <row r="246" spans="2:14" ht="20.25" customHeight="1" x14ac:dyDescent="0.25">
      <c r="B246" s="200"/>
      <c r="C246" s="200"/>
      <c r="D246" s="200"/>
      <c r="E246" s="200"/>
      <c r="F246" s="200"/>
      <c r="G246" s="200"/>
      <c r="H246" s="200"/>
      <c r="I246" s="200"/>
      <c r="N246" s="53"/>
    </row>
    <row r="247" spans="2:14" ht="20.25" customHeight="1" x14ac:dyDescent="0.25">
      <c r="B247" s="200"/>
      <c r="C247" s="200"/>
      <c r="D247" s="200"/>
      <c r="E247" s="200"/>
      <c r="F247" s="200"/>
      <c r="G247" s="200"/>
      <c r="H247" s="200"/>
      <c r="I247" s="200"/>
      <c r="N247" s="53"/>
    </row>
    <row r="248" spans="2:14" ht="20.25" customHeight="1" x14ac:dyDescent="0.25">
      <c r="B248" s="200"/>
      <c r="C248" s="200"/>
      <c r="D248" s="200"/>
      <c r="E248" s="200"/>
      <c r="F248" s="200"/>
      <c r="G248" s="200"/>
      <c r="H248" s="200"/>
      <c r="I248" s="200"/>
      <c r="N248" s="53"/>
    </row>
    <row r="249" spans="2:14" ht="20.25" customHeight="1" x14ac:dyDescent="0.25">
      <c r="B249" s="200"/>
      <c r="C249" s="200"/>
      <c r="D249" s="200"/>
      <c r="E249" s="200"/>
      <c r="F249" s="200"/>
      <c r="G249" s="200"/>
      <c r="H249" s="200"/>
      <c r="I249" s="200"/>
      <c r="N249" s="53"/>
    </row>
    <row r="250" spans="2:14" ht="20.25" customHeight="1" x14ac:dyDescent="0.25">
      <c r="B250" s="200"/>
      <c r="C250" s="200"/>
      <c r="D250" s="200"/>
      <c r="E250" s="200"/>
      <c r="F250" s="200"/>
      <c r="G250" s="200"/>
      <c r="H250" s="200"/>
      <c r="I250" s="200"/>
      <c r="N250" s="53"/>
    </row>
    <row r="251" spans="2:14" ht="20.25" customHeight="1" x14ac:dyDescent="0.25">
      <c r="B251" s="200"/>
      <c r="C251" s="200"/>
      <c r="D251" s="200"/>
      <c r="E251" s="200"/>
      <c r="F251" s="200"/>
      <c r="G251" s="200"/>
      <c r="H251" s="200"/>
      <c r="I251" s="200"/>
      <c r="N251" s="53"/>
    </row>
    <row r="252" spans="2:14" ht="20.25" customHeight="1" x14ac:dyDescent="0.25">
      <c r="B252" s="200"/>
      <c r="C252" s="200"/>
      <c r="D252" s="200"/>
      <c r="E252" s="200"/>
      <c r="F252" s="200"/>
      <c r="G252" s="200"/>
      <c r="H252" s="200"/>
      <c r="I252" s="200"/>
      <c r="N252" s="53"/>
    </row>
    <row r="253" spans="2:14" ht="20.25" customHeight="1" outlineLevel="1" x14ac:dyDescent="0.25">
      <c r="B253" s="200"/>
      <c r="C253" s="200"/>
      <c r="D253" s="200"/>
      <c r="E253" s="200"/>
      <c r="F253" s="200"/>
      <c r="G253" s="200"/>
      <c r="H253" s="200"/>
      <c r="I253" s="200"/>
      <c r="N253" s="53"/>
    </row>
    <row r="254" spans="2:14" ht="20.25" customHeight="1" outlineLevel="1" x14ac:dyDescent="0.25">
      <c r="B254" s="200"/>
      <c r="C254" s="200"/>
      <c r="D254" s="200"/>
      <c r="E254" s="200"/>
      <c r="F254" s="200"/>
      <c r="G254" s="200"/>
      <c r="H254" s="200"/>
      <c r="I254" s="200"/>
      <c r="N254" s="53"/>
    </row>
    <row r="255" spans="2:14" ht="20.25" customHeight="1" outlineLevel="1" x14ac:dyDescent="0.25">
      <c r="B255" s="200"/>
      <c r="C255" s="200"/>
      <c r="D255" s="200"/>
      <c r="E255" s="200"/>
      <c r="F255" s="200"/>
      <c r="G255" s="200"/>
      <c r="H255" s="200"/>
      <c r="I255" s="200"/>
      <c r="N255" s="53"/>
    </row>
    <row r="256" spans="2:14" ht="20.25" customHeight="1" x14ac:dyDescent="0.25">
      <c r="B256" s="60"/>
      <c r="C256" s="60"/>
      <c r="D256" s="60"/>
      <c r="E256" s="60"/>
      <c r="F256" s="60"/>
      <c r="G256" s="60"/>
      <c r="H256" s="60"/>
      <c r="I256" s="60"/>
      <c r="N256" s="53"/>
    </row>
    <row r="257" spans="2:14" ht="20.25" customHeight="1" x14ac:dyDescent="0.25">
      <c r="B257" s="62" t="s">
        <v>436</v>
      </c>
      <c r="C257" s="60"/>
      <c r="D257" s="60"/>
      <c r="E257" s="60"/>
      <c r="F257" s="60"/>
      <c r="G257" s="60"/>
      <c r="H257" s="60"/>
      <c r="I257" s="60"/>
      <c r="N257" s="53"/>
    </row>
    <row r="258" spans="2:14" ht="20.25" customHeight="1" x14ac:dyDescent="0.25">
      <c r="B258" s="68" t="s">
        <v>437</v>
      </c>
      <c r="C258" s="60"/>
      <c r="D258" s="60"/>
      <c r="E258" s="60"/>
      <c r="F258" s="60"/>
      <c r="G258" s="60"/>
      <c r="H258" s="60"/>
      <c r="I258" s="60"/>
      <c r="N258" s="53"/>
    </row>
    <row r="259" spans="2:14" ht="20.25" customHeight="1" x14ac:dyDescent="0.25">
      <c r="B259" s="65"/>
      <c r="C259" s="60"/>
      <c r="D259" s="60"/>
      <c r="E259" s="60"/>
      <c r="F259" s="60"/>
      <c r="G259" s="60"/>
      <c r="H259" s="60"/>
      <c r="I259" s="60"/>
      <c r="N259" s="53"/>
    </row>
    <row r="260" spans="2:14" ht="20.25" customHeight="1" x14ac:dyDescent="0.25">
      <c r="B260" s="202" t="str">
        <f ca="1">IF(OR(M227="",L227="",O227="",N227=""),"No reporta Tasas Base (TB) menores o iguales a 35 como puntos fuertes",CONCATENATE("Se observa una puntuación de "," ","TB"," ",M227,", ","en la escala de "," ",L227," (",O227,"). ","En este caso, la baja puntuación indica que "," ",N227))</f>
        <v>Se observa una puntuación de  TB 3, en la escala de  Insensibilidad social (Mide la frialdad e indiferencia hacia el bienestar de otros. Evalúa la falta de empatía y el escaso interés en construir vínculos personales cálidos o afectuosos). En este caso, la baja puntuación indica que  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c r="C260" s="202"/>
      <c r="D260" s="202"/>
      <c r="E260" s="202"/>
      <c r="F260" s="202"/>
      <c r="G260" s="202"/>
      <c r="H260" s="202"/>
      <c r="I260" s="202"/>
      <c r="N260" s="53"/>
    </row>
    <row r="261" spans="2:14" ht="20.25" customHeight="1" x14ac:dyDescent="0.25">
      <c r="B261" s="202"/>
      <c r="C261" s="202"/>
      <c r="D261" s="202"/>
      <c r="E261" s="202"/>
      <c r="F261" s="202"/>
      <c r="G261" s="202"/>
      <c r="H261" s="202"/>
      <c r="I261" s="202"/>
      <c r="N261" s="53"/>
    </row>
    <row r="262" spans="2:14" ht="20.25" customHeight="1" x14ac:dyDescent="0.25">
      <c r="B262" s="202"/>
      <c r="C262" s="202"/>
      <c r="D262" s="202"/>
      <c r="E262" s="202"/>
      <c r="F262" s="202"/>
      <c r="G262" s="202"/>
      <c r="H262" s="202"/>
      <c r="I262" s="202"/>
      <c r="N262" s="53"/>
    </row>
    <row r="263" spans="2:14" ht="20.25" customHeight="1" x14ac:dyDescent="0.25">
      <c r="B263" s="202"/>
      <c r="C263" s="202"/>
      <c r="D263" s="202"/>
      <c r="E263" s="202"/>
      <c r="F263" s="202"/>
      <c r="G263" s="202"/>
      <c r="H263" s="202"/>
      <c r="I263" s="202"/>
      <c r="N263" s="53"/>
    </row>
    <row r="264" spans="2:14" ht="20.25" customHeight="1" x14ac:dyDescent="0.25">
      <c r="B264" s="202"/>
      <c r="C264" s="202"/>
      <c r="D264" s="202"/>
      <c r="E264" s="202"/>
      <c r="F264" s="202"/>
      <c r="G264" s="202"/>
      <c r="H264" s="202"/>
      <c r="I264" s="202"/>
      <c r="N264" s="53"/>
    </row>
    <row r="265" spans="2:14" ht="20.25" customHeight="1" x14ac:dyDescent="0.25">
      <c r="B265" s="202"/>
      <c r="C265" s="202"/>
      <c r="D265" s="202"/>
      <c r="E265" s="202"/>
      <c r="F265" s="202"/>
      <c r="G265" s="202"/>
      <c r="H265" s="202"/>
      <c r="I265" s="202"/>
      <c r="N265" s="53"/>
    </row>
    <row r="266" spans="2:14" ht="20.25" customHeight="1" outlineLevel="1" x14ac:dyDescent="0.25">
      <c r="B266" s="202"/>
      <c r="C266" s="202"/>
      <c r="D266" s="202"/>
      <c r="E266" s="202"/>
      <c r="F266" s="202"/>
      <c r="G266" s="202"/>
      <c r="H266" s="202"/>
      <c r="I266" s="202"/>
      <c r="N266" s="53"/>
    </row>
    <row r="267" spans="2:14" ht="20.25" customHeight="1" outlineLevel="1" x14ac:dyDescent="0.25">
      <c r="B267" s="202"/>
      <c r="C267" s="202"/>
      <c r="D267" s="202"/>
      <c r="E267" s="202"/>
      <c r="F267" s="202"/>
      <c r="G267" s="202"/>
      <c r="H267" s="202"/>
      <c r="I267" s="202"/>
      <c r="N267" s="53"/>
    </row>
    <row r="268" spans="2:14" ht="20.25" customHeight="1" x14ac:dyDescent="0.25">
      <c r="B268" s="69"/>
      <c r="C268" s="69"/>
      <c r="D268" s="69"/>
      <c r="E268" s="69"/>
      <c r="F268" s="69"/>
      <c r="G268" s="69"/>
      <c r="H268" s="69"/>
      <c r="I268" s="69"/>
      <c r="N268" s="53"/>
    </row>
    <row r="269" spans="2:14" ht="20.25" customHeight="1" x14ac:dyDescent="0.25">
      <c r="B269" s="202" t="str">
        <f ca="1">IF(OR(M228="",L228="",O228="",N228=""),"",CONCATENATE("Finalmente, se observa una puntuación de "," ","TB"," ",M228,", ","en la escala de "," ",L228," (",O228,"). ","En este caso, la baja puntuación indica que "," ",N228))</f>
        <v/>
      </c>
      <c r="C269" s="202"/>
      <c r="D269" s="202"/>
      <c r="E269" s="202"/>
      <c r="F269" s="202"/>
      <c r="G269" s="202"/>
      <c r="H269" s="202"/>
      <c r="I269" s="202"/>
      <c r="N269" s="53"/>
    </row>
    <row r="270" spans="2:14" ht="20.25" customHeight="1" x14ac:dyDescent="0.25">
      <c r="B270" s="202"/>
      <c r="C270" s="202"/>
      <c r="D270" s="202"/>
      <c r="E270" s="202"/>
      <c r="F270" s="202"/>
      <c r="G270" s="202"/>
      <c r="H270" s="202"/>
      <c r="I270" s="202"/>
      <c r="N270" s="53"/>
    </row>
    <row r="271" spans="2:14" ht="20.25" customHeight="1" x14ac:dyDescent="0.25">
      <c r="B271" s="202"/>
      <c r="C271" s="202"/>
      <c r="D271" s="202"/>
      <c r="E271" s="202"/>
      <c r="F271" s="202"/>
      <c r="G271" s="202"/>
      <c r="H271" s="202"/>
      <c r="I271" s="202"/>
      <c r="N271" s="53"/>
    </row>
    <row r="272" spans="2:14" ht="20.25" customHeight="1" x14ac:dyDescent="0.25">
      <c r="B272" s="202"/>
      <c r="C272" s="202"/>
      <c r="D272" s="202"/>
      <c r="E272" s="202"/>
      <c r="F272" s="202"/>
      <c r="G272" s="202"/>
      <c r="H272" s="202"/>
      <c r="I272" s="202"/>
      <c r="N272" s="53"/>
    </row>
    <row r="273" spans="2:14" ht="20.25" customHeight="1" x14ac:dyDescent="0.25">
      <c r="B273" s="202"/>
      <c r="C273" s="202"/>
      <c r="D273" s="202"/>
      <c r="E273" s="202"/>
      <c r="F273" s="202"/>
      <c r="G273" s="202"/>
      <c r="H273" s="202"/>
      <c r="I273" s="202"/>
      <c r="N273" s="53"/>
    </row>
    <row r="274" spans="2:14" ht="20.25" customHeight="1" x14ac:dyDescent="0.25">
      <c r="B274" s="202"/>
      <c r="C274" s="202"/>
      <c r="D274" s="202"/>
      <c r="E274" s="202"/>
      <c r="F274" s="202"/>
      <c r="G274" s="202"/>
      <c r="H274" s="202"/>
      <c r="I274" s="202"/>
      <c r="N274" s="53"/>
    </row>
    <row r="275" spans="2:14" ht="20.25" customHeight="1" x14ac:dyDescent="0.25">
      <c r="B275" s="202"/>
      <c r="C275" s="202"/>
      <c r="D275" s="202"/>
      <c r="E275" s="202"/>
      <c r="F275" s="202"/>
      <c r="G275" s="202"/>
      <c r="H275" s="202"/>
      <c r="I275" s="202"/>
      <c r="N275" s="53"/>
    </row>
    <row r="276" spans="2:14" ht="20.25" customHeight="1" x14ac:dyDescent="0.25">
      <c r="B276" s="202"/>
      <c r="C276" s="202"/>
      <c r="D276" s="202"/>
      <c r="E276" s="202"/>
      <c r="F276" s="202"/>
      <c r="G276" s="202"/>
      <c r="H276" s="202"/>
      <c r="I276" s="202"/>
      <c r="N276" s="53"/>
    </row>
    <row r="277" spans="2:14" ht="20.25" customHeight="1" collapsed="1" x14ac:dyDescent="0.25">
      <c r="B277" s="201" t="str">
        <f>+CONCATENATE('Inicio '!C9," ","identificó las siguientes problemáticas que le generan mayor preocupación:",)</f>
        <v>Amy Bridgit Cotrina Alvarado identificó las siguientes problemáticas que le generan mayor preocupación:</v>
      </c>
      <c r="C277" s="201"/>
      <c r="D277" s="201"/>
      <c r="E277" s="201"/>
      <c r="F277" s="201"/>
      <c r="G277" s="201"/>
      <c r="H277" s="201"/>
      <c r="I277" s="201"/>
      <c r="N277" s="53"/>
    </row>
    <row r="278" spans="2:14" ht="20.25" customHeight="1" x14ac:dyDescent="0.25">
      <c r="B278" s="70"/>
      <c r="C278" s="60"/>
      <c r="D278" s="60"/>
      <c r="E278" s="60"/>
      <c r="F278" s="60"/>
      <c r="G278" s="60"/>
      <c r="H278" s="60"/>
      <c r="I278" s="60"/>
      <c r="N278" s="53"/>
    </row>
    <row r="279" spans="2:14" ht="20.25" customHeight="1" x14ac:dyDescent="0.25">
      <c r="B279" s="61" t="str">
        <f>+'Inicio '!O21</f>
        <v>Problemas familiares</v>
      </c>
      <c r="C279" s="60"/>
      <c r="D279" s="60"/>
      <c r="E279" s="60"/>
      <c r="F279" s="60"/>
      <c r="G279" s="60"/>
      <c r="H279" s="60"/>
      <c r="I279" s="60"/>
      <c r="N279" s="53"/>
    </row>
    <row r="280" spans="2:14" ht="20.25" customHeight="1" x14ac:dyDescent="0.25">
      <c r="B280" s="61" t="str">
        <f>+'Inicio '!O22</f>
        <v>Trabajo, estudios o empleo</v>
      </c>
      <c r="C280" s="60"/>
      <c r="D280" s="60"/>
      <c r="E280" s="60"/>
      <c r="F280" s="60"/>
      <c r="G280" s="60"/>
      <c r="H280" s="60"/>
      <c r="I280" s="60"/>
      <c r="N280" s="53"/>
    </row>
    <row r="281" spans="2:14" ht="20.25" customHeight="1" x14ac:dyDescent="0.25">
      <c r="B281" s="61" t="str">
        <f>+'Inicio '!O23</f>
        <v>Soledad</v>
      </c>
      <c r="C281" s="60"/>
      <c r="D281" s="60"/>
      <c r="E281" s="60"/>
      <c r="F281" s="60"/>
      <c r="G281" s="60"/>
      <c r="H281" s="60"/>
      <c r="I281" s="60"/>
      <c r="N281" s="53"/>
    </row>
    <row r="282" spans="2:14" ht="20.25" customHeight="1" x14ac:dyDescent="0.25">
      <c r="B282" s="61" t="str">
        <f>+'Inicio '!O24</f>
        <v>Estado de ánimo</v>
      </c>
      <c r="C282" s="60"/>
      <c r="D282" s="60"/>
      <c r="E282" s="60"/>
      <c r="F282" s="60"/>
      <c r="G282" s="60"/>
      <c r="H282" s="60"/>
      <c r="I282" s="60"/>
      <c r="N282" s="53"/>
    </row>
    <row r="283" spans="2:14" ht="20.25" customHeight="1" x14ac:dyDescent="0.25">
      <c r="B283" s="61" t="str">
        <f>+'Inicio '!O25</f>
        <v xml:space="preserve">Confianza en ti mismo </v>
      </c>
      <c r="C283" s="60"/>
      <c r="D283" s="60"/>
      <c r="E283" s="60"/>
      <c r="F283" s="60"/>
      <c r="G283" s="60"/>
      <c r="H283" s="60"/>
      <c r="I283" s="60"/>
      <c r="N283" s="53"/>
    </row>
    <row r="284" spans="2:14" ht="20.25" customHeight="1" x14ac:dyDescent="0.25">
      <c r="B284" s="61" t="str">
        <f>+'Inicio '!O26</f>
        <v>Cansancio o enfermedad</v>
      </c>
      <c r="C284" s="60"/>
      <c r="D284" s="60"/>
      <c r="E284" s="60"/>
      <c r="F284" s="60"/>
      <c r="G284" s="60"/>
      <c r="H284" s="60"/>
      <c r="I284" s="60"/>
      <c r="N284" s="53"/>
    </row>
    <row r="285" spans="2:14" ht="20.25" customHeight="1" x14ac:dyDescent="0.25">
      <c r="B285" s="61" t="str">
        <f>+'Inicio '!O27</f>
        <v/>
      </c>
      <c r="C285" s="60"/>
      <c r="D285" s="60"/>
      <c r="E285" s="60"/>
      <c r="F285" s="60"/>
      <c r="G285" s="60"/>
      <c r="H285" s="60"/>
      <c r="I285" s="60"/>
      <c r="N285" s="53"/>
    </row>
    <row r="286" spans="2:14" ht="20.25" customHeight="1" x14ac:dyDescent="0.25">
      <c r="B286" s="61" t="str">
        <f>+'Inicio '!O28</f>
        <v/>
      </c>
      <c r="C286" s="60"/>
      <c r="D286" s="60"/>
      <c r="E286" s="60"/>
      <c r="F286" s="60"/>
      <c r="G286" s="60"/>
      <c r="H286" s="60"/>
      <c r="I286" s="60"/>
      <c r="N286" s="53"/>
    </row>
    <row r="287" spans="2:14" ht="20.25" customHeight="1" x14ac:dyDescent="0.25">
      <c r="B287" s="61" t="str">
        <f>+'Inicio '!O29</f>
        <v>Problemas mentales</v>
      </c>
      <c r="C287" s="60"/>
      <c r="D287" s="60"/>
      <c r="E287" s="60"/>
      <c r="F287" s="60"/>
      <c r="G287" s="60"/>
      <c r="H287" s="60"/>
      <c r="I287" s="60"/>
      <c r="N287" s="53"/>
    </row>
    <row r="288" spans="2:14" ht="20.25" customHeight="1" x14ac:dyDescent="0.25">
      <c r="B288" s="61" t="str">
        <f>+'Inicio '!O30</f>
        <v>Conducta antisocial</v>
      </c>
      <c r="C288" s="60"/>
      <c r="D288" s="60"/>
      <c r="E288" s="60"/>
      <c r="F288" s="60"/>
      <c r="G288" s="60"/>
      <c r="H288" s="60"/>
      <c r="I288" s="60"/>
      <c r="N288" s="53"/>
    </row>
    <row r="289" spans="2:14" ht="20.25" customHeight="1" x14ac:dyDescent="0.25">
      <c r="B289" s="53" t="str">
        <f>IF('Inicio '!O31="", "", IF('Inicio '!O31=0, "", 'Inicio '!O31))</f>
        <v/>
      </c>
      <c r="C289" s="60"/>
      <c r="D289" s="60"/>
      <c r="E289" s="60"/>
      <c r="F289" s="60"/>
      <c r="G289" s="60"/>
      <c r="H289" s="60"/>
      <c r="I289" s="60"/>
      <c r="N289" s="53"/>
    </row>
    <row r="290" spans="2:14" ht="20.25" customHeight="1" x14ac:dyDescent="0.25">
      <c r="B290" s="61"/>
      <c r="C290" s="60"/>
      <c r="D290" s="60"/>
      <c r="E290" s="60"/>
      <c r="F290" s="60"/>
      <c r="G290" s="60"/>
      <c r="H290" s="60"/>
      <c r="I290" s="60"/>
      <c r="N290" s="53"/>
    </row>
    <row r="291" spans="2:14" ht="20.25" customHeight="1" x14ac:dyDescent="0.25">
      <c r="B291" s="203" t="s">
        <v>404</v>
      </c>
      <c r="C291" s="203"/>
      <c r="D291" s="203"/>
      <c r="E291" s="203"/>
      <c r="F291" s="203"/>
      <c r="G291" s="203"/>
      <c r="H291" s="203"/>
      <c r="I291" s="203"/>
    </row>
    <row r="292" spans="2:14" ht="20.25" customHeight="1" x14ac:dyDescent="0.25">
      <c r="B292" s="204" t="str">
        <f>CONCATENATE(Perfil!F3," ","contestó a los siguientes ítems que sugieren áreas problemáticas específicas que requieren investigar:")</f>
        <v>Amy Bridgit Cotrina Alvarado contestó a los siguientes ítems que sugieren áreas problemáticas específicas que requieren investigar:</v>
      </c>
      <c r="C292" s="204"/>
      <c r="D292" s="204"/>
      <c r="E292" s="204"/>
      <c r="F292" s="204"/>
      <c r="G292" s="204"/>
      <c r="H292" s="204"/>
      <c r="I292" s="204"/>
    </row>
    <row r="293" spans="2:14" ht="20.25" customHeight="1" x14ac:dyDescent="0.25">
      <c r="B293" s="208" t="s">
        <v>191</v>
      </c>
      <c r="C293" s="208"/>
      <c r="D293" s="208"/>
      <c r="E293" s="208"/>
      <c r="F293" s="208"/>
      <c r="G293" s="208"/>
      <c r="H293" s="208"/>
      <c r="I293" s="71"/>
    </row>
    <row r="294" spans="2:14" ht="20.25" customHeight="1" x14ac:dyDescent="0.25">
      <c r="B294" s="207" t="str">
        <f>+IF('Ingreso de Datos'!F63=1,"No creo tener tanto interés por el sexo como la gente de mi edad."," ")</f>
        <v>No creo tener tanto interés por el sexo como la gente de mi edad.</v>
      </c>
      <c r="C294" s="207"/>
      <c r="D294" s="207"/>
      <c r="E294" s="207"/>
      <c r="F294" s="207"/>
      <c r="G294" s="207"/>
      <c r="H294" s="207"/>
      <c r="I294" s="207"/>
    </row>
    <row r="295" spans="2:14" ht="20.25" customHeight="1" x14ac:dyDescent="0.25">
      <c r="B295" s="201" t="str">
        <f>+IF('Ingreso de Datos'!F71=2,"Me incomoda coquetear (ligar).","")</f>
        <v>Me incomoda coquetear (ligar).</v>
      </c>
      <c r="C295" s="201"/>
      <c r="D295" s="201"/>
      <c r="E295" s="201"/>
      <c r="F295" s="201"/>
      <c r="G295" s="201"/>
      <c r="H295" s="201"/>
      <c r="I295" s="201"/>
    </row>
    <row r="296" spans="2:14" ht="20.25" customHeight="1" x14ac:dyDescent="0.25">
      <c r="B296" s="201" t="str">
        <f>+IF('Ingreso de Datos'!F74=2,"Me incomoda pensar en el sexo.","")</f>
        <v>Me incomoda pensar en el sexo.</v>
      </c>
      <c r="C296" s="201"/>
      <c r="D296" s="201"/>
      <c r="E296" s="201"/>
      <c r="F296" s="201"/>
      <c r="G296" s="201"/>
      <c r="H296" s="201"/>
      <c r="I296" s="201"/>
    </row>
    <row r="297" spans="2:14" ht="20.25" customHeight="1" x14ac:dyDescent="0.25">
      <c r="B297" s="201" t="str">
        <f>+IF('Ingreso de Datos'!F106=2,"Me incomoda pensar que el sexo es placentero."," ")</f>
        <v>Me incomoda pensar que el sexo es placentero.</v>
      </c>
      <c r="C297" s="201"/>
      <c r="D297" s="201"/>
      <c r="E297" s="201"/>
      <c r="F297" s="201"/>
      <c r="G297" s="201"/>
      <c r="H297" s="201"/>
      <c r="I297" s="201"/>
    </row>
    <row r="298" spans="2:14" ht="20.25" customHeight="1" x14ac:dyDescent="0.25">
      <c r="B298" s="201" t="str">
        <f>+IF('Ingreso de Datos'!F128=1,"Muchas veces me desconcierta pensar en el sexo","")</f>
        <v/>
      </c>
      <c r="C298" s="201"/>
      <c r="D298" s="201"/>
      <c r="E298" s="201"/>
      <c r="F298" s="201"/>
      <c r="G298" s="201"/>
      <c r="H298" s="201"/>
      <c r="I298" s="201"/>
    </row>
    <row r="299" spans="2:14" ht="20.25" customHeight="1" x14ac:dyDescent="0.25">
      <c r="B299" s="201" t="str">
        <f>IF('Ingreso de Datos'!F143=2,"Me incomoda con la forma en que mi cuerpo se ha desarrollado.","")</f>
        <v>Me incomoda con la forma en que mi cuerpo se ha desarrollado.</v>
      </c>
      <c r="C299" s="201"/>
      <c r="D299" s="201"/>
      <c r="E299" s="201"/>
      <c r="F299" s="201"/>
      <c r="G299" s="201"/>
      <c r="H299" s="201"/>
      <c r="I299" s="201"/>
    </row>
    <row r="300" spans="2:14" ht="20.25" customHeight="1" x14ac:dyDescent="0.25">
      <c r="B300" s="201" t="str">
        <f>IF('Ingreso de Datos'!F155=2,"Me incomoda que los sentimientos acerca del sexo se hayan convertido en una parte de mi vida.","")</f>
        <v>Me incomoda que los sentimientos acerca del sexo se hayan convertido en una parte de mi vida.</v>
      </c>
      <c r="C300" s="201"/>
      <c r="D300" s="201"/>
      <c r="E300" s="201"/>
      <c r="F300" s="201"/>
      <c r="G300" s="201"/>
      <c r="H300" s="201"/>
      <c r="I300" s="201"/>
    </row>
    <row r="301" spans="2:14" ht="20.25" customHeight="1" x14ac:dyDescent="0.25">
      <c r="I301" s="61"/>
    </row>
    <row r="302" spans="2:14" ht="20.25" customHeight="1" x14ac:dyDescent="0.25">
      <c r="B302" s="209" t="s">
        <v>195</v>
      </c>
      <c r="C302" s="209"/>
      <c r="D302" s="209"/>
      <c r="E302" s="209"/>
      <c r="F302" s="209"/>
      <c r="G302" s="209"/>
      <c r="H302" s="209"/>
      <c r="I302" s="72"/>
    </row>
    <row r="303" spans="2:14" ht="20.25" customHeight="1" x14ac:dyDescent="0.25">
      <c r="B303" s="207" t="str">
        <f>+IF('Ingreso de Datos'!F67=2,"He sido abusado sexualmente.","")</f>
        <v/>
      </c>
      <c r="C303" s="207"/>
      <c r="D303" s="207"/>
      <c r="E303" s="207"/>
      <c r="F303" s="207"/>
      <c r="G303" s="207"/>
      <c r="H303" s="207"/>
      <c r="I303" s="207"/>
    </row>
    <row r="304" spans="2:14" ht="20.25" customHeight="1" x14ac:dyDescent="0.25">
      <c r="B304" s="201" t="str">
        <f>+IF('Ingreso de Datos'!F26=1,"Me da mucha vergüenza contarles a otras personas cómo abusaron de mí."," ")</f>
        <v>Me da mucha vergüenza contarles a otras personas cómo abusaron de mí.</v>
      </c>
      <c r="C304" s="201"/>
      <c r="D304" s="201"/>
      <c r="E304" s="201"/>
      <c r="F304" s="201"/>
      <c r="G304" s="201"/>
      <c r="H304" s="201"/>
      <c r="I304" s="201"/>
    </row>
    <row r="305" spans="2:9" ht="20.25" customHeight="1" x14ac:dyDescent="0.25">
      <c r="B305" s="201" t="str">
        <f>+IF('Ingreso de Datos'!F141=1,"Me avergüenzo de algunas cosas terribles que me han hecho los adultos."," ")</f>
        <v>Me avergüenzo de algunas cosas terribles que me han hecho los adultos.</v>
      </c>
      <c r="C305" s="201"/>
      <c r="D305" s="201"/>
      <c r="E305" s="201"/>
      <c r="F305" s="201"/>
      <c r="G305" s="201"/>
      <c r="H305" s="201"/>
      <c r="I305" s="201"/>
    </row>
    <row r="306" spans="2:9" ht="20.25" customHeight="1" x14ac:dyDescent="0.25">
      <c r="B306" s="201" t="str">
        <f>+IF('Ingreso de Datos'!F149=1,"Hubo personas que hicieron cosas sexuales conmigo cuando yo, todavía, no podía entender.","")</f>
        <v/>
      </c>
      <c r="C306" s="201"/>
      <c r="D306" s="201"/>
      <c r="E306" s="201"/>
      <c r="F306" s="201"/>
      <c r="G306" s="201"/>
      <c r="H306" s="201"/>
      <c r="I306" s="201"/>
    </row>
    <row r="307" spans="2:9" ht="20.25" customHeight="1" x14ac:dyDescent="0.25">
      <c r="B307" s="201" t="str">
        <f>+IF('Ingreso de Datos'!F135=1,"He intentado suicidarme, en el pasado.","")</f>
        <v>He intentado suicidarme, en el pasado.</v>
      </c>
      <c r="C307" s="201"/>
      <c r="D307" s="201"/>
      <c r="E307" s="201"/>
      <c r="F307" s="201"/>
      <c r="G307" s="201"/>
      <c r="H307" s="201"/>
      <c r="I307" s="201"/>
    </row>
    <row r="308" spans="2:9" ht="20.25" customHeight="1" x14ac:dyDescent="0.25">
      <c r="B308" s="201" t="str">
        <f>+IF('Ingreso de Datos'!F84=1,"Odio recordar alguna de las formas en que abusaron de mí.","")</f>
        <v>Odio recordar alguna de las formas en que abusaron de mí.</v>
      </c>
      <c r="C308" s="201"/>
      <c r="D308" s="201"/>
      <c r="E308" s="201"/>
      <c r="F308" s="201"/>
      <c r="G308" s="201"/>
      <c r="H308" s="201"/>
      <c r="I308" s="201"/>
    </row>
    <row r="309" spans="2:9" ht="20.25" customHeight="1" x14ac:dyDescent="0.25">
      <c r="B309" s="201" t="str">
        <f>+IF('Ingreso de Datos'!F165=1,"La mayor parte del tiempo me siento solo y vacío.","")</f>
        <v>La mayor parte del tiempo me siento solo y vacío.</v>
      </c>
      <c r="C309" s="201"/>
      <c r="D309" s="201"/>
      <c r="E309" s="201"/>
      <c r="F309" s="201"/>
      <c r="G309" s="201"/>
      <c r="H309" s="201"/>
      <c r="I309" s="201"/>
    </row>
    <row r="310" spans="2:9" ht="20.25" customHeight="1" x14ac:dyDescent="0.25">
      <c r="B310" s="201"/>
      <c r="C310" s="201"/>
      <c r="D310" s="201"/>
      <c r="E310" s="201"/>
      <c r="F310" s="201"/>
      <c r="G310" s="201"/>
      <c r="H310" s="201"/>
      <c r="I310" s="201"/>
    </row>
    <row r="311" spans="2:9" ht="20.25" customHeight="1" x14ac:dyDescent="0.25">
      <c r="B311" s="73" t="s">
        <v>462</v>
      </c>
      <c r="C311" s="74"/>
      <c r="D311" s="74"/>
      <c r="E311" s="74"/>
      <c r="F311" s="74"/>
      <c r="G311" s="74"/>
      <c r="H311" s="74"/>
      <c r="I311" s="74"/>
    </row>
    <row r="312" spans="2:9" ht="20.25" customHeight="1" x14ac:dyDescent="0.25">
      <c r="B312" s="61" t="str">
        <f>+IF('Ingreso de Datos'!F74=1,"Disfruto pensando en el sexo.","")</f>
        <v/>
      </c>
    </row>
    <row r="313" spans="2:9" ht="20.25" customHeight="1" x14ac:dyDescent="0.25">
      <c r="B313" s="52" t="str">
        <f>+IF('Ingreso de Datos'!F106=1,"El sexo es algo placentero.","")</f>
        <v/>
      </c>
      <c r="C313" s="61"/>
      <c r="D313" s="61"/>
      <c r="E313" s="61"/>
      <c r="F313" s="61"/>
      <c r="G313" s="61"/>
      <c r="H313" s="61"/>
      <c r="I313" s="61"/>
    </row>
    <row r="314" spans="2:9" ht="20.25" customHeight="1" x14ac:dyDescent="0.25">
      <c r="B314" s="52" t="str">
        <f>+IF('Ingreso de Datos'!F71=1,"Me gusta mucho coquetear (ligar)","")</f>
        <v/>
      </c>
    </row>
    <row r="315" spans="2:9" ht="20.25" customHeight="1" x14ac:dyDescent="0.25">
      <c r="B315" s="52" t="str">
        <f>+IF('Ingreso de Datos'!F155=1,"Mee agrada que ahora los sentimientos acerca del sexo se hayan convertido en una parte de mi vida","")</f>
        <v/>
      </c>
    </row>
  </sheetData>
  <sheetProtection formatRows="0"/>
  <dataConsolidate/>
  <mergeCells count="47">
    <mergeCell ref="B310:I310"/>
    <mergeCell ref="B21:I25"/>
    <mergeCell ref="B27:I32"/>
    <mergeCell ref="B35:I36"/>
    <mergeCell ref="B37:I57"/>
    <mergeCell ref="B119:I137"/>
    <mergeCell ref="B85:I102"/>
    <mergeCell ref="B83:I84"/>
    <mergeCell ref="B60:I64"/>
    <mergeCell ref="B65:I82"/>
    <mergeCell ref="B103:I118"/>
    <mergeCell ref="B308:I308"/>
    <mergeCell ref="B199:I203"/>
    <mergeCell ref="B204:I219"/>
    <mergeCell ref="B223:I233"/>
    <mergeCell ref="B234:I244"/>
    <mergeCell ref="B2:I2"/>
    <mergeCell ref="B5:I7"/>
    <mergeCell ref="B10:I13"/>
    <mergeCell ref="B15:I19"/>
    <mergeCell ref="B309:I309"/>
    <mergeCell ref="B303:I303"/>
    <mergeCell ref="B304:I304"/>
    <mergeCell ref="B293:H293"/>
    <mergeCell ref="B302:H302"/>
    <mergeCell ref="B294:I294"/>
    <mergeCell ref="B295:I295"/>
    <mergeCell ref="B300:I300"/>
    <mergeCell ref="B296:I296"/>
    <mergeCell ref="B297:I297"/>
    <mergeCell ref="B298:I298"/>
    <mergeCell ref="B299:I299"/>
    <mergeCell ref="B220:I221"/>
    <mergeCell ref="B245:I255"/>
    <mergeCell ref="B291:I291"/>
    <mergeCell ref="B292:I292"/>
    <mergeCell ref="B305:I305"/>
    <mergeCell ref="B306:I306"/>
    <mergeCell ref="B307:I307"/>
    <mergeCell ref="B260:I267"/>
    <mergeCell ref="B269:I276"/>
    <mergeCell ref="B277:I277"/>
    <mergeCell ref="B168:I169"/>
    <mergeCell ref="B171:I182"/>
    <mergeCell ref="B140:I154"/>
    <mergeCell ref="B155:I167"/>
    <mergeCell ref="B183:I196"/>
  </mergeCells>
  <pageMargins left="0.25" right="0.25" top="0.75" bottom="0.75" header="0.3" footer="0.3"/>
  <pageSetup paperSize="5" scale="81" fitToHeight="0" orientation="portrait" horizontalDpi="4294967292" verticalDpi="0" r:id="rId1"/>
  <rowBreaks count="2" manualBreakCount="2">
    <brk id="138" max="16383" man="1"/>
    <brk id="290" max="16383" man="1"/>
  </rowBreaks>
  <ignoredErrors>
    <ignoredError sqref="N201"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C0902-E027-47A8-9748-1DDCBDF0C9B3}">
  <sheetPr codeName="Hoja5">
    <tabColor rgb="FF5E69AA"/>
  </sheetPr>
  <dimension ref="A2:Z397"/>
  <sheetViews>
    <sheetView showGridLines="0" topLeftCell="C1" zoomScale="85" zoomScaleNormal="85" workbookViewId="0">
      <selection activeCell="E21" sqref="E21"/>
    </sheetView>
  </sheetViews>
  <sheetFormatPr baseColWidth="10" defaultColWidth="10.7109375" defaultRowHeight="14.25" x14ac:dyDescent="0.2"/>
  <cols>
    <col min="1" max="1" width="10.7109375" style="29" hidden="1" customWidth="1"/>
    <col min="2" max="2" width="10.7109375" style="28" hidden="1" customWidth="1"/>
    <col min="3" max="3" width="37.42578125" style="29" bestFit="1" customWidth="1"/>
    <col min="4" max="4" width="6.5703125" style="28" customWidth="1"/>
    <col min="5" max="5" width="13.7109375" style="29" bestFit="1" customWidth="1"/>
    <col min="6" max="6" width="12.7109375" style="29" bestFit="1" customWidth="1"/>
    <col min="7" max="7" width="10.5703125" style="29" bestFit="1" customWidth="1"/>
    <col min="8" max="8" width="13.85546875" style="29" hidden="1" customWidth="1"/>
    <col min="9" max="9" width="13.5703125" style="29" hidden="1" customWidth="1"/>
    <col min="10" max="10" width="12.140625" style="29" hidden="1" customWidth="1"/>
    <col min="11" max="11" width="12.85546875" style="29" hidden="1" customWidth="1"/>
    <col min="12" max="12" width="14.42578125" style="29" hidden="1" customWidth="1"/>
    <col min="13" max="13" width="0" style="29" hidden="1" customWidth="1"/>
    <col min="14" max="14" width="14" style="29" bestFit="1" customWidth="1"/>
    <col min="15" max="15" width="15.85546875" style="29" bestFit="1" customWidth="1"/>
    <col min="16" max="16" width="5.7109375" style="29" customWidth="1"/>
    <col min="17" max="17" width="9.28515625" style="29" customWidth="1"/>
    <col min="18" max="18" width="16.42578125" style="29" customWidth="1"/>
    <col min="19" max="19" width="7" style="29" customWidth="1"/>
    <col min="20" max="20" width="12.140625" style="29" customWidth="1"/>
    <col min="21" max="21" width="14.42578125" style="29" bestFit="1" customWidth="1"/>
    <col min="22" max="22" width="5" style="29" customWidth="1"/>
    <col min="23" max="23" width="3.7109375" style="29" customWidth="1"/>
    <col min="24" max="24" width="10.7109375" style="29"/>
    <col min="25" max="25" width="19.140625" style="29" bestFit="1" customWidth="1"/>
    <col min="26" max="16384" width="10.7109375" style="29"/>
  </cols>
  <sheetData>
    <row r="2" spans="1:26" ht="15" x14ac:dyDescent="0.25">
      <c r="D2" s="153" t="s">
        <v>204</v>
      </c>
      <c r="E2" s="154" t="s">
        <v>205</v>
      </c>
      <c r="Q2" s="154" t="s">
        <v>920</v>
      </c>
      <c r="R2" s="154" t="s">
        <v>922</v>
      </c>
    </row>
    <row r="3" spans="1:26" ht="15" x14ac:dyDescent="0.2">
      <c r="C3" s="155" t="s">
        <v>173</v>
      </c>
      <c r="D3" s="150">
        <f>+Perfil!H14</f>
        <v>487</v>
      </c>
      <c r="Q3" s="29">
        <f ca="1">IF(AND(D34&lt;85,D35&lt;85),0,IF(AND(D34&gt;=85,D35&lt;85),D34-84,IF(AND(D35&gt;=85,D34&lt;85),D35-84,(D34-84)+(D35-84))))</f>
        <v>47</v>
      </c>
      <c r="R3" s="29" t="str">
        <f ca="1">INDEX(Y7:Y17,MATCH(MAX(Z7:Z17),Z7:Z17,0))</f>
        <v>8B. Autopunitivo</v>
      </c>
    </row>
    <row r="4" spans="1:26" ht="15" x14ac:dyDescent="0.2">
      <c r="C4" s="155" t="s">
        <v>916</v>
      </c>
      <c r="E4" s="150">
        <f ca="1">+Perfil!L15</f>
        <v>67</v>
      </c>
    </row>
    <row r="5" spans="1:26" ht="15" customHeight="1" x14ac:dyDescent="0.2">
      <c r="C5" s="155" t="s">
        <v>917</v>
      </c>
      <c r="E5" s="28">
        <f ca="1">+Perfil!L16</f>
        <v>99</v>
      </c>
      <c r="X5" s="226" t="s">
        <v>924</v>
      </c>
      <c r="Y5" s="226"/>
      <c r="Z5" s="226"/>
    </row>
    <row r="6" spans="1:26" ht="30.75" customHeight="1" x14ac:dyDescent="0.25">
      <c r="A6" s="28"/>
      <c r="D6" s="146"/>
      <c r="E6" s="145"/>
      <c r="F6" s="145"/>
      <c r="G6" s="145"/>
      <c r="H6" s="145"/>
      <c r="I6" s="145"/>
      <c r="J6" s="145"/>
      <c r="K6" s="145"/>
      <c r="N6" s="156" t="s">
        <v>912</v>
      </c>
      <c r="O6" s="156" t="s">
        <v>911</v>
      </c>
      <c r="Q6" s="157" t="s">
        <v>914</v>
      </c>
      <c r="R6" s="156" t="s">
        <v>915</v>
      </c>
      <c r="S6" s="28"/>
      <c r="T6" s="156" t="s">
        <v>918</v>
      </c>
      <c r="U6" s="156" t="s">
        <v>919</v>
      </c>
      <c r="X6" s="153" t="s">
        <v>926</v>
      </c>
      <c r="Y6" s="158" t="s">
        <v>923</v>
      </c>
      <c r="Z6" s="153" t="s">
        <v>205</v>
      </c>
    </row>
    <row r="7" spans="1:26" ht="24" customHeight="1" x14ac:dyDescent="0.2">
      <c r="A7" s="28"/>
      <c r="C7" s="155" t="s">
        <v>234</v>
      </c>
      <c r="D7" s="153" t="s">
        <v>205</v>
      </c>
      <c r="E7" s="153" t="s">
        <v>206</v>
      </c>
      <c r="F7" s="153" t="s">
        <v>210</v>
      </c>
      <c r="G7" s="153" t="s">
        <v>921</v>
      </c>
      <c r="H7" s="145"/>
      <c r="I7" s="145"/>
      <c r="J7" s="145"/>
      <c r="K7" s="145"/>
      <c r="N7" s="29">
        <v>200</v>
      </c>
      <c r="O7" s="29" t="s">
        <v>913</v>
      </c>
      <c r="Q7" s="29">
        <v>1</v>
      </c>
      <c r="R7" s="28">
        <v>1</v>
      </c>
      <c r="S7" s="28"/>
      <c r="T7" s="28">
        <v>-65</v>
      </c>
      <c r="U7" s="29">
        <v>-7</v>
      </c>
      <c r="X7" s="28">
        <v>0</v>
      </c>
      <c r="Y7" s="159" t="s">
        <v>175</v>
      </c>
      <c r="Z7" s="29">
        <f ca="1">+D8</f>
        <v>91</v>
      </c>
    </row>
    <row r="8" spans="1:26" x14ac:dyDescent="0.2">
      <c r="A8" s="28"/>
      <c r="C8" s="160" t="s">
        <v>175</v>
      </c>
      <c r="D8" s="148">
        <f ca="1">+Perfil!I18</f>
        <v>91</v>
      </c>
      <c r="E8" s="29">
        <f>IF(OR($D$3&lt;=200,$D$3&gt;=590),"Reporte inválido",VLOOKUP($D$3,$N$7:$O$397,2,TRUE))</f>
        <v>-11</v>
      </c>
      <c r="G8" s="28">
        <f ca="1">MAX(1,MIN(115,D8+E8))</f>
        <v>80</v>
      </c>
      <c r="H8" s="145"/>
      <c r="I8" s="145"/>
      <c r="J8" s="145"/>
      <c r="K8" s="145"/>
      <c r="N8" s="29">
        <v>201</v>
      </c>
      <c r="O8" s="29">
        <v>25</v>
      </c>
      <c r="Q8" s="29">
        <v>2</v>
      </c>
      <c r="R8" s="28">
        <v>1</v>
      </c>
      <c r="S8" s="28"/>
      <c r="T8" s="28">
        <v>-64</v>
      </c>
      <c r="U8" s="29">
        <v>-6</v>
      </c>
      <c r="X8" s="28">
        <v>-4</v>
      </c>
      <c r="Y8" s="159" t="s">
        <v>176</v>
      </c>
      <c r="Z8" s="29">
        <f t="shared" ref="Z8:Z17" ca="1" si="0">+D9</f>
        <v>106</v>
      </c>
    </row>
    <row r="9" spans="1:26" x14ac:dyDescent="0.2">
      <c r="A9" s="28"/>
      <c r="C9" s="160" t="s">
        <v>176</v>
      </c>
      <c r="D9" s="148">
        <f ca="1">+Perfil!I19</f>
        <v>106</v>
      </c>
      <c r="E9" s="29">
        <f t="shared" ref="E9:E19" si="1">IF(OR($D$3&lt;=200,$D$3&gt;=590),"Reporte inválido",VLOOKUP($D$3,$N$7:$O$397,2,TRUE))</f>
        <v>-11</v>
      </c>
      <c r="F9" s="29">
        <f ca="1">IF(Q3=0,0,VLOOKUP(Q3,$Q$7:$R$26,2,TRUE))</f>
        <v>15</v>
      </c>
      <c r="G9" s="28">
        <f ca="1">MAX(1,MIN(115,D9+E9+F9))</f>
        <v>110</v>
      </c>
      <c r="H9" s="145"/>
      <c r="I9" s="145"/>
      <c r="J9" s="145"/>
      <c r="K9" s="145"/>
      <c r="N9" s="29">
        <v>202</v>
      </c>
      <c r="O9" s="29">
        <v>25</v>
      </c>
      <c r="Q9" s="29">
        <v>3</v>
      </c>
      <c r="R9" s="29">
        <v>2</v>
      </c>
      <c r="S9" s="28"/>
      <c r="T9" s="28">
        <v>-63</v>
      </c>
      <c r="U9" s="29">
        <v>-6</v>
      </c>
      <c r="X9" s="28">
        <v>-4</v>
      </c>
      <c r="Y9" s="159" t="s">
        <v>177</v>
      </c>
      <c r="Z9" s="29">
        <f t="shared" ca="1" si="0"/>
        <v>109</v>
      </c>
    </row>
    <row r="10" spans="1:26" x14ac:dyDescent="0.2">
      <c r="A10" s="28"/>
      <c r="C10" s="160" t="s">
        <v>177</v>
      </c>
      <c r="D10" s="148">
        <f ca="1">+Perfil!I20</f>
        <v>109</v>
      </c>
      <c r="E10" s="29">
        <f t="shared" si="1"/>
        <v>-11</v>
      </c>
      <c r="F10" s="29">
        <f ca="1">IF($Q$3=0,0,VLOOKUP($Q$3,$Q$7:$R$26,2,TRUE))</f>
        <v>15</v>
      </c>
      <c r="G10" s="28">
        <f ca="1">MAX(1,MIN(115,D10+E10+F10))</f>
        <v>113</v>
      </c>
      <c r="H10" s="145"/>
      <c r="I10" s="145"/>
      <c r="J10" s="145"/>
      <c r="K10" s="145"/>
      <c r="N10" s="29">
        <v>203</v>
      </c>
      <c r="O10" s="29">
        <v>24</v>
      </c>
      <c r="Q10" s="29">
        <v>4</v>
      </c>
      <c r="R10" s="29">
        <v>3</v>
      </c>
      <c r="S10" s="28"/>
      <c r="T10" s="28">
        <v>-62</v>
      </c>
      <c r="U10" s="29">
        <v>-6</v>
      </c>
      <c r="X10" s="28">
        <v>0</v>
      </c>
      <c r="Y10" s="159" t="s">
        <v>178</v>
      </c>
      <c r="Z10" s="29">
        <f t="shared" ca="1" si="0"/>
        <v>42</v>
      </c>
    </row>
    <row r="11" spans="1:26" x14ac:dyDescent="0.2">
      <c r="A11" s="28"/>
      <c r="C11" s="160" t="s">
        <v>178</v>
      </c>
      <c r="D11" s="148">
        <f ca="1">+Perfil!I21</f>
        <v>42</v>
      </c>
      <c r="E11" s="29">
        <f t="shared" si="1"/>
        <v>-11</v>
      </c>
      <c r="G11" s="28">
        <f ca="1">MAX(1,MIN(115,D11+E11))</f>
        <v>31</v>
      </c>
      <c r="H11" s="145"/>
      <c r="I11" s="145"/>
      <c r="J11" s="145"/>
      <c r="K11" s="145"/>
      <c r="N11" s="29">
        <v>204</v>
      </c>
      <c r="O11" s="29">
        <v>24</v>
      </c>
      <c r="Q11" s="29">
        <v>5</v>
      </c>
      <c r="R11" s="29">
        <v>4</v>
      </c>
      <c r="S11" s="28"/>
      <c r="T11" s="28">
        <v>-61</v>
      </c>
      <c r="U11" s="29">
        <v>-6</v>
      </c>
      <c r="X11" s="28">
        <v>4</v>
      </c>
      <c r="Y11" s="159" t="s">
        <v>179</v>
      </c>
      <c r="Z11" s="29">
        <f t="shared" ca="1" si="0"/>
        <v>11</v>
      </c>
    </row>
    <row r="12" spans="1:26" x14ac:dyDescent="0.2">
      <c r="A12" s="28"/>
      <c r="C12" s="160" t="s">
        <v>179</v>
      </c>
      <c r="D12" s="148">
        <f ca="1">+Perfil!I22</f>
        <v>11</v>
      </c>
      <c r="E12" s="29">
        <f t="shared" si="1"/>
        <v>-11</v>
      </c>
      <c r="G12" s="28">
        <f t="shared" ref="G12:G17" ca="1" si="2">MAX(1,MIN(115,D12+E12))</f>
        <v>1</v>
      </c>
      <c r="H12" s="145"/>
      <c r="I12" s="145"/>
      <c r="J12" s="145"/>
      <c r="K12" s="145"/>
      <c r="N12" s="29">
        <v>205</v>
      </c>
      <c r="O12" s="29">
        <v>24</v>
      </c>
      <c r="Q12" s="29">
        <v>6</v>
      </c>
      <c r="R12" s="29">
        <v>4</v>
      </c>
      <c r="S12" s="28"/>
      <c r="T12" s="28">
        <v>-60</v>
      </c>
      <c r="U12" s="29">
        <v>-6</v>
      </c>
      <c r="X12" s="28">
        <v>4</v>
      </c>
      <c r="Y12" s="159" t="s">
        <v>180</v>
      </c>
      <c r="Z12" s="29">
        <f t="shared" ca="1" si="0"/>
        <v>21</v>
      </c>
    </row>
    <row r="13" spans="1:26" x14ac:dyDescent="0.2">
      <c r="A13" s="28"/>
      <c r="C13" s="160" t="s">
        <v>180</v>
      </c>
      <c r="D13" s="148">
        <f ca="1">+Perfil!I23</f>
        <v>21</v>
      </c>
      <c r="E13" s="29">
        <f t="shared" si="1"/>
        <v>-11</v>
      </c>
      <c r="G13" s="28">
        <f t="shared" ca="1" si="2"/>
        <v>10</v>
      </c>
      <c r="H13" s="145"/>
      <c r="I13" s="145"/>
      <c r="J13" s="145"/>
      <c r="K13" s="145"/>
      <c r="N13" s="29">
        <v>206</v>
      </c>
      <c r="O13" s="29">
        <v>23</v>
      </c>
      <c r="Q13" s="29">
        <v>7</v>
      </c>
      <c r="R13" s="29">
        <v>5</v>
      </c>
      <c r="S13" s="28"/>
      <c r="T13" s="28">
        <v>-59</v>
      </c>
      <c r="U13" s="29">
        <v>-6</v>
      </c>
      <c r="X13" s="28">
        <v>0</v>
      </c>
      <c r="Y13" s="159" t="s">
        <v>181</v>
      </c>
      <c r="Z13" s="29">
        <f t="shared" ca="1" si="0"/>
        <v>52</v>
      </c>
    </row>
    <row r="14" spans="1:26" x14ac:dyDescent="0.2">
      <c r="A14" s="28"/>
      <c r="C14" s="160" t="s">
        <v>181</v>
      </c>
      <c r="D14" s="148">
        <f ca="1">+Perfil!I24</f>
        <v>52</v>
      </c>
      <c r="E14" s="29">
        <f t="shared" si="1"/>
        <v>-11</v>
      </c>
      <c r="G14" s="28">
        <f t="shared" ca="1" si="2"/>
        <v>41</v>
      </c>
      <c r="H14" s="145"/>
      <c r="I14" s="145"/>
      <c r="J14" s="145"/>
      <c r="K14" s="145"/>
      <c r="N14" s="29">
        <v>207</v>
      </c>
      <c r="O14" s="29">
        <v>23</v>
      </c>
      <c r="Q14" s="29">
        <v>8</v>
      </c>
      <c r="R14" s="29">
        <v>6</v>
      </c>
      <c r="S14" s="28"/>
      <c r="T14" s="28">
        <v>-58</v>
      </c>
      <c r="U14" s="29">
        <v>-6</v>
      </c>
      <c r="X14" s="28">
        <v>0</v>
      </c>
      <c r="Y14" s="159" t="s">
        <v>182</v>
      </c>
      <c r="Z14" s="29">
        <f t="shared" ca="1" si="0"/>
        <v>46</v>
      </c>
    </row>
    <row r="15" spans="1:26" x14ac:dyDescent="0.2">
      <c r="A15" s="28"/>
      <c r="C15" s="160" t="s">
        <v>182</v>
      </c>
      <c r="D15" s="148">
        <f ca="1">+Perfil!I25</f>
        <v>46</v>
      </c>
      <c r="E15" s="29">
        <f t="shared" si="1"/>
        <v>-11</v>
      </c>
      <c r="G15" s="28">
        <f t="shared" ca="1" si="2"/>
        <v>35</v>
      </c>
      <c r="H15" s="145"/>
      <c r="I15" s="145"/>
      <c r="J15" s="145"/>
      <c r="K15" s="145"/>
      <c r="N15" s="29">
        <v>208</v>
      </c>
      <c r="O15" s="29">
        <v>23</v>
      </c>
      <c r="Q15" s="29">
        <v>9</v>
      </c>
      <c r="R15" s="29">
        <v>7</v>
      </c>
      <c r="S15" s="28"/>
      <c r="T15" s="28">
        <v>-57</v>
      </c>
      <c r="U15" s="29">
        <v>-6</v>
      </c>
      <c r="X15" s="28">
        <v>4</v>
      </c>
      <c r="Y15" s="159" t="s">
        <v>183</v>
      </c>
      <c r="Z15" s="29">
        <f t="shared" ca="1" si="0"/>
        <v>25</v>
      </c>
    </row>
    <row r="16" spans="1:26" x14ac:dyDescent="0.2">
      <c r="A16" s="28"/>
      <c r="C16" s="160" t="s">
        <v>183</v>
      </c>
      <c r="D16" s="148">
        <f ca="1">+Perfil!I26</f>
        <v>25</v>
      </c>
      <c r="E16" s="29">
        <f t="shared" si="1"/>
        <v>-11</v>
      </c>
      <c r="G16" s="28">
        <f t="shared" ca="1" si="2"/>
        <v>14</v>
      </c>
      <c r="H16" s="145"/>
      <c r="I16" s="145"/>
      <c r="J16" s="145"/>
      <c r="K16" s="145"/>
      <c r="N16" s="29">
        <v>209</v>
      </c>
      <c r="O16" s="29">
        <v>22</v>
      </c>
      <c r="Q16" s="29">
        <v>10</v>
      </c>
      <c r="R16" s="29">
        <v>7</v>
      </c>
      <c r="S16" s="28"/>
      <c r="T16" s="28">
        <v>-56</v>
      </c>
      <c r="U16" s="29">
        <v>-6</v>
      </c>
      <c r="X16" s="28">
        <v>0</v>
      </c>
      <c r="Y16" s="159" t="s">
        <v>184</v>
      </c>
      <c r="Z16" s="29">
        <f t="shared" ca="1" si="0"/>
        <v>110</v>
      </c>
    </row>
    <row r="17" spans="1:26" ht="15" x14ac:dyDescent="0.25">
      <c r="A17" s="28"/>
      <c r="C17" s="160" t="s">
        <v>184</v>
      </c>
      <c r="D17" s="148">
        <f ca="1">+Perfil!I27</f>
        <v>110</v>
      </c>
      <c r="E17" s="29">
        <f t="shared" si="1"/>
        <v>-11</v>
      </c>
      <c r="G17" s="28">
        <f t="shared" ca="1" si="2"/>
        <v>99</v>
      </c>
      <c r="H17" s="145"/>
      <c r="I17" s="161"/>
      <c r="J17" s="147"/>
      <c r="K17" s="145"/>
      <c r="N17" s="29">
        <v>210</v>
      </c>
      <c r="O17" s="29">
        <v>22</v>
      </c>
      <c r="Q17" s="29">
        <v>11</v>
      </c>
      <c r="R17" s="29">
        <v>8</v>
      </c>
      <c r="S17" s="28"/>
      <c r="T17" s="28">
        <v>-55</v>
      </c>
      <c r="U17" s="29">
        <v>-6</v>
      </c>
      <c r="X17" s="28">
        <v>-4</v>
      </c>
      <c r="Y17" s="159" t="s">
        <v>185</v>
      </c>
      <c r="Z17" s="29">
        <f t="shared" ca="1" si="0"/>
        <v>111</v>
      </c>
    </row>
    <row r="18" spans="1:26" x14ac:dyDescent="0.2">
      <c r="A18" s="28"/>
      <c r="C18" s="160" t="s">
        <v>185</v>
      </c>
      <c r="D18" s="148">
        <f ca="1">+Perfil!I28</f>
        <v>111</v>
      </c>
      <c r="E18" s="29">
        <f t="shared" si="1"/>
        <v>-11</v>
      </c>
      <c r="F18" s="29">
        <f ca="1">IF($Q$3=0,0,VLOOKUP($Q$3,$Q$7:$R$26,2,TRUE))</f>
        <v>15</v>
      </c>
      <c r="G18" s="28">
        <f ca="1">MAX(1,MIN(115,D18+E18+F18))</f>
        <v>115</v>
      </c>
      <c r="H18" s="145"/>
      <c r="I18" s="145"/>
      <c r="J18" s="145"/>
      <c r="K18" s="145"/>
      <c r="N18" s="29">
        <v>211</v>
      </c>
      <c r="O18" s="29">
        <v>22</v>
      </c>
      <c r="Q18" s="29">
        <v>12</v>
      </c>
      <c r="R18" s="29">
        <v>9</v>
      </c>
      <c r="S18" s="28"/>
      <c r="T18" s="28">
        <v>-54</v>
      </c>
      <c r="U18" s="29">
        <v>-5</v>
      </c>
      <c r="Y18" s="160"/>
    </row>
    <row r="19" spans="1:26" x14ac:dyDescent="0.2">
      <c r="A19" s="28"/>
      <c r="C19" s="160" t="s">
        <v>186</v>
      </c>
      <c r="D19" s="148">
        <f ca="1">+Perfil!I29</f>
        <v>85</v>
      </c>
      <c r="E19" s="29">
        <f t="shared" si="1"/>
        <v>-11</v>
      </c>
      <c r="F19" s="29">
        <f ca="1">IF($Q$3=0,0,VLOOKUP($Q$3,$Q$7:$R$26,2,TRUE))</f>
        <v>15</v>
      </c>
      <c r="G19" s="28">
        <f ca="1">MAX(1,MIN(115,D19+E19+F19))</f>
        <v>89</v>
      </c>
      <c r="N19" s="29">
        <v>212</v>
      </c>
      <c r="O19" s="29">
        <v>21</v>
      </c>
      <c r="Q19" s="29">
        <v>13</v>
      </c>
      <c r="R19" s="29">
        <v>10</v>
      </c>
      <c r="S19" s="28"/>
      <c r="T19" s="28">
        <v>-53</v>
      </c>
      <c r="U19" s="29">
        <v>-5</v>
      </c>
    </row>
    <row r="20" spans="1:26" ht="20.25" customHeight="1" x14ac:dyDescent="0.2">
      <c r="A20" s="28"/>
      <c r="C20" s="155" t="s">
        <v>187</v>
      </c>
      <c r="D20" s="162" t="s">
        <v>205</v>
      </c>
      <c r="E20" s="162" t="s">
        <v>208</v>
      </c>
      <c r="F20" s="162" t="s">
        <v>209</v>
      </c>
      <c r="G20" s="153" t="s">
        <v>921</v>
      </c>
      <c r="N20" s="29">
        <v>213</v>
      </c>
      <c r="O20" s="29">
        <v>21</v>
      </c>
      <c r="Q20" s="29">
        <v>14</v>
      </c>
      <c r="R20" s="29">
        <v>10</v>
      </c>
      <c r="S20" s="28"/>
      <c r="T20" s="28">
        <v>-52</v>
      </c>
      <c r="U20" s="29">
        <v>-5</v>
      </c>
    </row>
    <row r="21" spans="1:26" x14ac:dyDescent="0.2">
      <c r="A21" s="28"/>
      <c r="C21" s="159" t="s">
        <v>188</v>
      </c>
      <c r="D21" s="29">
        <f ca="1">+Perfil!I31</f>
        <v>72</v>
      </c>
      <c r="E21" s="149">
        <f ca="1">IF(ABS($E$4-$E$5)&gt;4,VLOOKUP($E$4-$E$5,$T$7:$U$137,2,TRUE),0)</f>
        <v>-3</v>
      </c>
      <c r="F21" s="29">
        <f ca="1">IF(OR($R$3="4. Histriónico",$R$3="5. Egocéntrico",$R$3="7. Conformista"),4,IF(OR($R$3="2A. Inhibido",$R$3="2B. Pesimista",$R$3="8B. Autopunitivo"),-4,0))</f>
        <v>-4</v>
      </c>
      <c r="G21" s="150">
        <f ca="1">MAX(1,MIN(115,D21+E21+F21))</f>
        <v>65</v>
      </c>
      <c r="N21" s="29">
        <v>214</v>
      </c>
      <c r="O21" s="29">
        <v>21</v>
      </c>
      <c r="Q21" s="29">
        <v>15</v>
      </c>
      <c r="R21" s="29">
        <v>11</v>
      </c>
      <c r="S21" s="28"/>
      <c r="T21" s="28">
        <v>-51</v>
      </c>
      <c r="U21" s="29">
        <v>-5</v>
      </c>
    </row>
    <row r="22" spans="1:26" x14ac:dyDescent="0.2">
      <c r="A22" s="28"/>
      <c r="C22" s="159" t="s">
        <v>189</v>
      </c>
      <c r="D22" s="29">
        <f ca="1">+Perfil!I32</f>
        <v>105</v>
      </c>
      <c r="E22" s="149">
        <f t="shared" ref="E21:E28" ca="1" si="3">IF(ABS($E$4-$E$5)&gt;4,VLOOKUP($E$4-$E$5,$T$7:$U$137,2,TRUE),0)</f>
        <v>-3</v>
      </c>
      <c r="F22" s="29">
        <f ca="1">IF(OR($R$3="4. Histriónico",$R$3="5. Egocéntrico",$R$3="7. Conformista"),4,IF(OR($R$3="2A. Inhibido",$R$3="2B. Pesimista",$R$3="8B. Autopunitivo"),-4,0))</f>
        <v>-4</v>
      </c>
      <c r="G22" s="150">
        <f ca="1">MAX(1,MIN(115,D22+E22+F22))</f>
        <v>98</v>
      </c>
      <c r="N22" s="29">
        <v>215</v>
      </c>
      <c r="O22" s="29">
        <v>20</v>
      </c>
      <c r="Q22" s="29">
        <v>16</v>
      </c>
      <c r="R22" s="29">
        <v>12</v>
      </c>
      <c r="S22" s="28"/>
      <c r="T22" s="28">
        <v>-50</v>
      </c>
      <c r="U22" s="29">
        <v>-5</v>
      </c>
    </row>
    <row r="23" spans="1:26" x14ac:dyDescent="0.2">
      <c r="A23" s="28"/>
      <c r="C23" s="159" t="s">
        <v>190</v>
      </c>
      <c r="D23" s="29">
        <f ca="1">+Perfil!I33</f>
        <v>110</v>
      </c>
      <c r="E23" s="149">
        <f t="shared" ca="1" si="3"/>
        <v>-3</v>
      </c>
      <c r="G23" s="28">
        <f t="shared" ref="G23:G28" ca="1" si="4">MAX(1,MIN(115,D23+E23))</f>
        <v>107</v>
      </c>
      <c r="N23" s="29">
        <v>216</v>
      </c>
      <c r="O23" s="29">
        <v>20</v>
      </c>
      <c r="Q23" s="29">
        <v>17</v>
      </c>
      <c r="R23" s="29">
        <v>13</v>
      </c>
      <c r="S23" s="28"/>
      <c r="T23" s="28">
        <v>-49</v>
      </c>
      <c r="U23" s="29">
        <v>-5</v>
      </c>
    </row>
    <row r="24" spans="1:26" x14ac:dyDescent="0.2">
      <c r="A24" s="28"/>
      <c r="C24" s="160" t="s">
        <v>191</v>
      </c>
      <c r="D24" s="29">
        <f ca="1">+Perfil!I34</f>
        <v>66</v>
      </c>
      <c r="E24" s="149">
        <f t="shared" ca="1" si="3"/>
        <v>-3</v>
      </c>
      <c r="G24" s="28">
        <f t="shared" ca="1" si="4"/>
        <v>63</v>
      </c>
      <c r="N24" s="29">
        <v>217</v>
      </c>
      <c r="O24" s="29">
        <v>20</v>
      </c>
      <c r="Q24" s="29">
        <v>18</v>
      </c>
      <c r="R24" s="29">
        <v>13</v>
      </c>
      <c r="S24" s="28"/>
      <c r="T24" s="28">
        <v>-48</v>
      </c>
      <c r="U24" s="29">
        <v>-5</v>
      </c>
    </row>
    <row r="25" spans="1:26" x14ac:dyDescent="0.2">
      <c r="A25" s="28"/>
      <c r="C25" s="160" t="s">
        <v>192</v>
      </c>
      <c r="D25" s="29">
        <f ca="1">+Perfil!I35</f>
        <v>82</v>
      </c>
      <c r="E25" s="149">
        <f t="shared" ca="1" si="3"/>
        <v>-3</v>
      </c>
      <c r="G25" s="28">
        <f t="shared" ca="1" si="4"/>
        <v>79</v>
      </c>
      <c r="N25" s="29">
        <v>218</v>
      </c>
      <c r="O25" s="29">
        <v>19</v>
      </c>
      <c r="Q25" s="29">
        <v>19</v>
      </c>
      <c r="R25" s="29">
        <v>14</v>
      </c>
      <c r="S25" s="28"/>
      <c r="T25" s="28">
        <v>-47</v>
      </c>
      <c r="U25" s="29">
        <v>-5</v>
      </c>
    </row>
    <row r="26" spans="1:26" x14ac:dyDescent="0.2">
      <c r="A26" s="28"/>
      <c r="C26" s="160" t="s">
        <v>193</v>
      </c>
      <c r="D26" s="29">
        <f ca="1">+Perfil!I36</f>
        <v>6</v>
      </c>
      <c r="E26" s="149">
        <f t="shared" ca="1" si="3"/>
        <v>-3</v>
      </c>
      <c r="G26" s="28">
        <f t="shared" ca="1" si="4"/>
        <v>3</v>
      </c>
      <c r="N26" s="29">
        <v>219</v>
      </c>
      <c r="O26" s="29">
        <v>19</v>
      </c>
      <c r="Q26" s="29">
        <v>20</v>
      </c>
      <c r="R26" s="29">
        <v>15</v>
      </c>
      <c r="S26" s="28"/>
      <c r="T26" s="28">
        <v>-46</v>
      </c>
      <c r="U26" s="29">
        <v>-5</v>
      </c>
    </row>
    <row r="27" spans="1:26" x14ac:dyDescent="0.2">
      <c r="A27" s="28"/>
      <c r="C27" s="160" t="s">
        <v>194</v>
      </c>
      <c r="D27" s="29">
        <f ca="1">+Perfil!I37</f>
        <v>79</v>
      </c>
      <c r="E27" s="149">
        <f t="shared" ca="1" si="3"/>
        <v>-3</v>
      </c>
      <c r="F27" s="29">
        <f ca="1">IF(OR($R$3="4. Histriónico",$R$3="5. Egocéntrico",$R$3="7. Conformista"),4,IF(OR($R$3="2A. Inhibido",$R$3="2B. Pesimista",$R$3="8B. Autopunitivo"),-4,0))</f>
        <v>-4</v>
      </c>
      <c r="G27" s="150">
        <f ca="1">MAX(1,MIN(115,D27+E27+F27))</f>
        <v>72</v>
      </c>
      <c r="N27" s="29">
        <v>220</v>
      </c>
      <c r="O27" s="29">
        <v>19</v>
      </c>
      <c r="S27" s="28"/>
      <c r="T27" s="28">
        <v>-45</v>
      </c>
      <c r="U27" s="29">
        <v>-5</v>
      </c>
    </row>
    <row r="28" spans="1:26" x14ac:dyDescent="0.2">
      <c r="A28" s="28"/>
      <c r="C28" s="160" t="s">
        <v>195</v>
      </c>
      <c r="D28" s="29">
        <f ca="1">+Perfil!I38</f>
        <v>114</v>
      </c>
      <c r="E28" s="149">
        <f t="shared" ca="1" si="3"/>
        <v>-3</v>
      </c>
      <c r="G28" s="28">
        <f t="shared" ca="1" si="4"/>
        <v>111</v>
      </c>
      <c r="N28" s="29">
        <v>221</v>
      </c>
      <c r="O28" s="29">
        <v>18</v>
      </c>
      <c r="S28" s="28"/>
      <c r="T28" s="28">
        <v>-44</v>
      </c>
      <c r="U28" s="29">
        <v>-4</v>
      </c>
    </row>
    <row r="29" spans="1:26" ht="20.25" customHeight="1" x14ac:dyDescent="0.2">
      <c r="A29" s="28"/>
      <c r="C29" s="155" t="s">
        <v>196</v>
      </c>
      <c r="D29" s="162" t="s">
        <v>205</v>
      </c>
      <c r="E29" s="162" t="s">
        <v>208</v>
      </c>
      <c r="F29" s="162" t="s">
        <v>209</v>
      </c>
      <c r="G29" s="153" t="s">
        <v>921</v>
      </c>
      <c r="N29" s="29">
        <v>222</v>
      </c>
      <c r="O29" s="29">
        <v>18</v>
      </c>
      <c r="S29" s="28"/>
      <c r="T29" s="28">
        <v>-43</v>
      </c>
      <c r="U29" s="29">
        <v>-4</v>
      </c>
    </row>
    <row r="30" spans="1:26" x14ac:dyDescent="0.2">
      <c r="A30" s="28"/>
      <c r="C30" s="160" t="s">
        <v>197</v>
      </c>
      <c r="D30" s="29">
        <f ca="1">+Perfil!I40</f>
        <v>113</v>
      </c>
      <c r="E30" s="149">
        <f ca="1">IF(ABS($E$4-$E$5)&gt;4,VLOOKUP($E$4-$E$5,$T$7:$U$137,2,TRUE),0)</f>
        <v>-3</v>
      </c>
      <c r="G30" s="28">
        <f t="shared" ref="G30" ca="1" si="5">MAX(1,MIN(115,D30+E30))</f>
        <v>110</v>
      </c>
      <c r="N30" s="29">
        <v>223</v>
      </c>
      <c r="O30" s="29">
        <v>18</v>
      </c>
      <c r="S30" s="28"/>
      <c r="T30" s="28">
        <v>-42</v>
      </c>
      <c r="U30" s="29">
        <v>-4</v>
      </c>
    </row>
    <row r="31" spans="1:26" x14ac:dyDescent="0.2">
      <c r="A31" s="28"/>
      <c r="C31" s="159" t="s">
        <v>198</v>
      </c>
      <c r="D31" s="29">
        <f ca="1">+Perfil!I41</f>
        <v>50</v>
      </c>
      <c r="E31" s="149"/>
      <c r="G31" s="28">
        <f ca="1">+D31</f>
        <v>50</v>
      </c>
      <c r="N31" s="29">
        <v>224</v>
      </c>
      <c r="O31" s="29">
        <v>17</v>
      </c>
      <c r="S31" s="28"/>
      <c r="T31" s="28">
        <v>-41</v>
      </c>
      <c r="U31" s="29">
        <v>-4</v>
      </c>
    </row>
    <row r="32" spans="1:26" x14ac:dyDescent="0.2">
      <c r="A32" s="28"/>
      <c r="C32" s="159" t="s">
        <v>199</v>
      </c>
      <c r="D32" s="29">
        <f ca="1">+Perfil!I42</f>
        <v>6</v>
      </c>
      <c r="E32" s="149"/>
      <c r="G32" s="28">
        <f t="shared" ref="G32:G33" ca="1" si="6">+D32</f>
        <v>6</v>
      </c>
      <c r="N32" s="29">
        <v>225</v>
      </c>
      <c r="O32" s="29">
        <v>17</v>
      </c>
      <c r="S32" s="28"/>
      <c r="T32" s="28">
        <v>-40</v>
      </c>
      <c r="U32" s="29">
        <v>-4</v>
      </c>
    </row>
    <row r="33" spans="1:21" x14ac:dyDescent="0.2">
      <c r="A33" s="28"/>
      <c r="C33" s="159" t="s">
        <v>200</v>
      </c>
      <c r="D33" s="29">
        <f ca="1">+Perfil!I43</f>
        <v>70</v>
      </c>
      <c r="E33" s="149"/>
      <c r="G33" s="28">
        <f t="shared" ca="1" si="6"/>
        <v>70</v>
      </c>
      <c r="N33" s="29">
        <v>226</v>
      </c>
      <c r="O33" s="29">
        <v>17</v>
      </c>
      <c r="S33" s="28"/>
      <c r="T33" s="28">
        <v>-39</v>
      </c>
      <c r="U33" s="29">
        <v>-4</v>
      </c>
    </row>
    <row r="34" spans="1:21" x14ac:dyDescent="0.2">
      <c r="A34" s="28"/>
      <c r="C34" s="160" t="s">
        <v>201</v>
      </c>
      <c r="D34" s="29">
        <f ca="1">+Perfil!I44</f>
        <v>103</v>
      </c>
      <c r="E34" s="149">
        <f ca="1">IF(ABS($E$4-$E$5)&gt;4,VLOOKUP($E$4-$E$5,$T$7:$U$137,2,TRUE),0)</f>
        <v>-3</v>
      </c>
      <c r="F34" s="29">
        <f ca="1">IF(OR($R$3="4. Histriónico",$R$3="5. Egocéntrico",$R$3="7. Conformista"),4,IF(OR($R$3="2A. Inhibido",$R$3="2B. Pesimista",$R$3="8B. Autopunitivo"),-4,0))</f>
        <v>-4</v>
      </c>
      <c r="G34" s="150">
        <f ca="1">MAX(1,MIN(115,D34+E34+F34))</f>
        <v>96</v>
      </c>
      <c r="N34" s="29">
        <v>227</v>
      </c>
      <c r="O34" s="29">
        <v>16</v>
      </c>
      <c r="S34" s="28"/>
      <c r="T34" s="28">
        <v>-38</v>
      </c>
      <c r="U34" s="29">
        <v>-4</v>
      </c>
    </row>
    <row r="35" spans="1:21" x14ac:dyDescent="0.2">
      <c r="A35" s="28"/>
      <c r="C35" s="160" t="s">
        <v>202</v>
      </c>
      <c r="D35" s="29">
        <f ca="1">+Perfil!I45</f>
        <v>112</v>
      </c>
      <c r="E35" s="149">
        <f ca="1">IF(ABS($E$4-$E$5)&gt;4,VLOOKUP($E$4-$E$5,$T$7:$U$137,2,TRUE),0)</f>
        <v>-3</v>
      </c>
      <c r="F35" s="29">
        <f ca="1">IF(OR($R$3="4. Histriónico",$R$3="5. Egocéntrico",$R$3="7. Conformista"),4,IF(OR($R$3="2A. Inhibido",$R$3="2B. Pesimista",$R$3="8B. Autopunitivo"),-4,0))</f>
        <v>-4</v>
      </c>
      <c r="G35" s="150">
        <f ca="1">MAX(1,MIN(115,D35+E35+F35))</f>
        <v>105</v>
      </c>
      <c r="N35" s="29">
        <v>228</v>
      </c>
      <c r="O35" s="29">
        <v>16</v>
      </c>
      <c r="S35" s="28"/>
      <c r="T35" s="28">
        <v>-37</v>
      </c>
      <c r="U35" s="29">
        <v>-4</v>
      </c>
    </row>
    <row r="36" spans="1:21" x14ac:dyDescent="0.2">
      <c r="A36" s="28"/>
      <c r="C36" s="160" t="s">
        <v>203</v>
      </c>
      <c r="D36" s="29">
        <f ca="1">+Perfil!I46</f>
        <v>115</v>
      </c>
      <c r="E36" s="149">
        <f ca="1">IF(ABS($E$4-$E$5)&gt;4,VLOOKUP($E$4-$E$5,$T$7:$U$137,2,TRUE),0)</f>
        <v>-3</v>
      </c>
      <c r="F36" s="29">
        <f ca="1">IF(OR($R$3="4. Histriónico",$R$3="5. Egocéntrico",$R$3="7. Conformista"),4,IF(OR($R$3="2A. Inhibido",$R$3="2B. Pesimista",$R$3="8B. Autopunitivo"),-4,0))</f>
        <v>-4</v>
      </c>
      <c r="G36" s="150">
        <f ca="1">MAX(1,MIN(115,D36+E36+F36))</f>
        <v>108</v>
      </c>
      <c r="N36" s="29">
        <v>229</v>
      </c>
      <c r="O36" s="29">
        <v>16</v>
      </c>
      <c r="S36" s="28"/>
      <c r="T36" s="28">
        <v>-36</v>
      </c>
      <c r="U36" s="29">
        <v>-4</v>
      </c>
    </row>
    <row r="37" spans="1:21" x14ac:dyDescent="0.2">
      <c r="A37" s="28"/>
      <c r="N37" s="29">
        <v>230</v>
      </c>
      <c r="O37" s="29">
        <v>15</v>
      </c>
      <c r="T37" s="28">
        <v>-35</v>
      </c>
      <c r="U37" s="29">
        <v>-4</v>
      </c>
    </row>
    <row r="38" spans="1:21" x14ac:dyDescent="0.2">
      <c r="A38" s="28"/>
      <c r="N38" s="29">
        <v>231</v>
      </c>
      <c r="O38" s="29">
        <v>15</v>
      </c>
      <c r="T38" s="28">
        <v>-34</v>
      </c>
      <c r="U38" s="29">
        <v>-3</v>
      </c>
    </row>
    <row r="39" spans="1:21" x14ac:dyDescent="0.2">
      <c r="A39" s="28"/>
      <c r="N39" s="29">
        <v>232</v>
      </c>
      <c r="O39" s="29">
        <v>15</v>
      </c>
      <c r="T39" s="28">
        <v>-33</v>
      </c>
      <c r="U39" s="29">
        <v>-3</v>
      </c>
    </row>
    <row r="40" spans="1:21" x14ac:dyDescent="0.2">
      <c r="A40" s="28"/>
      <c r="N40" s="29">
        <v>233</v>
      </c>
      <c r="O40" s="29">
        <v>14</v>
      </c>
      <c r="T40" s="28">
        <v>-32</v>
      </c>
      <c r="U40" s="29">
        <v>-3</v>
      </c>
    </row>
    <row r="41" spans="1:21" x14ac:dyDescent="0.2">
      <c r="A41" s="28"/>
      <c r="N41" s="29">
        <v>234</v>
      </c>
      <c r="O41" s="29">
        <v>14</v>
      </c>
      <c r="T41" s="28">
        <v>-31</v>
      </c>
      <c r="U41" s="29">
        <v>-3</v>
      </c>
    </row>
    <row r="42" spans="1:21" x14ac:dyDescent="0.2">
      <c r="A42" s="28"/>
      <c r="N42" s="29">
        <v>235</v>
      </c>
      <c r="O42" s="29">
        <v>14</v>
      </c>
      <c r="T42" s="28">
        <v>-30</v>
      </c>
      <c r="U42" s="29">
        <v>-3</v>
      </c>
    </row>
    <row r="43" spans="1:21" x14ac:dyDescent="0.2">
      <c r="A43" s="28"/>
      <c r="N43" s="29">
        <v>236</v>
      </c>
      <c r="O43" s="29">
        <v>13</v>
      </c>
      <c r="T43" s="28">
        <v>-29</v>
      </c>
      <c r="U43" s="29">
        <v>-3</v>
      </c>
    </row>
    <row r="44" spans="1:21" x14ac:dyDescent="0.2">
      <c r="A44" s="28"/>
      <c r="N44" s="29">
        <v>237</v>
      </c>
      <c r="O44" s="29">
        <v>13</v>
      </c>
      <c r="T44" s="28">
        <v>-28</v>
      </c>
      <c r="U44" s="29">
        <v>-3</v>
      </c>
    </row>
    <row r="45" spans="1:21" x14ac:dyDescent="0.2">
      <c r="A45" s="28"/>
      <c r="N45" s="29">
        <v>238</v>
      </c>
      <c r="O45" s="29">
        <v>13</v>
      </c>
      <c r="T45" s="28">
        <v>-27</v>
      </c>
      <c r="U45" s="29">
        <v>-3</v>
      </c>
    </row>
    <row r="46" spans="1:21" x14ac:dyDescent="0.2">
      <c r="A46" s="28"/>
      <c r="N46" s="29">
        <v>239</v>
      </c>
      <c r="O46" s="29">
        <v>12</v>
      </c>
      <c r="T46" s="28">
        <v>-26</v>
      </c>
      <c r="U46" s="29">
        <v>-3</v>
      </c>
    </row>
    <row r="47" spans="1:21" x14ac:dyDescent="0.2">
      <c r="A47" s="28"/>
      <c r="N47" s="29">
        <v>240</v>
      </c>
      <c r="O47" s="29">
        <v>12</v>
      </c>
      <c r="T47" s="28">
        <v>-25</v>
      </c>
      <c r="U47" s="29">
        <v>-3</v>
      </c>
    </row>
    <row r="48" spans="1:21" x14ac:dyDescent="0.2">
      <c r="N48" s="29">
        <v>241</v>
      </c>
      <c r="O48" s="29">
        <v>12</v>
      </c>
      <c r="T48" s="28">
        <v>-24</v>
      </c>
      <c r="U48" s="29">
        <v>-2</v>
      </c>
    </row>
    <row r="49" spans="14:21" x14ac:dyDescent="0.2">
      <c r="N49" s="29">
        <v>242</v>
      </c>
      <c r="O49" s="29">
        <v>11</v>
      </c>
      <c r="T49" s="28">
        <v>-23</v>
      </c>
      <c r="U49" s="29">
        <v>-2</v>
      </c>
    </row>
    <row r="50" spans="14:21" x14ac:dyDescent="0.2">
      <c r="N50" s="29">
        <v>243</v>
      </c>
      <c r="O50" s="29">
        <v>11</v>
      </c>
      <c r="T50" s="28">
        <v>-22</v>
      </c>
      <c r="U50" s="29">
        <v>-2</v>
      </c>
    </row>
    <row r="51" spans="14:21" x14ac:dyDescent="0.2">
      <c r="N51" s="29">
        <v>244</v>
      </c>
      <c r="O51" s="29">
        <v>11</v>
      </c>
      <c r="T51" s="28">
        <v>-21</v>
      </c>
      <c r="U51" s="29">
        <v>-2</v>
      </c>
    </row>
    <row r="52" spans="14:21" x14ac:dyDescent="0.2">
      <c r="N52" s="29">
        <v>245</v>
      </c>
      <c r="O52" s="29">
        <v>10</v>
      </c>
      <c r="T52" s="28">
        <v>-20</v>
      </c>
      <c r="U52" s="29">
        <v>-2</v>
      </c>
    </row>
    <row r="53" spans="14:21" x14ac:dyDescent="0.2">
      <c r="N53" s="29">
        <v>246</v>
      </c>
      <c r="O53" s="29">
        <v>10</v>
      </c>
      <c r="T53" s="28">
        <v>-19</v>
      </c>
      <c r="U53" s="29">
        <v>-2</v>
      </c>
    </row>
    <row r="54" spans="14:21" x14ac:dyDescent="0.2">
      <c r="N54" s="29">
        <v>247</v>
      </c>
      <c r="O54" s="29">
        <v>10</v>
      </c>
      <c r="T54" s="28">
        <v>-18</v>
      </c>
      <c r="U54" s="29">
        <v>-2</v>
      </c>
    </row>
    <row r="55" spans="14:21" x14ac:dyDescent="0.2">
      <c r="N55" s="29">
        <v>248</v>
      </c>
      <c r="O55" s="29">
        <v>9</v>
      </c>
      <c r="T55" s="28">
        <v>-17</v>
      </c>
      <c r="U55" s="29">
        <v>-2</v>
      </c>
    </row>
    <row r="56" spans="14:21" x14ac:dyDescent="0.2">
      <c r="N56" s="29">
        <v>249</v>
      </c>
      <c r="O56" s="29">
        <v>9</v>
      </c>
      <c r="T56" s="28">
        <v>-16</v>
      </c>
      <c r="U56" s="29">
        <v>-2</v>
      </c>
    </row>
    <row r="57" spans="14:21" x14ac:dyDescent="0.2">
      <c r="N57" s="29">
        <v>250</v>
      </c>
      <c r="O57" s="29">
        <v>9</v>
      </c>
      <c r="T57" s="28">
        <v>-15</v>
      </c>
      <c r="U57" s="29">
        <v>-2</v>
      </c>
    </row>
    <row r="58" spans="14:21" x14ac:dyDescent="0.2">
      <c r="N58" s="29">
        <v>251</v>
      </c>
      <c r="O58" s="29">
        <v>8</v>
      </c>
      <c r="T58" s="28">
        <v>-14</v>
      </c>
      <c r="U58" s="29">
        <v>-1</v>
      </c>
    </row>
    <row r="59" spans="14:21" x14ac:dyDescent="0.2">
      <c r="N59" s="29">
        <v>252</v>
      </c>
      <c r="O59" s="29">
        <v>8</v>
      </c>
      <c r="T59" s="28">
        <v>-13</v>
      </c>
      <c r="U59" s="29">
        <v>-1</v>
      </c>
    </row>
    <row r="60" spans="14:21" x14ac:dyDescent="0.2">
      <c r="N60" s="29">
        <v>253</v>
      </c>
      <c r="O60" s="29">
        <v>8</v>
      </c>
      <c r="T60" s="28">
        <v>-12</v>
      </c>
      <c r="U60" s="29">
        <v>-1</v>
      </c>
    </row>
    <row r="61" spans="14:21" x14ac:dyDescent="0.2">
      <c r="N61" s="29">
        <v>254</v>
      </c>
      <c r="O61" s="29">
        <v>7</v>
      </c>
      <c r="T61" s="28">
        <v>-11</v>
      </c>
      <c r="U61" s="29">
        <v>-1</v>
      </c>
    </row>
    <row r="62" spans="14:21" x14ac:dyDescent="0.2">
      <c r="N62" s="29">
        <v>255</v>
      </c>
      <c r="O62" s="29">
        <v>7</v>
      </c>
      <c r="T62" s="28">
        <v>-10</v>
      </c>
      <c r="U62" s="29">
        <v>-1</v>
      </c>
    </row>
    <row r="63" spans="14:21" x14ac:dyDescent="0.2">
      <c r="N63" s="29">
        <v>256</v>
      </c>
      <c r="O63" s="29">
        <v>7</v>
      </c>
      <c r="T63" s="28">
        <v>-9</v>
      </c>
      <c r="U63" s="29">
        <v>-1</v>
      </c>
    </row>
    <row r="64" spans="14:21" x14ac:dyDescent="0.2">
      <c r="N64" s="29">
        <v>257</v>
      </c>
      <c r="O64" s="29">
        <v>6</v>
      </c>
      <c r="T64" s="28">
        <v>-8</v>
      </c>
      <c r="U64" s="29">
        <v>-1</v>
      </c>
    </row>
    <row r="65" spans="14:21" x14ac:dyDescent="0.2">
      <c r="N65" s="29">
        <v>258</v>
      </c>
      <c r="O65" s="29">
        <v>6</v>
      </c>
      <c r="T65" s="28">
        <v>-7</v>
      </c>
      <c r="U65" s="29">
        <v>-1</v>
      </c>
    </row>
    <row r="66" spans="14:21" x14ac:dyDescent="0.2">
      <c r="N66" s="29">
        <v>259</v>
      </c>
      <c r="O66" s="29">
        <v>6</v>
      </c>
      <c r="T66" s="28">
        <v>-6</v>
      </c>
      <c r="U66" s="29">
        <v>-1</v>
      </c>
    </row>
    <row r="67" spans="14:21" x14ac:dyDescent="0.2">
      <c r="N67" s="29">
        <v>260</v>
      </c>
      <c r="O67" s="29">
        <v>5</v>
      </c>
      <c r="T67" s="28">
        <v>-5</v>
      </c>
      <c r="U67" s="29">
        <v>-1</v>
      </c>
    </row>
    <row r="68" spans="14:21" x14ac:dyDescent="0.2">
      <c r="N68" s="29">
        <v>261</v>
      </c>
      <c r="O68" s="29">
        <v>5</v>
      </c>
      <c r="T68" s="28">
        <v>-4</v>
      </c>
      <c r="U68" s="29">
        <v>0</v>
      </c>
    </row>
    <row r="69" spans="14:21" x14ac:dyDescent="0.2">
      <c r="N69" s="29">
        <v>262</v>
      </c>
      <c r="O69" s="29">
        <v>5</v>
      </c>
      <c r="T69" s="28">
        <v>-3</v>
      </c>
      <c r="U69" s="29">
        <v>0</v>
      </c>
    </row>
    <row r="70" spans="14:21" x14ac:dyDescent="0.2">
      <c r="N70" s="29">
        <v>263</v>
      </c>
      <c r="O70" s="29">
        <v>4</v>
      </c>
      <c r="T70" s="28">
        <v>-2</v>
      </c>
      <c r="U70" s="29">
        <v>0</v>
      </c>
    </row>
    <row r="71" spans="14:21" x14ac:dyDescent="0.2">
      <c r="N71" s="29">
        <v>264</v>
      </c>
      <c r="O71" s="29">
        <v>4</v>
      </c>
      <c r="T71" s="28">
        <v>-1</v>
      </c>
      <c r="U71" s="29">
        <v>0</v>
      </c>
    </row>
    <row r="72" spans="14:21" x14ac:dyDescent="0.2">
      <c r="N72" s="29">
        <v>265</v>
      </c>
      <c r="O72" s="29">
        <v>4</v>
      </c>
      <c r="T72" s="28">
        <v>0</v>
      </c>
      <c r="U72" s="29">
        <v>0</v>
      </c>
    </row>
    <row r="73" spans="14:21" x14ac:dyDescent="0.2">
      <c r="N73" s="29">
        <v>266</v>
      </c>
      <c r="O73" s="29">
        <v>4</v>
      </c>
      <c r="T73" s="28">
        <v>1</v>
      </c>
      <c r="U73" s="29">
        <v>0</v>
      </c>
    </row>
    <row r="74" spans="14:21" x14ac:dyDescent="0.2">
      <c r="N74" s="29">
        <v>267</v>
      </c>
      <c r="O74" s="29">
        <v>4</v>
      </c>
      <c r="T74" s="28">
        <v>2</v>
      </c>
      <c r="U74" s="29">
        <v>0</v>
      </c>
    </row>
    <row r="75" spans="14:21" x14ac:dyDescent="0.2">
      <c r="N75" s="29">
        <v>268</v>
      </c>
      <c r="O75" s="29">
        <v>4</v>
      </c>
      <c r="T75" s="28">
        <v>3</v>
      </c>
      <c r="U75" s="29">
        <v>0</v>
      </c>
    </row>
    <row r="76" spans="14:21" x14ac:dyDescent="0.2">
      <c r="N76" s="29">
        <v>269</v>
      </c>
      <c r="O76" s="29">
        <v>2</v>
      </c>
      <c r="T76" s="28">
        <v>4</v>
      </c>
      <c r="U76" s="29">
        <v>0</v>
      </c>
    </row>
    <row r="77" spans="14:21" x14ac:dyDescent="0.2">
      <c r="N77" s="29">
        <v>270</v>
      </c>
      <c r="O77" s="29">
        <v>2</v>
      </c>
      <c r="T77" s="28">
        <v>5</v>
      </c>
      <c r="U77" s="29">
        <v>1</v>
      </c>
    </row>
    <row r="78" spans="14:21" x14ac:dyDescent="0.2">
      <c r="N78" s="29">
        <v>271</v>
      </c>
      <c r="O78" s="29">
        <v>2</v>
      </c>
      <c r="T78" s="28">
        <v>6</v>
      </c>
      <c r="U78" s="29">
        <v>1</v>
      </c>
    </row>
    <row r="79" spans="14:21" x14ac:dyDescent="0.2">
      <c r="N79" s="29">
        <v>272</v>
      </c>
      <c r="O79" s="29">
        <v>1</v>
      </c>
      <c r="T79" s="28">
        <v>7</v>
      </c>
      <c r="U79" s="29">
        <v>1</v>
      </c>
    </row>
    <row r="80" spans="14:21" x14ac:dyDescent="0.2">
      <c r="N80" s="29">
        <v>273</v>
      </c>
      <c r="O80" s="29">
        <v>1</v>
      </c>
      <c r="T80" s="28">
        <v>8</v>
      </c>
      <c r="U80" s="29">
        <v>1</v>
      </c>
    </row>
    <row r="81" spans="14:21" x14ac:dyDescent="0.2">
      <c r="N81" s="29">
        <v>274</v>
      </c>
      <c r="O81" s="29">
        <v>1</v>
      </c>
      <c r="T81" s="28">
        <v>9</v>
      </c>
      <c r="U81" s="29">
        <v>1</v>
      </c>
    </row>
    <row r="82" spans="14:21" x14ac:dyDescent="0.2">
      <c r="N82" s="29">
        <v>275</v>
      </c>
      <c r="O82" s="29">
        <v>0</v>
      </c>
      <c r="T82" s="28">
        <v>10</v>
      </c>
      <c r="U82" s="29">
        <v>1</v>
      </c>
    </row>
    <row r="83" spans="14:21" x14ac:dyDescent="0.2">
      <c r="N83" s="29">
        <v>276</v>
      </c>
      <c r="O83" s="29">
        <v>0</v>
      </c>
      <c r="T83" s="28">
        <v>11</v>
      </c>
      <c r="U83" s="29">
        <v>1</v>
      </c>
    </row>
    <row r="84" spans="14:21" x14ac:dyDescent="0.2">
      <c r="N84" s="29">
        <v>277</v>
      </c>
      <c r="O84" s="29">
        <v>0</v>
      </c>
      <c r="T84" s="28">
        <v>12</v>
      </c>
      <c r="U84" s="29">
        <v>1</v>
      </c>
    </row>
    <row r="85" spans="14:21" x14ac:dyDescent="0.2">
      <c r="N85" s="29">
        <v>278</v>
      </c>
      <c r="O85" s="29">
        <v>0</v>
      </c>
      <c r="T85" s="28">
        <v>13</v>
      </c>
      <c r="U85" s="29">
        <v>1</v>
      </c>
    </row>
    <row r="86" spans="14:21" x14ac:dyDescent="0.2">
      <c r="N86" s="29">
        <v>279</v>
      </c>
      <c r="O86" s="29">
        <v>0</v>
      </c>
      <c r="T86" s="28">
        <v>14</v>
      </c>
      <c r="U86" s="29">
        <v>2</v>
      </c>
    </row>
    <row r="87" spans="14:21" x14ac:dyDescent="0.2">
      <c r="N87" s="29">
        <v>280</v>
      </c>
      <c r="O87" s="29">
        <v>0</v>
      </c>
      <c r="T87" s="28">
        <v>15</v>
      </c>
      <c r="U87" s="29">
        <v>2</v>
      </c>
    </row>
    <row r="88" spans="14:21" x14ac:dyDescent="0.2">
      <c r="N88" s="29">
        <v>281</v>
      </c>
      <c r="O88" s="29">
        <v>0</v>
      </c>
      <c r="T88" s="28">
        <v>16</v>
      </c>
      <c r="U88" s="29">
        <v>2</v>
      </c>
    </row>
    <row r="89" spans="14:21" x14ac:dyDescent="0.2">
      <c r="N89" s="29">
        <v>282</v>
      </c>
      <c r="O89" s="29">
        <v>0</v>
      </c>
      <c r="T89" s="28">
        <v>17</v>
      </c>
      <c r="U89" s="29">
        <v>2</v>
      </c>
    </row>
    <row r="90" spans="14:21" x14ac:dyDescent="0.2">
      <c r="N90" s="29">
        <v>283</v>
      </c>
      <c r="O90" s="29">
        <v>0</v>
      </c>
      <c r="T90" s="28">
        <v>18</v>
      </c>
      <c r="U90" s="29">
        <v>2</v>
      </c>
    </row>
    <row r="91" spans="14:21" x14ac:dyDescent="0.2">
      <c r="N91" s="29">
        <v>284</v>
      </c>
      <c r="O91" s="29">
        <v>0</v>
      </c>
      <c r="T91" s="28">
        <v>19</v>
      </c>
      <c r="U91" s="29">
        <v>2</v>
      </c>
    </row>
    <row r="92" spans="14:21" x14ac:dyDescent="0.2">
      <c r="N92" s="29">
        <v>285</v>
      </c>
      <c r="O92" s="29">
        <v>0</v>
      </c>
      <c r="T92" s="28">
        <v>20</v>
      </c>
      <c r="U92" s="29">
        <v>2</v>
      </c>
    </row>
    <row r="93" spans="14:21" x14ac:dyDescent="0.2">
      <c r="N93" s="29">
        <v>286</v>
      </c>
      <c r="O93" s="29">
        <v>0</v>
      </c>
      <c r="T93" s="28">
        <v>21</v>
      </c>
      <c r="U93" s="29">
        <v>2</v>
      </c>
    </row>
    <row r="94" spans="14:21" x14ac:dyDescent="0.2">
      <c r="N94" s="29">
        <v>287</v>
      </c>
      <c r="O94" s="29">
        <v>0</v>
      </c>
      <c r="T94" s="28">
        <v>22</v>
      </c>
      <c r="U94" s="29">
        <v>2</v>
      </c>
    </row>
    <row r="95" spans="14:21" x14ac:dyDescent="0.2">
      <c r="N95" s="29">
        <v>288</v>
      </c>
      <c r="O95" s="29">
        <v>0</v>
      </c>
      <c r="T95" s="28">
        <v>23</v>
      </c>
      <c r="U95" s="29">
        <v>2</v>
      </c>
    </row>
    <row r="96" spans="14:21" x14ac:dyDescent="0.2">
      <c r="N96" s="29">
        <v>289</v>
      </c>
      <c r="O96" s="29">
        <v>0</v>
      </c>
      <c r="T96" s="28">
        <v>24</v>
      </c>
      <c r="U96" s="29">
        <v>2</v>
      </c>
    </row>
    <row r="97" spans="14:21" x14ac:dyDescent="0.2">
      <c r="N97" s="29">
        <v>290</v>
      </c>
      <c r="O97" s="29">
        <v>0</v>
      </c>
      <c r="T97" s="28">
        <v>25</v>
      </c>
      <c r="U97" s="29">
        <v>3</v>
      </c>
    </row>
    <row r="98" spans="14:21" x14ac:dyDescent="0.2">
      <c r="N98" s="29">
        <v>291</v>
      </c>
      <c r="O98" s="29">
        <v>0</v>
      </c>
      <c r="T98" s="28">
        <v>26</v>
      </c>
      <c r="U98" s="29">
        <v>3</v>
      </c>
    </row>
    <row r="99" spans="14:21" x14ac:dyDescent="0.2">
      <c r="N99" s="29">
        <v>292</v>
      </c>
      <c r="O99" s="29">
        <v>0</v>
      </c>
      <c r="T99" s="28">
        <v>27</v>
      </c>
      <c r="U99" s="29">
        <v>3</v>
      </c>
    </row>
    <row r="100" spans="14:21" x14ac:dyDescent="0.2">
      <c r="N100" s="29">
        <v>293</v>
      </c>
      <c r="O100" s="29">
        <v>0</v>
      </c>
      <c r="T100" s="28">
        <v>28</v>
      </c>
      <c r="U100" s="29">
        <v>3</v>
      </c>
    </row>
    <row r="101" spans="14:21" x14ac:dyDescent="0.2">
      <c r="N101" s="29">
        <v>294</v>
      </c>
      <c r="O101" s="29">
        <v>0</v>
      </c>
      <c r="T101" s="28">
        <v>29</v>
      </c>
      <c r="U101" s="29">
        <v>3</v>
      </c>
    </row>
    <row r="102" spans="14:21" x14ac:dyDescent="0.2">
      <c r="N102" s="29">
        <v>295</v>
      </c>
      <c r="O102" s="29">
        <v>0</v>
      </c>
      <c r="T102" s="28">
        <v>30</v>
      </c>
      <c r="U102" s="29">
        <v>3</v>
      </c>
    </row>
    <row r="103" spans="14:21" x14ac:dyDescent="0.2">
      <c r="N103" s="29">
        <v>296</v>
      </c>
      <c r="O103" s="29">
        <v>0</v>
      </c>
      <c r="T103" s="28">
        <v>31</v>
      </c>
      <c r="U103" s="29">
        <v>3</v>
      </c>
    </row>
    <row r="104" spans="14:21" x14ac:dyDescent="0.2">
      <c r="N104" s="29">
        <v>297</v>
      </c>
      <c r="O104" s="29">
        <v>0</v>
      </c>
      <c r="T104" s="28">
        <v>32</v>
      </c>
      <c r="U104" s="29">
        <v>3</v>
      </c>
    </row>
    <row r="105" spans="14:21" x14ac:dyDescent="0.2">
      <c r="N105" s="29">
        <v>298</v>
      </c>
      <c r="O105" s="29">
        <v>0</v>
      </c>
      <c r="T105" s="28">
        <v>33</v>
      </c>
      <c r="U105" s="29">
        <v>3</v>
      </c>
    </row>
    <row r="106" spans="14:21" x14ac:dyDescent="0.2">
      <c r="N106" s="29">
        <v>299</v>
      </c>
      <c r="O106" s="29">
        <v>0</v>
      </c>
      <c r="T106" s="28">
        <v>34</v>
      </c>
      <c r="U106" s="29">
        <v>3</v>
      </c>
    </row>
    <row r="107" spans="14:21" x14ac:dyDescent="0.2">
      <c r="N107" s="29">
        <v>300</v>
      </c>
      <c r="O107" s="29">
        <v>0</v>
      </c>
      <c r="T107" s="28">
        <v>35</v>
      </c>
      <c r="U107" s="29">
        <v>4</v>
      </c>
    </row>
    <row r="108" spans="14:21" x14ac:dyDescent="0.2">
      <c r="N108" s="29">
        <v>301</v>
      </c>
      <c r="O108" s="29">
        <v>0</v>
      </c>
      <c r="T108" s="28">
        <v>36</v>
      </c>
      <c r="U108" s="29">
        <v>4</v>
      </c>
    </row>
    <row r="109" spans="14:21" x14ac:dyDescent="0.2">
      <c r="N109" s="29">
        <v>302</v>
      </c>
      <c r="O109" s="29">
        <v>0</v>
      </c>
      <c r="T109" s="28">
        <v>37</v>
      </c>
      <c r="U109" s="29">
        <v>4</v>
      </c>
    </row>
    <row r="110" spans="14:21" x14ac:dyDescent="0.2">
      <c r="N110" s="29">
        <v>303</v>
      </c>
      <c r="O110" s="29">
        <v>0</v>
      </c>
      <c r="T110" s="28">
        <v>38</v>
      </c>
      <c r="U110" s="29">
        <v>4</v>
      </c>
    </row>
    <row r="111" spans="14:21" x14ac:dyDescent="0.2">
      <c r="N111" s="29">
        <v>304</v>
      </c>
      <c r="O111" s="29">
        <v>0</v>
      </c>
      <c r="T111" s="28">
        <v>39</v>
      </c>
      <c r="U111" s="29">
        <v>4</v>
      </c>
    </row>
    <row r="112" spans="14:21" x14ac:dyDescent="0.2">
      <c r="N112" s="29">
        <v>305</v>
      </c>
      <c r="O112" s="29">
        <v>0</v>
      </c>
      <c r="T112" s="28">
        <v>40</v>
      </c>
      <c r="U112" s="29">
        <v>4</v>
      </c>
    </row>
    <row r="113" spans="14:21" x14ac:dyDescent="0.2">
      <c r="N113" s="29">
        <v>306</v>
      </c>
      <c r="O113" s="29">
        <v>0</v>
      </c>
      <c r="T113" s="28">
        <v>41</v>
      </c>
      <c r="U113" s="29">
        <v>4</v>
      </c>
    </row>
    <row r="114" spans="14:21" x14ac:dyDescent="0.2">
      <c r="N114" s="29">
        <v>307</v>
      </c>
      <c r="O114" s="29">
        <v>0</v>
      </c>
      <c r="T114" s="28">
        <v>42</v>
      </c>
      <c r="U114" s="29">
        <v>4</v>
      </c>
    </row>
    <row r="115" spans="14:21" x14ac:dyDescent="0.2">
      <c r="N115" s="29">
        <v>308</v>
      </c>
      <c r="O115" s="29">
        <v>0</v>
      </c>
      <c r="T115" s="28">
        <v>43</v>
      </c>
      <c r="U115" s="29">
        <v>4</v>
      </c>
    </row>
    <row r="116" spans="14:21" x14ac:dyDescent="0.2">
      <c r="N116" s="29">
        <v>309</v>
      </c>
      <c r="O116" s="29">
        <v>0</v>
      </c>
      <c r="T116" s="28">
        <v>44</v>
      </c>
      <c r="U116" s="29">
        <v>4</v>
      </c>
    </row>
    <row r="117" spans="14:21" x14ac:dyDescent="0.2">
      <c r="N117" s="29">
        <v>310</v>
      </c>
      <c r="O117" s="29">
        <v>0</v>
      </c>
      <c r="T117" s="28">
        <v>45</v>
      </c>
      <c r="U117" s="29">
        <v>5</v>
      </c>
    </row>
    <row r="118" spans="14:21" x14ac:dyDescent="0.2">
      <c r="N118" s="29">
        <v>311</v>
      </c>
      <c r="O118" s="29">
        <v>0</v>
      </c>
      <c r="T118" s="28">
        <v>46</v>
      </c>
      <c r="U118" s="29">
        <v>5</v>
      </c>
    </row>
    <row r="119" spans="14:21" x14ac:dyDescent="0.2">
      <c r="N119" s="29">
        <v>312</v>
      </c>
      <c r="O119" s="29">
        <v>0</v>
      </c>
      <c r="T119" s="28">
        <v>47</v>
      </c>
      <c r="U119" s="29">
        <v>5</v>
      </c>
    </row>
    <row r="120" spans="14:21" x14ac:dyDescent="0.2">
      <c r="N120" s="29">
        <v>313</v>
      </c>
      <c r="O120" s="29">
        <v>0</v>
      </c>
      <c r="T120" s="28">
        <v>48</v>
      </c>
      <c r="U120" s="29">
        <v>5</v>
      </c>
    </row>
    <row r="121" spans="14:21" x14ac:dyDescent="0.2">
      <c r="N121" s="29">
        <v>314</v>
      </c>
      <c r="O121" s="29">
        <v>0</v>
      </c>
      <c r="T121" s="28">
        <v>49</v>
      </c>
      <c r="U121" s="29">
        <v>5</v>
      </c>
    </row>
    <row r="122" spans="14:21" x14ac:dyDescent="0.2">
      <c r="N122" s="29">
        <v>315</v>
      </c>
      <c r="O122" s="29">
        <v>0</v>
      </c>
      <c r="T122" s="28">
        <v>50</v>
      </c>
      <c r="U122" s="29">
        <v>5</v>
      </c>
    </row>
    <row r="123" spans="14:21" x14ac:dyDescent="0.2">
      <c r="N123" s="29">
        <v>316</v>
      </c>
      <c r="O123" s="29">
        <v>0</v>
      </c>
      <c r="T123" s="28">
        <v>51</v>
      </c>
      <c r="U123" s="29">
        <v>5</v>
      </c>
    </row>
    <row r="124" spans="14:21" x14ac:dyDescent="0.2">
      <c r="N124" s="29">
        <v>317</v>
      </c>
      <c r="O124" s="29">
        <v>0</v>
      </c>
      <c r="T124" s="28">
        <v>52</v>
      </c>
      <c r="U124" s="29">
        <v>5</v>
      </c>
    </row>
    <row r="125" spans="14:21" x14ac:dyDescent="0.2">
      <c r="N125" s="29">
        <v>318</v>
      </c>
      <c r="O125" s="29">
        <v>0</v>
      </c>
      <c r="T125" s="28">
        <v>53</v>
      </c>
      <c r="U125" s="29">
        <v>5</v>
      </c>
    </row>
    <row r="126" spans="14:21" x14ac:dyDescent="0.2">
      <c r="N126" s="29">
        <v>319</v>
      </c>
      <c r="O126" s="29">
        <v>0</v>
      </c>
      <c r="T126" s="28">
        <v>54</v>
      </c>
      <c r="U126" s="29">
        <v>5</v>
      </c>
    </row>
    <row r="127" spans="14:21" x14ac:dyDescent="0.2">
      <c r="N127" s="29">
        <v>320</v>
      </c>
      <c r="O127" s="29">
        <v>0</v>
      </c>
      <c r="T127" s="28">
        <v>55</v>
      </c>
      <c r="U127" s="29">
        <v>6</v>
      </c>
    </row>
    <row r="128" spans="14:21" x14ac:dyDescent="0.2">
      <c r="N128" s="29">
        <v>321</v>
      </c>
      <c r="O128" s="29">
        <v>0</v>
      </c>
      <c r="T128" s="28">
        <v>56</v>
      </c>
      <c r="U128" s="29">
        <v>6</v>
      </c>
    </row>
    <row r="129" spans="14:21" x14ac:dyDescent="0.2">
      <c r="N129" s="29">
        <v>322</v>
      </c>
      <c r="O129" s="29">
        <v>0</v>
      </c>
      <c r="T129" s="28">
        <v>57</v>
      </c>
      <c r="U129" s="29">
        <v>6</v>
      </c>
    </row>
    <row r="130" spans="14:21" x14ac:dyDescent="0.2">
      <c r="N130" s="29">
        <v>323</v>
      </c>
      <c r="O130" s="29">
        <v>0</v>
      </c>
      <c r="T130" s="28">
        <v>58</v>
      </c>
      <c r="U130" s="29">
        <v>6</v>
      </c>
    </row>
    <row r="131" spans="14:21" x14ac:dyDescent="0.2">
      <c r="N131" s="29">
        <v>324</v>
      </c>
      <c r="O131" s="29">
        <v>0</v>
      </c>
      <c r="T131" s="28">
        <v>59</v>
      </c>
      <c r="U131" s="29">
        <v>6</v>
      </c>
    </row>
    <row r="132" spans="14:21" x14ac:dyDescent="0.2">
      <c r="N132" s="29">
        <v>325</v>
      </c>
      <c r="O132" s="29">
        <v>0</v>
      </c>
      <c r="T132" s="28">
        <v>60</v>
      </c>
      <c r="U132" s="29">
        <v>6</v>
      </c>
    </row>
    <row r="133" spans="14:21" x14ac:dyDescent="0.2">
      <c r="N133" s="29">
        <v>326</v>
      </c>
      <c r="O133" s="29">
        <v>0</v>
      </c>
      <c r="T133" s="28">
        <v>61</v>
      </c>
      <c r="U133" s="29">
        <v>6</v>
      </c>
    </row>
    <row r="134" spans="14:21" x14ac:dyDescent="0.2">
      <c r="N134" s="29">
        <v>327</v>
      </c>
      <c r="O134" s="29">
        <v>0</v>
      </c>
      <c r="T134" s="28">
        <v>62</v>
      </c>
      <c r="U134" s="29">
        <v>6</v>
      </c>
    </row>
    <row r="135" spans="14:21" x14ac:dyDescent="0.2">
      <c r="N135" s="29">
        <v>328</v>
      </c>
      <c r="O135" s="29">
        <v>0</v>
      </c>
      <c r="T135" s="28">
        <v>63</v>
      </c>
      <c r="U135" s="29">
        <v>6</v>
      </c>
    </row>
    <row r="136" spans="14:21" x14ac:dyDescent="0.2">
      <c r="N136" s="29">
        <v>329</v>
      </c>
      <c r="O136" s="29">
        <v>0</v>
      </c>
      <c r="T136" s="28">
        <v>64</v>
      </c>
      <c r="U136" s="29">
        <v>6</v>
      </c>
    </row>
    <row r="137" spans="14:21" x14ac:dyDescent="0.2">
      <c r="N137" s="29">
        <v>330</v>
      </c>
      <c r="O137" s="29">
        <v>0</v>
      </c>
      <c r="T137" s="28">
        <v>65</v>
      </c>
      <c r="U137" s="29">
        <v>7</v>
      </c>
    </row>
    <row r="138" spans="14:21" x14ac:dyDescent="0.2">
      <c r="N138" s="29">
        <v>331</v>
      </c>
      <c r="O138" s="29">
        <v>0</v>
      </c>
    </row>
    <row r="139" spans="14:21" x14ac:dyDescent="0.2">
      <c r="N139" s="29">
        <v>332</v>
      </c>
      <c r="O139" s="29">
        <v>0</v>
      </c>
    </row>
    <row r="140" spans="14:21" x14ac:dyDescent="0.2">
      <c r="N140" s="29">
        <v>333</v>
      </c>
      <c r="O140" s="29">
        <v>0</v>
      </c>
    </row>
    <row r="141" spans="14:21" x14ac:dyDescent="0.2">
      <c r="N141" s="29">
        <v>334</v>
      </c>
      <c r="O141" s="29">
        <v>0</v>
      </c>
    </row>
    <row r="142" spans="14:21" x14ac:dyDescent="0.2">
      <c r="N142" s="29">
        <v>335</v>
      </c>
      <c r="O142" s="29">
        <v>0</v>
      </c>
    </row>
    <row r="143" spans="14:21" x14ac:dyDescent="0.2">
      <c r="N143" s="29">
        <v>336</v>
      </c>
      <c r="O143" s="29">
        <v>0</v>
      </c>
    </row>
    <row r="144" spans="14:21" x14ac:dyDescent="0.2">
      <c r="N144" s="29">
        <v>337</v>
      </c>
      <c r="O144" s="29">
        <v>0</v>
      </c>
    </row>
    <row r="145" spans="14:15" x14ac:dyDescent="0.2">
      <c r="N145" s="29">
        <v>338</v>
      </c>
      <c r="O145" s="29">
        <v>0</v>
      </c>
    </row>
    <row r="146" spans="14:15" x14ac:dyDescent="0.2">
      <c r="N146" s="29">
        <v>339</v>
      </c>
      <c r="O146" s="29">
        <v>0</v>
      </c>
    </row>
    <row r="147" spans="14:15" x14ac:dyDescent="0.2">
      <c r="N147" s="29">
        <v>340</v>
      </c>
      <c r="O147" s="29">
        <v>0</v>
      </c>
    </row>
    <row r="148" spans="14:15" x14ac:dyDescent="0.2">
      <c r="N148" s="29">
        <v>341</v>
      </c>
      <c r="O148" s="29">
        <v>0</v>
      </c>
    </row>
    <row r="149" spans="14:15" x14ac:dyDescent="0.2">
      <c r="N149" s="29">
        <v>342</v>
      </c>
      <c r="O149" s="29">
        <v>0</v>
      </c>
    </row>
    <row r="150" spans="14:15" x14ac:dyDescent="0.2">
      <c r="N150" s="29">
        <v>343</v>
      </c>
      <c r="O150" s="29">
        <v>0</v>
      </c>
    </row>
    <row r="151" spans="14:15" x14ac:dyDescent="0.2">
      <c r="N151" s="29">
        <v>344</v>
      </c>
      <c r="O151" s="29">
        <v>0</v>
      </c>
    </row>
    <row r="152" spans="14:15" x14ac:dyDescent="0.2">
      <c r="N152" s="29">
        <v>345</v>
      </c>
      <c r="O152" s="29">
        <v>0</v>
      </c>
    </row>
    <row r="153" spans="14:15" x14ac:dyDescent="0.2">
      <c r="N153" s="29">
        <v>346</v>
      </c>
      <c r="O153" s="29">
        <v>0</v>
      </c>
    </row>
    <row r="154" spans="14:15" x14ac:dyDescent="0.2">
      <c r="N154" s="29">
        <v>347</v>
      </c>
      <c r="O154" s="29">
        <v>0</v>
      </c>
    </row>
    <row r="155" spans="14:15" x14ac:dyDescent="0.2">
      <c r="N155" s="29">
        <v>348</v>
      </c>
      <c r="O155" s="29">
        <v>0</v>
      </c>
    </row>
    <row r="156" spans="14:15" x14ac:dyDescent="0.2">
      <c r="N156" s="29">
        <v>349</v>
      </c>
      <c r="O156" s="29">
        <v>0</v>
      </c>
    </row>
    <row r="157" spans="14:15" x14ac:dyDescent="0.2">
      <c r="N157" s="29">
        <v>350</v>
      </c>
      <c r="O157" s="29">
        <v>0</v>
      </c>
    </row>
    <row r="158" spans="14:15" x14ac:dyDescent="0.2">
      <c r="N158" s="29">
        <v>351</v>
      </c>
      <c r="O158" s="29">
        <v>0</v>
      </c>
    </row>
    <row r="159" spans="14:15" x14ac:dyDescent="0.2">
      <c r="N159" s="29">
        <v>352</v>
      </c>
      <c r="O159" s="29">
        <v>0</v>
      </c>
    </row>
    <row r="160" spans="14:15" x14ac:dyDescent="0.2">
      <c r="N160" s="29">
        <v>353</v>
      </c>
      <c r="O160" s="29">
        <v>0</v>
      </c>
    </row>
    <row r="161" spans="14:15" x14ac:dyDescent="0.2">
      <c r="N161" s="29">
        <v>354</v>
      </c>
      <c r="O161" s="29">
        <v>0</v>
      </c>
    </row>
    <row r="162" spans="14:15" x14ac:dyDescent="0.2">
      <c r="N162" s="29">
        <v>355</v>
      </c>
      <c r="O162" s="29">
        <v>0</v>
      </c>
    </row>
    <row r="163" spans="14:15" x14ac:dyDescent="0.2">
      <c r="N163" s="29">
        <v>356</v>
      </c>
      <c r="O163" s="29">
        <v>0</v>
      </c>
    </row>
    <row r="164" spans="14:15" x14ac:dyDescent="0.2">
      <c r="N164" s="29">
        <v>357</v>
      </c>
      <c r="O164" s="29">
        <v>0</v>
      </c>
    </row>
    <row r="165" spans="14:15" x14ac:dyDescent="0.2">
      <c r="N165" s="29">
        <v>358</v>
      </c>
      <c r="O165" s="29">
        <v>0</v>
      </c>
    </row>
    <row r="166" spans="14:15" x14ac:dyDescent="0.2">
      <c r="N166" s="29">
        <v>359</v>
      </c>
      <c r="O166" s="29">
        <v>0</v>
      </c>
    </row>
    <row r="167" spans="14:15" x14ac:dyDescent="0.2">
      <c r="N167" s="29">
        <v>360</v>
      </c>
      <c r="O167" s="29">
        <v>0</v>
      </c>
    </row>
    <row r="168" spans="14:15" x14ac:dyDescent="0.2">
      <c r="N168" s="29">
        <v>361</v>
      </c>
      <c r="O168" s="29">
        <v>0</v>
      </c>
    </row>
    <row r="169" spans="14:15" x14ac:dyDescent="0.2">
      <c r="N169" s="29">
        <v>362</v>
      </c>
      <c r="O169" s="29">
        <v>0</v>
      </c>
    </row>
    <row r="170" spans="14:15" x14ac:dyDescent="0.2">
      <c r="N170" s="29">
        <v>363</v>
      </c>
      <c r="O170" s="29">
        <v>0</v>
      </c>
    </row>
    <row r="171" spans="14:15" x14ac:dyDescent="0.2">
      <c r="N171" s="29">
        <v>364</v>
      </c>
      <c r="O171" s="29">
        <v>0</v>
      </c>
    </row>
    <row r="172" spans="14:15" x14ac:dyDescent="0.2">
      <c r="N172" s="29">
        <v>365</v>
      </c>
      <c r="O172" s="29">
        <v>0</v>
      </c>
    </row>
    <row r="173" spans="14:15" x14ac:dyDescent="0.2">
      <c r="N173" s="29">
        <v>366</v>
      </c>
      <c r="O173" s="29">
        <v>0</v>
      </c>
    </row>
    <row r="174" spans="14:15" x14ac:dyDescent="0.2">
      <c r="N174" s="29">
        <v>367</v>
      </c>
      <c r="O174" s="29">
        <v>0</v>
      </c>
    </row>
    <row r="175" spans="14:15" x14ac:dyDescent="0.2">
      <c r="N175" s="29">
        <v>368</v>
      </c>
      <c r="O175" s="29">
        <v>0</v>
      </c>
    </row>
    <row r="176" spans="14:15" x14ac:dyDescent="0.2">
      <c r="N176" s="29">
        <v>369</v>
      </c>
      <c r="O176" s="29">
        <v>0</v>
      </c>
    </row>
    <row r="177" spans="14:15" x14ac:dyDescent="0.2">
      <c r="N177" s="29">
        <v>370</v>
      </c>
      <c r="O177" s="29">
        <v>0</v>
      </c>
    </row>
    <row r="178" spans="14:15" x14ac:dyDescent="0.2">
      <c r="N178" s="29">
        <v>371</v>
      </c>
      <c r="O178" s="29">
        <v>0</v>
      </c>
    </row>
    <row r="179" spans="14:15" x14ac:dyDescent="0.2">
      <c r="N179" s="29">
        <v>372</v>
      </c>
      <c r="O179" s="29">
        <v>0</v>
      </c>
    </row>
    <row r="180" spans="14:15" x14ac:dyDescent="0.2">
      <c r="N180" s="29">
        <v>373</v>
      </c>
      <c r="O180" s="29">
        <v>0</v>
      </c>
    </row>
    <row r="181" spans="14:15" x14ac:dyDescent="0.2">
      <c r="N181" s="29">
        <v>374</v>
      </c>
      <c r="O181" s="29">
        <v>0</v>
      </c>
    </row>
    <row r="182" spans="14:15" x14ac:dyDescent="0.2">
      <c r="N182" s="29">
        <v>375</v>
      </c>
      <c r="O182" s="29">
        <v>0</v>
      </c>
    </row>
    <row r="183" spans="14:15" x14ac:dyDescent="0.2">
      <c r="N183" s="29">
        <v>376</v>
      </c>
      <c r="O183" s="29">
        <v>0</v>
      </c>
    </row>
    <row r="184" spans="14:15" x14ac:dyDescent="0.2">
      <c r="N184" s="29">
        <v>377</v>
      </c>
      <c r="O184" s="29">
        <v>0</v>
      </c>
    </row>
    <row r="185" spans="14:15" x14ac:dyDescent="0.2">
      <c r="N185" s="29">
        <v>378</v>
      </c>
      <c r="O185" s="29">
        <v>0</v>
      </c>
    </row>
    <row r="186" spans="14:15" x14ac:dyDescent="0.2">
      <c r="N186" s="29">
        <v>379</v>
      </c>
      <c r="O186" s="29">
        <v>0</v>
      </c>
    </row>
    <row r="187" spans="14:15" x14ac:dyDescent="0.2">
      <c r="N187" s="29">
        <v>380</v>
      </c>
      <c r="O187" s="29">
        <v>0</v>
      </c>
    </row>
    <row r="188" spans="14:15" x14ac:dyDescent="0.2">
      <c r="N188" s="29">
        <v>381</v>
      </c>
      <c r="O188" s="29">
        <v>0</v>
      </c>
    </row>
    <row r="189" spans="14:15" x14ac:dyDescent="0.2">
      <c r="N189" s="29">
        <v>382</v>
      </c>
      <c r="O189" s="29">
        <v>0</v>
      </c>
    </row>
    <row r="190" spans="14:15" x14ac:dyDescent="0.2">
      <c r="N190" s="29">
        <v>383</v>
      </c>
      <c r="O190" s="29">
        <v>0</v>
      </c>
    </row>
    <row r="191" spans="14:15" x14ac:dyDescent="0.2">
      <c r="N191" s="29">
        <v>384</v>
      </c>
      <c r="O191" s="29">
        <v>0</v>
      </c>
    </row>
    <row r="192" spans="14:15" x14ac:dyDescent="0.2">
      <c r="N192" s="29">
        <v>385</v>
      </c>
      <c r="O192" s="29">
        <v>0</v>
      </c>
    </row>
    <row r="193" spans="14:15" x14ac:dyDescent="0.2">
      <c r="N193" s="29">
        <v>386</v>
      </c>
      <c r="O193" s="29">
        <v>0</v>
      </c>
    </row>
    <row r="194" spans="14:15" x14ac:dyDescent="0.2">
      <c r="N194" s="29">
        <v>387</v>
      </c>
      <c r="O194" s="29">
        <v>0</v>
      </c>
    </row>
    <row r="195" spans="14:15" x14ac:dyDescent="0.2">
      <c r="N195" s="29">
        <v>388</v>
      </c>
      <c r="O195" s="29">
        <v>0</v>
      </c>
    </row>
    <row r="196" spans="14:15" x14ac:dyDescent="0.2">
      <c r="N196" s="29">
        <v>389</v>
      </c>
      <c r="O196" s="29">
        <v>0</v>
      </c>
    </row>
    <row r="197" spans="14:15" x14ac:dyDescent="0.2">
      <c r="N197" s="29">
        <v>390</v>
      </c>
      <c r="O197" s="29">
        <v>0</v>
      </c>
    </row>
    <row r="198" spans="14:15" x14ac:dyDescent="0.2">
      <c r="N198" s="29">
        <v>391</v>
      </c>
      <c r="O198" s="29">
        <v>0</v>
      </c>
    </row>
    <row r="199" spans="14:15" x14ac:dyDescent="0.2">
      <c r="N199" s="29">
        <v>392</v>
      </c>
      <c r="O199" s="29">
        <v>0</v>
      </c>
    </row>
    <row r="200" spans="14:15" x14ac:dyDescent="0.2">
      <c r="N200" s="29">
        <v>393</v>
      </c>
      <c r="O200" s="29">
        <v>0</v>
      </c>
    </row>
    <row r="201" spans="14:15" x14ac:dyDescent="0.2">
      <c r="N201" s="29">
        <v>394</v>
      </c>
      <c r="O201" s="29">
        <v>0</v>
      </c>
    </row>
    <row r="202" spans="14:15" x14ac:dyDescent="0.2">
      <c r="N202" s="29">
        <v>395</v>
      </c>
      <c r="O202" s="29">
        <v>0</v>
      </c>
    </row>
    <row r="203" spans="14:15" x14ac:dyDescent="0.2">
      <c r="N203" s="29">
        <v>396</v>
      </c>
      <c r="O203" s="29">
        <v>0</v>
      </c>
    </row>
    <row r="204" spans="14:15" x14ac:dyDescent="0.2">
      <c r="N204" s="29">
        <v>397</v>
      </c>
      <c r="O204" s="29">
        <v>0</v>
      </c>
    </row>
    <row r="205" spans="14:15" x14ac:dyDescent="0.2">
      <c r="N205" s="29">
        <v>398</v>
      </c>
      <c r="O205" s="29">
        <v>0</v>
      </c>
    </row>
    <row r="206" spans="14:15" x14ac:dyDescent="0.2">
      <c r="N206" s="29">
        <v>399</v>
      </c>
      <c r="O206" s="29">
        <v>0</v>
      </c>
    </row>
    <row r="207" spans="14:15" x14ac:dyDescent="0.2">
      <c r="N207" s="29">
        <v>400</v>
      </c>
      <c r="O207" s="29">
        <v>0</v>
      </c>
    </row>
    <row r="208" spans="14:15" x14ac:dyDescent="0.2">
      <c r="N208" s="29">
        <v>401</v>
      </c>
      <c r="O208" s="29">
        <v>-1</v>
      </c>
    </row>
    <row r="209" spans="14:15" x14ac:dyDescent="0.2">
      <c r="N209" s="29">
        <v>402</v>
      </c>
      <c r="O209" s="29">
        <v>-1</v>
      </c>
    </row>
    <row r="210" spans="14:15" x14ac:dyDescent="0.2">
      <c r="N210" s="29">
        <v>403</v>
      </c>
      <c r="O210" s="29">
        <v>-1</v>
      </c>
    </row>
    <row r="211" spans="14:15" x14ac:dyDescent="0.2">
      <c r="N211" s="29">
        <v>404</v>
      </c>
      <c r="O211" s="29">
        <v>-1</v>
      </c>
    </row>
    <row r="212" spans="14:15" x14ac:dyDescent="0.2">
      <c r="N212" s="29">
        <v>405</v>
      </c>
      <c r="O212" s="29">
        <v>-1</v>
      </c>
    </row>
    <row r="213" spans="14:15" x14ac:dyDescent="0.2">
      <c r="N213" s="29">
        <v>406</v>
      </c>
      <c r="O213" s="29">
        <v>-1</v>
      </c>
    </row>
    <row r="214" spans="14:15" x14ac:dyDescent="0.2">
      <c r="N214" s="29">
        <v>407</v>
      </c>
      <c r="O214" s="29">
        <v>-1</v>
      </c>
    </row>
    <row r="215" spans="14:15" x14ac:dyDescent="0.2">
      <c r="N215" s="29">
        <v>408</v>
      </c>
      <c r="O215" s="29">
        <v>-1</v>
      </c>
    </row>
    <row r="216" spans="14:15" x14ac:dyDescent="0.2">
      <c r="N216" s="29">
        <v>409</v>
      </c>
      <c r="O216" s="29">
        <v>-2</v>
      </c>
    </row>
    <row r="217" spans="14:15" x14ac:dyDescent="0.2">
      <c r="N217" s="29">
        <v>410</v>
      </c>
      <c r="O217" s="29">
        <v>-2</v>
      </c>
    </row>
    <row r="218" spans="14:15" x14ac:dyDescent="0.2">
      <c r="N218" s="29">
        <v>411</v>
      </c>
      <c r="O218" s="29">
        <v>-2</v>
      </c>
    </row>
    <row r="219" spans="14:15" x14ac:dyDescent="0.2">
      <c r="N219" s="29">
        <v>412</v>
      </c>
      <c r="O219" s="29">
        <v>-2</v>
      </c>
    </row>
    <row r="220" spans="14:15" x14ac:dyDescent="0.2">
      <c r="N220" s="29">
        <v>413</v>
      </c>
      <c r="O220" s="29">
        <v>-2</v>
      </c>
    </row>
    <row r="221" spans="14:15" x14ac:dyDescent="0.2">
      <c r="N221" s="29">
        <v>414</v>
      </c>
      <c r="O221" s="29">
        <v>-2</v>
      </c>
    </row>
    <row r="222" spans="14:15" x14ac:dyDescent="0.2">
      <c r="N222" s="29">
        <v>415</v>
      </c>
      <c r="O222" s="29">
        <v>-2</v>
      </c>
    </row>
    <row r="223" spans="14:15" x14ac:dyDescent="0.2">
      <c r="N223" s="29">
        <v>416</v>
      </c>
      <c r="O223" s="29">
        <v>-2</v>
      </c>
    </row>
    <row r="224" spans="14:15" x14ac:dyDescent="0.2">
      <c r="N224" s="29">
        <v>417</v>
      </c>
      <c r="O224" s="29">
        <v>-3</v>
      </c>
    </row>
    <row r="225" spans="14:15" x14ac:dyDescent="0.2">
      <c r="N225" s="29">
        <v>418</v>
      </c>
      <c r="O225" s="29">
        <v>-3</v>
      </c>
    </row>
    <row r="226" spans="14:15" x14ac:dyDescent="0.2">
      <c r="N226" s="29">
        <v>419</v>
      </c>
      <c r="O226" s="29">
        <v>-3</v>
      </c>
    </row>
    <row r="227" spans="14:15" x14ac:dyDescent="0.2">
      <c r="N227" s="29">
        <v>420</v>
      </c>
      <c r="O227" s="29">
        <v>-3</v>
      </c>
    </row>
    <row r="228" spans="14:15" x14ac:dyDescent="0.2">
      <c r="N228" s="29">
        <v>421</v>
      </c>
      <c r="O228" s="29">
        <v>-3</v>
      </c>
    </row>
    <row r="229" spans="14:15" x14ac:dyDescent="0.2">
      <c r="N229" s="29">
        <v>422</v>
      </c>
      <c r="O229" s="29">
        <v>-3</v>
      </c>
    </row>
    <row r="230" spans="14:15" x14ac:dyDescent="0.2">
      <c r="N230" s="29">
        <v>423</v>
      </c>
      <c r="O230" s="29">
        <v>-3</v>
      </c>
    </row>
    <row r="231" spans="14:15" x14ac:dyDescent="0.2">
      <c r="N231" s="29">
        <v>424</v>
      </c>
      <c r="O231" s="29">
        <v>-3</v>
      </c>
    </row>
    <row r="232" spans="14:15" x14ac:dyDescent="0.2">
      <c r="N232" s="29">
        <v>425</v>
      </c>
      <c r="O232" s="29">
        <v>-4</v>
      </c>
    </row>
    <row r="233" spans="14:15" x14ac:dyDescent="0.2">
      <c r="N233" s="29">
        <v>426</v>
      </c>
      <c r="O233" s="29">
        <v>-4</v>
      </c>
    </row>
    <row r="234" spans="14:15" x14ac:dyDescent="0.2">
      <c r="N234" s="29">
        <v>427</v>
      </c>
      <c r="O234" s="29">
        <v>-4</v>
      </c>
    </row>
    <row r="235" spans="14:15" x14ac:dyDescent="0.2">
      <c r="N235" s="29">
        <v>428</v>
      </c>
      <c r="O235" s="29">
        <v>-4</v>
      </c>
    </row>
    <row r="236" spans="14:15" x14ac:dyDescent="0.2">
      <c r="N236" s="29">
        <v>429</v>
      </c>
      <c r="O236" s="29">
        <v>-4</v>
      </c>
    </row>
    <row r="237" spans="14:15" x14ac:dyDescent="0.2">
      <c r="N237" s="29">
        <v>430</v>
      </c>
      <c r="O237" s="29">
        <v>-4</v>
      </c>
    </row>
    <row r="238" spans="14:15" x14ac:dyDescent="0.2">
      <c r="N238" s="29">
        <v>431</v>
      </c>
      <c r="O238" s="29">
        <v>-4</v>
      </c>
    </row>
    <row r="239" spans="14:15" x14ac:dyDescent="0.2">
      <c r="N239" s="29">
        <v>432</v>
      </c>
      <c r="O239" s="29">
        <v>-4</v>
      </c>
    </row>
    <row r="240" spans="14:15" x14ac:dyDescent="0.2">
      <c r="N240" s="29">
        <v>433</v>
      </c>
      <c r="O240" s="29">
        <v>-5</v>
      </c>
    </row>
    <row r="241" spans="14:15" x14ac:dyDescent="0.2">
      <c r="N241" s="29">
        <v>434</v>
      </c>
      <c r="O241" s="29">
        <v>-5</v>
      </c>
    </row>
    <row r="242" spans="14:15" x14ac:dyDescent="0.2">
      <c r="N242" s="29">
        <v>435</v>
      </c>
      <c r="O242" s="29">
        <v>-5</v>
      </c>
    </row>
    <row r="243" spans="14:15" x14ac:dyDescent="0.2">
      <c r="N243" s="29">
        <v>436</v>
      </c>
      <c r="O243" s="29">
        <v>-5</v>
      </c>
    </row>
    <row r="244" spans="14:15" x14ac:dyDescent="0.2">
      <c r="N244" s="29">
        <v>437</v>
      </c>
      <c r="O244" s="29">
        <v>-5</v>
      </c>
    </row>
    <row r="245" spans="14:15" x14ac:dyDescent="0.2">
      <c r="N245" s="29">
        <v>438</v>
      </c>
      <c r="O245" s="29">
        <v>-5</v>
      </c>
    </row>
    <row r="246" spans="14:15" x14ac:dyDescent="0.2">
      <c r="N246" s="29">
        <v>439</v>
      </c>
      <c r="O246" s="29">
        <v>-5</v>
      </c>
    </row>
    <row r="247" spans="14:15" x14ac:dyDescent="0.2">
      <c r="N247" s="29">
        <v>440</v>
      </c>
      <c r="O247" s="29">
        <v>-5</v>
      </c>
    </row>
    <row r="248" spans="14:15" x14ac:dyDescent="0.2">
      <c r="N248" s="29">
        <v>441</v>
      </c>
      <c r="O248" s="29">
        <v>-6</v>
      </c>
    </row>
    <row r="249" spans="14:15" x14ac:dyDescent="0.2">
      <c r="N249" s="29">
        <v>442</v>
      </c>
      <c r="O249" s="29">
        <v>-6</v>
      </c>
    </row>
    <row r="250" spans="14:15" x14ac:dyDescent="0.2">
      <c r="N250" s="29">
        <v>443</v>
      </c>
      <c r="O250" s="29">
        <v>-6</v>
      </c>
    </row>
    <row r="251" spans="14:15" x14ac:dyDescent="0.2">
      <c r="N251" s="29">
        <v>444</v>
      </c>
      <c r="O251" s="29">
        <v>-6</v>
      </c>
    </row>
    <row r="252" spans="14:15" x14ac:dyDescent="0.2">
      <c r="N252" s="29">
        <v>445</v>
      </c>
      <c r="O252" s="29">
        <v>-6</v>
      </c>
    </row>
    <row r="253" spans="14:15" x14ac:dyDescent="0.2">
      <c r="N253" s="29">
        <v>446</v>
      </c>
      <c r="O253" s="29">
        <v>-6</v>
      </c>
    </row>
    <row r="254" spans="14:15" x14ac:dyDescent="0.2">
      <c r="N254" s="29">
        <v>447</v>
      </c>
      <c r="O254" s="29">
        <v>-6</v>
      </c>
    </row>
    <row r="255" spans="14:15" x14ac:dyDescent="0.2">
      <c r="N255" s="29">
        <v>448</v>
      </c>
      <c r="O255" s="29">
        <v>-6</v>
      </c>
    </row>
    <row r="256" spans="14:15" x14ac:dyDescent="0.2">
      <c r="N256" s="29">
        <v>449</v>
      </c>
      <c r="O256" s="29">
        <v>-7</v>
      </c>
    </row>
    <row r="257" spans="14:15" x14ac:dyDescent="0.2">
      <c r="N257" s="29">
        <v>450</v>
      </c>
      <c r="O257" s="29">
        <v>-7</v>
      </c>
    </row>
    <row r="258" spans="14:15" x14ac:dyDescent="0.2">
      <c r="N258" s="29">
        <v>451</v>
      </c>
      <c r="O258" s="29">
        <v>-7</v>
      </c>
    </row>
    <row r="259" spans="14:15" x14ac:dyDescent="0.2">
      <c r="N259" s="29">
        <v>452</v>
      </c>
      <c r="O259" s="29">
        <v>-7</v>
      </c>
    </row>
    <row r="260" spans="14:15" x14ac:dyDescent="0.2">
      <c r="N260" s="29">
        <v>453</v>
      </c>
      <c r="O260" s="29">
        <v>-7</v>
      </c>
    </row>
    <row r="261" spans="14:15" x14ac:dyDescent="0.2">
      <c r="N261" s="29">
        <v>454</v>
      </c>
      <c r="O261" s="29">
        <v>-7</v>
      </c>
    </row>
    <row r="262" spans="14:15" x14ac:dyDescent="0.2">
      <c r="N262" s="29">
        <v>455</v>
      </c>
      <c r="O262" s="29">
        <v>-7</v>
      </c>
    </row>
    <row r="263" spans="14:15" x14ac:dyDescent="0.2">
      <c r="N263" s="29">
        <v>456</v>
      </c>
      <c r="O263" s="29">
        <v>-7</v>
      </c>
    </row>
    <row r="264" spans="14:15" x14ac:dyDescent="0.2">
      <c r="N264" s="29">
        <v>457</v>
      </c>
      <c r="O264" s="29">
        <v>-8</v>
      </c>
    </row>
    <row r="265" spans="14:15" x14ac:dyDescent="0.2">
      <c r="N265" s="29">
        <v>458</v>
      </c>
      <c r="O265" s="29">
        <v>-8</v>
      </c>
    </row>
    <row r="266" spans="14:15" x14ac:dyDescent="0.2">
      <c r="N266" s="29">
        <v>459</v>
      </c>
      <c r="O266" s="29">
        <v>-8</v>
      </c>
    </row>
    <row r="267" spans="14:15" x14ac:dyDescent="0.2">
      <c r="N267" s="29">
        <v>460</v>
      </c>
      <c r="O267" s="29">
        <v>-8</v>
      </c>
    </row>
    <row r="268" spans="14:15" x14ac:dyDescent="0.2">
      <c r="N268" s="29">
        <v>461</v>
      </c>
      <c r="O268" s="29">
        <v>-8</v>
      </c>
    </row>
    <row r="269" spans="14:15" x14ac:dyDescent="0.2">
      <c r="N269" s="29">
        <v>462</v>
      </c>
      <c r="O269" s="29">
        <v>-8</v>
      </c>
    </row>
    <row r="270" spans="14:15" x14ac:dyDescent="0.2">
      <c r="N270" s="29">
        <v>463</v>
      </c>
      <c r="O270" s="29">
        <v>-8</v>
      </c>
    </row>
    <row r="271" spans="14:15" x14ac:dyDescent="0.2">
      <c r="N271" s="29">
        <v>464</v>
      </c>
      <c r="O271" s="29">
        <v>-8</v>
      </c>
    </row>
    <row r="272" spans="14:15" x14ac:dyDescent="0.2">
      <c r="N272" s="29">
        <v>465</v>
      </c>
      <c r="O272" s="29">
        <v>-9</v>
      </c>
    </row>
    <row r="273" spans="14:15" x14ac:dyDescent="0.2">
      <c r="N273" s="29">
        <v>466</v>
      </c>
      <c r="O273" s="29">
        <v>-9</v>
      </c>
    </row>
    <row r="274" spans="14:15" x14ac:dyDescent="0.2">
      <c r="N274" s="29">
        <v>467</v>
      </c>
      <c r="O274" s="29">
        <v>-9</v>
      </c>
    </row>
    <row r="275" spans="14:15" x14ac:dyDescent="0.2">
      <c r="N275" s="29">
        <v>468</v>
      </c>
      <c r="O275" s="29">
        <v>-9</v>
      </c>
    </row>
    <row r="276" spans="14:15" x14ac:dyDescent="0.2">
      <c r="N276" s="29">
        <v>469</v>
      </c>
      <c r="O276" s="29">
        <v>-9</v>
      </c>
    </row>
    <row r="277" spans="14:15" x14ac:dyDescent="0.2">
      <c r="N277" s="29">
        <v>470</v>
      </c>
      <c r="O277" s="29">
        <v>-9</v>
      </c>
    </row>
    <row r="278" spans="14:15" x14ac:dyDescent="0.2">
      <c r="N278" s="29">
        <v>471</v>
      </c>
      <c r="O278" s="29">
        <v>-9</v>
      </c>
    </row>
    <row r="279" spans="14:15" x14ac:dyDescent="0.2">
      <c r="N279" s="29">
        <v>472</v>
      </c>
      <c r="O279" s="29">
        <v>-9</v>
      </c>
    </row>
    <row r="280" spans="14:15" x14ac:dyDescent="0.2">
      <c r="N280" s="29">
        <v>473</v>
      </c>
      <c r="O280" s="29">
        <v>-10</v>
      </c>
    </row>
    <row r="281" spans="14:15" x14ac:dyDescent="0.2">
      <c r="N281" s="29">
        <v>474</v>
      </c>
      <c r="O281" s="29">
        <v>-10</v>
      </c>
    </row>
    <row r="282" spans="14:15" x14ac:dyDescent="0.2">
      <c r="N282" s="29">
        <v>475</v>
      </c>
      <c r="O282" s="29">
        <v>-10</v>
      </c>
    </row>
    <row r="283" spans="14:15" x14ac:dyDescent="0.2">
      <c r="N283" s="29">
        <v>476</v>
      </c>
      <c r="O283" s="29">
        <v>-10</v>
      </c>
    </row>
    <row r="284" spans="14:15" x14ac:dyDescent="0.2">
      <c r="N284" s="29">
        <v>477</v>
      </c>
      <c r="O284" s="29">
        <v>-10</v>
      </c>
    </row>
    <row r="285" spans="14:15" x14ac:dyDescent="0.2">
      <c r="N285" s="29">
        <v>478</v>
      </c>
      <c r="O285" s="29">
        <v>-10</v>
      </c>
    </row>
    <row r="286" spans="14:15" x14ac:dyDescent="0.2">
      <c r="N286" s="29">
        <v>479</v>
      </c>
      <c r="O286" s="29">
        <v>-10</v>
      </c>
    </row>
    <row r="287" spans="14:15" x14ac:dyDescent="0.2">
      <c r="N287" s="29">
        <v>480</v>
      </c>
      <c r="O287" s="29">
        <v>-10</v>
      </c>
    </row>
    <row r="288" spans="14:15" x14ac:dyDescent="0.2">
      <c r="N288" s="29">
        <v>481</v>
      </c>
      <c r="O288" s="29">
        <v>-11</v>
      </c>
    </row>
    <row r="289" spans="14:15" x14ac:dyDescent="0.2">
      <c r="N289" s="29">
        <v>482</v>
      </c>
      <c r="O289" s="29">
        <v>-11</v>
      </c>
    </row>
    <row r="290" spans="14:15" x14ac:dyDescent="0.2">
      <c r="N290" s="29">
        <v>483</v>
      </c>
      <c r="O290" s="29">
        <v>-11</v>
      </c>
    </row>
    <row r="291" spans="14:15" x14ac:dyDescent="0.2">
      <c r="N291" s="29">
        <v>484</v>
      </c>
      <c r="O291" s="29">
        <v>-11</v>
      </c>
    </row>
    <row r="292" spans="14:15" x14ac:dyDescent="0.2">
      <c r="N292" s="29">
        <v>485</v>
      </c>
      <c r="O292" s="29">
        <v>-11</v>
      </c>
    </row>
    <row r="293" spans="14:15" x14ac:dyDescent="0.2">
      <c r="N293" s="29">
        <v>486</v>
      </c>
      <c r="O293" s="29">
        <v>-11</v>
      </c>
    </row>
    <row r="294" spans="14:15" x14ac:dyDescent="0.2">
      <c r="N294" s="29">
        <v>487</v>
      </c>
      <c r="O294" s="29">
        <v>-11</v>
      </c>
    </row>
    <row r="295" spans="14:15" x14ac:dyDescent="0.2">
      <c r="N295" s="29">
        <v>488</v>
      </c>
      <c r="O295" s="29">
        <v>-11</v>
      </c>
    </row>
    <row r="296" spans="14:15" x14ac:dyDescent="0.2">
      <c r="N296" s="29">
        <v>489</v>
      </c>
      <c r="O296" s="29">
        <v>-12</v>
      </c>
    </row>
    <row r="297" spans="14:15" x14ac:dyDescent="0.2">
      <c r="N297" s="29">
        <v>490</v>
      </c>
      <c r="O297" s="29">
        <v>-12</v>
      </c>
    </row>
    <row r="298" spans="14:15" x14ac:dyDescent="0.2">
      <c r="N298" s="29">
        <v>491</v>
      </c>
      <c r="O298" s="29">
        <v>-12</v>
      </c>
    </row>
    <row r="299" spans="14:15" x14ac:dyDescent="0.2">
      <c r="N299" s="29">
        <v>492</v>
      </c>
      <c r="O299" s="29">
        <v>-12</v>
      </c>
    </row>
    <row r="300" spans="14:15" x14ac:dyDescent="0.2">
      <c r="N300" s="29">
        <v>493</v>
      </c>
      <c r="O300" s="29">
        <v>-12</v>
      </c>
    </row>
    <row r="301" spans="14:15" x14ac:dyDescent="0.2">
      <c r="N301" s="29">
        <v>494</v>
      </c>
      <c r="O301" s="29">
        <v>-12</v>
      </c>
    </row>
    <row r="302" spans="14:15" x14ac:dyDescent="0.2">
      <c r="N302" s="29">
        <v>495</v>
      </c>
      <c r="O302" s="29">
        <v>-12</v>
      </c>
    </row>
    <row r="303" spans="14:15" x14ac:dyDescent="0.2">
      <c r="N303" s="29">
        <v>496</v>
      </c>
      <c r="O303" s="29">
        <v>-12</v>
      </c>
    </row>
    <row r="304" spans="14:15" x14ac:dyDescent="0.2">
      <c r="N304" s="29">
        <v>497</v>
      </c>
      <c r="O304" s="29">
        <v>-13</v>
      </c>
    </row>
    <row r="305" spans="14:15" x14ac:dyDescent="0.2">
      <c r="N305" s="29">
        <v>498</v>
      </c>
      <c r="O305" s="29">
        <v>-13</v>
      </c>
    </row>
    <row r="306" spans="14:15" x14ac:dyDescent="0.2">
      <c r="N306" s="29">
        <v>499</v>
      </c>
      <c r="O306" s="29">
        <v>-13</v>
      </c>
    </row>
    <row r="307" spans="14:15" x14ac:dyDescent="0.2">
      <c r="N307" s="29">
        <v>500</v>
      </c>
      <c r="O307" s="29">
        <v>-13</v>
      </c>
    </row>
    <row r="308" spans="14:15" x14ac:dyDescent="0.2">
      <c r="N308" s="29">
        <v>501</v>
      </c>
      <c r="O308" s="29">
        <v>-13</v>
      </c>
    </row>
    <row r="309" spans="14:15" x14ac:dyDescent="0.2">
      <c r="N309" s="29">
        <v>502</v>
      </c>
      <c r="O309" s="29">
        <v>-13</v>
      </c>
    </row>
    <row r="310" spans="14:15" x14ac:dyDescent="0.2">
      <c r="N310" s="29">
        <v>503</v>
      </c>
      <c r="O310" s="29">
        <v>-13</v>
      </c>
    </row>
    <row r="311" spans="14:15" x14ac:dyDescent="0.2">
      <c r="N311" s="29">
        <v>504</v>
      </c>
      <c r="O311" s="29">
        <v>-13</v>
      </c>
    </row>
    <row r="312" spans="14:15" x14ac:dyDescent="0.2">
      <c r="N312" s="29">
        <v>505</v>
      </c>
      <c r="O312" s="29">
        <v>-14</v>
      </c>
    </row>
    <row r="313" spans="14:15" x14ac:dyDescent="0.2">
      <c r="N313" s="29">
        <v>506</v>
      </c>
      <c r="O313" s="29">
        <v>-14</v>
      </c>
    </row>
    <row r="314" spans="14:15" x14ac:dyDescent="0.2">
      <c r="N314" s="29">
        <v>507</v>
      </c>
      <c r="O314" s="29">
        <v>-14</v>
      </c>
    </row>
    <row r="315" spans="14:15" x14ac:dyDescent="0.2">
      <c r="N315" s="29">
        <v>508</v>
      </c>
      <c r="O315" s="29">
        <v>-14</v>
      </c>
    </row>
    <row r="316" spans="14:15" x14ac:dyDescent="0.2">
      <c r="N316" s="29">
        <v>509</v>
      </c>
      <c r="O316" s="29">
        <v>-14</v>
      </c>
    </row>
    <row r="317" spans="14:15" x14ac:dyDescent="0.2">
      <c r="N317" s="29">
        <v>510</v>
      </c>
      <c r="O317" s="29">
        <v>-14</v>
      </c>
    </row>
    <row r="318" spans="14:15" x14ac:dyDescent="0.2">
      <c r="N318" s="29">
        <v>511</v>
      </c>
      <c r="O318" s="29">
        <v>-14</v>
      </c>
    </row>
    <row r="319" spans="14:15" x14ac:dyDescent="0.2">
      <c r="N319" s="29">
        <v>512</v>
      </c>
      <c r="O319" s="29">
        <v>-14</v>
      </c>
    </row>
    <row r="320" spans="14:15" x14ac:dyDescent="0.2">
      <c r="N320" s="29">
        <v>513</v>
      </c>
      <c r="O320" s="29">
        <v>-15</v>
      </c>
    </row>
    <row r="321" spans="14:15" x14ac:dyDescent="0.2">
      <c r="N321" s="29">
        <v>514</v>
      </c>
      <c r="O321" s="29">
        <v>-15</v>
      </c>
    </row>
    <row r="322" spans="14:15" x14ac:dyDescent="0.2">
      <c r="N322" s="29">
        <v>515</v>
      </c>
      <c r="O322" s="29">
        <v>-15</v>
      </c>
    </row>
    <row r="323" spans="14:15" x14ac:dyDescent="0.2">
      <c r="N323" s="29">
        <v>516</v>
      </c>
      <c r="O323" s="29">
        <v>-15</v>
      </c>
    </row>
    <row r="324" spans="14:15" x14ac:dyDescent="0.2">
      <c r="N324" s="29">
        <v>517</v>
      </c>
      <c r="O324" s="29">
        <v>-15</v>
      </c>
    </row>
    <row r="325" spans="14:15" x14ac:dyDescent="0.2">
      <c r="N325" s="29">
        <v>518</v>
      </c>
      <c r="O325" s="29">
        <v>-15</v>
      </c>
    </row>
    <row r="326" spans="14:15" x14ac:dyDescent="0.2">
      <c r="N326" s="29">
        <v>519</v>
      </c>
      <c r="O326" s="29">
        <v>-15</v>
      </c>
    </row>
    <row r="327" spans="14:15" x14ac:dyDescent="0.2">
      <c r="N327" s="29">
        <v>520</v>
      </c>
      <c r="O327" s="29">
        <v>-15</v>
      </c>
    </row>
    <row r="328" spans="14:15" x14ac:dyDescent="0.2">
      <c r="N328" s="29">
        <v>521</v>
      </c>
      <c r="O328" s="29">
        <v>-16</v>
      </c>
    </row>
    <row r="329" spans="14:15" x14ac:dyDescent="0.2">
      <c r="N329" s="29">
        <v>522</v>
      </c>
      <c r="O329" s="29">
        <v>-16</v>
      </c>
    </row>
    <row r="330" spans="14:15" x14ac:dyDescent="0.2">
      <c r="N330" s="29">
        <v>523</v>
      </c>
      <c r="O330" s="29">
        <v>-16</v>
      </c>
    </row>
    <row r="331" spans="14:15" x14ac:dyDescent="0.2">
      <c r="N331" s="29">
        <v>524</v>
      </c>
      <c r="O331" s="29">
        <v>-16</v>
      </c>
    </row>
    <row r="332" spans="14:15" x14ac:dyDescent="0.2">
      <c r="N332" s="29">
        <v>525</v>
      </c>
      <c r="O332" s="29">
        <v>-16</v>
      </c>
    </row>
    <row r="333" spans="14:15" x14ac:dyDescent="0.2">
      <c r="N333" s="29">
        <v>526</v>
      </c>
      <c r="O333" s="29">
        <v>-16</v>
      </c>
    </row>
    <row r="334" spans="14:15" x14ac:dyDescent="0.2">
      <c r="N334" s="29">
        <v>527</v>
      </c>
      <c r="O334" s="29">
        <v>-16</v>
      </c>
    </row>
    <row r="335" spans="14:15" x14ac:dyDescent="0.2">
      <c r="N335" s="29">
        <v>528</v>
      </c>
      <c r="O335" s="29">
        <v>-16</v>
      </c>
    </row>
    <row r="336" spans="14:15" x14ac:dyDescent="0.2">
      <c r="N336" s="29">
        <v>529</v>
      </c>
      <c r="O336" s="29">
        <v>-17</v>
      </c>
    </row>
    <row r="337" spans="14:15" x14ac:dyDescent="0.2">
      <c r="N337" s="29">
        <v>530</v>
      </c>
      <c r="O337" s="29">
        <v>-17</v>
      </c>
    </row>
    <row r="338" spans="14:15" x14ac:dyDescent="0.2">
      <c r="N338" s="29">
        <v>531</v>
      </c>
      <c r="O338" s="29">
        <v>-17</v>
      </c>
    </row>
    <row r="339" spans="14:15" x14ac:dyDescent="0.2">
      <c r="N339" s="29">
        <v>532</v>
      </c>
      <c r="O339" s="29">
        <v>-17</v>
      </c>
    </row>
    <row r="340" spans="14:15" x14ac:dyDescent="0.2">
      <c r="N340" s="29">
        <v>533</v>
      </c>
      <c r="O340" s="29">
        <v>-17</v>
      </c>
    </row>
    <row r="341" spans="14:15" x14ac:dyDescent="0.2">
      <c r="N341" s="29">
        <v>534</v>
      </c>
      <c r="O341" s="29">
        <v>-17</v>
      </c>
    </row>
    <row r="342" spans="14:15" x14ac:dyDescent="0.2">
      <c r="N342" s="29">
        <v>535</v>
      </c>
      <c r="O342" s="29">
        <v>-17</v>
      </c>
    </row>
    <row r="343" spans="14:15" x14ac:dyDescent="0.2">
      <c r="N343" s="29">
        <v>536</v>
      </c>
      <c r="O343" s="29">
        <v>-17</v>
      </c>
    </row>
    <row r="344" spans="14:15" x14ac:dyDescent="0.2">
      <c r="N344" s="29">
        <v>537</v>
      </c>
      <c r="O344" s="29">
        <v>-18</v>
      </c>
    </row>
    <row r="345" spans="14:15" x14ac:dyDescent="0.2">
      <c r="N345" s="29">
        <v>538</v>
      </c>
      <c r="O345" s="29">
        <v>-18</v>
      </c>
    </row>
    <row r="346" spans="14:15" x14ac:dyDescent="0.2">
      <c r="N346" s="29">
        <v>539</v>
      </c>
      <c r="O346" s="29">
        <v>-18</v>
      </c>
    </row>
    <row r="347" spans="14:15" x14ac:dyDescent="0.2">
      <c r="N347" s="29">
        <v>540</v>
      </c>
      <c r="O347" s="29">
        <v>-18</v>
      </c>
    </row>
    <row r="348" spans="14:15" x14ac:dyDescent="0.2">
      <c r="N348" s="29">
        <v>541</v>
      </c>
      <c r="O348" s="29">
        <v>-18</v>
      </c>
    </row>
    <row r="349" spans="14:15" x14ac:dyDescent="0.2">
      <c r="N349" s="29">
        <v>542</v>
      </c>
      <c r="O349" s="29">
        <v>-18</v>
      </c>
    </row>
    <row r="350" spans="14:15" x14ac:dyDescent="0.2">
      <c r="N350" s="29">
        <v>543</v>
      </c>
      <c r="O350" s="29">
        <v>-18</v>
      </c>
    </row>
    <row r="351" spans="14:15" x14ac:dyDescent="0.2">
      <c r="N351" s="29">
        <v>544</v>
      </c>
      <c r="O351" s="29">
        <v>-18</v>
      </c>
    </row>
    <row r="352" spans="14:15" x14ac:dyDescent="0.2">
      <c r="N352" s="29">
        <v>545</v>
      </c>
      <c r="O352" s="29">
        <v>-19</v>
      </c>
    </row>
    <row r="353" spans="14:15" x14ac:dyDescent="0.2">
      <c r="N353" s="29">
        <v>546</v>
      </c>
      <c r="O353" s="29">
        <v>-19</v>
      </c>
    </row>
    <row r="354" spans="14:15" x14ac:dyDescent="0.2">
      <c r="N354" s="29">
        <v>547</v>
      </c>
      <c r="O354" s="29">
        <v>-19</v>
      </c>
    </row>
    <row r="355" spans="14:15" x14ac:dyDescent="0.2">
      <c r="N355" s="29">
        <v>548</v>
      </c>
      <c r="O355" s="29">
        <v>-19</v>
      </c>
    </row>
    <row r="356" spans="14:15" x14ac:dyDescent="0.2">
      <c r="N356" s="29">
        <v>549</v>
      </c>
      <c r="O356" s="29">
        <v>-19</v>
      </c>
    </row>
    <row r="357" spans="14:15" x14ac:dyDescent="0.2">
      <c r="N357" s="29">
        <v>550</v>
      </c>
      <c r="O357" s="29">
        <v>-19</v>
      </c>
    </row>
    <row r="358" spans="14:15" x14ac:dyDescent="0.2">
      <c r="N358" s="29">
        <v>551</v>
      </c>
      <c r="O358" s="29">
        <v>-19</v>
      </c>
    </row>
    <row r="359" spans="14:15" x14ac:dyDescent="0.2">
      <c r="N359" s="29">
        <v>552</v>
      </c>
      <c r="O359" s="29">
        <v>-19</v>
      </c>
    </row>
    <row r="360" spans="14:15" x14ac:dyDescent="0.2">
      <c r="N360" s="29">
        <v>553</v>
      </c>
      <c r="O360" s="29">
        <v>-20</v>
      </c>
    </row>
    <row r="361" spans="14:15" x14ac:dyDescent="0.2">
      <c r="N361" s="29">
        <v>554</v>
      </c>
      <c r="O361" s="29">
        <v>-20</v>
      </c>
    </row>
    <row r="362" spans="14:15" x14ac:dyDescent="0.2">
      <c r="N362" s="29">
        <v>555</v>
      </c>
      <c r="O362" s="29">
        <v>-20</v>
      </c>
    </row>
    <row r="363" spans="14:15" x14ac:dyDescent="0.2">
      <c r="N363" s="29">
        <v>556</v>
      </c>
      <c r="O363" s="29">
        <v>-20</v>
      </c>
    </row>
    <row r="364" spans="14:15" x14ac:dyDescent="0.2">
      <c r="N364" s="29">
        <v>557</v>
      </c>
      <c r="O364" s="29">
        <v>-20</v>
      </c>
    </row>
    <row r="365" spans="14:15" x14ac:dyDescent="0.2">
      <c r="N365" s="29">
        <v>558</v>
      </c>
      <c r="O365" s="29">
        <v>-20</v>
      </c>
    </row>
    <row r="366" spans="14:15" x14ac:dyDescent="0.2">
      <c r="N366" s="29">
        <v>559</v>
      </c>
      <c r="O366" s="29">
        <v>-20</v>
      </c>
    </row>
    <row r="367" spans="14:15" x14ac:dyDescent="0.2">
      <c r="N367" s="29">
        <v>560</v>
      </c>
      <c r="O367" s="29">
        <v>-20</v>
      </c>
    </row>
    <row r="368" spans="14:15" x14ac:dyDescent="0.2">
      <c r="N368" s="29">
        <v>561</v>
      </c>
      <c r="O368" s="29">
        <v>-21</v>
      </c>
    </row>
    <row r="369" spans="14:15" x14ac:dyDescent="0.2">
      <c r="N369" s="29">
        <v>562</v>
      </c>
      <c r="O369" s="29">
        <v>-21</v>
      </c>
    </row>
    <row r="370" spans="14:15" x14ac:dyDescent="0.2">
      <c r="N370" s="29">
        <v>563</v>
      </c>
      <c r="O370" s="29">
        <v>-21</v>
      </c>
    </row>
    <row r="371" spans="14:15" x14ac:dyDescent="0.2">
      <c r="N371" s="29">
        <v>564</v>
      </c>
      <c r="O371" s="29">
        <v>-21</v>
      </c>
    </row>
    <row r="372" spans="14:15" x14ac:dyDescent="0.2">
      <c r="N372" s="29">
        <v>565</v>
      </c>
      <c r="O372" s="29">
        <v>-21</v>
      </c>
    </row>
    <row r="373" spans="14:15" x14ac:dyDescent="0.2">
      <c r="N373" s="29">
        <v>566</v>
      </c>
      <c r="O373" s="29">
        <v>-21</v>
      </c>
    </row>
    <row r="374" spans="14:15" x14ac:dyDescent="0.2">
      <c r="N374" s="29">
        <v>567</v>
      </c>
      <c r="O374" s="29">
        <v>-21</v>
      </c>
    </row>
    <row r="375" spans="14:15" x14ac:dyDescent="0.2">
      <c r="N375" s="29">
        <v>568</v>
      </c>
      <c r="O375" s="29">
        <v>-21</v>
      </c>
    </row>
    <row r="376" spans="14:15" x14ac:dyDescent="0.2">
      <c r="N376" s="29">
        <v>569</v>
      </c>
      <c r="O376" s="29">
        <v>-22</v>
      </c>
    </row>
    <row r="377" spans="14:15" x14ac:dyDescent="0.2">
      <c r="N377" s="29">
        <v>570</v>
      </c>
      <c r="O377" s="29">
        <v>-22</v>
      </c>
    </row>
    <row r="378" spans="14:15" x14ac:dyDescent="0.2">
      <c r="N378" s="29">
        <v>571</v>
      </c>
      <c r="O378" s="29">
        <v>-22</v>
      </c>
    </row>
    <row r="379" spans="14:15" x14ac:dyDescent="0.2">
      <c r="N379" s="29">
        <v>572</v>
      </c>
      <c r="O379" s="29">
        <v>-22</v>
      </c>
    </row>
    <row r="380" spans="14:15" x14ac:dyDescent="0.2">
      <c r="N380" s="29">
        <v>573</v>
      </c>
      <c r="O380" s="29">
        <v>-22</v>
      </c>
    </row>
    <row r="381" spans="14:15" x14ac:dyDescent="0.2">
      <c r="N381" s="29">
        <v>574</v>
      </c>
      <c r="O381" s="29">
        <v>-22</v>
      </c>
    </row>
    <row r="382" spans="14:15" x14ac:dyDescent="0.2">
      <c r="N382" s="29">
        <v>575</v>
      </c>
      <c r="O382" s="29">
        <v>-22</v>
      </c>
    </row>
    <row r="383" spans="14:15" x14ac:dyDescent="0.2">
      <c r="N383" s="29">
        <v>576</v>
      </c>
      <c r="O383" s="29">
        <v>-22</v>
      </c>
    </row>
    <row r="384" spans="14:15" x14ac:dyDescent="0.2">
      <c r="N384" s="29">
        <v>577</v>
      </c>
      <c r="O384" s="29">
        <v>-23</v>
      </c>
    </row>
    <row r="385" spans="14:15" x14ac:dyDescent="0.2">
      <c r="N385" s="29">
        <v>578</v>
      </c>
      <c r="O385" s="29">
        <v>-23</v>
      </c>
    </row>
    <row r="386" spans="14:15" x14ac:dyDescent="0.2">
      <c r="N386" s="29">
        <v>579</v>
      </c>
      <c r="O386" s="29">
        <v>-23</v>
      </c>
    </row>
    <row r="387" spans="14:15" x14ac:dyDescent="0.2">
      <c r="N387" s="29">
        <v>580</v>
      </c>
      <c r="O387" s="29">
        <v>-23</v>
      </c>
    </row>
    <row r="388" spans="14:15" x14ac:dyDescent="0.2">
      <c r="N388" s="29">
        <v>581</v>
      </c>
      <c r="O388" s="29">
        <v>-23</v>
      </c>
    </row>
    <row r="389" spans="14:15" x14ac:dyDescent="0.2">
      <c r="N389" s="29">
        <v>582</v>
      </c>
      <c r="O389" s="29">
        <v>-23</v>
      </c>
    </row>
    <row r="390" spans="14:15" x14ac:dyDescent="0.2">
      <c r="N390" s="29">
        <v>583</v>
      </c>
      <c r="O390" s="29">
        <v>-23</v>
      </c>
    </row>
    <row r="391" spans="14:15" x14ac:dyDescent="0.2">
      <c r="N391" s="29">
        <v>584</v>
      </c>
      <c r="O391" s="29">
        <v>-23</v>
      </c>
    </row>
    <row r="392" spans="14:15" x14ac:dyDescent="0.2">
      <c r="N392" s="29">
        <v>585</v>
      </c>
      <c r="O392" s="29">
        <v>-24</v>
      </c>
    </row>
    <row r="393" spans="14:15" x14ac:dyDescent="0.2">
      <c r="N393" s="29">
        <v>586</v>
      </c>
      <c r="O393" s="29">
        <v>-24</v>
      </c>
    </row>
    <row r="394" spans="14:15" x14ac:dyDescent="0.2">
      <c r="N394" s="29">
        <v>587</v>
      </c>
      <c r="O394" s="29">
        <v>-24</v>
      </c>
    </row>
    <row r="395" spans="14:15" x14ac:dyDescent="0.2">
      <c r="N395" s="29">
        <v>588</v>
      </c>
      <c r="O395" s="29">
        <v>-24</v>
      </c>
    </row>
    <row r="396" spans="14:15" x14ac:dyDescent="0.2">
      <c r="N396" s="29">
        <v>589</v>
      </c>
      <c r="O396" s="29">
        <v>-24</v>
      </c>
    </row>
    <row r="397" spans="14:15" x14ac:dyDescent="0.2">
      <c r="N397" s="29">
        <v>590</v>
      </c>
      <c r="O397" s="29" t="s">
        <v>913</v>
      </c>
    </row>
  </sheetData>
  <mergeCells count="1">
    <mergeCell ref="X5:Z5"/>
  </mergeCells>
  <pageMargins left="0.7" right="0.7" top="0.75" bottom="0.75" header="0.3" footer="0.3"/>
  <ignoredErrors>
    <ignoredError sqref="G27"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505E1-4DA8-4036-9662-AF7D39DE5FD5}">
  <sheetPr codeName="Hoja6">
    <tabColor rgb="FF8A2D4C"/>
  </sheetPr>
  <dimension ref="A1:FH99"/>
  <sheetViews>
    <sheetView showGridLines="0" workbookViewId="0">
      <pane xSplit="1" ySplit="3" topLeftCell="B4" activePane="bottomRight" state="frozenSplit"/>
      <selection pane="topRight" activeCell="M1" sqref="M1"/>
      <selection pane="bottomLeft" activeCell="A26" sqref="A26"/>
      <selection pane="bottomRight" activeCell="A4" sqref="A4"/>
    </sheetView>
  </sheetViews>
  <sheetFormatPr baseColWidth="10" defaultColWidth="11.42578125" defaultRowHeight="14.25" x14ac:dyDescent="0.2"/>
  <cols>
    <col min="1" max="1" width="37.5703125" style="33" customWidth="1"/>
    <col min="2" max="3" width="11.42578125" style="22"/>
    <col min="4" max="4" width="46.85546875" style="33" customWidth="1"/>
    <col min="5" max="7" width="4.85546875" style="32" customWidth="1"/>
    <col min="8" max="10" width="4.85546875" style="6" customWidth="1"/>
    <col min="11" max="164" width="4.85546875" style="32" customWidth="1"/>
    <col min="165" max="16384" width="11.42578125" style="22"/>
  </cols>
  <sheetData>
    <row r="1" spans="1:164" x14ac:dyDescent="0.2">
      <c r="B1" s="227" t="s">
        <v>263</v>
      </c>
      <c r="C1" s="227"/>
      <c r="D1" s="227"/>
      <c r="E1" s="227"/>
      <c r="F1" s="227"/>
      <c r="G1" s="227"/>
      <c r="H1" s="227"/>
      <c r="I1" s="227"/>
      <c r="J1" s="227"/>
      <c r="K1" s="227"/>
      <c r="L1" s="227"/>
      <c r="M1" s="227"/>
      <c r="N1" s="227"/>
      <c r="O1" s="227"/>
      <c r="P1" s="227"/>
      <c r="Q1" s="227"/>
      <c r="R1" s="227"/>
      <c r="S1" s="227"/>
      <c r="T1" s="227"/>
      <c r="U1" s="227"/>
    </row>
    <row r="2" spans="1:164" x14ac:dyDescent="0.2">
      <c r="B2" s="227"/>
      <c r="C2" s="227"/>
      <c r="D2" s="227"/>
      <c r="E2" s="227"/>
      <c r="F2" s="227"/>
      <c r="G2" s="227"/>
      <c r="H2" s="227"/>
      <c r="I2" s="227"/>
      <c r="J2" s="227"/>
      <c r="K2" s="227"/>
      <c r="L2" s="227"/>
      <c r="M2" s="227"/>
      <c r="N2" s="227"/>
      <c r="O2" s="227"/>
      <c r="P2" s="227"/>
      <c r="Q2" s="227"/>
      <c r="R2" s="227"/>
      <c r="S2" s="227"/>
      <c r="T2" s="227"/>
      <c r="U2" s="227"/>
    </row>
    <row r="3" spans="1:164" s="23" customFormat="1" ht="15" x14ac:dyDescent="0.25">
      <c r="A3" s="37" t="s">
        <v>273</v>
      </c>
      <c r="B3" s="24" t="s">
        <v>260</v>
      </c>
      <c r="C3" s="24" t="s">
        <v>272</v>
      </c>
      <c r="D3" s="37" t="s">
        <v>262</v>
      </c>
      <c r="E3" s="45">
        <v>1</v>
      </c>
      <c r="F3" s="45">
        <v>2</v>
      </c>
      <c r="G3" s="45">
        <v>3</v>
      </c>
      <c r="H3" s="24">
        <v>4</v>
      </c>
      <c r="I3" s="24">
        <v>5</v>
      </c>
      <c r="J3" s="24">
        <v>6</v>
      </c>
      <c r="K3" s="45">
        <v>7</v>
      </c>
      <c r="L3" s="45">
        <v>8</v>
      </c>
      <c r="M3" s="45">
        <v>9</v>
      </c>
      <c r="N3" s="45">
        <v>10</v>
      </c>
      <c r="O3" s="45">
        <v>11</v>
      </c>
      <c r="P3" s="45">
        <v>12</v>
      </c>
      <c r="Q3" s="45">
        <v>13</v>
      </c>
      <c r="R3" s="45">
        <v>14</v>
      </c>
      <c r="S3" s="45">
        <v>15</v>
      </c>
      <c r="T3" s="45">
        <v>16</v>
      </c>
      <c r="U3" s="45">
        <v>17</v>
      </c>
      <c r="V3" s="45">
        <v>18</v>
      </c>
      <c r="W3" s="45">
        <v>19</v>
      </c>
      <c r="X3" s="45">
        <v>20</v>
      </c>
      <c r="Y3" s="45">
        <v>21</v>
      </c>
      <c r="Z3" s="45">
        <v>22</v>
      </c>
      <c r="AA3" s="45">
        <v>23</v>
      </c>
      <c r="AB3" s="45">
        <v>24</v>
      </c>
      <c r="AC3" s="45">
        <v>25</v>
      </c>
      <c r="AD3" s="45">
        <v>26</v>
      </c>
      <c r="AE3" s="45">
        <v>27</v>
      </c>
      <c r="AF3" s="45">
        <v>28</v>
      </c>
      <c r="AG3" s="45">
        <v>29</v>
      </c>
      <c r="AH3" s="45">
        <v>30</v>
      </c>
      <c r="AI3" s="45">
        <v>31</v>
      </c>
      <c r="AJ3" s="45">
        <v>32</v>
      </c>
      <c r="AK3" s="45">
        <v>33</v>
      </c>
      <c r="AL3" s="45">
        <v>34</v>
      </c>
      <c r="AM3" s="45">
        <v>35</v>
      </c>
      <c r="AN3" s="45">
        <v>36</v>
      </c>
      <c r="AO3" s="45">
        <v>37</v>
      </c>
      <c r="AP3" s="45">
        <v>38</v>
      </c>
      <c r="AQ3" s="45">
        <v>39</v>
      </c>
      <c r="AR3" s="45">
        <v>40</v>
      </c>
      <c r="AS3" s="45">
        <v>41</v>
      </c>
      <c r="AT3" s="45">
        <v>42</v>
      </c>
      <c r="AU3" s="45">
        <v>43</v>
      </c>
      <c r="AV3" s="45">
        <v>44</v>
      </c>
      <c r="AW3" s="45">
        <v>45</v>
      </c>
      <c r="AX3" s="45">
        <v>46</v>
      </c>
      <c r="AY3" s="45">
        <v>47</v>
      </c>
      <c r="AZ3" s="45">
        <v>48</v>
      </c>
      <c r="BA3" s="45">
        <v>49</v>
      </c>
      <c r="BB3" s="45">
        <v>50</v>
      </c>
      <c r="BC3" s="45">
        <v>51</v>
      </c>
      <c r="BD3" s="45">
        <v>52</v>
      </c>
      <c r="BE3" s="45">
        <v>53</v>
      </c>
      <c r="BF3" s="45">
        <v>54</v>
      </c>
      <c r="BG3" s="45">
        <v>55</v>
      </c>
      <c r="BH3" s="45">
        <v>56</v>
      </c>
      <c r="BI3" s="45">
        <v>57</v>
      </c>
      <c r="BJ3" s="45">
        <v>58</v>
      </c>
      <c r="BK3" s="45">
        <v>59</v>
      </c>
      <c r="BL3" s="45">
        <v>60</v>
      </c>
      <c r="BM3" s="45">
        <v>61</v>
      </c>
      <c r="BN3" s="45">
        <v>62</v>
      </c>
      <c r="BO3" s="45">
        <v>63</v>
      </c>
      <c r="BP3" s="45">
        <v>64</v>
      </c>
      <c r="BQ3" s="45">
        <v>65</v>
      </c>
      <c r="BR3" s="45">
        <v>66</v>
      </c>
      <c r="BS3" s="45">
        <v>67</v>
      </c>
      <c r="BT3" s="45">
        <v>68</v>
      </c>
      <c r="BU3" s="45">
        <v>69</v>
      </c>
      <c r="BV3" s="45">
        <v>70</v>
      </c>
      <c r="BW3" s="45">
        <v>71</v>
      </c>
      <c r="BX3" s="45">
        <v>72</v>
      </c>
      <c r="BY3" s="45">
        <v>73</v>
      </c>
      <c r="BZ3" s="45">
        <v>74</v>
      </c>
      <c r="CA3" s="45">
        <v>75</v>
      </c>
      <c r="CB3" s="45">
        <v>76</v>
      </c>
      <c r="CC3" s="45">
        <v>77</v>
      </c>
      <c r="CD3" s="45">
        <v>78</v>
      </c>
      <c r="CE3" s="45">
        <v>79</v>
      </c>
      <c r="CF3" s="45">
        <v>80</v>
      </c>
      <c r="CG3" s="45">
        <v>81</v>
      </c>
      <c r="CH3" s="45">
        <v>82</v>
      </c>
      <c r="CI3" s="45">
        <v>83</v>
      </c>
      <c r="CJ3" s="45">
        <v>84</v>
      </c>
      <c r="CK3" s="45">
        <v>85</v>
      </c>
      <c r="CL3" s="45">
        <v>86</v>
      </c>
      <c r="CM3" s="45">
        <v>87</v>
      </c>
      <c r="CN3" s="45">
        <v>88</v>
      </c>
      <c r="CO3" s="45">
        <v>89</v>
      </c>
      <c r="CP3" s="45">
        <v>90</v>
      </c>
      <c r="CQ3" s="45">
        <v>91</v>
      </c>
      <c r="CR3" s="45">
        <v>92</v>
      </c>
      <c r="CS3" s="45">
        <v>93</v>
      </c>
      <c r="CT3" s="45">
        <v>94</v>
      </c>
      <c r="CU3" s="45">
        <v>95</v>
      </c>
      <c r="CV3" s="45">
        <v>96</v>
      </c>
      <c r="CW3" s="45">
        <v>97</v>
      </c>
      <c r="CX3" s="45">
        <v>98</v>
      </c>
      <c r="CY3" s="45">
        <v>99</v>
      </c>
      <c r="CZ3" s="45">
        <v>100</v>
      </c>
      <c r="DA3" s="45">
        <v>101</v>
      </c>
      <c r="DB3" s="45">
        <v>102</v>
      </c>
      <c r="DC3" s="45">
        <v>103</v>
      </c>
      <c r="DD3" s="45">
        <v>104</v>
      </c>
      <c r="DE3" s="45">
        <v>105</v>
      </c>
      <c r="DF3" s="45">
        <v>106</v>
      </c>
      <c r="DG3" s="45">
        <v>107</v>
      </c>
      <c r="DH3" s="45">
        <v>108</v>
      </c>
      <c r="DI3" s="45">
        <v>109</v>
      </c>
      <c r="DJ3" s="45">
        <v>110</v>
      </c>
      <c r="DK3" s="45">
        <v>111</v>
      </c>
      <c r="DL3" s="45">
        <v>112</v>
      </c>
      <c r="DM3" s="45">
        <v>113</v>
      </c>
      <c r="DN3" s="45">
        <v>114</v>
      </c>
      <c r="DO3" s="45">
        <v>115</v>
      </c>
      <c r="DP3" s="45">
        <v>116</v>
      </c>
      <c r="DQ3" s="45">
        <v>117</v>
      </c>
      <c r="DR3" s="45">
        <v>118</v>
      </c>
      <c r="DS3" s="45">
        <v>119</v>
      </c>
      <c r="DT3" s="45">
        <v>120</v>
      </c>
      <c r="DU3" s="45">
        <v>121</v>
      </c>
      <c r="DV3" s="45">
        <v>122</v>
      </c>
      <c r="DW3" s="45">
        <v>123</v>
      </c>
      <c r="DX3" s="45">
        <v>124</v>
      </c>
      <c r="DY3" s="45">
        <v>125</v>
      </c>
      <c r="DZ3" s="45">
        <v>126</v>
      </c>
      <c r="EA3" s="45">
        <v>127</v>
      </c>
      <c r="EB3" s="45">
        <v>128</v>
      </c>
      <c r="EC3" s="45">
        <v>129</v>
      </c>
      <c r="ED3" s="45">
        <v>130</v>
      </c>
      <c r="EE3" s="45">
        <v>131</v>
      </c>
      <c r="EF3" s="45">
        <v>132</v>
      </c>
      <c r="EG3" s="45">
        <v>133</v>
      </c>
      <c r="EH3" s="45">
        <v>134</v>
      </c>
      <c r="EI3" s="45">
        <v>135</v>
      </c>
      <c r="EJ3" s="45">
        <v>136</v>
      </c>
      <c r="EK3" s="45">
        <v>137</v>
      </c>
      <c r="EL3" s="45">
        <v>138</v>
      </c>
      <c r="EM3" s="45">
        <v>139</v>
      </c>
      <c r="EN3" s="45">
        <v>140</v>
      </c>
      <c r="EO3" s="45">
        <v>141</v>
      </c>
      <c r="EP3" s="45">
        <v>142</v>
      </c>
      <c r="EQ3" s="45">
        <v>143</v>
      </c>
      <c r="ER3" s="45">
        <v>144</v>
      </c>
      <c r="ES3" s="45">
        <v>145</v>
      </c>
      <c r="ET3" s="45">
        <v>146</v>
      </c>
      <c r="EU3" s="45">
        <v>147</v>
      </c>
      <c r="EV3" s="45">
        <v>148</v>
      </c>
      <c r="EW3" s="45">
        <v>149</v>
      </c>
      <c r="EX3" s="45">
        <v>150</v>
      </c>
      <c r="EY3" s="45">
        <v>151</v>
      </c>
      <c r="EZ3" s="45">
        <v>152</v>
      </c>
      <c r="FA3" s="45">
        <v>153</v>
      </c>
      <c r="FB3" s="45">
        <v>154</v>
      </c>
      <c r="FC3" s="45">
        <v>155</v>
      </c>
      <c r="FD3" s="45">
        <v>156</v>
      </c>
      <c r="FE3" s="45">
        <v>157</v>
      </c>
      <c r="FF3" s="45">
        <v>158</v>
      </c>
      <c r="FG3" s="45">
        <v>159</v>
      </c>
      <c r="FH3" s="45">
        <v>160</v>
      </c>
    </row>
    <row r="4" spans="1:164" s="31" customFormat="1" x14ac:dyDescent="0.2">
      <c r="A4" s="35" t="s">
        <v>484</v>
      </c>
      <c r="B4" s="30"/>
      <c r="C4" s="30"/>
      <c r="D4" s="35"/>
      <c r="E4" s="46"/>
      <c r="F4" s="46"/>
      <c r="G4" s="46"/>
      <c r="H4" s="30"/>
      <c r="I4" s="30"/>
      <c r="J4" s="30"/>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46"/>
      <c r="DN4" s="46"/>
      <c r="DO4" s="46"/>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EZ4" s="46"/>
      <c r="FA4" s="46"/>
      <c r="FB4" s="46"/>
      <c r="FC4" s="46"/>
      <c r="FD4" s="46"/>
      <c r="FE4" s="46"/>
      <c r="FF4" s="46"/>
      <c r="FG4" s="46"/>
      <c r="FH4" s="46"/>
    </row>
    <row r="5" spans="1:164" s="31" customFormat="1" x14ac:dyDescent="0.2">
      <c r="A5" s="35" t="s">
        <v>461</v>
      </c>
      <c r="B5" s="30" t="s">
        <v>266</v>
      </c>
      <c r="C5" s="30" t="s">
        <v>347</v>
      </c>
      <c r="D5" s="39" t="s">
        <v>240</v>
      </c>
      <c r="E5" s="46" t="s">
        <v>483</v>
      </c>
      <c r="F5" s="46">
        <v>1</v>
      </c>
      <c r="G5" s="46">
        <v>1</v>
      </c>
      <c r="H5" s="30">
        <v>2</v>
      </c>
      <c r="I5" s="30">
        <v>1</v>
      </c>
      <c r="J5" s="30">
        <v>2</v>
      </c>
      <c r="K5" s="46">
        <v>2</v>
      </c>
      <c r="L5" s="46">
        <v>1</v>
      </c>
      <c r="M5" s="46">
        <v>1</v>
      </c>
      <c r="N5" s="46">
        <v>2</v>
      </c>
      <c r="O5" s="46">
        <v>1</v>
      </c>
      <c r="P5" s="46">
        <v>2</v>
      </c>
      <c r="Q5" s="46">
        <v>1</v>
      </c>
      <c r="R5" s="46">
        <v>1</v>
      </c>
      <c r="S5" s="46">
        <v>2</v>
      </c>
      <c r="T5" s="46">
        <v>2</v>
      </c>
      <c r="U5" s="46">
        <v>2</v>
      </c>
      <c r="V5" s="46" t="s">
        <v>483</v>
      </c>
      <c r="W5" s="46">
        <v>2</v>
      </c>
      <c r="X5" s="46">
        <v>1</v>
      </c>
      <c r="Y5" s="46">
        <v>1</v>
      </c>
      <c r="Z5" s="46">
        <v>1</v>
      </c>
      <c r="AA5" s="46">
        <v>2</v>
      </c>
      <c r="AB5" s="46" t="s">
        <v>483</v>
      </c>
      <c r="AC5" s="46">
        <v>2</v>
      </c>
      <c r="AD5" s="46" t="s">
        <v>483</v>
      </c>
      <c r="AE5" s="46">
        <v>2</v>
      </c>
      <c r="AF5" s="46" t="s">
        <v>483</v>
      </c>
      <c r="AG5" s="46">
        <v>2</v>
      </c>
      <c r="AH5" s="46">
        <v>1</v>
      </c>
      <c r="AI5" s="46">
        <v>1</v>
      </c>
      <c r="AJ5" s="46">
        <v>1</v>
      </c>
      <c r="AK5" s="46" t="s">
        <v>483</v>
      </c>
      <c r="AL5" s="46" t="s">
        <v>483</v>
      </c>
      <c r="AM5" s="46">
        <v>1</v>
      </c>
      <c r="AN5" s="46">
        <v>2</v>
      </c>
      <c r="AO5" s="46">
        <v>2</v>
      </c>
      <c r="AP5" s="46" t="s">
        <v>483</v>
      </c>
      <c r="AQ5" s="46" t="s">
        <v>483</v>
      </c>
      <c r="AR5" s="46">
        <v>2</v>
      </c>
      <c r="AS5" s="46">
        <v>1</v>
      </c>
      <c r="AT5" s="46" t="s">
        <v>483</v>
      </c>
      <c r="AU5" s="46">
        <v>1</v>
      </c>
      <c r="AV5" s="46">
        <v>2</v>
      </c>
      <c r="AW5" s="46">
        <v>2</v>
      </c>
      <c r="AX5" s="46">
        <v>2</v>
      </c>
      <c r="AY5" s="46">
        <v>2</v>
      </c>
      <c r="AZ5" s="46">
        <v>2</v>
      </c>
      <c r="BA5" s="46" t="s">
        <v>483</v>
      </c>
      <c r="BB5" s="46">
        <v>2</v>
      </c>
      <c r="BC5" s="46">
        <v>1</v>
      </c>
      <c r="BD5" s="46">
        <v>2</v>
      </c>
      <c r="BE5" s="46">
        <v>1</v>
      </c>
      <c r="BF5" s="46">
        <v>2</v>
      </c>
      <c r="BG5" s="46">
        <v>1</v>
      </c>
      <c r="BH5" s="46">
        <v>1</v>
      </c>
      <c r="BI5" s="46">
        <v>2</v>
      </c>
      <c r="BJ5" s="46">
        <v>1</v>
      </c>
      <c r="BK5" s="46">
        <v>2</v>
      </c>
      <c r="BL5" s="46">
        <v>1</v>
      </c>
      <c r="BM5" s="46" t="s">
        <v>483</v>
      </c>
      <c r="BN5" s="46">
        <v>1</v>
      </c>
      <c r="BO5" s="46">
        <v>1</v>
      </c>
      <c r="BP5" s="46">
        <v>1</v>
      </c>
      <c r="BQ5" s="46">
        <v>2</v>
      </c>
      <c r="BR5" s="46">
        <v>1</v>
      </c>
      <c r="BS5" s="46">
        <v>2</v>
      </c>
      <c r="BT5" s="46">
        <v>2</v>
      </c>
      <c r="BU5" s="46">
        <v>2</v>
      </c>
      <c r="BV5" s="46">
        <v>2</v>
      </c>
      <c r="BW5" s="46">
        <v>1</v>
      </c>
      <c r="BX5" s="46">
        <v>1</v>
      </c>
      <c r="BY5" s="46">
        <v>2</v>
      </c>
      <c r="BZ5" s="46">
        <v>2</v>
      </c>
      <c r="CA5" s="46">
        <v>1</v>
      </c>
      <c r="CB5" s="46">
        <v>1</v>
      </c>
      <c r="CC5" s="46">
        <v>2</v>
      </c>
      <c r="CD5" s="46">
        <v>1</v>
      </c>
      <c r="CE5" s="46">
        <v>2</v>
      </c>
      <c r="CF5" s="46">
        <v>1</v>
      </c>
      <c r="CG5" s="46">
        <v>2</v>
      </c>
      <c r="CH5" s="46">
        <v>1</v>
      </c>
      <c r="CI5" s="46">
        <v>1</v>
      </c>
      <c r="CJ5" s="46">
        <v>1</v>
      </c>
      <c r="CK5" s="46">
        <v>1</v>
      </c>
      <c r="CL5" s="46">
        <v>1</v>
      </c>
      <c r="CM5" s="46">
        <v>1</v>
      </c>
      <c r="CN5" s="46">
        <v>1</v>
      </c>
      <c r="CO5" s="46">
        <v>1</v>
      </c>
      <c r="CP5" s="46">
        <v>1</v>
      </c>
      <c r="CQ5" s="46">
        <v>1</v>
      </c>
      <c r="CR5" s="46">
        <v>1</v>
      </c>
      <c r="CS5" s="46">
        <v>2</v>
      </c>
      <c r="CT5" s="46">
        <v>1</v>
      </c>
      <c r="CU5" s="46">
        <v>2</v>
      </c>
      <c r="CV5" s="46">
        <v>1</v>
      </c>
      <c r="CW5" s="46">
        <v>1</v>
      </c>
      <c r="CX5" s="46">
        <v>2</v>
      </c>
      <c r="CY5" s="46">
        <v>1</v>
      </c>
      <c r="CZ5" s="46">
        <v>1</v>
      </c>
      <c r="DA5" s="46">
        <v>1</v>
      </c>
      <c r="DB5" s="46">
        <v>1</v>
      </c>
      <c r="DC5" s="46">
        <v>1</v>
      </c>
      <c r="DD5" s="46">
        <v>1</v>
      </c>
      <c r="DE5" s="46">
        <v>1</v>
      </c>
      <c r="DF5" s="46">
        <v>1</v>
      </c>
      <c r="DG5" s="46">
        <v>2</v>
      </c>
      <c r="DH5" s="46">
        <v>1</v>
      </c>
      <c r="DI5" s="46">
        <v>1</v>
      </c>
      <c r="DJ5" s="46">
        <v>2</v>
      </c>
      <c r="DK5" s="46">
        <v>1</v>
      </c>
      <c r="DL5" s="46">
        <v>1</v>
      </c>
      <c r="DM5" s="46">
        <v>1</v>
      </c>
      <c r="DN5" s="46">
        <v>1</v>
      </c>
      <c r="DO5" s="46">
        <v>2</v>
      </c>
      <c r="DP5" s="46">
        <v>1</v>
      </c>
      <c r="DQ5" s="46">
        <v>1</v>
      </c>
      <c r="DR5" s="46">
        <v>1</v>
      </c>
      <c r="DS5" s="46">
        <v>1</v>
      </c>
      <c r="DT5" s="46">
        <v>2</v>
      </c>
      <c r="DU5" s="46">
        <v>1</v>
      </c>
      <c r="DV5" s="46">
        <v>1</v>
      </c>
      <c r="DW5" s="46">
        <v>1</v>
      </c>
      <c r="DX5" s="46">
        <v>1</v>
      </c>
      <c r="DY5" s="46">
        <v>1</v>
      </c>
      <c r="DZ5" s="46">
        <v>1</v>
      </c>
      <c r="EA5" s="46" t="s">
        <v>483</v>
      </c>
      <c r="EB5" s="46">
        <v>1</v>
      </c>
      <c r="EC5" s="46">
        <v>1</v>
      </c>
      <c r="ED5" s="46">
        <v>1</v>
      </c>
      <c r="EE5" s="46">
        <v>2</v>
      </c>
      <c r="EF5" s="46">
        <v>1</v>
      </c>
      <c r="EG5" s="46">
        <v>1</v>
      </c>
      <c r="EH5" s="46">
        <v>1</v>
      </c>
      <c r="EI5" s="46">
        <v>1</v>
      </c>
      <c r="EJ5" s="46">
        <v>1</v>
      </c>
      <c r="EK5" s="46">
        <v>1</v>
      </c>
      <c r="EL5" s="46">
        <v>1</v>
      </c>
      <c r="EM5" s="46">
        <v>1</v>
      </c>
      <c r="EN5" s="46">
        <v>1</v>
      </c>
      <c r="EO5" s="46">
        <v>1</v>
      </c>
      <c r="EP5" s="46">
        <v>1</v>
      </c>
      <c r="EQ5" s="46">
        <v>2</v>
      </c>
      <c r="ER5" s="46">
        <v>1</v>
      </c>
      <c r="ES5" s="46">
        <v>2</v>
      </c>
      <c r="ET5" s="46">
        <v>1</v>
      </c>
      <c r="EU5" s="46" t="s">
        <v>483</v>
      </c>
      <c r="EV5" s="46">
        <v>2</v>
      </c>
      <c r="EW5" s="46">
        <v>2</v>
      </c>
      <c r="EX5" s="46">
        <v>1</v>
      </c>
      <c r="EY5" s="46">
        <v>2</v>
      </c>
      <c r="EZ5" s="46">
        <v>1</v>
      </c>
      <c r="FA5" s="46">
        <v>1</v>
      </c>
      <c r="FB5" s="46">
        <v>1</v>
      </c>
      <c r="FC5" s="46">
        <v>1</v>
      </c>
      <c r="FD5" s="46">
        <v>1</v>
      </c>
      <c r="FE5" s="46">
        <v>1</v>
      </c>
      <c r="FF5" s="46">
        <v>2</v>
      </c>
      <c r="FG5" s="46">
        <v>2</v>
      </c>
      <c r="FH5" s="46">
        <v>2</v>
      </c>
    </row>
    <row r="6" spans="1:164" s="31" customFormat="1" x14ac:dyDescent="0.2">
      <c r="A6" s="35" t="s">
        <v>457</v>
      </c>
      <c r="B6" s="30" t="s">
        <v>266</v>
      </c>
      <c r="C6" s="30" t="s">
        <v>347</v>
      </c>
      <c r="D6" s="39" t="s">
        <v>251</v>
      </c>
      <c r="E6" s="46">
        <v>1</v>
      </c>
      <c r="F6" s="46">
        <v>1</v>
      </c>
      <c r="G6" s="46">
        <v>1</v>
      </c>
      <c r="H6" s="30">
        <v>1</v>
      </c>
      <c r="I6" s="30">
        <v>1</v>
      </c>
      <c r="J6" s="30">
        <v>1</v>
      </c>
      <c r="K6" s="46">
        <v>1</v>
      </c>
      <c r="L6" s="46">
        <v>1</v>
      </c>
      <c r="M6" s="46">
        <v>1</v>
      </c>
      <c r="N6" s="46">
        <v>1</v>
      </c>
      <c r="O6" s="46">
        <v>1</v>
      </c>
      <c r="P6" s="46">
        <v>1</v>
      </c>
      <c r="Q6" s="46">
        <v>1</v>
      </c>
      <c r="R6" s="46">
        <v>2</v>
      </c>
      <c r="S6" s="46">
        <v>2</v>
      </c>
      <c r="T6" s="46">
        <v>2</v>
      </c>
      <c r="U6" s="46">
        <v>2</v>
      </c>
      <c r="V6" s="46">
        <v>2</v>
      </c>
      <c r="W6" s="46">
        <v>1</v>
      </c>
      <c r="X6" s="46">
        <v>1</v>
      </c>
      <c r="Y6" s="46">
        <v>1</v>
      </c>
      <c r="Z6" s="46">
        <v>1</v>
      </c>
      <c r="AA6" s="46">
        <v>1</v>
      </c>
      <c r="AB6" s="46">
        <v>1</v>
      </c>
      <c r="AC6" s="46">
        <v>1</v>
      </c>
      <c r="AD6" s="46">
        <v>1</v>
      </c>
      <c r="AE6" s="46">
        <v>1</v>
      </c>
      <c r="AF6" s="46">
        <v>1</v>
      </c>
      <c r="AG6" s="46">
        <v>1</v>
      </c>
      <c r="AH6" s="46">
        <v>1</v>
      </c>
      <c r="AI6" s="46">
        <v>1</v>
      </c>
      <c r="AJ6" s="46">
        <v>1</v>
      </c>
      <c r="AK6" s="46">
        <v>2</v>
      </c>
      <c r="AL6" s="46">
        <v>2</v>
      </c>
      <c r="AM6" s="46">
        <v>2</v>
      </c>
      <c r="AN6" s="46">
        <v>2</v>
      </c>
      <c r="AO6" s="46">
        <v>2</v>
      </c>
      <c r="AP6" s="46">
        <v>2</v>
      </c>
      <c r="AQ6" s="46">
        <v>2</v>
      </c>
      <c r="AR6" s="46">
        <v>1</v>
      </c>
      <c r="AS6" s="46">
        <v>1</v>
      </c>
      <c r="AT6" s="46">
        <v>1</v>
      </c>
      <c r="AU6" s="46">
        <v>1</v>
      </c>
      <c r="AV6" s="46">
        <v>1</v>
      </c>
      <c r="AW6" s="46">
        <v>1</v>
      </c>
      <c r="AX6" s="46">
        <v>1</v>
      </c>
      <c r="AY6" s="46">
        <v>1</v>
      </c>
      <c r="AZ6" s="46">
        <v>1</v>
      </c>
      <c r="BA6" s="46">
        <v>1</v>
      </c>
      <c r="BB6" s="46">
        <v>1</v>
      </c>
      <c r="BC6" s="46">
        <v>1</v>
      </c>
      <c r="BD6" s="46">
        <v>1</v>
      </c>
      <c r="BE6" s="46">
        <v>1</v>
      </c>
      <c r="BF6" s="46">
        <v>1</v>
      </c>
      <c r="BG6" s="46">
        <v>1</v>
      </c>
      <c r="BH6" s="46">
        <v>1</v>
      </c>
      <c r="BI6" s="46">
        <v>1</v>
      </c>
      <c r="BJ6" s="46">
        <v>1</v>
      </c>
      <c r="BK6" s="46">
        <v>1</v>
      </c>
      <c r="BL6" s="46">
        <v>1</v>
      </c>
      <c r="BM6" s="46">
        <v>1</v>
      </c>
      <c r="BN6" s="46">
        <v>1</v>
      </c>
      <c r="BO6" s="46">
        <v>1</v>
      </c>
      <c r="BP6" s="46">
        <v>1</v>
      </c>
      <c r="BQ6" s="46">
        <v>1</v>
      </c>
      <c r="BR6" s="46">
        <v>1</v>
      </c>
      <c r="BS6" s="46">
        <v>1</v>
      </c>
      <c r="BT6" s="46">
        <v>1</v>
      </c>
      <c r="BU6" s="46">
        <v>1</v>
      </c>
      <c r="BV6" s="46">
        <v>1</v>
      </c>
      <c r="BW6" s="46">
        <v>1</v>
      </c>
      <c r="BX6" s="46">
        <v>2</v>
      </c>
      <c r="BY6" s="46">
        <v>2</v>
      </c>
      <c r="BZ6" s="46">
        <v>2</v>
      </c>
      <c r="CA6" s="46">
        <v>2</v>
      </c>
      <c r="CB6" s="46">
        <v>2</v>
      </c>
      <c r="CC6" s="46">
        <v>2</v>
      </c>
      <c r="CD6" s="46">
        <v>2</v>
      </c>
      <c r="CE6" s="46">
        <v>2</v>
      </c>
      <c r="CF6" s="46">
        <v>2</v>
      </c>
      <c r="CG6" s="46">
        <v>2</v>
      </c>
      <c r="CH6" s="46">
        <v>1</v>
      </c>
      <c r="CI6" s="46">
        <v>1</v>
      </c>
      <c r="CJ6" s="46">
        <v>1</v>
      </c>
      <c r="CK6" s="46">
        <v>1</v>
      </c>
      <c r="CL6" s="46">
        <v>1</v>
      </c>
      <c r="CM6" s="46">
        <v>1</v>
      </c>
      <c r="CN6" s="46">
        <v>1</v>
      </c>
      <c r="CO6" s="46">
        <v>1</v>
      </c>
      <c r="CP6" s="46">
        <v>1</v>
      </c>
      <c r="CQ6" s="46">
        <v>1</v>
      </c>
      <c r="CR6" s="46">
        <v>1</v>
      </c>
      <c r="CS6" s="46">
        <v>1</v>
      </c>
      <c r="CT6" s="46">
        <v>1</v>
      </c>
      <c r="CU6" s="46">
        <v>1</v>
      </c>
      <c r="CV6" s="46">
        <v>1</v>
      </c>
      <c r="CW6" s="46">
        <v>1</v>
      </c>
      <c r="CX6" s="46">
        <v>1</v>
      </c>
      <c r="CY6" s="46">
        <v>1</v>
      </c>
      <c r="CZ6" s="46">
        <v>1</v>
      </c>
      <c r="DA6" s="46">
        <v>1</v>
      </c>
      <c r="DB6" s="46">
        <v>2</v>
      </c>
      <c r="DC6" s="46">
        <v>2</v>
      </c>
      <c r="DD6" s="46">
        <v>2</v>
      </c>
      <c r="DE6" s="46">
        <v>2</v>
      </c>
      <c r="DF6" s="46">
        <v>2</v>
      </c>
      <c r="DG6" s="46">
        <v>2</v>
      </c>
      <c r="DH6" s="46">
        <v>2</v>
      </c>
      <c r="DI6" s="46">
        <v>1</v>
      </c>
      <c r="DJ6" s="46">
        <v>1</v>
      </c>
      <c r="DK6" s="46">
        <v>1</v>
      </c>
      <c r="DL6" s="46">
        <v>1</v>
      </c>
      <c r="DM6" s="46">
        <v>1</v>
      </c>
      <c r="DN6" s="46">
        <v>1</v>
      </c>
      <c r="DO6" s="46">
        <v>1</v>
      </c>
      <c r="DP6" s="46">
        <v>2</v>
      </c>
      <c r="DQ6" s="46">
        <v>2</v>
      </c>
      <c r="DR6" s="46">
        <v>2</v>
      </c>
      <c r="DS6" s="46">
        <v>2</v>
      </c>
      <c r="DT6" s="46">
        <v>2</v>
      </c>
      <c r="DU6" s="46">
        <v>2</v>
      </c>
      <c r="DV6" s="46">
        <v>2</v>
      </c>
      <c r="DW6" s="46">
        <v>2</v>
      </c>
      <c r="DX6" s="46">
        <v>1</v>
      </c>
      <c r="DY6" s="46">
        <v>1</v>
      </c>
      <c r="DZ6" s="46">
        <v>1</v>
      </c>
      <c r="EA6" s="46">
        <v>1</v>
      </c>
      <c r="EB6" s="46">
        <v>1</v>
      </c>
      <c r="EC6" s="46">
        <v>1</v>
      </c>
      <c r="ED6" s="46">
        <v>1</v>
      </c>
      <c r="EE6" s="46">
        <v>1</v>
      </c>
      <c r="EF6" s="46">
        <v>1</v>
      </c>
      <c r="EG6" s="46">
        <v>1</v>
      </c>
      <c r="EH6" s="46">
        <v>2</v>
      </c>
      <c r="EI6" s="46">
        <v>2</v>
      </c>
      <c r="EJ6" s="46">
        <v>2</v>
      </c>
      <c r="EK6" s="46">
        <v>2</v>
      </c>
      <c r="EL6" s="46">
        <v>2</v>
      </c>
      <c r="EM6" s="46">
        <v>2</v>
      </c>
      <c r="EN6" s="46">
        <v>2</v>
      </c>
      <c r="EO6" s="46">
        <v>2</v>
      </c>
      <c r="EP6" s="46">
        <v>2</v>
      </c>
      <c r="EQ6" s="46">
        <v>1</v>
      </c>
      <c r="ER6" s="46">
        <v>1</v>
      </c>
      <c r="ES6" s="46">
        <v>1</v>
      </c>
      <c r="ET6" s="46">
        <v>1</v>
      </c>
      <c r="EU6" s="46">
        <v>2</v>
      </c>
      <c r="EV6" s="46">
        <v>2</v>
      </c>
      <c r="EW6" s="46">
        <v>2</v>
      </c>
      <c r="EX6" s="46">
        <v>2</v>
      </c>
      <c r="EY6" s="46">
        <v>2</v>
      </c>
      <c r="EZ6" s="46">
        <v>2</v>
      </c>
      <c r="FA6" s="46">
        <v>2</v>
      </c>
      <c r="FB6" s="46">
        <v>2</v>
      </c>
      <c r="FC6" s="46">
        <v>2</v>
      </c>
      <c r="FD6" s="46">
        <v>2</v>
      </c>
      <c r="FE6" s="46">
        <v>2</v>
      </c>
      <c r="FF6" s="46">
        <v>2</v>
      </c>
      <c r="FG6" s="46">
        <v>1</v>
      </c>
      <c r="FH6" s="46">
        <v>1</v>
      </c>
    </row>
    <row r="7" spans="1:164" s="31" customFormat="1" x14ac:dyDescent="0.2">
      <c r="A7" s="35" t="s">
        <v>432</v>
      </c>
      <c r="B7" s="30" t="s">
        <v>266</v>
      </c>
      <c r="C7" s="30" t="s">
        <v>347</v>
      </c>
      <c r="D7" s="39" t="s">
        <v>251</v>
      </c>
      <c r="E7" s="46">
        <v>2</v>
      </c>
      <c r="F7" s="46">
        <v>1</v>
      </c>
      <c r="G7" s="46">
        <v>2</v>
      </c>
      <c r="H7" s="30">
        <v>2</v>
      </c>
      <c r="I7" s="30">
        <v>1</v>
      </c>
      <c r="J7" s="30">
        <v>1</v>
      </c>
      <c r="K7" s="46">
        <v>2</v>
      </c>
      <c r="L7" s="46">
        <v>1</v>
      </c>
      <c r="M7" s="46">
        <v>1</v>
      </c>
      <c r="N7" s="46">
        <v>1</v>
      </c>
      <c r="O7" s="46">
        <v>2</v>
      </c>
      <c r="P7" s="46">
        <v>1</v>
      </c>
      <c r="Q7" s="46">
        <v>2</v>
      </c>
      <c r="R7" s="46">
        <v>1</v>
      </c>
      <c r="S7" s="46">
        <v>1</v>
      </c>
      <c r="T7" s="46">
        <v>2</v>
      </c>
      <c r="U7" s="46">
        <v>2</v>
      </c>
      <c r="V7" s="46">
        <v>2</v>
      </c>
      <c r="W7" s="46">
        <v>1</v>
      </c>
      <c r="X7" s="46">
        <v>2</v>
      </c>
      <c r="Y7" s="46">
        <v>2</v>
      </c>
      <c r="Z7" s="46">
        <v>1</v>
      </c>
      <c r="AA7" s="46">
        <v>1</v>
      </c>
      <c r="AB7" s="46">
        <v>1</v>
      </c>
      <c r="AC7" s="46">
        <v>1</v>
      </c>
      <c r="AD7" s="46">
        <v>2</v>
      </c>
      <c r="AE7" s="46">
        <v>1</v>
      </c>
      <c r="AF7" s="46">
        <v>2</v>
      </c>
      <c r="AG7" s="46">
        <v>2</v>
      </c>
      <c r="AH7" s="46">
        <v>2</v>
      </c>
      <c r="AI7" s="46">
        <v>1</v>
      </c>
      <c r="AJ7" s="46">
        <v>2</v>
      </c>
      <c r="AK7" s="46">
        <v>2</v>
      </c>
      <c r="AL7" s="46">
        <v>2</v>
      </c>
      <c r="AM7" s="46">
        <v>1</v>
      </c>
      <c r="AN7" s="46">
        <v>1</v>
      </c>
      <c r="AO7" s="46">
        <v>2</v>
      </c>
      <c r="AP7" s="46">
        <v>2</v>
      </c>
      <c r="AQ7" s="46">
        <v>1</v>
      </c>
      <c r="AR7" s="46">
        <v>2</v>
      </c>
      <c r="AS7" s="46">
        <v>2</v>
      </c>
      <c r="AT7" s="46">
        <v>2</v>
      </c>
      <c r="AU7" s="46">
        <v>1</v>
      </c>
      <c r="AV7" s="46">
        <v>1</v>
      </c>
      <c r="AW7" s="46">
        <v>1</v>
      </c>
      <c r="AX7" s="46">
        <v>1</v>
      </c>
      <c r="AY7" s="46">
        <v>1</v>
      </c>
      <c r="AZ7" s="46">
        <v>2</v>
      </c>
      <c r="BA7" s="46">
        <v>2</v>
      </c>
      <c r="BB7" s="46">
        <v>1</v>
      </c>
      <c r="BC7" s="46">
        <v>1</v>
      </c>
      <c r="BD7" s="46">
        <v>2</v>
      </c>
      <c r="BE7" s="46">
        <v>1</v>
      </c>
      <c r="BF7" s="46">
        <v>2</v>
      </c>
      <c r="BG7" s="46">
        <v>1</v>
      </c>
      <c r="BH7" s="46">
        <v>2</v>
      </c>
      <c r="BI7" s="46">
        <v>2</v>
      </c>
      <c r="BJ7" s="46">
        <v>1</v>
      </c>
      <c r="BK7" s="46">
        <v>1</v>
      </c>
      <c r="BL7" s="46">
        <v>1</v>
      </c>
      <c r="BM7" s="46">
        <v>2</v>
      </c>
      <c r="BN7" s="46">
        <v>2</v>
      </c>
      <c r="BO7" s="46">
        <v>1</v>
      </c>
      <c r="BP7" s="46">
        <v>1</v>
      </c>
      <c r="BQ7" s="46">
        <v>2</v>
      </c>
      <c r="BR7" s="46">
        <v>2</v>
      </c>
      <c r="BS7" s="46">
        <v>1</v>
      </c>
      <c r="BT7" s="46">
        <v>2</v>
      </c>
      <c r="BU7" s="46">
        <v>1</v>
      </c>
      <c r="BV7" s="46">
        <v>1</v>
      </c>
      <c r="BW7" s="46">
        <v>2</v>
      </c>
      <c r="BX7" s="46">
        <v>1</v>
      </c>
      <c r="BY7" s="46">
        <v>1</v>
      </c>
      <c r="BZ7" s="46">
        <v>2</v>
      </c>
      <c r="CA7" s="46">
        <v>2</v>
      </c>
      <c r="CB7" s="46">
        <v>1</v>
      </c>
      <c r="CC7" s="46">
        <v>2</v>
      </c>
      <c r="CD7" s="46">
        <v>2</v>
      </c>
      <c r="CE7" s="46">
        <v>2</v>
      </c>
      <c r="CF7" s="46">
        <v>2</v>
      </c>
      <c r="CG7" s="46">
        <v>1</v>
      </c>
      <c r="CH7" s="46">
        <v>1</v>
      </c>
      <c r="CI7" s="46">
        <v>2</v>
      </c>
      <c r="CJ7" s="46">
        <v>2</v>
      </c>
      <c r="CK7" s="46">
        <v>2</v>
      </c>
      <c r="CL7" s="46">
        <v>2</v>
      </c>
      <c r="CM7" s="46">
        <v>2</v>
      </c>
      <c r="CN7" s="46">
        <v>1</v>
      </c>
      <c r="CO7" s="46">
        <v>2</v>
      </c>
      <c r="CP7" s="46">
        <v>2</v>
      </c>
      <c r="CQ7" s="46">
        <v>1</v>
      </c>
      <c r="CR7" s="46">
        <v>2</v>
      </c>
      <c r="CS7" s="46">
        <v>2</v>
      </c>
      <c r="CT7" s="46">
        <v>2</v>
      </c>
      <c r="CU7" s="46">
        <v>2</v>
      </c>
      <c r="CV7" s="46">
        <v>2</v>
      </c>
      <c r="CW7" s="46">
        <v>1</v>
      </c>
      <c r="CX7" s="46">
        <v>2</v>
      </c>
      <c r="CY7" s="46">
        <v>2</v>
      </c>
      <c r="CZ7" s="46">
        <v>2</v>
      </c>
      <c r="DA7" s="46">
        <v>2</v>
      </c>
      <c r="DB7" s="46">
        <v>2</v>
      </c>
      <c r="DC7" s="46">
        <v>1</v>
      </c>
      <c r="DD7" s="46">
        <v>2</v>
      </c>
      <c r="DE7" s="46">
        <v>1</v>
      </c>
      <c r="DF7" s="46">
        <v>2</v>
      </c>
      <c r="DG7" s="46">
        <v>2</v>
      </c>
      <c r="DH7" s="46">
        <v>2</v>
      </c>
      <c r="DI7" s="46">
        <v>2</v>
      </c>
      <c r="DJ7" s="46">
        <v>1</v>
      </c>
      <c r="DK7" s="46">
        <v>1</v>
      </c>
      <c r="DL7" s="46">
        <v>2</v>
      </c>
      <c r="DM7" s="46">
        <v>1</v>
      </c>
      <c r="DN7" s="46">
        <v>2</v>
      </c>
      <c r="DO7" s="46">
        <v>2</v>
      </c>
      <c r="DP7" s="46">
        <v>2</v>
      </c>
      <c r="DQ7" s="46">
        <v>2</v>
      </c>
      <c r="DR7" s="46">
        <v>2</v>
      </c>
      <c r="DS7" s="46">
        <v>1</v>
      </c>
      <c r="DT7" s="46">
        <v>1</v>
      </c>
      <c r="DU7" s="46">
        <v>2</v>
      </c>
      <c r="DV7" s="46">
        <v>1</v>
      </c>
      <c r="DW7" s="46">
        <v>2</v>
      </c>
      <c r="DX7" s="46">
        <v>2</v>
      </c>
      <c r="DY7" s="46">
        <v>1</v>
      </c>
      <c r="DZ7" s="46">
        <v>1</v>
      </c>
      <c r="EA7" s="46">
        <v>2</v>
      </c>
      <c r="EB7" s="46">
        <v>2</v>
      </c>
      <c r="EC7" s="46">
        <v>2</v>
      </c>
      <c r="ED7" s="46">
        <v>2</v>
      </c>
      <c r="EE7" s="46">
        <v>1</v>
      </c>
      <c r="EF7" s="46">
        <v>2</v>
      </c>
      <c r="EG7" s="46">
        <v>2</v>
      </c>
      <c r="EH7" s="46">
        <v>1</v>
      </c>
      <c r="EI7" s="46">
        <v>2</v>
      </c>
      <c r="EJ7" s="46">
        <v>1</v>
      </c>
      <c r="EK7" s="46">
        <v>2</v>
      </c>
      <c r="EL7" s="46">
        <v>2</v>
      </c>
      <c r="EM7" s="46">
        <v>1</v>
      </c>
      <c r="EN7" s="46">
        <v>1</v>
      </c>
      <c r="EO7" s="46">
        <v>1</v>
      </c>
      <c r="EP7" s="46">
        <v>2</v>
      </c>
      <c r="EQ7" s="46">
        <v>1</v>
      </c>
      <c r="ER7" s="46">
        <v>2</v>
      </c>
      <c r="ES7" s="46">
        <v>2</v>
      </c>
      <c r="ET7" s="46">
        <v>2</v>
      </c>
      <c r="EU7" s="46">
        <v>2</v>
      </c>
      <c r="EV7" s="46">
        <v>1</v>
      </c>
      <c r="EW7" s="46">
        <v>2</v>
      </c>
      <c r="EX7" s="46">
        <v>2</v>
      </c>
      <c r="EY7" s="46">
        <v>2</v>
      </c>
      <c r="EZ7" s="46">
        <v>1</v>
      </c>
      <c r="FA7" s="46">
        <v>2</v>
      </c>
      <c r="FB7" s="46">
        <v>1</v>
      </c>
      <c r="FC7" s="46">
        <v>1</v>
      </c>
      <c r="FD7" s="46">
        <v>2</v>
      </c>
      <c r="FE7" s="46">
        <v>2</v>
      </c>
      <c r="FF7" s="46">
        <v>1</v>
      </c>
      <c r="FG7" s="46">
        <v>2</v>
      </c>
      <c r="FH7" s="46">
        <v>2</v>
      </c>
    </row>
    <row r="8" spans="1:164" s="31" customFormat="1" x14ac:dyDescent="0.2">
      <c r="A8" s="35" t="s">
        <v>431</v>
      </c>
      <c r="B8" s="30" t="s">
        <v>266</v>
      </c>
      <c r="C8" s="30" t="s">
        <v>293</v>
      </c>
      <c r="D8" s="39" t="s">
        <v>253</v>
      </c>
      <c r="E8" s="46">
        <v>1</v>
      </c>
      <c r="F8" s="46">
        <v>1</v>
      </c>
      <c r="G8" s="46">
        <v>1</v>
      </c>
      <c r="H8" s="30">
        <v>1</v>
      </c>
      <c r="I8" s="30">
        <v>1</v>
      </c>
      <c r="J8" s="30">
        <v>2</v>
      </c>
      <c r="K8" s="46">
        <v>2</v>
      </c>
      <c r="L8" s="46">
        <v>2</v>
      </c>
      <c r="M8" s="46">
        <v>1</v>
      </c>
      <c r="N8" s="46">
        <v>2</v>
      </c>
      <c r="O8" s="46">
        <v>2</v>
      </c>
      <c r="P8" s="46">
        <v>2</v>
      </c>
      <c r="Q8" s="46">
        <v>2</v>
      </c>
      <c r="R8" s="46">
        <v>2</v>
      </c>
      <c r="S8" s="46">
        <v>1</v>
      </c>
      <c r="T8" s="46">
        <v>2</v>
      </c>
      <c r="U8" s="46">
        <v>2</v>
      </c>
      <c r="V8" s="46">
        <v>2</v>
      </c>
      <c r="W8" s="46">
        <v>2</v>
      </c>
      <c r="X8" s="46">
        <v>2</v>
      </c>
      <c r="Y8" s="46">
        <v>2</v>
      </c>
      <c r="Z8" s="46">
        <v>1</v>
      </c>
      <c r="AA8" s="46">
        <v>2</v>
      </c>
      <c r="AB8" s="46">
        <v>2</v>
      </c>
      <c r="AC8" s="46">
        <v>2</v>
      </c>
      <c r="AD8" s="46">
        <v>2</v>
      </c>
      <c r="AE8" s="46">
        <v>1</v>
      </c>
      <c r="AF8" s="46">
        <v>2</v>
      </c>
      <c r="AG8" s="46">
        <v>2</v>
      </c>
      <c r="AH8" s="46">
        <v>2</v>
      </c>
      <c r="AI8" s="46">
        <v>2</v>
      </c>
      <c r="AJ8" s="46">
        <v>2</v>
      </c>
      <c r="AK8" s="46">
        <v>2</v>
      </c>
      <c r="AL8" s="46">
        <v>2</v>
      </c>
      <c r="AM8" s="46">
        <v>2</v>
      </c>
      <c r="AN8" s="46">
        <v>1</v>
      </c>
      <c r="AO8" s="46">
        <v>2</v>
      </c>
      <c r="AP8" s="46">
        <v>2</v>
      </c>
      <c r="AQ8" s="46">
        <v>1</v>
      </c>
      <c r="AR8" s="46">
        <v>2</v>
      </c>
      <c r="AS8" s="46">
        <v>1</v>
      </c>
      <c r="AT8" s="46">
        <v>2</v>
      </c>
      <c r="AU8" s="46">
        <v>2</v>
      </c>
      <c r="AV8" s="46">
        <v>1</v>
      </c>
      <c r="AW8" s="46">
        <v>1</v>
      </c>
      <c r="AX8" s="46">
        <v>2</v>
      </c>
      <c r="AY8" s="46">
        <v>1</v>
      </c>
      <c r="AZ8" s="46">
        <v>2</v>
      </c>
      <c r="BA8" s="46">
        <v>2</v>
      </c>
      <c r="BB8" s="46">
        <v>1</v>
      </c>
      <c r="BC8" s="46">
        <v>2</v>
      </c>
      <c r="BD8" s="46">
        <v>2</v>
      </c>
      <c r="BE8" s="46">
        <v>2</v>
      </c>
      <c r="BF8" s="46">
        <v>2</v>
      </c>
      <c r="BG8" s="46">
        <v>1</v>
      </c>
      <c r="BH8" s="46">
        <v>2</v>
      </c>
      <c r="BI8" s="46">
        <v>2</v>
      </c>
      <c r="BJ8" s="46">
        <v>2</v>
      </c>
      <c r="BK8" s="46">
        <v>2</v>
      </c>
      <c r="BL8" s="46">
        <v>1</v>
      </c>
      <c r="BM8" s="46">
        <v>1</v>
      </c>
      <c r="BN8" s="46">
        <v>2</v>
      </c>
      <c r="BO8" s="46">
        <v>1</v>
      </c>
      <c r="BP8" s="46">
        <v>2</v>
      </c>
      <c r="BQ8" s="46">
        <v>1</v>
      </c>
      <c r="BR8" s="46">
        <v>2</v>
      </c>
      <c r="BS8" s="46">
        <v>2</v>
      </c>
      <c r="BT8" s="46">
        <v>2</v>
      </c>
      <c r="BU8" s="46">
        <v>2</v>
      </c>
      <c r="BV8" s="46">
        <v>2</v>
      </c>
      <c r="BW8" s="46">
        <v>1</v>
      </c>
      <c r="BX8" s="46">
        <v>1</v>
      </c>
      <c r="BY8" s="46">
        <v>2</v>
      </c>
      <c r="BZ8" s="46">
        <v>2</v>
      </c>
      <c r="CA8" s="46">
        <v>2</v>
      </c>
      <c r="CB8" s="46">
        <v>2</v>
      </c>
      <c r="CC8" s="46">
        <v>2</v>
      </c>
      <c r="CD8" s="46">
        <v>2</v>
      </c>
      <c r="CE8" s="46">
        <v>2</v>
      </c>
      <c r="CF8" s="46">
        <v>0</v>
      </c>
      <c r="CG8" s="46">
        <v>2</v>
      </c>
      <c r="CH8" s="46">
        <v>1</v>
      </c>
      <c r="CI8" s="46">
        <v>2</v>
      </c>
      <c r="CJ8" s="46">
        <v>2</v>
      </c>
      <c r="CK8" s="46">
        <v>2</v>
      </c>
      <c r="CL8" s="46">
        <v>2</v>
      </c>
      <c r="CM8" s="46">
        <v>2</v>
      </c>
      <c r="CN8" s="46">
        <v>2</v>
      </c>
      <c r="CO8" s="46">
        <v>2</v>
      </c>
      <c r="CP8" s="46">
        <v>2</v>
      </c>
      <c r="CQ8" s="46">
        <v>2</v>
      </c>
      <c r="CR8" s="46">
        <v>2</v>
      </c>
      <c r="CS8" s="46">
        <v>2</v>
      </c>
      <c r="CT8" s="46">
        <v>2</v>
      </c>
      <c r="CU8" s="46">
        <v>2</v>
      </c>
      <c r="CV8" s="46">
        <v>2</v>
      </c>
      <c r="CW8" s="46">
        <v>1</v>
      </c>
      <c r="CX8" s="46">
        <v>2</v>
      </c>
      <c r="CY8" s="46">
        <v>2</v>
      </c>
      <c r="CZ8" s="46">
        <v>1</v>
      </c>
      <c r="DA8" s="46">
        <v>2</v>
      </c>
      <c r="DB8" s="46">
        <v>2</v>
      </c>
      <c r="DC8" s="46">
        <v>2</v>
      </c>
      <c r="DD8" s="46">
        <v>1</v>
      </c>
      <c r="DE8" s="46">
        <v>2</v>
      </c>
      <c r="DF8" s="46">
        <v>2</v>
      </c>
      <c r="DG8" s="46">
        <v>2</v>
      </c>
      <c r="DH8" s="46">
        <v>2</v>
      </c>
      <c r="DI8" s="46">
        <v>2</v>
      </c>
      <c r="DJ8" s="46">
        <v>2</v>
      </c>
      <c r="DK8" s="46">
        <v>2</v>
      </c>
      <c r="DL8" s="46">
        <v>2</v>
      </c>
      <c r="DM8" s="46">
        <v>2</v>
      </c>
      <c r="DN8" s="46">
        <v>2</v>
      </c>
      <c r="DO8" s="46">
        <v>2</v>
      </c>
      <c r="DP8" s="46">
        <v>0</v>
      </c>
      <c r="DQ8" s="46">
        <v>1</v>
      </c>
      <c r="DR8" s="46">
        <v>1</v>
      </c>
      <c r="DS8" s="46">
        <v>2</v>
      </c>
      <c r="DT8" s="46">
        <v>2</v>
      </c>
      <c r="DU8" s="46">
        <v>2</v>
      </c>
      <c r="DV8" s="46">
        <v>2</v>
      </c>
      <c r="DW8" s="46">
        <v>2</v>
      </c>
      <c r="DX8" s="46">
        <v>2</v>
      </c>
      <c r="DY8" s="46">
        <v>2</v>
      </c>
      <c r="DZ8" s="46">
        <v>2</v>
      </c>
      <c r="EA8" s="46">
        <v>2</v>
      </c>
      <c r="EB8" s="46">
        <v>2</v>
      </c>
      <c r="EC8" s="46">
        <v>1</v>
      </c>
      <c r="ED8" s="46">
        <v>2</v>
      </c>
      <c r="EE8" s="46">
        <v>1</v>
      </c>
      <c r="EF8" s="46">
        <v>2</v>
      </c>
      <c r="EG8" s="46">
        <v>2</v>
      </c>
      <c r="EH8" s="46">
        <v>2</v>
      </c>
      <c r="EI8" s="46">
        <v>2</v>
      </c>
      <c r="EJ8" s="46">
        <v>1</v>
      </c>
      <c r="EK8" s="46">
        <v>1</v>
      </c>
      <c r="EL8" s="46">
        <v>2</v>
      </c>
      <c r="EM8" s="46">
        <v>2</v>
      </c>
      <c r="EN8" s="46">
        <v>2</v>
      </c>
      <c r="EO8" s="46">
        <v>2</v>
      </c>
      <c r="EP8" s="46">
        <v>2</v>
      </c>
      <c r="EQ8" s="46">
        <v>2</v>
      </c>
      <c r="ER8" s="46">
        <v>2</v>
      </c>
      <c r="ES8" s="46">
        <v>2</v>
      </c>
      <c r="ET8" s="46">
        <v>1</v>
      </c>
      <c r="EU8" s="46">
        <v>1</v>
      </c>
      <c r="EV8" s="46">
        <v>2</v>
      </c>
      <c r="EW8" s="46">
        <v>2</v>
      </c>
      <c r="EX8" s="46">
        <v>0</v>
      </c>
      <c r="EY8" s="46">
        <v>2</v>
      </c>
      <c r="EZ8" s="46">
        <v>2</v>
      </c>
      <c r="FA8" s="46">
        <v>2</v>
      </c>
      <c r="FB8" s="46">
        <v>2</v>
      </c>
      <c r="FC8" s="46">
        <v>2</v>
      </c>
      <c r="FD8" s="46">
        <v>2</v>
      </c>
      <c r="FE8" s="46">
        <v>2</v>
      </c>
      <c r="FF8" s="46">
        <v>2</v>
      </c>
      <c r="FG8" s="46">
        <v>2</v>
      </c>
      <c r="FH8" s="46">
        <v>2</v>
      </c>
    </row>
    <row r="9" spans="1:164" s="31" customFormat="1" x14ac:dyDescent="0.2">
      <c r="A9" s="35" t="s">
        <v>430</v>
      </c>
      <c r="B9" s="30" t="s">
        <v>261</v>
      </c>
      <c r="C9" s="30" t="s">
        <v>293</v>
      </c>
      <c r="D9" s="39" t="s">
        <v>253</v>
      </c>
      <c r="E9" s="46">
        <v>1</v>
      </c>
      <c r="F9" s="46">
        <v>2</v>
      </c>
      <c r="G9" s="46">
        <v>2</v>
      </c>
      <c r="H9" s="30">
        <v>0</v>
      </c>
      <c r="I9" s="30">
        <v>2</v>
      </c>
      <c r="J9" s="30">
        <v>2</v>
      </c>
      <c r="K9" s="46">
        <v>2</v>
      </c>
      <c r="L9" s="46">
        <v>2</v>
      </c>
      <c r="M9" s="46">
        <v>1</v>
      </c>
      <c r="N9" s="46">
        <v>2</v>
      </c>
      <c r="O9" s="46">
        <v>2</v>
      </c>
      <c r="P9" s="46">
        <v>1</v>
      </c>
      <c r="Q9" s="46">
        <v>2</v>
      </c>
      <c r="R9" s="46">
        <v>1</v>
      </c>
      <c r="S9" s="46">
        <v>2</v>
      </c>
      <c r="T9" s="46">
        <v>2</v>
      </c>
      <c r="U9" s="46">
        <v>2</v>
      </c>
      <c r="V9" s="46">
        <v>2</v>
      </c>
      <c r="W9" s="46">
        <v>2</v>
      </c>
      <c r="X9" s="46">
        <v>2</v>
      </c>
      <c r="Y9" s="46">
        <v>1</v>
      </c>
      <c r="Z9" s="46">
        <v>2</v>
      </c>
      <c r="AA9" s="46">
        <v>2</v>
      </c>
      <c r="AB9" s="46">
        <v>2</v>
      </c>
      <c r="AC9" s="46">
        <v>2</v>
      </c>
      <c r="AD9" s="46">
        <v>1</v>
      </c>
      <c r="AE9" s="46">
        <v>1</v>
      </c>
      <c r="AF9" s="46">
        <v>2</v>
      </c>
      <c r="AG9" s="46">
        <v>2</v>
      </c>
      <c r="AH9" s="46">
        <v>2</v>
      </c>
      <c r="AI9" s="46">
        <v>2</v>
      </c>
      <c r="AJ9" s="46">
        <v>2</v>
      </c>
      <c r="AK9" s="46">
        <v>2</v>
      </c>
      <c r="AL9" s="46">
        <v>2</v>
      </c>
      <c r="AM9" s="46">
        <v>2</v>
      </c>
      <c r="AN9" s="46">
        <v>1</v>
      </c>
      <c r="AO9" s="46">
        <v>2</v>
      </c>
      <c r="AP9" s="46">
        <v>2</v>
      </c>
      <c r="AQ9" s="46">
        <v>2</v>
      </c>
      <c r="AR9" s="46">
        <v>2</v>
      </c>
      <c r="AS9" s="46">
        <v>2</v>
      </c>
      <c r="AT9" s="46">
        <v>2</v>
      </c>
      <c r="AU9" s="46">
        <v>2</v>
      </c>
      <c r="AV9" s="46">
        <v>2</v>
      </c>
      <c r="AW9" s="46">
        <v>2</v>
      </c>
      <c r="AX9" s="46">
        <v>2</v>
      </c>
      <c r="AY9" s="46">
        <v>2</v>
      </c>
      <c r="AZ9" s="46">
        <v>2</v>
      </c>
      <c r="BA9" s="46">
        <v>1</v>
      </c>
      <c r="BB9" s="46">
        <v>2</v>
      </c>
      <c r="BC9" s="46">
        <v>2</v>
      </c>
      <c r="BD9" s="46">
        <v>1</v>
      </c>
      <c r="BE9" s="46">
        <v>2</v>
      </c>
      <c r="BF9" s="46">
        <v>2</v>
      </c>
      <c r="BG9" s="46">
        <v>2</v>
      </c>
      <c r="BH9" s="46">
        <v>1</v>
      </c>
      <c r="BI9" s="46">
        <v>2</v>
      </c>
      <c r="BJ9" s="46">
        <v>2</v>
      </c>
      <c r="BK9" s="46">
        <v>2</v>
      </c>
      <c r="BL9" s="46">
        <v>1</v>
      </c>
      <c r="BM9" s="46">
        <v>1</v>
      </c>
      <c r="BN9" s="46">
        <v>2</v>
      </c>
      <c r="BO9" s="46">
        <v>1</v>
      </c>
      <c r="BP9" s="46">
        <v>2</v>
      </c>
      <c r="BQ9" s="46">
        <v>2</v>
      </c>
      <c r="BR9" s="46">
        <v>2</v>
      </c>
      <c r="BS9" s="46">
        <v>2</v>
      </c>
      <c r="BT9" s="46">
        <v>2</v>
      </c>
      <c r="BU9" s="46">
        <v>2</v>
      </c>
      <c r="BV9" s="46">
        <v>2</v>
      </c>
      <c r="BW9" s="46">
        <v>2</v>
      </c>
      <c r="BX9" s="46">
        <v>1</v>
      </c>
      <c r="BY9" s="46">
        <v>2</v>
      </c>
      <c r="BZ9" s="46">
        <v>1</v>
      </c>
      <c r="CA9" s="46">
        <v>1</v>
      </c>
      <c r="CB9" s="46">
        <v>2</v>
      </c>
      <c r="CC9" s="46">
        <v>1</v>
      </c>
      <c r="CD9" s="46">
        <v>2</v>
      </c>
      <c r="CE9" s="46">
        <v>2</v>
      </c>
      <c r="CF9" s="46">
        <v>1</v>
      </c>
      <c r="CG9" s="46">
        <v>1</v>
      </c>
      <c r="CH9" s="46">
        <v>1</v>
      </c>
      <c r="CI9" s="46">
        <v>2</v>
      </c>
      <c r="CJ9" s="46">
        <v>1</v>
      </c>
      <c r="CK9" s="46">
        <v>2</v>
      </c>
      <c r="CL9" s="46">
        <v>2</v>
      </c>
      <c r="CM9" s="46">
        <v>2</v>
      </c>
      <c r="CN9" s="46">
        <v>2</v>
      </c>
      <c r="CO9" s="46">
        <v>1</v>
      </c>
      <c r="CP9" s="46">
        <v>2</v>
      </c>
      <c r="CQ9" s="46">
        <v>2</v>
      </c>
      <c r="CR9" s="46">
        <v>1</v>
      </c>
      <c r="CS9" s="46">
        <v>1</v>
      </c>
      <c r="CT9" s="46">
        <v>2</v>
      </c>
      <c r="CU9" s="46">
        <v>2</v>
      </c>
      <c r="CV9" s="46">
        <v>1</v>
      </c>
      <c r="CW9" s="46">
        <v>2</v>
      </c>
      <c r="CX9" s="46">
        <v>1</v>
      </c>
      <c r="CY9" s="46">
        <v>2</v>
      </c>
      <c r="CZ9" s="46">
        <v>2</v>
      </c>
      <c r="DA9" s="46">
        <v>1</v>
      </c>
      <c r="DB9" s="46">
        <v>2</v>
      </c>
      <c r="DC9" s="46">
        <v>2</v>
      </c>
      <c r="DD9" s="46">
        <v>2</v>
      </c>
      <c r="DE9" s="46">
        <v>2</v>
      </c>
      <c r="DF9" s="46">
        <v>2</v>
      </c>
      <c r="DG9" s="46">
        <v>1</v>
      </c>
      <c r="DH9" s="46">
        <v>1</v>
      </c>
      <c r="DI9" s="46">
        <v>1</v>
      </c>
      <c r="DJ9" s="46">
        <v>2</v>
      </c>
      <c r="DK9" s="46">
        <v>1</v>
      </c>
      <c r="DL9" s="46">
        <v>2</v>
      </c>
      <c r="DM9" s="46">
        <v>2</v>
      </c>
      <c r="DN9" s="46">
        <v>1</v>
      </c>
      <c r="DO9" s="46">
        <v>2</v>
      </c>
      <c r="DP9" s="46">
        <v>2</v>
      </c>
      <c r="DQ9" s="46">
        <v>1</v>
      </c>
      <c r="DR9" s="46">
        <v>2</v>
      </c>
      <c r="DS9" s="46">
        <v>2</v>
      </c>
      <c r="DT9" s="46">
        <v>2</v>
      </c>
      <c r="DU9" s="46">
        <v>2</v>
      </c>
      <c r="DV9" s="46">
        <v>1</v>
      </c>
      <c r="DW9" s="46">
        <v>2</v>
      </c>
      <c r="DX9" s="46">
        <v>2</v>
      </c>
      <c r="DY9" s="46">
        <v>2</v>
      </c>
      <c r="DZ9" s="46">
        <v>2</v>
      </c>
      <c r="EA9" s="46">
        <v>2</v>
      </c>
      <c r="EB9" s="46">
        <v>1</v>
      </c>
      <c r="EC9" s="46">
        <v>1</v>
      </c>
      <c r="ED9" s="46">
        <v>2</v>
      </c>
      <c r="EE9" s="46">
        <v>2</v>
      </c>
      <c r="EF9" s="46">
        <v>2</v>
      </c>
      <c r="EG9" s="46">
        <v>2</v>
      </c>
      <c r="EH9" s="46">
        <v>2</v>
      </c>
      <c r="EI9" s="46">
        <v>2</v>
      </c>
      <c r="EJ9" s="46">
        <v>1</v>
      </c>
      <c r="EK9" s="46">
        <v>2</v>
      </c>
      <c r="EL9" s="46">
        <v>2</v>
      </c>
      <c r="EM9" s="46">
        <v>2</v>
      </c>
      <c r="EN9" s="46">
        <v>2</v>
      </c>
      <c r="EO9" s="46">
        <v>2</v>
      </c>
      <c r="EP9" s="46">
        <v>1</v>
      </c>
      <c r="EQ9" s="46">
        <v>2</v>
      </c>
      <c r="ER9" s="46">
        <v>2</v>
      </c>
      <c r="ES9" s="46">
        <v>2</v>
      </c>
      <c r="ET9" s="46">
        <v>2</v>
      </c>
      <c r="EU9" s="46">
        <v>2</v>
      </c>
      <c r="EV9" s="46">
        <v>2</v>
      </c>
      <c r="EW9" s="46">
        <v>2</v>
      </c>
      <c r="EX9" s="46">
        <v>2</v>
      </c>
      <c r="EY9" s="46">
        <v>1</v>
      </c>
      <c r="EZ9" s="46">
        <v>2</v>
      </c>
      <c r="FA9" s="46">
        <v>2</v>
      </c>
      <c r="FB9" s="46">
        <v>2</v>
      </c>
      <c r="FC9" s="46">
        <v>2</v>
      </c>
      <c r="FD9" s="46">
        <v>2</v>
      </c>
      <c r="FE9" s="46">
        <v>2</v>
      </c>
      <c r="FF9" s="46">
        <v>2</v>
      </c>
      <c r="FG9" s="46">
        <v>2</v>
      </c>
      <c r="FH9" s="46">
        <v>2</v>
      </c>
    </row>
    <row r="10" spans="1:164" s="31" customFormat="1" x14ac:dyDescent="0.2">
      <c r="A10" s="35" t="s">
        <v>429</v>
      </c>
      <c r="B10" s="30" t="s">
        <v>267</v>
      </c>
      <c r="C10" s="30" t="s">
        <v>293</v>
      </c>
      <c r="D10" s="39" t="s">
        <v>239</v>
      </c>
      <c r="E10" s="46">
        <v>1</v>
      </c>
      <c r="F10" s="46">
        <v>2</v>
      </c>
      <c r="G10" s="46">
        <v>2</v>
      </c>
      <c r="H10" s="30">
        <v>2</v>
      </c>
      <c r="I10" s="30">
        <v>1</v>
      </c>
      <c r="J10" s="30">
        <v>2</v>
      </c>
      <c r="K10" s="46">
        <v>2</v>
      </c>
      <c r="L10" s="46">
        <v>2</v>
      </c>
      <c r="M10" s="46">
        <v>1</v>
      </c>
      <c r="N10" s="46">
        <v>2</v>
      </c>
      <c r="O10" s="46">
        <v>1</v>
      </c>
      <c r="P10" s="46">
        <v>1</v>
      </c>
      <c r="Q10" s="46">
        <v>2</v>
      </c>
      <c r="R10" s="46">
        <v>2</v>
      </c>
      <c r="S10" s="46">
        <v>1</v>
      </c>
      <c r="T10" s="46">
        <v>1</v>
      </c>
      <c r="U10" s="46">
        <v>2</v>
      </c>
      <c r="V10" s="46">
        <v>1</v>
      </c>
      <c r="W10" s="46">
        <v>1</v>
      </c>
      <c r="X10" s="46">
        <v>1</v>
      </c>
      <c r="Y10" s="46">
        <v>2</v>
      </c>
      <c r="Z10" s="46">
        <v>2</v>
      </c>
      <c r="AA10" s="46">
        <v>1</v>
      </c>
      <c r="AB10" s="46">
        <v>1</v>
      </c>
      <c r="AC10" s="46">
        <v>1</v>
      </c>
      <c r="AD10" s="46">
        <v>1</v>
      </c>
      <c r="AE10" s="46">
        <v>2</v>
      </c>
      <c r="AF10" s="46">
        <v>2</v>
      </c>
      <c r="AG10" s="46">
        <v>1</v>
      </c>
      <c r="AH10" s="46">
        <v>1</v>
      </c>
      <c r="AI10" s="46">
        <v>1</v>
      </c>
      <c r="AJ10" s="46">
        <v>1</v>
      </c>
      <c r="AK10" s="46">
        <v>2</v>
      </c>
      <c r="AL10" s="46">
        <v>1</v>
      </c>
      <c r="AM10" s="46">
        <v>2</v>
      </c>
      <c r="AN10" s="46">
        <v>1</v>
      </c>
      <c r="AO10" s="46">
        <v>1</v>
      </c>
      <c r="AP10" s="46">
        <v>1</v>
      </c>
      <c r="AQ10" s="46">
        <v>2</v>
      </c>
      <c r="AR10" s="46">
        <v>2</v>
      </c>
      <c r="AS10" s="46">
        <v>2</v>
      </c>
      <c r="AT10" s="46">
        <v>1</v>
      </c>
      <c r="AU10" s="46">
        <v>1</v>
      </c>
      <c r="AV10" s="46">
        <v>1</v>
      </c>
      <c r="AW10" s="46">
        <v>1</v>
      </c>
      <c r="AX10" s="46">
        <v>1</v>
      </c>
      <c r="AY10" s="46">
        <v>1</v>
      </c>
      <c r="AZ10" s="46">
        <v>1</v>
      </c>
      <c r="BA10" s="46">
        <v>2</v>
      </c>
      <c r="BB10" s="46">
        <v>1</v>
      </c>
      <c r="BC10" s="46">
        <v>2</v>
      </c>
      <c r="BD10" s="46">
        <v>1</v>
      </c>
      <c r="BE10" s="46">
        <v>1</v>
      </c>
      <c r="BF10" s="46">
        <v>1</v>
      </c>
      <c r="BG10" s="46">
        <v>2</v>
      </c>
      <c r="BH10" s="46">
        <v>1</v>
      </c>
      <c r="BI10" s="46">
        <v>2</v>
      </c>
      <c r="BJ10" s="46">
        <v>1</v>
      </c>
      <c r="BK10" s="46">
        <v>2</v>
      </c>
      <c r="BL10" s="46">
        <v>1</v>
      </c>
      <c r="BM10" s="46">
        <v>1</v>
      </c>
      <c r="BN10" s="46">
        <v>2</v>
      </c>
      <c r="BO10" s="46">
        <v>1</v>
      </c>
      <c r="BP10" s="46">
        <v>1</v>
      </c>
      <c r="BQ10" s="46">
        <v>1</v>
      </c>
      <c r="BR10" s="46">
        <v>1</v>
      </c>
      <c r="BS10" s="46">
        <v>1</v>
      </c>
      <c r="BT10" s="46">
        <v>2</v>
      </c>
      <c r="BU10" s="46">
        <v>1</v>
      </c>
      <c r="BV10" s="46">
        <v>1</v>
      </c>
      <c r="BW10" s="46">
        <v>1</v>
      </c>
      <c r="BX10" s="46">
        <v>1</v>
      </c>
      <c r="BY10" s="46">
        <v>1</v>
      </c>
      <c r="BZ10" s="46">
        <v>1</v>
      </c>
      <c r="CA10" s="46">
        <v>2</v>
      </c>
      <c r="CB10" s="46">
        <v>1</v>
      </c>
      <c r="CC10" s="46">
        <v>1</v>
      </c>
      <c r="CD10" s="46">
        <v>2</v>
      </c>
      <c r="CE10" s="46">
        <v>1</v>
      </c>
      <c r="CF10" s="46">
        <v>1</v>
      </c>
      <c r="CG10" s="46">
        <v>1</v>
      </c>
      <c r="CH10" s="46">
        <v>1</v>
      </c>
      <c r="CI10" s="46">
        <v>1</v>
      </c>
      <c r="CJ10" s="46">
        <v>1</v>
      </c>
      <c r="CK10" s="46">
        <v>1</v>
      </c>
      <c r="CL10" s="46">
        <v>1</v>
      </c>
      <c r="CM10" s="46">
        <v>1</v>
      </c>
      <c r="CN10" s="46">
        <v>1</v>
      </c>
      <c r="CO10" s="46">
        <v>1</v>
      </c>
      <c r="CP10" s="46">
        <v>2</v>
      </c>
      <c r="CQ10" s="46">
        <v>2</v>
      </c>
      <c r="CR10" s="46">
        <v>1</v>
      </c>
      <c r="CS10" s="46">
        <v>2</v>
      </c>
      <c r="CT10" s="46">
        <v>2</v>
      </c>
      <c r="CU10" s="46">
        <v>1</v>
      </c>
      <c r="CV10" s="46">
        <v>2</v>
      </c>
      <c r="CW10" s="46">
        <v>2</v>
      </c>
      <c r="CX10" s="46">
        <v>1</v>
      </c>
      <c r="CY10" s="46">
        <v>1</v>
      </c>
      <c r="CZ10" s="46">
        <v>2</v>
      </c>
      <c r="DA10" s="46">
        <v>2</v>
      </c>
      <c r="DB10" s="46">
        <v>2</v>
      </c>
      <c r="DC10" s="46">
        <v>2</v>
      </c>
      <c r="DD10" s="46">
        <v>1</v>
      </c>
      <c r="DE10" s="46">
        <v>1</v>
      </c>
      <c r="DF10" s="46">
        <v>1</v>
      </c>
      <c r="DG10" s="46">
        <v>1</v>
      </c>
      <c r="DH10" s="46">
        <v>1</v>
      </c>
      <c r="DI10" s="46">
        <v>2</v>
      </c>
      <c r="DJ10" s="46">
        <v>1</v>
      </c>
      <c r="DK10" s="46">
        <v>2</v>
      </c>
      <c r="DL10" s="46">
        <v>1</v>
      </c>
      <c r="DM10" s="46">
        <v>2</v>
      </c>
      <c r="DN10" s="46">
        <v>2</v>
      </c>
      <c r="DO10" s="46">
        <v>1</v>
      </c>
      <c r="DP10" s="46">
        <v>1</v>
      </c>
      <c r="DQ10" s="46">
        <v>2</v>
      </c>
      <c r="DR10" s="46">
        <v>2</v>
      </c>
      <c r="DS10" s="46">
        <v>1</v>
      </c>
      <c r="DT10" s="46">
        <v>2</v>
      </c>
      <c r="DU10" s="46">
        <v>1</v>
      </c>
      <c r="DV10" s="46">
        <v>1</v>
      </c>
      <c r="DW10" s="46">
        <v>1</v>
      </c>
      <c r="DX10" s="46">
        <v>1</v>
      </c>
      <c r="DY10" s="46">
        <v>1</v>
      </c>
      <c r="DZ10" s="46">
        <v>2</v>
      </c>
      <c r="EA10" s="46">
        <v>1</v>
      </c>
      <c r="EB10" s="46">
        <v>2</v>
      </c>
      <c r="EC10" s="46">
        <v>1</v>
      </c>
      <c r="ED10" s="46">
        <v>1</v>
      </c>
      <c r="EE10" s="46">
        <v>2</v>
      </c>
      <c r="EF10" s="46">
        <v>1</v>
      </c>
      <c r="EG10" s="46">
        <v>1</v>
      </c>
      <c r="EH10" s="46">
        <v>2</v>
      </c>
      <c r="EI10" s="46">
        <v>1</v>
      </c>
      <c r="EJ10" s="46">
        <v>1</v>
      </c>
      <c r="EK10" s="46">
        <v>1</v>
      </c>
      <c r="EL10" s="46">
        <v>1</v>
      </c>
      <c r="EM10" s="46">
        <v>1</v>
      </c>
      <c r="EN10" s="46">
        <v>1</v>
      </c>
      <c r="EO10" s="46">
        <v>1</v>
      </c>
      <c r="EP10" s="46">
        <v>1</v>
      </c>
      <c r="EQ10" s="46">
        <v>2</v>
      </c>
      <c r="ER10" s="46">
        <v>1</v>
      </c>
      <c r="ES10" s="46">
        <v>1</v>
      </c>
      <c r="ET10" s="46">
        <v>1</v>
      </c>
      <c r="EU10" s="46">
        <v>1</v>
      </c>
      <c r="EV10" s="46">
        <v>2</v>
      </c>
      <c r="EW10" s="46">
        <v>2</v>
      </c>
      <c r="EX10" s="46">
        <v>1</v>
      </c>
      <c r="EY10" s="46">
        <v>1</v>
      </c>
      <c r="EZ10" s="46">
        <v>1</v>
      </c>
      <c r="FA10" s="46">
        <v>1</v>
      </c>
      <c r="FB10" s="46">
        <v>1</v>
      </c>
      <c r="FC10" s="46">
        <v>1</v>
      </c>
      <c r="FD10" s="46">
        <v>1</v>
      </c>
      <c r="FE10" s="46">
        <v>1</v>
      </c>
      <c r="FF10" s="46">
        <v>1</v>
      </c>
      <c r="FG10" s="46">
        <v>1</v>
      </c>
      <c r="FH10" s="46">
        <v>1</v>
      </c>
    </row>
    <row r="11" spans="1:164" s="31" customFormat="1" x14ac:dyDescent="0.2">
      <c r="A11" s="35" t="s">
        <v>427</v>
      </c>
      <c r="B11" s="30" t="s">
        <v>266</v>
      </c>
      <c r="C11" s="30" t="s">
        <v>347</v>
      </c>
      <c r="D11" s="39" t="s">
        <v>251</v>
      </c>
      <c r="E11" s="46">
        <v>1</v>
      </c>
      <c r="F11" s="46">
        <v>1</v>
      </c>
      <c r="G11" s="46">
        <v>2</v>
      </c>
      <c r="H11" s="30">
        <v>2</v>
      </c>
      <c r="I11" s="30">
        <v>1</v>
      </c>
      <c r="J11" s="30">
        <v>1</v>
      </c>
      <c r="K11" s="46">
        <v>2</v>
      </c>
      <c r="L11" s="46">
        <v>1</v>
      </c>
      <c r="M11" s="46">
        <v>1</v>
      </c>
      <c r="N11" s="46">
        <v>1</v>
      </c>
      <c r="O11" s="46">
        <v>2</v>
      </c>
      <c r="P11" s="46">
        <v>1</v>
      </c>
      <c r="Q11" s="46">
        <v>2</v>
      </c>
      <c r="R11" s="46">
        <v>2</v>
      </c>
      <c r="S11" s="46">
        <v>1</v>
      </c>
      <c r="T11" s="46">
        <v>2</v>
      </c>
      <c r="U11" s="46">
        <v>2</v>
      </c>
      <c r="V11" s="46">
        <v>1</v>
      </c>
      <c r="W11" s="46">
        <v>2</v>
      </c>
      <c r="X11" s="46">
        <v>2</v>
      </c>
      <c r="Y11" s="46">
        <v>2</v>
      </c>
      <c r="Z11" s="46">
        <v>2</v>
      </c>
      <c r="AA11" s="46">
        <v>1</v>
      </c>
      <c r="AB11" s="46">
        <v>1</v>
      </c>
      <c r="AC11" s="46">
        <v>1</v>
      </c>
      <c r="AD11" s="46">
        <v>1</v>
      </c>
      <c r="AE11" s="46">
        <v>1</v>
      </c>
      <c r="AF11" s="46">
        <v>2</v>
      </c>
      <c r="AG11" s="46">
        <v>1</v>
      </c>
      <c r="AH11" s="46">
        <v>2</v>
      </c>
      <c r="AI11" s="46">
        <v>1</v>
      </c>
      <c r="AJ11" s="46">
        <v>2</v>
      </c>
      <c r="AK11" s="46">
        <v>2</v>
      </c>
      <c r="AL11" s="46">
        <v>2</v>
      </c>
      <c r="AM11" s="46">
        <v>2</v>
      </c>
      <c r="AN11" s="46">
        <v>1</v>
      </c>
      <c r="AO11" s="46">
        <v>2</v>
      </c>
      <c r="AP11" s="46">
        <v>2</v>
      </c>
      <c r="AQ11" s="46">
        <v>1</v>
      </c>
      <c r="AR11" s="46">
        <v>2</v>
      </c>
      <c r="AS11" s="46">
        <v>2</v>
      </c>
      <c r="AT11" s="46">
        <v>2</v>
      </c>
      <c r="AU11" s="46">
        <v>2</v>
      </c>
      <c r="AV11" s="46">
        <v>1</v>
      </c>
      <c r="AW11" s="46">
        <v>2</v>
      </c>
      <c r="AX11" s="46">
        <v>2</v>
      </c>
      <c r="AY11" s="46">
        <v>2</v>
      </c>
      <c r="AZ11" s="46">
        <v>1</v>
      </c>
      <c r="BA11" s="46">
        <v>2</v>
      </c>
      <c r="BB11" s="46">
        <v>1</v>
      </c>
      <c r="BC11" s="46">
        <v>2</v>
      </c>
      <c r="BD11" s="46">
        <v>2</v>
      </c>
      <c r="BE11" s="46">
        <v>2</v>
      </c>
      <c r="BF11" s="46">
        <v>2</v>
      </c>
      <c r="BG11" s="46">
        <v>2</v>
      </c>
      <c r="BH11" s="46">
        <v>2</v>
      </c>
      <c r="BI11" s="46">
        <v>2</v>
      </c>
      <c r="BJ11" s="46">
        <v>1</v>
      </c>
      <c r="BK11" s="46">
        <v>1</v>
      </c>
      <c r="BL11" s="46">
        <v>2</v>
      </c>
      <c r="BM11" s="46">
        <v>2</v>
      </c>
      <c r="BN11" s="46">
        <v>2</v>
      </c>
      <c r="BO11" s="46">
        <v>1</v>
      </c>
      <c r="BP11" s="46">
        <v>2</v>
      </c>
      <c r="BQ11" s="46">
        <v>2</v>
      </c>
      <c r="BR11" s="46">
        <v>2</v>
      </c>
      <c r="BS11" s="46">
        <v>2</v>
      </c>
      <c r="BT11" s="46">
        <v>1</v>
      </c>
      <c r="BU11" s="46">
        <v>2</v>
      </c>
      <c r="BV11" s="46">
        <v>1</v>
      </c>
      <c r="BW11" s="46">
        <v>2</v>
      </c>
      <c r="BX11" s="46">
        <v>2</v>
      </c>
      <c r="BY11" s="46">
        <v>2</v>
      </c>
      <c r="BZ11" s="46">
        <v>2</v>
      </c>
      <c r="CA11" s="46">
        <v>2</v>
      </c>
      <c r="CB11" s="46">
        <v>2</v>
      </c>
      <c r="CC11" s="46">
        <v>2</v>
      </c>
      <c r="CD11" s="46">
        <v>2</v>
      </c>
      <c r="CE11" s="46">
        <v>2</v>
      </c>
      <c r="CF11" s="46">
        <v>2</v>
      </c>
      <c r="CG11" s="46">
        <v>1</v>
      </c>
      <c r="CH11" s="46">
        <v>2</v>
      </c>
      <c r="CI11" s="46">
        <v>2</v>
      </c>
      <c r="CJ11" s="46">
        <v>2</v>
      </c>
      <c r="CK11" s="46">
        <v>2</v>
      </c>
      <c r="CL11" s="46">
        <v>1</v>
      </c>
      <c r="CM11" s="46">
        <v>2</v>
      </c>
      <c r="CN11" s="46">
        <v>2</v>
      </c>
      <c r="CO11" s="46">
        <v>2</v>
      </c>
      <c r="CP11" s="46">
        <v>2</v>
      </c>
      <c r="CQ11" s="46">
        <v>2</v>
      </c>
      <c r="CR11" s="46">
        <v>2</v>
      </c>
      <c r="CS11" s="46">
        <v>1</v>
      </c>
      <c r="CT11" s="46">
        <v>2</v>
      </c>
      <c r="CU11" s="46">
        <v>2</v>
      </c>
      <c r="CV11" s="46">
        <v>1</v>
      </c>
      <c r="CW11" s="46">
        <v>2</v>
      </c>
      <c r="CX11" s="46">
        <v>2</v>
      </c>
      <c r="CY11" s="46">
        <v>1</v>
      </c>
      <c r="CZ11" s="46">
        <v>2</v>
      </c>
      <c r="DA11" s="46">
        <v>1</v>
      </c>
      <c r="DB11" s="46">
        <v>2</v>
      </c>
      <c r="DC11" s="46">
        <v>2</v>
      </c>
      <c r="DD11" s="46">
        <v>2</v>
      </c>
      <c r="DE11" s="46">
        <v>2</v>
      </c>
      <c r="DF11" s="46">
        <v>2</v>
      </c>
      <c r="DG11" s="46">
        <v>2</v>
      </c>
      <c r="DH11" s="46">
        <v>2</v>
      </c>
      <c r="DI11" s="46">
        <v>2</v>
      </c>
      <c r="DJ11" s="46">
        <v>1</v>
      </c>
      <c r="DK11" s="46">
        <v>2</v>
      </c>
      <c r="DL11" s="46">
        <v>1</v>
      </c>
      <c r="DM11" s="46">
        <v>1</v>
      </c>
      <c r="DN11" s="46">
        <v>2</v>
      </c>
      <c r="DO11" s="46">
        <v>1</v>
      </c>
      <c r="DP11" s="46">
        <v>2</v>
      </c>
      <c r="DQ11" s="46">
        <v>2</v>
      </c>
      <c r="DR11" s="46">
        <v>2</v>
      </c>
      <c r="DS11" s="46">
        <v>2</v>
      </c>
      <c r="DT11" s="46">
        <v>2</v>
      </c>
      <c r="DU11" s="46">
        <v>2</v>
      </c>
      <c r="DV11" s="46">
        <v>2</v>
      </c>
      <c r="DW11" s="46">
        <v>2</v>
      </c>
      <c r="DX11" s="46">
        <v>2</v>
      </c>
      <c r="DY11" s="46">
        <v>2</v>
      </c>
      <c r="DZ11" s="46">
        <v>2</v>
      </c>
      <c r="EA11" s="46">
        <v>2</v>
      </c>
      <c r="EB11" s="46">
        <v>2</v>
      </c>
      <c r="EC11" s="46">
        <v>2</v>
      </c>
      <c r="ED11" s="46">
        <v>1</v>
      </c>
      <c r="EE11" s="46">
        <v>1</v>
      </c>
      <c r="EF11" s="46">
        <v>2</v>
      </c>
      <c r="EG11" s="46">
        <v>2</v>
      </c>
      <c r="EH11" s="46">
        <v>2</v>
      </c>
      <c r="EI11" s="46">
        <v>2</v>
      </c>
      <c r="EJ11" s="46">
        <v>2</v>
      </c>
      <c r="EK11" s="46">
        <v>2</v>
      </c>
      <c r="EL11" s="46">
        <v>2</v>
      </c>
      <c r="EM11" s="46">
        <v>2</v>
      </c>
      <c r="EN11" s="46">
        <v>2</v>
      </c>
      <c r="EO11" s="46">
        <v>2</v>
      </c>
      <c r="EP11" s="46">
        <v>2</v>
      </c>
      <c r="EQ11" s="46">
        <v>2</v>
      </c>
      <c r="ER11" s="46">
        <v>2</v>
      </c>
      <c r="ES11" s="46">
        <v>2</v>
      </c>
      <c r="ET11" s="46">
        <v>2</v>
      </c>
      <c r="EU11" s="46">
        <v>2</v>
      </c>
      <c r="EV11" s="46">
        <v>2</v>
      </c>
      <c r="EW11" s="46">
        <v>2</v>
      </c>
      <c r="EX11" s="46">
        <v>2</v>
      </c>
      <c r="EY11" s="46">
        <v>2</v>
      </c>
      <c r="EZ11" s="46">
        <v>2</v>
      </c>
      <c r="FA11" s="46">
        <v>2</v>
      </c>
      <c r="FB11" s="46">
        <v>2</v>
      </c>
      <c r="FC11" s="46">
        <v>2</v>
      </c>
      <c r="FD11" s="46">
        <v>2</v>
      </c>
      <c r="FE11" s="46">
        <v>2</v>
      </c>
      <c r="FF11" s="46">
        <v>2</v>
      </c>
      <c r="FG11" s="46">
        <v>2</v>
      </c>
      <c r="FH11" s="46">
        <v>2</v>
      </c>
    </row>
    <row r="12" spans="1:164" s="31" customFormat="1" x14ac:dyDescent="0.2">
      <c r="A12" s="35" t="s">
        <v>427</v>
      </c>
      <c r="B12" s="30" t="s">
        <v>266</v>
      </c>
      <c r="C12" s="30" t="s">
        <v>347</v>
      </c>
      <c r="D12" s="39" t="s">
        <v>251</v>
      </c>
      <c r="E12" s="46">
        <v>1</v>
      </c>
      <c r="F12" s="46">
        <v>1</v>
      </c>
      <c r="G12" s="46">
        <v>2</v>
      </c>
      <c r="H12" s="30">
        <v>1</v>
      </c>
      <c r="I12" s="30">
        <v>1</v>
      </c>
      <c r="J12" s="30">
        <v>1</v>
      </c>
      <c r="K12" s="46">
        <v>1</v>
      </c>
      <c r="L12" s="46">
        <v>1</v>
      </c>
      <c r="M12" s="46">
        <v>1</v>
      </c>
      <c r="N12" s="46">
        <v>1</v>
      </c>
      <c r="O12" s="46">
        <v>1</v>
      </c>
      <c r="P12" s="46">
        <v>2</v>
      </c>
      <c r="Q12" s="46">
        <v>2</v>
      </c>
      <c r="R12" s="46">
        <v>1</v>
      </c>
      <c r="S12" s="46">
        <v>1</v>
      </c>
      <c r="T12" s="46">
        <v>2</v>
      </c>
      <c r="U12" s="46">
        <v>2</v>
      </c>
      <c r="V12" s="46">
        <v>1</v>
      </c>
      <c r="W12" s="46">
        <v>2</v>
      </c>
      <c r="X12" s="46">
        <v>1</v>
      </c>
      <c r="Y12" s="46">
        <v>1</v>
      </c>
      <c r="Z12" s="46">
        <v>1</v>
      </c>
      <c r="AA12" s="46">
        <v>1</v>
      </c>
      <c r="AB12" s="46">
        <v>1</v>
      </c>
      <c r="AC12" s="46">
        <v>1</v>
      </c>
      <c r="AD12" s="46">
        <v>1</v>
      </c>
      <c r="AE12" s="46">
        <v>1</v>
      </c>
      <c r="AF12" s="46">
        <v>2</v>
      </c>
      <c r="AG12" s="46">
        <v>1</v>
      </c>
      <c r="AH12" s="46">
        <v>2</v>
      </c>
      <c r="AI12" s="46">
        <v>1</v>
      </c>
      <c r="AJ12" s="46">
        <v>2</v>
      </c>
      <c r="AK12" s="46">
        <v>2</v>
      </c>
      <c r="AL12" s="46">
        <v>2</v>
      </c>
      <c r="AM12" s="46">
        <v>1</v>
      </c>
      <c r="AN12" s="46">
        <v>1</v>
      </c>
      <c r="AO12" s="46">
        <v>1</v>
      </c>
      <c r="AP12" s="46">
        <v>1</v>
      </c>
      <c r="AQ12" s="46">
        <v>1</v>
      </c>
      <c r="AR12" s="46">
        <v>2</v>
      </c>
      <c r="AS12" s="46">
        <v>2</v>
      </c>
      <c r="AT12" s="46">
        <v>1</v>
      </c>
      <c r="AU12" s="46">
        <v>1</v>
      </c>
      <c r="AV12" s="46">
        <v>1</v>
      </c>
      <c r="AW12" s="46">
        <v>2</v>
      </c>
      <c r="AX12" s="46">
        <v>2</v>
      </c>
      <c r="AY12" s="46">
        <v>1</v>
      </c>
      <c r="AZ12" s="46">
        <v>2</v>
      </c>
      <c r="BA12" s="46">
        <v>2</v>
      </c>
      <c r="BB12" s="46">
        <v>1</v>
      </c>
      <c r="BC12" s="46">
        <v>2</v>
      </c>
      <c r="BD12" s="46">
        <v>1</v>
      </c>
      <c r="BE12" s="46">
        <v>2</v>
      </c>
      <c r="BF12" s="46">
        <v>2</v>
      </c>
      <c r="BG12" s="46">
        <v>2</v>
      </c>
      <c r="BH12" s="46">
        <v>2</v>
      </c>
      <c r="BI12" s="46">
        <v>2</v>
      </c>
      <c r="BJ12" s="46">
        <v>1</v>
      </c>
      <c r="BK12" s="46">
        <v>1</v>
      </c>
      <c r="BL12" s="46">
        <v>2</v>
      </c>
      <c r="BM12" s="46">
        <v>1</v>
      </c>
      <c r="BN12" s="46">
        <v>2</v>
      </c>
      <c r="BO12" s="46">
        <v>1</v>
      </c>
      <c r="BP12" s="46">
        <v>2</v>
      </c>
      <c r="BQ12" s="46">
        <v>2</v>
      </c>
      <c r="BR12" s="46">
        <v>2</v>
      </c>
      <c r="BS12" s="46">
        <v>1</v>
      </c>
      <c r="BT12" s="46">
        <v>1</v>
      </c>
      <c r="BU12" s="46">
        <v>1</v>
      </c>
      <c r="BV12" s="46">
        <v>1</v>
      </c>
      <c r="BW12" s="46">
        <v>1</v>
      </c>
      <c r="BX12" s="46">
        <v>1</v>
      </c>
      <c r="BY12" s="46">
        <v>1</v>
      </c>
      <c r="BZ12" s="46">
        <v>2</v>
      </c>
      <c r="CA12" s="46">
        <v>2</v>
      </c>
      <c r="CB12" s="46">
        <v>1</v>
      </c>
      <c r="CC12" s="46">
        <v>2</v>
      </c>
      <c r="CD12" s="46">
        <v>2</v>
      </c>
      <c r="CE12" s="46">
        <v>1</v>
      </c>
      <c r="CF12" s="46">
        <v>2</v>
      </c>
      <c r="CG12" s="46">
        <v>1</v>
      </c>
      <c r="CH12" s="46">
        <v>1</v>
      </c>
      <c r="CI12" s="46">
        <v>2</v>
      </c>
      <c r="CJ12" s="46">
        <v>1</v>
      </c>
      <c r="CK12" s="46">
        <v>2</v>
      </c>
      <c r="CL12" s="46">
        <v>1</v>
      </c>
      <c r="CM12" s="46">
        <v>1</v>
      </c>
      <c r="CN12" s="46">
        <v>2</v>
      </c>
      <c r="CO12" s="46">
        <v>2</v>
      </c>
      <c r="CP12" s="46">
        <v>2</v>
      </c>
      <c r="CQ12" s="46">
        <v>2</v>
      </c>
      <c r="CR12" s="46">
        <v>2</v>
      </c>
      <c r="CS12" s="46">
        <v>1</v>
      </c>
      <c r="CT12" s="46">
        <v>2</v>
      </c>
      <c r="CU12" s="46">
        <v>1</v>
      </c>
      <c r="CV12" s="46">
        <v>1</v>
      </c>
      <c r="CW12" s="46">
        <v>2</v>
      </c>
      <c r="CX12" s="46">
        <v>2</v>
      </c>
      <c r="CY12" s="46">
        <v>2</v>
      </c>
      <c r="CZ12" s="46">
        <v>1</v>
      </c>
      <c r="DA12" s="46">
        <v>2</v>
      </c>
      <c r="DB12" s="46">
        <v>2</v>
      </c>
      <c r="DC12" s="46">
        <v>2</v>
      </c>
      <c r="DD12" s="46">
        <v>2</v>
      </c>
      <c r="DE12" s="46">
        <v>2</v>
      </c>
      <c r="DF12" s="46">
        <v>1</v>
      </c>
      <c r="DG12" s="46">
        <v>2</v>
      </c>
      <c r="DH12" s="46">
        <v>1</v>
      </c>
      <c r="DI12" s="46">
        <v>1</v>
      </c>
      <c r="DJ12" s="46">
        <v>1</v>
      </c>
      <c r="DK12" s="46">
        <v>2</v>
      </c>
      <c r="DL12" s="46">
        <v>1</v>
      </c>
      <c r="DM12" s="46">
        <v>1</v>
      </c>
      <c r="DN12" s="46">
        <v>2</v>
      </c>
      <c r="DO12" s="46">
        <v>1</v>
      </c>
      <c r="DP12" s="46">
        <v>1</v>
      </c>
      <c r="DQ12" s="46">
        <v>2</v>
      </c>
      <c r="DR12" s="46">
        <v>1</v>
      </c>
      <c r="DS12" s="46">
        <v>2</v>
      </c>
      <c r="DT12" s="46">
        <v>2</v>
      </c>
      <c r="DU12" s="46">
        <v>2</v>
      </c>
      <c r="DV12" s="46">
        <v>1</v>
      </c>
      <c r="DW12" s="46">
        <v>2</v>
      </c>
      <c r="DX12" s="46">
        <v>2</v>
      </c>
      <c r="DY12" s="46">
        <v>2</v>
      </c>
      <c r="DZ12" s="46">
        <v>2</v>
      </c>
      <c r="EA12" s="46">
        <v>1</v>
      </c>
      <c r="EB12" s="46">
        <v>1</v>
      </c>
      <c r="EC12" s="46">
        <v>2</v>
      </c>
      <c r="ED12" s="46">
        <v>1</v>
      </c>
      <c r="EE12" s="46">
        <v>1</v>
      </c>
      <c r="EF12" s="46">
        <v>2</v>
      </c>
      <c r="EG12" s="46">
        <v>1</v>
      </c>
      <c r="EH12" s="46">
        <v>2</v>
      </c>
      <c r="EI12" s="46">
        <v>2</v>
      </c>
      <c r="EJ12" s="46">
        <v>1</v>
      </c>
      <c r="EK12" s="46">
        <v>2</v>
      </c>
      <c r="EL12" s="46">
        <v>2</v>
      </c>
      <c r="EM12" s="46">
        <v>2</v>
      </c>
      <c r="EN12" s="46">
        <v>2</v>
      </c>
      <c r="EO12" s="46">
        <v>1</v>
      </c>
      <c r="EP12" s="46">
        <v>2</v>
      </c>
      <c r="EQ12" s="46">
        <v>2</v>
      </c>
      <c r="ER12" s="46">
        <v>2</v>
      </c>
      <c r="ES12" s="46">
        <v>2</v>
      </c>
      <c r="ET12" s="46">
        <v>1</v>
      </c>
      <c r="EU12" s="46">
        <v>2</v>
      </c>
      <c r="EV12" s="46">
        <v>2</v>
      </c>
      <c r="EW12" s="46">
        <v>1</v>
      </c>
      <c r="EX12" s="46">
        <v>2</v>
      </c>
      <c r="EY12" s="46">
        <v>2</v>
      </c>
      <c r="EZ12" s="46">
        <v>2</v>
      </c>
      <c r="FA12" s="46">
        <v>1</v>
      </c>
      <c r="FB12" s="46">
        <v>2</v>
      </c>
      <c r="FC12" s="46">
        <v>2</v>
      </c>
      <c r="FD12" s="46">
        <v>2</v>
      </c>
      <c r="FE12" s="46">
        <v>2</v>
      </c>
      <c r="FF12" s="46">
        <v>2</v>
      </c>
      <c r="FG12" s="46">
        <v>2</v>
      </c>
      <c r="FH12" s="46">
        <v>1</v>
      </c>
    </row>
    <row r="13" spans="1:164" s="31" customFormat="1" x14ac:dyDescent="0.2">
      <c r="A13" s="35" t="s">
        <v>418</v>
      </c>
      <c r="B13" s="30" t="s">
        <v>264</v>
      </c>
      <c r="C13" s="30" t="s">
        <v>293</v>
      </c>
      <c r="D13" s="39" t="s">
        <v>254</v>
      </c>
      <c r="E13" s="46">
        <v>2</v>
      </c>
      <c r="F13" s="46">
        <v>1</v>
      </c>
      <c r="G13" s="46">
        <v>1</v>
      </c>
      <c r="H13" s="30">
        <v>2</v>
      </c>
      <c r="I13" s="30">
        <v>1</v>
      </c>
      <c r="J13" s="30">
        <v>1</v>
      </c>
      <c r="K13" s="46">
        <v>1</v>
      </c>
      <c r="L13" s="46">
        <v>1</v>
      </c>
      <c r="M13" s="46">
        <v>1</v>
      </c>
      <c r="N13" s="46">
        <v>1</v>
      </c>
      <c r="O13" s="46">
        <v>1</v>
      </c>
      <c r="P13" s="46">
        <v>2</v>
      </c>
      <c r="Q13" s="46">
        <v>2</v>
      </c>
      <c r="R13" s="46">
        <v>2</v>
      </c>
      <c r="S13" s="46">
        <v>2</v>
      </c>
      <c r="T13" s="46">
        <v>2</v>
      </c>
      <c r="U13" s="46">
        <v>2</v>
      </c>
      <c r="V13" s="46">
        <v>2</v>
      </c>
      <c r="W13" s="46">
        <v>2</v>
      </c>
      <c r="X13" s="46">
        <v>1</v>
      </c>
      <c r="Y13" s="46">
        <v>1</v>
      </c>
      <c r="Z13" s="46">
        <v>1</v>
      </c>
      <c r="AA13" s="46">
        <v>1</v>
      </c>
      <c r="AB13" s="46">
        <v>1</v>
      </c>
      <c r="AC13" s="46">
        <v>1</v>
      </c>
      <c r="AD13" s="46">
        <v>2</v>
      </c>
      <c r="AE13" s="46">
        <v>1</v>
      </c>
      <c r="AF13" s="46">
        <v>1</v>
      </c>
      <c r="AG13" s="46">
        <v>2</v>
      </c>
      <c r="AH13" s="46">
        <v>2</v>
      </c>
      <c r="AI13" s="46">
        <v>2</v>
      </c>
      <c r="AJ13" s="46">
        <v>2</v>
      </c>
      <c r="AK13" s="46">
        <v>1</v>
      </c>
      <c r="AL13" s="46">
        <v>2</v>
      </c>
      <c r="AM13" s="46">
        <v>2</v>
      </c>
      <c r="AN13" s="46">
        <v>1</v>
      </c>
      <c r="AO13" s="46">
        <v>2</v>
      </c>
      <c r="AP13" s="46">
        <v>2</v>
      </c>
      <c r="AQ13" s="46">
        <v>1</v>
      </c>
      <c r="AR13" s="46">
        <v>2</v>
      </c>
      <c r="AS13" s="46">
        <v>1</v>
      </c>
      <c r="AT13" s="46">
        <v>1</v>
      </c>
      <c r="AU13" s="46">
        <v>2</v>
      </c>
      <c r="AV13" s="46">
        <v>1</v>
      </c>
      <c r="AW13" s="46">
        <v>2</v>
      </c>
      <c r="AX13" s="46">
        <v>2</v>
      </c>
      <c r="AY13" s="46">
        <v>1</v>
      </c>
      <c r="AZ13" s="46">
        <v>2</v>
      </c>
      <c r="BA13" s="46">
        <v>1</v>
      </c>
      <c r="BB13" s="46">
        <v>1</v>
      </c>
      <c r="BC13" s="46">
        <v>1</v>
      </c>
      <c r="BD13" s="46">
        <v>2</v>
      </c>
      <c r="BE13" s="46">
        <v>2</v>
      </c>
      <c r="BF13" s="46">
        <v>2</v>
      </c>
      <c r="BG13" s="46">
        <v>2</v>
      </c>
      <c r="BH13" s="46">
        <v>2</v>
      </c>
      <c r="BI13" s="46">
        <v>2</v>
      </c>
      <c r="BJ13" s="46">
        <v>1</v>
      </c>
      <c r="BK13" s="46">
        <v>2</v>
      </c>
      <c r="BL13" s="46">
        <v>1</v>
      </c>
      <c r="BM13" s="46">
        <v>2</v>
      </c>
      <c r="BN13" s="46">
        <v>2</v>
      </c>
      <c r="BO13" s="46">
        <v>1</v>
      </c>
      <c r="BP13" s="46">
        <v>2</v>
      </c>
      <c r="BQ13" s="46">
        <v>2</v>
      </c>
      <c r="BR13" s="46">
        <v>2</v>
      </c>
      <c r="BS13" s="46">
        <v>2</v>
      </c>
      <c r="BT13" s="46">
        <v>2</v>
      </c>
      <c r="BU13" s="46">
        <v>2</v>
      </c>
      <c r="BV13" s="46">
        <v>2</v>
      </c>
      <c r="BW13" s="46">
        <v>2</v>
      </c>
      <c r="BX13" s="46">
        <v>2</v>
      </c>
      <c r="BY13" s="46">
        <v>2</v>
      </c>
      <c r="BZ13" s="46">
        <v>2</v>
      </c>
      <c r="CA13" s="46">
        <v>2</v>
      </c>
      <c r="CB13" s="46">
        <v>2</v>
      </c>
      <c r="CC13" s="46">
        <v>1</v>
      </c>
      <c r="CD13" s="46">
        <v>2</v>
      </c>
      <c r="CE13" s="46">
        <v>1</v>
      </c>
      <c r="CF13" s="46">
        <v>1</v>
      </c>
      <c r="CG13" s="46">
        <v>1</v>
      </c>
      <c r="CH13" s="46">
        <v>2</v>
      </c>
      <c r="CI13" s="46">
        <v>2</v>
      </c>
      <c r="CJ13" s="46">
        <v>2</v>
      </c>
      <c r="CK13" s="46">
        <v>2</v>
      </c>
      <c r="CL13" s="46">
        <v>2</v>
      </c>
      <c r="CM13" s="46">
        <v>1</v>
      </c>
      <c r="CN13" s="46">
        <v>2</v>
      </c>
      <c r="CO13" s="46">
        <v>1</v>
      </c>
      <c r="CP13" s="46">
        <v>2</v>
      </c>
      <c r="CQ13" s="46">
        <v>1</v>
      </c>
      <c r="CR13" s="46">
        <v>2</v>
      </c>
      <c r="CS13" s="46">
        <v>1</v>
      </c>
      <c r="CT13" s="46">
        <v>1</v>
      </c>
      <c r="CU13" s="46">
        <v>2</v>
      </c>
      <c r="CV13" s="46">
        <v>1</v>
      </c>
      <c r="CW13" s="46">
        <v>1</v>
      </c>
      <c r="CX13" s="46">
        <v>1</v>
      </c>
      <c r="CY13" s="46">
        <v>1</v>
      </c>
      <c r="CZ13" s="46">
        <v>2</v>
      </c>
      <c r="DA13" s="46">
        <v>1</v>
      </c>
      <c r="DB13" s="46">
        <v>1</v>
      </c>
      <c r="DC13" s="46">
        <v>2</v>
      </c>
      <c r="DD13" s="46">
        <v>1</v>
      </c>
      <c r="DE13" s="46">
        <v>2</v>
      </c>
      <c r="DF13" s="46">
        <v>2</v>
      </c>
      <c r="DG13" s="46">
        <v>2</v>
      </c>
      <c r="DH13" s="46">
        <v>1</v>
      </c>
      <c r="DI13" s="46">
        <v>2</v>
      </c>
      <c r="DJ13" s="46">
        <v>1</v>
      </c>
      <c r="DK13" s="46">
        <v>1</v>
      </c>
      <c r="DL13" s="46">
        <v>2</v>
      </c>
      <c r="DM13" s="46">
        <v>1</v>
      </c>
      <c r="DN13" s="46">
        <v>1</v>
      </c>
      <c r="DO13" s="46">
        <v>1</v>
      </c>
      <c r="DP13" s="46">
        <v>2</v>
      </c>
      <c r="DQ13" s="46">
        <v>1</v>
      </c>
      <c r="DR13" s="46">
        <v>1</v>
      </c>
      <c r="DS13" s="46">
        <v>2</v>
      </c>
      <c r="DT13" s="46">
        <v>2</v>
      </c>
      <c r="DU13" s="46">
        <v>2</v>
      </c>
      <c r="DV13" s="46">
        <v>1</v>
      </c>
      <c r="DW13" s="46">
        <v>2</v>
      </c>
      <c r="DX13" s="46">
        <v>2</v>
      </c>
      <c r="DY13" s="46">
        <v>2</v>
      </c>
      <c r="DZ13" s="46">
        <v>2</v>
      </c>
      <c r="EA13" s="46">
        <v>2</v>
      </c>
      <c r="EB13" s="46">
        <v>1</v>
      </c>
      <c r="EC13" s="46">
        <v>2</v>
      </c>
      <c r="ED13" s="46">
        <v>1</v>
      </c>
      <c r="EE13" s="46">
        <v>1</v>
      </c>
      <c r="EF13" s="46">
        <v>1</v>
      </c>
      <c r="EG13" s="46">
        <v>2</v>
      </c>
      <c r="EH13" s="46">
        <v>2</v>
      </c>
      <c r="EI13" s="46">
        <v>2</v>
      </c>
      <c r="EJ13" s="46">
        <v>1</v>
      </c>
      <c r="EK13" s="46">
        <v>2</v>
      </c>
      <c r="EL13" s="46">
        <v>2</v>
      </c>
      <c r="EM13" s="46">
        <v>2</v>
      </c>
      <c r="EN13" s="46">
        <v>1</v>
      </c>
      <c r="EO13" s="46">
        <v>2</v>
      </c>
      <c r="EP13" s="46">
        <v>2</v>
      </c>
      <c r="EQ13" s="46">
        <v>2</v>
      </c>
      <c r="ER13" s="46">
        <v>2</v>
      </c>
      <c r="ES13" s="46">
        <v>2</v>
      </c>
      <c r="ET13" s="46">
        <v>2</v>
      </c>
      <c r="EU13" s="46">
        <v>2</v>
      </c>
      <c r="EV13" s="46">
        <v>1</v>
      </c>
      <c r="EW13" s="46">
        <v>2</v>
      </c>
      <c r="EX13" s="46">
        <v>2</v>
      </c>
      <c r="EY13" s="46">
        <v>2</v>
      </c>
      <c r="EZ13" s="46">
        <v>2</v>
      </c>
      <c r="FA13" s="46">
        <v>2</v>
      </c>
      <c r="FB13" s="46">
        <v>2</v>
      </c>
      <c r="FC13" s="46">
        <v>2</v>
      </c>
      <c r="FD13" s="46">
        <v>2</v>
      </c>
      <c r="FE13" s="46">
        <v>2</v>
      </c>
      <c r="FF13" s="46">
        <v>2</v>
      </c>
      <c r="FG13" s="46">
        <v>1</v>
      </c>
      <c r="FH13" s="46">
        <v>2</v>
      </c>
    </row>
    <row r="14" spans="1:164" s="31" customFormat="1" x14ac:dyDescent="0.2">
      <c r="A14" s="35" t="s">
        <v>417</v>
      </c>
      <c r="B14" s="30" t="s">
        <v>261</v>
      </c>
      <c r="C14" s="30" t="s">
        <v>347</v>
      </c>
      <c r="D14" s="39" t="s">
        <v>251</v>
      </c>
      <c r="E14" s="46">
        <v>1</v>
      </c>
      <c r="F14" s="46">
        <v>1</v>
      </c>
      <c r="G14" s="46">
        <v>1</v>
      </c>
      <c r="H14" s="30">
        <v>2</v>
      </c>
      <c r="I14" s="30">
        <v>2</v>
      </c>
      <c r="J14" s="30">
        <v>1</v>
      </c>
      <c r="K14" s="46">
        <v>1</v>
      </c>
      <c r="L14" s="46">
        <v>1</v>
      </c>
      <c r="M14" s="46">
        <v>1</v>
      </c>
      <c r="N14" s="46">
        <v>2</v>
      </c>
      <c r="O14" s="46">
        <v>2</v>
      </c>
      <c r="P14" s="46">
        <v>1</v>
      </c>
      <c r="Q14" s="46">
        <v>1</v>
      </c>
      <c r="R14" s="46">
        <v>1</v>
      </c>
      <c r="S14" s="46">
        <v>2</v>
      </c>
      <c r="T14" s="46">
        <v>1</v>
      </c>
      <c r="U14" s="46">
        <v>2</v>
      </c>
      <c r="V14" s="46">
        <v>1</v>
      </c>
      <c r="W14" s="46">
        <v>2</v>
      </c>
      <c r="X14" s="46">
        <v>1</v>
      </c>
      <c r="Y14" s="46">
        <v>2</v>
      </c>
      <c r="Z14" s="46">
        <v>1</v>
      </c>
      <c r="AA14" s="46">
        <v>1</v>
      </c>
      <c r="AB14" s="46">
        <v>2</v>
      </c>
      <c r="AC14" s="46">
        <v>1</v>
      </c>
      <c r="AD14" s="46">
        <v>1</v>
      </c>
      <c r="AE14" s="46">
        <v>1</v>
      </c>
      <c r="AF14" s="46">
        <v>1</v>
      </c>
      <c r="AG14" s="46">
        <v>1</v>
      </c>
      <c r="AH14" s="46">
        <v>2</v>
      </c>
      <c r="AI14" s="46">
        <v>1</v>
      </c>
      <c r="AJ14" s="46">
        <v>1</v>
      </c>
      <c r="AK14" s="46">
        <v>2</v>
      </c>
      <c r="AL14" s="46">
        <v>1</v>
      </c>
      <c r="AM14" s="46">
        <v>1</v>
      </c>
      <c r="AN14" s="46">
        <v>1</v>
      </c>
      <c r="AO14" s="46">
        <v>1</v>
      </c>
      <c r="AP14" s="46">
        <v>2</v>
      </c>
      <c r="AQ14" s="46">
        <v>2</v>
      </c>
      <c r="AR14" s="46">
        <v>2</v>
      </c>
      <c r="AS14" s="46">
        <v>2</v>
      </c>
      <c r="AT14" s="46">
        <v>1</v>
      </c>
      <c r="AU14" s="46">
        <v>1</v>
      </c>
      <c r="AV14" s="46">
        <v>1</v>
      </c>
      <c r="AW14" s="46">
        <v>1</v>
      </c>
      <c r="AX14" s="46">
        <v>1</v>
      </c>
      <c r="AY14" s="46">
        <v>1</v>
      </c>
      <c r="AZ14" s="46">
        <v>2</v>
      </c>
      <c r="BA14" s="46">
        <v>1</v>
      </c>
      <c r="BB14" s="46">
        <v>1</v>
      </c>
      <c r="BC14" s="46">
        <v>1</v>
      </c>
      <c r="BD14" s="46">
        <v>1</v>
      </c>
      <c r="BE14" s="46">
        <v>1</v>
      </c>
      <c r="BF14" s="46">
        <v>1</v>
      </c>
      <c r="BG14" s="46">
        <v>1</v>
      </c>
      <c r="BH14" s="46">
        <v>2</v>
      </c>
      <c r="BI14" s="46">
        <v>1</v>
      </c>
      <c r="BJ14" s="46">
        <v>1</v>
      </c>
      <c r="BK14" s="46">
        <v>1</v>
      </c>
      <c r="BL14" s="46">
        <v>2</v>
      </c>
      <c r="BM14" s="46">
        <v>1</v>
      </c>
      <c r="BN14" s="46">
        <v>2</v>
      </c>
      <c r="BO14" s="46">
        <v>2</v>
      </c>
      <c r="BP14" s="46">
        <v>1</v>
      </c>
      <c r="BQ14" s="46">
        <v>2</v>
      </c>
      <c r="BR14" s="46">
        <v>2</v>
      </c>
      <c r="BS14" s="46">
        <v>2</v>
      </c>
      <c r="BT14" s="46">
        <v>2</v>
      </c>
      <c r="BU14" s="46">
        <v>2</v>
      </c>
      <c r="BV14" s="46">
        <v>1</v>
      </c>
      <c r="BW14" s="46">
        <v>2</v>
      </c>
      <c r="BX14" s="46">
        <v>2</v>
      </c>
      <c r="BY14" s="46">
        <v>2</v>
      </c>
      <c r="BZ14" s="46">
        <v>2</v>
      </c>
      <c r="CA14" s="46">
        <v>2</v>
      </c>
      <c r="CB14" s="46">
        <v>1</v>
      </c>
      <c r="CC14" s="46">
        <v>1</v>
      </c>
      <c r="CD14" s="46">
        <v>1</v>
      </c>
      <c r="CE14" s="46">
        <v>1</v>
      </c>
      <c r="CF14" s="46">
        <v>1</v>
      </c>
      <c r="CG14" s="46">
        <v>1</v>
      </c>
      <c r="CH14" s="46">
        <v>1</v>
      </c>
      <c r="CI14" s="46">
        <v>2</v>
      </c>
      <c r="CJ14" s="46">
        <v>1</v>
      </c>
      <c r="CK14" s="46">
        <v>1</v>
      </c>
      <c r="CL14" s="46">
        <v>1</v>
      </c>
      <c r="CM14" s="46">
        <v>1</v>
      </c>
      <c r="CN14" s="46">
        <v>1</v>
      </c>
      <c r="CO14" s="46">
        <v>1</v>
      </c>
      <c r="CP14" s="46">
        <v>2</v>
      </c>
      <c r="CQ14" s="46">
        <v>1</v>
      </c>
      <c r="CR14" s="46">
        <v>2</v>
      </c>
      <c r="CS14" s="46">
        <v>1</v>
      </c>
      <c r="CT14" s="46">
        <v>1</v>
      </c>
      <c r="CU14" s="46">
        <v>1</v>
      </c>
      <c r="CV14" s="46">
        <v>1</v>
      </c>
      <c r="CW14" s="46">
        <v>2</v>
      </c>
      <c r="CX14" s="46">
        <v>1</v>
      </c>
      <c r="CY14" s="46">
        <v>1</v>
      </c>
      <c r="CZ14" s="46">
        <v>2</v>
      </c>
      <c r="DA14" s="46">
        <v>2</v>
      </c>
      <c r="DB14" s="46">
        <v>1</v>
      </c>
      <c r="DC14" s="46">
        <v>2</v>
      </c>
      <c r="DD14" s="46">
        <v>1</v>
      </c>
      <c r="DE14" s="46">
        <v>1</v>
      </c>
      <c r="DF14" s="46">
        <v>2</v>
      </c>
      <c r="DG14" s="46">
        <v>1</v>
      </c>
      <c r="DH14" s="46">
        <v>2</v>
      </c>
      <c r="DI14" s="46">
        <v>1</v>
      </c>
      <c r="DJ14" s="46">
        <v>1</v>
      </c>
      <c r="DK14" s="46">
        <v>1</v>
      </c>
      <c r="DL14" s="46">
        <v>1</v>
      </c>
      <c r="DM14" s="46">
        <v>1</v>
      </c>
      <c r="DN14" s="46">
        <v>2</v>
      </c>
      <c r="DO14" s="46">
        <v>1</v>
      </c>
      <c r="DP14" s="46">
        <v>1</v>
      </c>
      <c r="DQ14" s="46">
        <v>2</v>
      </c>
      <c r="DR14" s="46">
        <v>1</v>
      </c>
      <c r="DS14" s="46">
        <v>2</v>
      </c>
      <c r="DT14" s="46">
        <v>2</v>
      </c>
      <c r="DU14" s="46">
        <v>1</v>
      </c>
      <c r="DV14" s="46">
        <v>1</v>
      </c>
      <c r="DW14" s="46">
        <v>1</v>
      </c>
      <c r="DX14" s="46">
        <v>1</v>
      </c>
      <c r="DY14" s="46">
        <v>1</v>
      </c>
      <c r="DZ14" s="46">
        <v>2</v>
      </c>
      <c r="EA14" s="46">
        <v>1</v>
      </c>
      <c r="EB14" s="46">
        <v>2</v>
      </c>
      <c r="EC14" s="46">
        <v>1</v>
      </c>
      <c r="ED14" s="46">
        <v>1</v>
      </c>
      <c r="EE14" s="46">
        <v>2</v>
      </c>
      <c r="EF14" s="46">
        <v>1</v>
      </c>
      <c r="EG14" s="46">
        <v>1</v>
      </c>
      <c r="EH14" s="46">
        <v>2</v>
      </c>
      <c r="EI14" s="46">
        <v>2</v>
      </c>
      <c r="EJ14" s="46">
        <v>1</v>
      </c>
      <c r="EK14" s="46">
        <v>2</v>
      </c>
      <c r="EL14" s="46">
        <v>1</v>
      </c>
      <c r="EM14" s="46">
        <v>2</v>
      </c>
      <c r="EN14" s="46">
        <v>1</v>
      </c>
      <c r="EO14" s="46">
        <v>1</v>
      </c>
      <c r="EP14" s="46">
        <v>2</v>
      </c>
      <c r="EQ14" s="46">
        <v>2</v>
      </c>
      <c r="ER14" s="46">
        <v>2</v>
      </c>
      <c r="ES14" s="46">
        <v>1</v>
      </c>
      <c r="ET14" s="46">
        <v>1</v>
      </c>
      <c r="EU14" s="46">
        <v>1</v>
      </c>
      <c r="EV14" s="46">
        <v>1</v>
      </c>
      <c r="EW14" s="46">
        <v>2</v>
      </c>
      <c r="EX14" s="46">
        <v>2</v>
      </c>
      <c r="EY14" s="46">
        <v>1</v>
      </c>
      <c r="EZ14" s="46">
        <v>2</v>
      </c>
      <c r="FA14" s="46">
        <v>1</v>
      </c>
      <c r="FB14" s="46">
        <v>1</v>
      </c>
      <c r="FC14" s="46">
        <v>1</v>
      </c>
      <c r="FD14" s="46">
        <v>1</v>
      </c>
      <c r="FE14" s="46">
        <v>2</v>
      </c>
      <c r="FF14" s="46">
        <v>1</v>
      </c>
      <c r="FG14" s="46">
        <v>1</v>
      </c>
      <c r="FH14" s="46">
        <v>1</v>
      </c>
    </row>
    <row r="15" spans="1:164" s="31" customFormat="1" x14ac:dyDescent="0.2">
      <c r="A15" s="35" t="s">
        <v>406</v>
      </c>
      <c r="B15" s="30" t="s">
        <v>261</v>
      </c>
      <c r="C15" s="30" t="s">
        <v>293</v>
      </c>
      <c r="D15" s="39" t="s">
        <v>253</v>
      </c>
      <c r="E15" s="46">
        <v>2</v>
      </c>
      <c r="F15" s="46">
        <v>1</v>
      </c>
      <c r="G15" s="46">
        <v>2</v>
      </c>
      <c r="H15" s="30">
        <v>2</v>
      </c>
      <c r="I15" s="30">
        <v>1</v>
      </c>
      <c r="J15" s="30">
        <v>2</v>
      </c>
      <c r="K15" s="46">
        <v>2</v>
      </c>
      <c r="L15" s="46">
        <v>1</v>
      </c>
      <c r="M15" s="46">
        <v>1</v>
      </c>
      <c r="N15" s="46">
        <v>2</v>
      </c>
      <c r="O15" s="46">
        <v>1</v>
      </c>
      <c r="P15" s="46">
        <v>1</v>
      </c>
      <c r="Q15" s="46">
        <v>1</v>
      </c>
      <c r="R15" s="46">
        <v>1</v>
      </c>
      <c r="S15" s="46">
        <v>1</v>
      </c>
      <c r="T15" s="46">
        <v>2</v>
      </c>
      <c r="U15" s="46">
        <v>1</v>
      </c>
      <c r="V15" s="46">
        <v>1</v>
      </c>
      <c r="W15" s="46">
        <v>2</v>
      </c>
      <c r="X15" s="46">
        <v>2</v>
      </c>
      <c r="Y15" s="46">
        <v>2</v>
      </c>
      <c r="Z15" s="46">
        <v>1</v>
      </c>
      <c r="AA15" s="46">
        <v>1</v>
      </c>
      <c r="AB15" s="46">
        <v>2</v>
      </c>
      <c r="AC15" s="46">
        <v>1</v>
      </c>
      <c r="AD15" s="46">
        <v>1</v>
      </c>
      <c r="AE15" s="46">
        <v>1</v>
      </c>
      <c r="AF15" s="46">
        <v>2</v>
      </c>
      <c r="AG15" s="46">
        <v>1</v>
      </c>
      <c r="AH15" s="46">
        <v>2</v>
      </c>
      <c r="AI15" s="46">
        <v>1</v>
      </c>
      <c r="AJ15" s="46">
        <v>2</v>
      </c>
      <c r="AK15" s="46">
        <v>2</v>
      </c>
      <c r="AL15" s="46">
        <v>1</v>
      </c>
      <c r="AM15" s="46">
        <v>1</v>
      </c>
      <c r="AN15" s="46">
        <v>1</v>
      </c>
      <c r="AO15" s="46">
        <v>1</v>
      </c>
      <c r="AP15" s="46">
        <v>2</v>
      </c>
      <c r="AQ15" s="46">
        <v>1</v>
      </c>
      <c r="AR15" s="46">
        <v>2</v>
      </c>
      <c r="AS15" s="46">
        <v>1</v>
      </c>
      <c r="AT15" s="46">
        <v>1</v>
      </c>
      <c r="AU15" s="46">
        <v>2</v>
      </c>
      <c r="AV15" s="46">
        <v>1</v>
      </c>
      <c r="AW15" s="46">
        <v>1</v>
      </c>
      <c r="AX15" s="46">
        <v>1</v>
      </c>
      <c r="AY15" s="46">
        <v>1</v>
      </c>
      <c r="AZ15" s="46">
        <v>2</v>
      </c>
      <c r="BA15" s="46">
        <v>2</v>
      </c>
      <c r="BB15" s="46">
        <v>1</v>
      </c>
      <c r="BC15" s="46">
        <v>1</v>
      </c>
      <c r="BD15" s="46">
        <v>2</v>
      </c>
      <c r="BE15" s="46">
        <v>2</v>
      </c>
      <c r="BF15" s="46">
        <v>2</v>
      </c>
      <c r="BG15" s="46">
        <v>2</v>
      </c>
      <c r="BH15" s="46">
        <v>2</v>
      </c>
      <c r="BI15" s="46">
        <v>2</v>
      </c>
      <c r="BJ15" s="46">
        <v>1</v>
      </c>
      <c r="BK15" s="46">
        <v>2</v>
      </c>
      <c r="BL15" s="46">
        <v>1</v>
      </c>
      <c r="BM15" s="46">
        <v>2</v>
      </c>
      <c r="BN15" s="46">
        <v>2</v>
      </c>
      <c r="BO15" s="46">
        <v>1</v>
      </c>
      <c r="BP15" s="46">
        <v>1</v>
      </c>
      <c r="BQ15" s="46">
        <v>2</v>
      </c>
      <c r="BR15" s="46">
        <v>1</v>
      </c>
      <c r="BS15" s="46">
        <v>1</v>
      </c>
      <c r="BT15" s="46">
        <v>2</v>
      </c>
      <c r="BU15" s="46">
        <v>1</v>
      </c>
      <c r="BV15" s="46">
        <v>2</v>
      </c>
      <c r="BW15" s="46">
        <v>1</v>
      </c>
      <c r="BX15" s="46">
        <v>1</v>
      </c>
      <c r="BY15" s="46">
        <v>1</v>
      </c>
      <c r="BZ15" s="46">
        <v>2</v>
      </c>
      <c r="CA15" s="46">
        <v>2</v>
      </c>
      <c r="CB15" s="46">
        <v>1</v>
      </c>
      <c r="CC15" s="46">
        <v>1</v>
      </c>
      <c r="CD15" s="46">
        <v>2</v>
      </c>
      <c r="CE15" s="46">
        <v>1</v>
      </c>
      <c r="CF15" s="46">
        <v>1</v>
      </c>
      <c r="CG15" s="46">
        <v>1</v>
      </c>
      <c r="CH15" s="46">
        <v>1</v>
      </c>
      <c r="CI15" s="46">
        <v>2</v>
      </c>
      <c r="CJ15" s="46">
        <v>1</v>
      </c>
      <c r="CK15" s="46">
        <v>1</v>
      </c>
      <c r="CL15" s="46">
        <v>2</v>
      </c>
      <c r="CM15" s="46">
        <v>1</v>
      </c>
      <c r="CN15" s="46">
        <v>2</v>
      </c>
      <c r="CO15" s="46">
        <v>1</v>
      </c>
      <c r="CP15" s="46">
        <v>2</v>
      </c>
      <c r="CQ15" s="46">
        <v>2</v>
      </c>
      <c r="CR15" s="46">
        <v>2</v>
      </c>
      <c r="CS15" s="46">
        <v>1</v>
      </c>
      <c r="CT15" s="46">
        <v>2</v>
      </c>
      <c r="CU15" s="46">
        <v>2</v>
      </c>
      <c r="CV15" s="46">
        <v>1</v>
      </c>
      <c r="CW15" s="46">
        <v>1</v>
      </c>
      <c r="CX15" s="46">
        <v>1</v>
      </c>
      <c r="CY15" s="46">
        <v>1</v>
      </c>
      <c r="CZ15" s="46">
        <v>1</v>
      </c>
      <c r="DA15" s="46">
        <v>1</v>
      </c>
      <c r="DB15" s="46">
        <v>1</v>
      </c>
      <c r="DC15" s="46">
        <v>2</v>
      </c>
      <c r="DD15" s="46">
        <v>2</v>
      </c>
      <c r="DE15" s="46">
        <v>2</v>
      </c>
      <c r="DF15" s="46">
        <v>1</v>
      </c>
      <c r="DG15" s="46">
        <v>2</v>
      </c>
      <c r="DH15" s="46">
        <v>1</v>
      </c>
      <c r="DI15" s="46">
        <v>1</v>
      </c>
      <c r="DJ15" s="46">
        <v>1</v>
      </c>
      <c r="DK15" s="46">
        <v>2</v>
      </c>
      <c r="DL15" s="46">
        <v>1</v>
      </c>
      <c r="DM15" s="46">
        <v>1</v>
      </c>
      <c r="DN15" s="46">
        <v>2</v>
      </c>
      <c r="DO15" s="46">
        <v>1</v>
      </c>
      <c r="DP15" s="46">
        <v>1</v>
      </c>
      <c r="DQ15" s="46">
        <v>2</v>
      </c>
      <c r="DR15" s="46">
        <v>2</v>
      </c>
      <c r="DS15" s="46">
        <v>1</v>
      </c>
      <c r="DT15" s="46">
        <v>2</v>
      </c>
      <c r="DU15" s="46">
        <v>2</v>
      </c>
      <c r="DV15" s="46">
        <v>1</v>
      </c>
      <c r="DW15" s="46">
        <v>2</v>
      </c>
      <c r="DX15" s="46">
        <v>2</v>
      </c>
      <c r="DY15" s="46">
        <v>1</v>
      </c>
      <c r="DZ15" s="46">
        <v>2</v>
      </c>
      <c r="EA15" s="46">
        <v>1</v>
      </c>
      <c r="EB15" s="46">
        <v>2</v>
      </c>
      <c r="EC15" s="46">
        <v>1</v>
      </c>
      <c r="ED15" s="46">
        <v>1</v>
      </c>
      <c r="EE15" s="46">
        <v>2</v>
      </c>
      <c r="EF15" s="46">
        <v>1</v>
      </c>
      <c r="EG15" s="46">
        <v>1</v>
      </c>
      <c r="EH15" s="46">
        <v>2</v>
      </c>
      <c r="EI15" s="46">
        <v>2</v>
      </c>
      <c r="EJ15" s="46">
        <v>1</v>
      </c>
      <c r="EK15" s="46">
        <v>1</v>
      </c>
      <c r="EL15" s="46">
        <v>2</v>
      </c>
      <c r="EM15" s="46">
        <v>2</v>
      </c>
      <c r="EN15" s="46">
        <v>2</v>
      </c>
      <c r="EO15" s="46">
        <v>1</v>
      </c>
      <c r="EP15" s="46">
        <v>1</v>
      </c>
      <c r="EQ15" s="46">
        <v>2</v>
      </c>
      <c r="ER15" s="46">
        <v>1</v>
      </c>
      <c r="ES15" s="46">
        <v>2</v>
      </c>
      <c r="ET15" s="46">
        <v>2</v>
      </c>
      <c r="EU15" s="46">
        <v>2</v>
      </c>
      <c r="EV15" s="46">
        <v>1</v>
      </c>
      <c r="EW15" s="46">
        <v>2</v>
      </c>
      <c r="EX15" s="46">
        <v>2</v>
      </c>
      <c r="EY15" s="46">
        <v>1</v>
      </c>
      <c r="EZ15" s="46">
        <v>2</v>
      </c>
      <c r="FA15" s="46">
        <v>1</v>
      </c>
      <c r="FB15" s="46">
        <v>1</v>
      </c>
      <c r="FC15" s="46">
        <v>2</v>
      </c>
      <c r="FD15" s="46">
        <v>2</v>
      </c>
      <c r="FE15" s="46">
        <v>2</v>
      </c>
      <c r="FF15" s="46">
        <v>2</v>
      </c>
      <c r="FG15" s="46">
        <v>1</v>
      </c>
      <c r="FH15" s="46">
        <v>1</v>
      </c>
    </row>
    <row r="16" spans="1:164" s="31" customFormat="1" x14ac:dyDescent="0.2">
      <c r="A16" s="35" t="s">
        <v>360</v>
      </c>
      <c r="B16" s="30" t="s">
        <v>266</v>
      </c>
      <c r="C16" s="30" t="s">
        <v>293</v>
      </c>
      <c r="D16" s="39" t="s">
        <v>253</v>
      </c>
      <c r="E16" s="46">
        <v>1</v>
      </c>
      <c r="F16" s="46">
        <v>1</v>
      </c>
      <c r="G16" s="46">
        <v>2</v>
      </c>
      <c r="H16" s="30">
        <v>1</v>
      </c>
      <c r="I16" s="30">
        <v>1</v>
      </c>
      <c r="J16" s="30">
        <v>1</v>
      </c>
      <c r="K16" s="46">
        <v>1</v>
      </c>
      <c r="L16" s="46">
        <v>1</v>
      </c>
      <c r="M16" s="46">
        <v>1</v>
      </c>
      <c r="N16" s="46">
        <v>1</v>
      </c>
      <c r="O16" s="46">
        <v>2</v>
      </c>
      <c r="P16" s="46">
        <v>1</v>
      </c>
      <c r="Q16" s="46">
        <v>2</v>
      </c>
      <c r="R16" s="46">
        <v>2</v>
      </c>
      <c r="S16" s="46">
        <v>1</v>
      </c>
      <c r="T16" s="46">
        <v>2</v>
      </c>
      <c r="U16" s="46">
        <v>1</v>
      </c>
      <c r="V16" s="46">
        <v>2</v>
      </c>
      <c r="W16" s="46">
        <v>2</v>
      </c>
      <c r="X16" s="46">
        <v>1</v>
      </c>
      <c r="Y16" s="46">
        <v>1</v>
      </c>
      <c r="Z16" s="46">
        <v>2</v>
      </c>
      <c r="AA16" s="46">
        <v>1</v>
      </c>
      <c r="AB16" s="46">
        <v>2</v>
      </c>
      <c r="AC16" s="46">
        <v>1</v>
      </c>
      <c r="AD16" s="46">
        <v>1</v>
      </c>
      <c r="AE16" s="46">
        <v>1</v>
      </c>
      <c r="AF16" s="46">
        <v>2</v>
      </c>
      <c r="AG16" s="46">
        <v>2</v>
      </c>
      <c r="AH16" s="46">
        <v>2</v>
      </c>
      <c r="AI16" s="46">
        <v>1</v>
      </c>
      <c r="AJ16" s="46">
        <v>1</v>
      </c>
      <c r="AK16" s="46">
        <v>1</v>
      </c>
      <c r="AL16" s="46">
        <v>2</v>
      </c>
      <c r="AM16" s="46">
        <v>2</v>
      </c>
      <c r="AN16" s="46">
        <v>1</v>
      </c>
      <c r="AO16" s="46">
        <v>1</v>
      </c>
      <c r="AP16" s="46">
        <v>2</v>
      </c>
      <c r="AQ16" s="46">
        <v>1</v>
      </c>
      <c r="AR16" s="46">
        <v>2</v>
      </c>
      <c r="AS16" s="46">
        <v>2</v>
      </c>
      <c r="AT16" s="46">
        <v>2</v>
      </c>
      <c r="AU16" s="46">
        <v>2</v>
      </c>
      <c r="AV16" s="46">
        <v>2</v>
      </c>
      <c r="AW16" s="46">
        <v>1</v>
      </c>
      <c r="AX16" s="46">
        <v>2</v>
      </c>
      <c r="AY16" s="46">
        <v>2</v>
      </c>
      <c r="AZ16" s="46">
        <v>2</v>
      </c>
      <c r="BA16" s="46">
        <v>1</v>
      </c>
      <c r="BB16" s="46">
        <v>1</v>
      </c>
      <c r="BC16" s="46">
        <v>1</v>
      </c>
      <c r="BD16" s="46">
        <v>2</v>
      </c>
      <c r="BE16" s="46">
        <v>2</v>
      </c>
      <c r="BF16" s="46">
        <v>2</v>
      </c>
      <c r="BG16" s="46">
        <v>1</v>
      </c>
      <c r="BH16" s="46">
        <v>2</v>
      </c>
      <c r="BI16" s="46">
        <v>2</v>
      </c>
      <c r="BJ16" s="46">
        <v>1</v>
      </c>
      <c r="BK16" s="46">
        <v>2</v>
      </c>
      <c r="BL16" s="46">
        <v>2</v>
      </c>
      <c r="BM16" s="46">
        <v>1</v>
      </c>
      <c r="BN16" s="46">
        <v>2</v>
      </c>
      <c r="BO16" s="46">
        <v>1</v>
      </c>
      <c r="BP16" s="46">
        <v>2</v>
      </c>
      <c r="BQ16" s="46">
        <v>2</v>
      </c>
      <c r="BR16" s="46">
        <v>2</v>
      </c>
      <c r="BS16" s="46">
        <v>1</v>
      </c>
      <c r="BT16" s="46">
        <v>2</v>
      </c>
      <c r="BU16" s="46">
        <v>2</v>
      </c>
      <c r="BV16" s="46">
        <v>1</v>
      </c>
      <c r="BW16" s="46">
        <v>1</v>
      </c>
      <c r="BX16" s="46">
        <v>2</v>
      </c>
      <c r="BY16" s="46">
        <v>1</v>
      </c>
      <c r="BZ16" s="46">
        <v>2</v>
      </c>
      <c r="CA16" s="46">
        <v>2</v>
      </c>
      <c r="CB16" s="46">
        <v>1</v>
      </c>
      <c r="CC16" s="46">
        <v>1</v>
      </c>
      <c r="CD16" s="46">
        <v>2</v>
      </c>
      <c r="CE16" s="46">
        <v>2</v>
      </c>
      <c r="CF16" s="46">
        <v>1</v>
      </c>
      <c r="CG16" s="46">
        <v>1</v>
      </c>
      <c r="CH16" s="46">
        <v>2</v>
      </c>
      <c r="CI16" s="46">
        <v>2</v>
      </c>
      <c r="CJ16" s="46">
        <v>2</v>
      </c>
      <c r="CK16" s="46">
        <v>1</v>
      </c>
      <c r="CL16" s="46">
        <v>1</v>
      </c>
      <c r="CM16" s="46">
        <v>1</v>
      </c>
      <c r="CN16" s="46">
        <v>2</v>
      </c>
      <c r="CO16" s="46">
        <v>2</v>
      </c>
      <c r="CP16" s="46">
        <v>2</v>
      </c>
      <c r="CQ16" s="46">
        <v>1</v>
      </c>
      <c r="CR16" s="46">
        <v>2</v>
      </c>
      <c r="CS16" s="46">
        <v>1</v>
      </c>
      <c r="CT16" s="46">
        <v>2</v>
      </c>
      <c r="CU16" s="46">
        <v>1</v>
      </c>
      <c r="CV16" s="46">
        <v>1</v>
      </c>
      <c r="CW16" s="46">
        <v>2</v>
      </c>
      <c r="CX16" s="46">
        <v>1</v>
      </c>
      <c r="CY16" s="46">
        <v>1</v>
      </c>
      <c r="CZ16" s="46">
        <v>1</v>
      </c>
      <c r="DA16" s="46">
        <v>2</v>
      </c>
      <c r="DB16" s="46">
        <v>1</v>
      </c>
      <c r="DC16" s="46">
        <v>2</v>
      </c>
      <c r="DD16" s="46">
        <v>2</v>
      </c>
      <c r="DE16" s="46">
        <v>2</v>
      </c>
      <c r="DF16" s="46">
        <v>1</v>
      </c>
      <c r="DG16" s="46">
        <v>2</v>
      </c>
      <c r="DH16" s="46">
        <v>1</v>
      </c>
      <c r="DI16" s="46">
        <v>2</v>
      </c>
      <c r="DJ16" s="46">
        <v>1</v>
      </c>
      <c r="DK16" s="46">
        <v>2</v>
      </c>
      <c r="DL16" s="46">
        <v>2</v>
      </c>
      <c r="DM16" s="46">
        <v>2</v>
      </c>
      <c r="DN16" s="46">
        <v>2</v>
      </c>
      <c r="DO16" s="46">
        <v>1</v>
      </c>
      <c r="DP16" s="46">
        <v>2</v>
      </c>
      <c r="DQ16" s="46">
        <v>2</v>
      </c>
      <c r="DR16" s="46">
        <v>1</v>
      </c>
      <c r="DS16" s="46">
        <v>2</v>
      </c>
      <c r="DT16" s="46">
        <v>2</v>
      </c>
      <c r="DU16" s="46">
        <v>1</v>
      </c>
      <c r="DV16" s="46">
        <v>1</v>
      </c>
      <c r="DW16" s="46">
        <v>2</v>
      </c>
      <c r="DX16" s="46">
        <v>2</v>
      </c>
      <c r="DY16" s="46">
        <v>2</v>
      </c>
      <c r="DZ16" s="46">
        <v>2</v>
      </c>
      <c r="EA16" s="46">
        <v>2</v>
      </c>
      <c r="EB16" s="46">
        <v>2</v>
      </c>
      <c r="EC16" s="46">
        <v>2</v>
      </c>
      <c r="ED16" s="46">
        <v>1</v>
      </c>
      <c r="EE16" s="46">
        <v>1</v>
      </c>
      <c r="EF16" s="46">
        <v>1</v>
      </c>
      <c r="EG16" s="46">
        <v>1</v>
      </c>
      <c r="EH16" s="46">
        <v>2</v>
      </c>
      <c r="EI16" s="46">
        <v>2</v>
      </c>
      <c r="EJ16" s="46">
        <v>1</v>
      </c>
      <c r="EK16" s="46">
        <v>2</v>
      </c>
      <c r="EL16" s="46">
        <v>2</v>
      </c>
      <c r="EM16" s="46">
        <v>2</v>
      </c>
      <c r="EN16" s="46">
        <v>2</v>
      </c>
      <c r="EO16" s="46">
        <v>1</v>
      </c>
      <c r="EP16" s="46">
        <v>2</v>
      </c>
      <c r="EQ16" s="46">
        <v>2</v>
      </c>
      <c r="ER16" s="46">
        <v>2</v>
      </c>
      <c r="ES16" s="46">
        <v>2</v>
      </c>
      <c r="ET16" s="46">
        <v>2</v>
      </c>
      <c r="EU16" s="46">
        <v>2</v>
      </c>
      <c r="EV16" s="46">
        <v>1</v>
      </c>
      <c r="EW16" s="46">
        <v>2</v>
      </c>
      <c r="EX16" s="46">
        <v>2</v>
      </c>
      <c r="EY16" s="46">
        <v>1</v>
      </c>
      <c r="EZ16" s="46">
        <v>2</v>
      </c>
      <c r="FA16" s="46">
        <v>2</v>
      </c>
      <c r="FB16" s="46">
        <v>1</v>
      </c>
      <c r="FC16" s="46">
        <v>2</v>
      </c>
      <c r="FD16" s="46">
        <v>2</v>
      </c>
      <c r="FE16" s="46">
        <v>2</v>
      </c>
      <c r="FF16" s="46">
        <v>2</v>
      </c>
      <c r="FG16" s="46">
        <v>1</v>
      </c>
      <c r="FH16" s="46">
        <v>2</v>
      </c>
    </row>
    <row r="17" spans="1:164" s="31" customFormat="1" x14ac:dyDescent="0.2">
      <c r="A17" s="35" t="s">
        <v>359</v>
      </c>
      <c r="B17" s="30" t="s">
        <v>265</v>
      </c>
      <c r="C17" s="30" t="s">
        <v>293</v>
      </c>
      <c r="D17" s="39" t="s">
        <v>253</v>
      </c>
      <c r="E17" s="46">
        <v>1</v>
      </c>
      <c r="F17" s="46">
        <v>1</v>
      </c>
      <c r="G17" s="46">
        <v>2</v>
      </c>
      <c r="H17" s="30">
        <v>2</v>
      </c>
      <c r="I17" s="30">
        <v>1</v>
      </c>
      <c r="J17" s="30">
        <v>2</v>
      </c>
      <c r="K17" s="46">
        <v>1</v>
      </c>
      <c r="L17" s="46">
        <v>1</v>
      </c>
      <c r="M17" s="46">
        <v>1</v>
      </c>
      <c r="N17" s="46">
        <v>2</v>
      </c>
      <c r="O17" s="46">
        <v>2</v>
      </c>
      <c r="P17" s="46">
        <v>2</v>
      </c>
      <c r="Q17" s="46">
        <v>2</v>
      </c>
      <c r="R17" s="46">
        <v>2</v>
      </c>
      <c r="S17" s="46">
        <v>1</v>
      </c>
      <c r="T17" s="46">
        <v>2</v>
      </c>
      <c r="U17" s="46">
        <v>2</v>
      </c>
      <c r="V17" s="46">
        <v>2</v>
      </c>
      <c r="W17" s="46">
        <v>2</v>
      </c>
      <c r="X17" s="46">
        <v>2</v>
      </c>
      <c r="Y17" s="46">
        <v>2</v>
      </c>
      <c r="Z17" s="46">
        <v>1</v>
      </c>
      <c r="AA17" s="46">
        <v>1</v>
      </c>
      <c r="AB17" s="46">
        <v>2</v>
      </c>
      <c r="AC17" s="46">
        <v>1</v>
      </c>
      <c r="AD17" s="46">
        <v>1</v>
      </c>
      <c r="AE17" s="46">
        <v>1</v>
      </c>
      <c r="AF17" s="46">
        <v>1</v>
      </c>
      <c r="AG17" s="46">
        <v>2</v>
      </c>
      <c r="AH17" s="46">
        <v>2</v>
      </c>
      <c r="AI17" s="46">
        <v>1</v>
      </c>
      <c r="AJ17" s="46">
        <v>2</v>
      </c>
      <c r="AK17" s="46">
        <v>2</v>
      </c>
      <c r="AL17" s="46">
        <v>2</v>
      </c>
      <c r="AM17" s="46">
        <v>2</v>
      </c>
      <c r="AN17" s="46">
        <v>2</v>
      </c>
      <c r="AO17" s="46">
        <v>2</v>
      </c>
      <c r="AP17" s="46">
        <v>1</v>
      </c>
      <c r="AQ17" s="46">
        <v>2</v>
      </c>
      <c r="AR17" s="46">
        <v>2</v>
      </c>
      <c r="AS17" s="46">
        <v>2</v>
      </c>
      <c r="AT17" s="46">
        <v>1</v>
      </c>
      <c r="AU17" s="46">
        <v>2</v>
      </c>
      <c r="AV17" s="46">
        <v>2</v>
      </c>
      <c r="AW17" s="46">
        <v>1</v>
      </c>
      <c r="AX17" s="46">
        <v>2</v>
      </c>
      <c r="AY17" s="46">
        <v>2</v>
      </c>
      <c r="AZ17" s="46">
        <v>2</v>
      </c>
      <c r="BA17" s="46">
        <v>2</v>
      </c>
      <c r="BB17" s="46">
        <v>1</v>
      </c>
      <c r="BC17" s="46">
        <v>2</v>
      </c>
      <c r="BD17" s="46">
        <v>2</v>
      </c>
      <c r="BE17" s="46">
        <v>1</v>
      </c>
      <c r="BF17" s="46">
        <v>2</v>
      </c>
      <c r="BG17" s="46">
        <v>1</v>
      </c>
      <c r="BH17" s="46">
        <v>2</v>
      </c>
      <c r="BI17" s="46">
        <v>2</v>
      </c>
      <c r="BJ17" s="46">
        <v>2</v>
      </c>
      <c r="BK17" s="46">
        <v>2</v>
      </c>
      <c r="BL17" s="46">
        <v>2</v>
      </c>
      <c r="BM17" s="46">
        <v>2</v>
      </c>
      <c r="BN17" s="46">
        <v>1</v>
      </c>
      <c r="BO17" s="46">
        <v>2</v>
      </c>
      <c r="BP17" s="46">
        <v>2</v>
      </c>
      <c r="BQ17" s="46">
        <v>2</v>
      </c>
      <c r="BR17" s="46">
        <v>1</v>
      </c>
      <c r="BS17" s="46">
        <v>1</v>
      </c>
      <c r="BT17" s="46">
        <v>2</v>
      </c>
      <c r="BU17" s="46">
        <v>2</v>
      </c>
      <c r="BV17" s="46">
        <v>1</v>
      </c>
      <c r="BW17" s="46">
        <v>1</v>
      </c>
      <c r="BX17" s="46">
        <v>1</v>
      </c>
      <c r="BY17" s="46">
        <v>2</v>
      </c>
      <c r="BZ17" s="46">
        <v>2</v>
      </c>
      <c r="CA17" s="46">
        <v>2</v>
      </c>
      <c r="CB17" s="46">
        <v>2</v>
      </c>
      <c r="CC17" s="46">
        <v>2</v>
      </c>
      <c r="CD17" s="46">
        <v>2</v>
      </c>
      <c r="CE17" s="46">
        <v>2</v>
      </c>
      <c r="CF17" s="46">
        <v>1</v>
      </c>
      <c r="CG17" s="46">
        <v>1</v>
      </c>
      <c r="CH17" s="46">
        <v>2</v>
      </c>
      <c r="CI17" s="46">
        <v>1</v>
      </c>
      <c r="CJ17" s="46">
        <v>1</v>
      </c>
      <c r="CK17" s="46">
        <v>2</v>
      </c>
      <c r="CL17" s="46">
        <v>2</v>
      </c>
      <c r="CM17" s="46">
        <v>2</v>
      </c>
      <c r="CN17" s="46">
        <v>2</v>
      </c>
      <c r="CO17" s="46">
        <v>2</v>
      </c>
      <c r="CP17" s="46">
        <v>2</v>
      </c>
      <c r="CQ17" s="46">
        <v>1</v>
      </c>
      <c r="CR17" s="46">
        <v>2</v>
      </c>
      <c r="CS17" s="46">
        <v>1</v>
      </c>
      <c r="CT17" s="46">
        <v>2</v>
      </c>
      <c r="CU17" s="46">
        <v>2</v>
      </c>
      <c r="CV17" s="46">
        <v>1</v>
      </c>
      <c r="CW17" s="46">
        <v>2</v>
      </c>
      <c r="CX17" s="46">
        <v>2</v>
      </c>
      <c r="CY17" s="46">
        <v>1</v>
      </c>
      <c r="CZ17" s="46">
        <v>2</v>
      </c>
      <c r="DA17" s="46">
        <v>2</v>
      </c>
      <c r="DB17" s="46">
        <v>2</v>
      </c>
      <c r="DC17" s="46">
        <v>2</v>
      </c>
      <c r="DD17" s="46">
        <v>2</v>
      </c>
      <c r="DE17" s="46">
        <v>2</v>
      </c>
      <c r="DF17" s="46">
        <v>2</v>
      </c>
      <c r="DG17" s="46">
        <v>2</v>
      </c>
      <c r="DH17" s="46">
        <v>1</v>
      </c>
      <c r="DI17" s="46">
        <v>1</v>
      </c>
      <c r="DJ17" s="46">
        <v>2</v>
      </c>
      <c r="DK17" s="46">
        <v>2</v>
      </c>
      <c r="DL17" s="46">
        <v>1</v>
      </c>
      <c r="DM17" s="46">
        <v>2</v>
      </c>
      <c r="DN17" s="46">
        <v>2</v>
      </c>
      <c r="DO17" s="46">
        <v>1</v>
      </c>
      <c r="DP17" s="46">
        <v>2</v>
      </c>
      <c r="DQ17" s="46">
        <v>2</v>
      </c>
      <c r="DR17" s="46">
        <v>2</v>
      </c>
      <c r="DS17" s="46">
        <v>2</v>
      </c>
      <c r="DT17" s="46">
        <v>2</v>
      </c>
      <c r="DU17" s="46">
        <v>2</v>
      </c>
      <c r="DV17" s="46">
        <v>1</v>
      </c>
      <c r="DW17" s="46">
        <v>1</v>
      </c>
      <c r="DX17" s="46">
        <v>2</v>
      </c>
      <c r="DY17" s="46">
        <v>2</v>
      </c>
      <c r="DZ17" s="46">
        <v>2</v>
      </c>
      <c r="EA17" s="46">
        <v>1</v>
      </c>
      <c r="EB17" s="46">
        <v>2</v>
      </c>
      <c r="EC17" s="46">
        <v>2</v>
      </c>
      <c r="ED17" s="46">
        <v>1</v>
      </c>
      <c r="EE17" s="46">
        <v>1</v>
      </c>
      <c r="EF17" s="46">
        <v>2</v>
      </c>
      <c r="EG17" s="46">
        <v>2</v>
      </c>
      <c r="EH17" s="46">
        <v>2</v>
      </c>
      <c r="EI17" s="46">
        <v>2</v>
      </c>
      <c r="EJ17" s="46">
        <v>1</v>
      </c>
      <c r="EK17" s="46">
        <v>2</v>
      </c>
      <c r="EL17" s="46">
        <v>2</v>
      </c>
      <c r="EM17" s="46">
        <v>2</v>
      </c>
      <c r="EN17" s="46">
        <v>1</v>
      </c>
      <c r="EO17" s="46">
        <v>2</v>
      </c>
      <c r="EP17" s="46">
        <v>2</v>
      </c>
      <c r="EQ17" s="46">
        <v>2</v>
      </c>
      <c r="ER17" s="46">
        <v>2</v>
      </c>
      <c r="ES17" s="46">
        <v>2</v>
      </c>
      <c r="ET17" s="46">
        <v>2</v>
      </c>
      <c r="EU17" s="46">
        <v>2</v>
      </c>
      <c r="EV17" s="46">
        <v>2</v>
      </c>
      <c r="EW17" s="46">
        <v>2</v>
      </c>
      <c r="EX17" s="46">
        <v>2</v>
      </c>
      <c r="EY17" s="46">
        <v>1</v>
      </c>
      <c r="EZ17" s="46">
        <v>2</v>
      </c>
      <c r="FA17" s="46">
        <v>1</v>
      </c>
      <c r="FB17" s="46">
        <v>2</v>
      </c>
      <c r="FC17" s="46">
        <v>2</v>
      </c>
      <c r="FD17" s="46">
        <v>2</v>
      </c>
      <c r="FE17" s="46">
        <v>2</v>
      </c>
      <c r="FF17" s="46">
        <v>1</v>
      </c>
      <c r="FG17" s="46">
        <v>1</v>
      </c>
      <c r="FH17" s="46">
        <v>2</v>
      </c>
    </row>
    <row r="18" spans="1:164" s="31" customFormat="1" x14ac:dyDescent="0.2">
      <c r="A18" s="35" t="s">
        <v>358</v>
      </c>
      <c r="B18" s="30" t="s">
        <v>261</v>
      </c>
      <c r="C18" s="30" t="s">
        <v>293</v>
      </c>
      <c r="D18" s="39" t="s">
        <v>253</v>
      </c>
      <c r="E18" s="46">
        <v>1</v>
      </c>
      <c r="F18" s="46">
        <v>1</v>
      </c>
      <c r="G18" s="46">
        <v>2</v>
      </c>
      <c r="H18" s="30">
        <v>1</v>
      </c>
      <c r="I18" s="30">
        <v>2</v>
      </c>
      <c r="J18" s="30">
        <v>1</v>
      </c>
      <c r="K18" s="46">
        <v>2</v>
      </c>
      <c r="L18" s="46">
        <v>2</v>
      </c>
      <c r="M18" s="46">
        <v>1</v>
      </c>
      <c r="N18" s="46">
        <v>1</v>
      </c>
      <c r="O18" s="46">
        <v>2</v>
      </c>
      <c r="P18" s="46">
        <v>2</v>
      </c>
      <c r="Q18" s="46">
        <v>2</v>
      </c>
      <c r="R18" s="46">
        <v>2</v>
      </c>
      <c r="S18" s="46">
        <v>1</v>
      </c>
      <c r="T18" s="46">
        <v>2</v>
      </c>
      <c r="U18" s="46">
        <v>1</v>
      </c>
      <c r="V18" s="46">
        <v>2</v>
      </c>
      <c r="W18" s="46">
        <v>1</v>
      </c>
      <c r="X18" s="46">
        <v>2</v>
      </c>
      <c r="Y18" s="46">
        <v>1</v>
      </c>
      <c r="Z18" s="46">
        <v>1</v>
      </c>
      <c r="AA18" s="46">
        <v>1</v>
      </c>
      <c r="AB18" s="46">
        <v>2</v>
      </c>
      <c r="AC18" s="46">
        <v>2</v>
      </c>
      <c r="AD18" s="46">
        <v>2</v>
      </c>
      <c r="AE18" s="46">
        <v>1</v>
      </c>
      <c r="AF18" s="46">
        <v>2</v>
      </c>
      <c r="AG18" s="46">
        <v>1</v>
      </c>
      <c r="AH18" s="46">
        <v>2</v>
      </c>
      <c r="AI18" s="46">
        <v>2</v>
      </c>
      <c r="AJ18" s="46">
        <v>2</v>
      </c>
      <c r="AK18" s="46">
        <v>1</v>
      </c>
      <c r="AL18" s="46">
        <v>2</v>
      </c>
      <c r="AM18" s="46">
        <v>1</v>
      </c>
      <c r="AN18" s="46">
        <v>1</v>
      </c>
      <c r="AO18" s="46">
        <v>1</v>
      </c>
      <c r="AP18" s="46">
        <v>2</v>
      </c>
      <c r="AQ18" s="46">
        <v>1</v>
      </c>
      <c r="AR18" s="46">
        <v>2</v>
      </c>
      <c r="AS18" s="46">
        <v>2</v>
      </c>
      <c r="AT18" s="46">
        <v>1</v>
      </c>
      <c r="AU18" s="46">
        <v>2</v>
      </c>
      <c r="AV18" s="46">
        <v>1</v>
      </c>
      <c r="AW18" s="46">
        <v>2</v>
      </c>
      <c r="AX18" s="46">
        <v>2</v>
      </c>
      <c r="AY18" s="46">
        <v>1</v>
      </c>
      <c r="AZ18" s="46">
        <v>2</v>
      </c>
      <c r="BA18" s="46">
        <v>1</v>
      </c>
      <c r="BB18" s="46">
        <v>1</v>
      </c>
      <c r="BC18" s="46">
        <v>1</v>
      </c>
      <c r="BD18" s="46">
        <v>2</v>
      </c>
      <c r="BE18" s="46">
        <v>2</v>
      </c>
      <c r="BF18" s="46">
        <v>2</v>
      </c>
      <c r="BG18" s="46">
        <v>2</v>
      </c>
      <c r="BH18" s="46">
        <v>2</v>
      </c>
      <c r="BI18" s="46">
        <v>2</v>
      </c>
      <c r="BJ18" s="46">
        <v>1</v>
      </c>
      <c r="BK18" s="46">
        <v>2</v>
      </c>
      <c r="BL18" s="46">
        <v>1</v>
      </c>
      <c r="BM18" s="46">
        <v>1</v>
      </c>
      <c r="BN18" s="46">
        <v>2</v>
      </c>
      <c r="BO18" s="46">
        <v>2</v>
      </c>
      <c r="BP18" s="46">
        <v>2</v>
      </c>
      <c r="BQ18" s="46">
        <v>2</v>
      </c>
      <c r="BR18" s="46">
        <v>1</v>
      </c>
      <c r="BS18" s="46">
        <v>2</v>
      </c>
      <c r="BT18" s="46">
        <v>2</v>
      </c>
      <c r="BU18" s="46">
        <v>2</v>
      </c>
      <c r="BV18" s="46">
        <v>2</v>
      </c>
      <c r="BW18" s="46">
        <v>1</v>
      </c>
      <c r="BX18" s="46">
        <v>2</v>
      </c>
      <c r="BY18" s="46">
        <v>2</v>
      </c>
      <c r="BZ18" s="46">
        <v>2</v>
      </c>
      <c r="CA18" s="46">
        <v>2</v>
      </c>
      <c r="CB18" s="46">
        <v>2</v>
      </c>
      <c r="CC18" s="46">
        <v>1</v>
      </c>
      <c r="CD18" s="46">
        <v>2</v>
      </c>
      <c r="CE18" s="46">
        <v>2</v>
      </c>
      <c r="CF18" s="46">
        <v>2</v>
      </c>
      <c r="CG18" s="46">
        <v>2</v>
      </c>
      <c r="CH18" s="46">
        <v>2</v>
      </c>
      <c r="CI18" s="46">
        <v>2</v>
      </c>
      <c r="CJ18" s="46">
        <v>2</v>
      </c>
      <c r="CK18" s="46">
        <v>2</v>
      </c>
      <c r="CL18" s="46">
        <v>2</v>
      </c>
      <c r="CM18" s="46">
        <v>2</v>
      </c>
      <c r="CN18" s="46">
        <v>2</v>
      </c>
      <c r="CO18" s="46">
        <v>1</v>
      </c>
      <c r="CP18" s="46">
        <v>2</v>
      </c>
      <c r="CQ18" s="46">
        <v>2</v>
      </c>
      <c r="CR18" s="46">
        <v>2</v>
      </c>
      <c r="CS18" s="46">
        <v>1</v>
      </c>
      <c r="CT18" s="46">
        <v>2</v>
      </c>
      <c r="CU18" s="46">
        <v>2</v>
      </c>
      <c r="CV18" s="46">
        <v>1</v>
      </c>
      <c r="CW18" s="46">
        <v>2</v>
      </c>
      <c r="CX18" s="46">
        <v>2</v>
      </c>
      <c r="CY18" s="46">
        <v>2</v>
      </c>
      <c r="CZ18" s="46">
        <v>2</v>
      </c>
      <c r="DA18" s="46">
        <v>2</v>
      </c>
      <c r="DB18" s="46">
        <v>2</v>
      </c>
      <c r="DC18" s="46">
        <v>2</v>
      </c>
      <c r="DD18" s="46">
        <v>1</v>
      </c>
      <c r="DE18" s="46">
        <v>2</v>
      </c>
      <c r="DF18" s="46">
        <v>2</v>
      </c>
      <c r="DG18" s="46">
        <v>2</v>
      </c>
      <c r="DH18" s="46">
        <v>2</v>
      </c>
      <c r="DI18" s="46">
        <v>2</v>
      </c>
      <c r="DJ18" s="46">
        <v>2</v>
      </c>
      <c r="DK18" s="46">
        <v>2</v>
      </c>
      <c r="DL18" s="46">
        <v>2</v>
      </c>
      <c r="DM18" s="46">
        <v>2</v>
      </c>
      <c r="DN18" s="46">
        <v>2</v>
      </c>
      <c r="DO18" s="46">
        <v>1</v>
      </c>
      <c r="DP18" s="46">
        <v>2</v>
      </c>
      <c r="DQ18" s="46">
        <v>1</v>
      </c>
      <c r="DR18" s="46">
        <v>2</v>
      </c>
      <c r="DS18" s="46">
        <v>2</v>
      </c>
      <c r="DT18" s="46">
        <v>2</v>
      </c>
      <c r="DU18" s="46">
        <v>2</v>
      </c>
      <c r="DV18" s="46">
        <v>1</v>
      </c>
      <c r="DW18" s="46">
        <v>2</v>
      </c>
      <c r="DX18" s="46">
        <v>2</v>
      </c>
      <c r="DY18" s="46">
        <v>2</v>
      </c>
      <c r="DZ18" s="46">
        <v>2</v>
      </c>
      <c r="EA18" s="46">
        <v>2</v>
      </c>
      <c r="EB18" s="46">
        <v>2</v>
      </c>
      <c r="EC18" s="46">
        <v>2</v>
      </c>
      <c r="ED18" s="46">
        <v>1</v>
      </c>
      <c r="EE18" s="46">
        <v>1</v>
      </c>
      <c r="EF18" s="46">
        <v>2</v>
      </c>
      <c r="EG18" s="46">
        <v>2</v>
      </c>
      <c r="EH18" s="46">
        <v>2</v>
      </c>
      <c r="EI18" s="46">
        <v>2</v>
      </c>
      <c r="EJ18" s="46">
        <v>2</v>
      </c>
      <c r="EK18" s="46">
        <v>2</v>
      </c>
      <c r="EL18" s="46">
        <v>2</v>
      </c>
      <c r="EM18" s="46">
        <v>2</v>
      </c>
      <c r="EN18" s="46">
        <v>2</v>
      </c>
      <c r="EO18" s="46">
        <v>2</v>
      </c>
      <c r="EP18" s="46">
        <v>2</v>
      </c>
      <c r="EQ18" s="46">
        <v>2</v>
      </c>
      <c r="ER18" s="46">
        <v>2</v>
      </c>
      <c r="ES18" s="46">
        <v>2</v>
      </c>
      <c r="ET18" s="46">
        <v>2</v>
      </c>
      <c r="EU18" s="46">
        <v>2</v>
      </c>
      <c r="EV18" s="46">
        <v>1</v>
      </c>
      <c r="EW18" s="46">
        <v>2</v>
      </c>
      <c r="EX18" s="46">
        <v>2</v>
      </c>
      <c r="EY18" s="46">
        <v>1</v>
      </c>
      <c r="EZ18" s="46">
        <v>2</v>
      </c>
      <c r="FA18" s="46">
        <v>2</v>
      </c>
      <c r="FB18" s="46">
        <v>2</v>
      </c>
      <c r="FC18" s="46">
        <v>2</v>
      </c>
      <c r="FD18" s="46">
        <v>2</v>
      </c>
      <c r="FE18" s="46">
        <v>2</v>
      </c>
      <c r="FF18" s="46">
        <v>2</v>
      </c>
      <c r="FG18" s="46">
        <v>1</v>
      </c>
      <c r="FH18" s="46">
        <v>2</v>
      </c>
    </row>
    <row r="19" spans="1:164" s="31" customFormat="1" x14ac:dyDescent="0.2">
      <c r="A19" s="35" t="s">
        <v>356</v>
      </c>
      <c r="B19" s="30" t="s">
        <v>357</v>
      </c>
      <c r="C19" s="30" t="s">
        <v>347</v>
      </c>
      <c r="D19" s="39" t="s">
        <v>251</v>
      </c>
      <c r="E19" s="46">
        <v>1</v>
      </c>
      <c r="F19" s="46">
        <v>2</v>
      </c>
      <c r="G19" s="46">
        <v>2</v>
      </c>
      <c r="H19" s="30">
        <v>2</v>
      </c>
      <c r="I19" s="30">
        <v>1</v>
      </c>
      <c r="J19" s="30">
        <v>1</v>
      </c>
      <c r="K19" s="46">
        <v>2</v>
      </c>
      <c r="L19" s="46">
        <v>1</v>
      </c>
      <c r="M19" s="46">
        <v>1</v>
      </c>
      <c r="N19" s="46">
        <v>1</v>
      </c>
      <c r="O19" s="46">
        <v>1</v>
      </c>
      <c r="P19" s="46">
        <v>2</v>
      </c>
      <c r="Q19" s="46">
        <v>1</v>
      </c>
      <c r="R19" s="46">
        <v>1</v>
      </c>
      <c r="S19" s="46">
        <v>1</v>
      </c>
      <c r="T19" s="46">
        <v>2</v>
      </c>
      <c r="U19" s="46">
        <v>1</v>
      </c>
      <c r="V19" s="46">
        <v>1</v>
      </c>
      <c r="W19" s="46">
        <v>1</v>
      </c>
      <c r="X19" s="46">
        <v>2</v>
      </c>
      <c r="Y19" s="46">
        <v>2</v>
      </c>
      <c r="Z19" s="46">
        <v>1</v>
      </c>
      <c r="AA19" s="46">
        <v>1</v>
      </c>
      <c r="AB19" s="46">
        <v>2</v>
      </c>
      <c r="AC19" s="46">
        <v>1</v>
      </c>
      <c r="AD19" s="46">
        <v>2</v>
      </c>
      <c r="AE19" s="46">
        <v>1</v>
      </c>
      <c r="AF19" s="46">
        <v>2</v>
      </c>
      <c r="AG19" s="46">
        <v>1</v>
      </c>
      <c r="AH19" s="46">
        <v>2</v>
      </c>
      <c r="AI19" s="46">
        <v>1</v>
      </c>
      <c r="AJ19" s="46">
        <v>1</v>
      </c>
      <c r="AK19" s="46">
        <v>2</v>
      </c>
      <c r="AL19" s="46">
        <v>2</v>
      </c>
      <c r="AM19" s="46">
        <v>1</v>
      </c>
      <c r="AN19" s="46">
        <v>1</v>
      </c>
      <c r="AO19" s="46">
        <v>1</v>
      </c>
      <c r="AP19" s="46">
        <v>2</v>
      </c>
      <c r="AQ19" s="46">
        <v>1</v>
      </c>
      <c r="AR19" s="46">
        <v>2</v>
      </c>
      <c r="AS19" s="46">
        <v>2</v>
      </c>
      <c r="AT19" s="46">
        <v>1</v>
      </c>
      <c r="AU19" s="46">
        <v>2</v>
      </c>
      <c r="AV19" s="46">
        <v>1</v>
      </c>
      <c r="AW19" s="46">
        <v>1</v>
      </c>
      <c r="AX19" s="46">
        <v>1</v>
      </c>
      <c r="AY19" s="46">
        <v>2</v>
      </c>
      <c r="AZ19" s="46">
        <v>2</v>
      </c>
      <c r="BA19" s="46">
        <v>2</v>
      </c>
      <c r="BB19" s="46">
        <v>1</v>
      </c>
      <c r="BC19" s="46">
        <v>1</v>
      </c>
      <c r="BD19" s="46">
        <v>2</v>
      </c>
      <c r="BE19" s="46">
        <v>1</v>
      </c>
      <c r="BF19" s="46">
        <v>2</v>
      </c>
      <c r="BG19" s="46">
        <v>1</v>
      </c>
      <c r="BH19" s="46">
        <v>1</v>
      </c>
      <c r="BI19" s="46">
        <v>2</v>
      </c>
      <c r="BJ19" s="46">
        <v>1</v>
      </c>
      <c r="BK19" s="46">
        <v>2</v>
      </c>
      <c r="BL19" s="46">
        <v>2</v>
      </c>
      <c r="BM19" s="46">
        <v>1</v>
      </c>
      <c r="BN19" s="46">
        <v>2</v>
      </c>
      <c r="BO19" s="46">
        <v>2</v>
      </c>
      <c r="BP19" s="46">
        <v>2</v>
      </c>
      <c r="BQ19" s="46">
        <v>2</v>
      </c>
      <c r="BR19" s="46">
        <v>1</v>
      </c>
      <c r="BS19" s="46">
        <v>1</v>
      </c>
      <c r="BT19" s="46">
        <v>1</v>
      </c>
      <c r="BU19" s="46">
        <v>2</v>
      </c>
      <c r="BV19" s="46">
        <v>1</v>
      </c>
      <c r="BW19" s="46">
        <v>1</v>
      </c>
      <c r="BX19" s="46">
        <v>2</v>
      </c>
      <c r="BY19" s="46">
        <v>1</v>
      </c>
      <c r="BZ19" s="46">
        <v>2</v>
      </c>
      <c r="CA19" s="46">
        <v>2</v>
      </c>
      <c r="CB19" s="46">
        <v>1</v>
      </c>
      <c r="CC19" s="46">
        <v>1</v>
      </c>
      <c r="CD19" s="46">
        <v>2</v>
      </c>
      <c r="CE19" s="46">
        <v>1</v>
      </c>
      <c r="CF19" s="46">
        <v>1</v>
      </c>
      <c r="CG19" s="46">
        <v>1</v>
      </c>
      <c r="CH19" s="46">
        <v>2</v>
      </c>
      <c r="CI19" s="46">
        <v>2</v>
      </c>
      <c r="CJ19" s="46">
        <v>2</v>
      </c>
      <c r="CK19" s="46">
        <v>1</v>
      </c>
      <c r="CL19" s="46">
        <v>2</v>
      </c>
      <c r="CM19" s="46">
        <v>1</v>
      </c>
      <c r="CN19" s="46">
        <v>2</v>
      </c>
      <c r="CO19" s="46">
        <v>1</v>
      </c>
      <c r="CP19" s="46">
        <v>2</v>
      </c>
      <c r="CQ19" s="46">
        <v>1</v>
      </c>
      <c r="CR19" s="46">
        <v>2</v>
      </c>
      <c r="CS19" s="46">
        <v>1</v>
      </c>
      <c r="CT19" s="46">
        <v>2</v>
      </c>
      <c r="CU19" s="46">
        <v>2</v>
      </c>
      <c r="CV19" s="46">
        <v>1</v>
      </c>
      <c r="CW19" s="46">
        <v>2</v>
      </c>
      <c r="CX19" s="46">
        <v>1</v>
      </c>
      <c r="CY19" s="46">
        <v>1</v>
      </c>
      <c r="CZ19" s="46">
        <v>2</v>
      </c>
      <c r="DA19" s="46">
        <v>1</v>
      </c>
      <c r="DB19" s="46">
        <v>2</v>
      </c>
      <c r="DC19" s="46">
        <v>2</v>
      </c>
      <c r="DD19" s="46">
        <v>1</v>
      </c>
      <c r="DE19" s="46">
        <v>2</v>
      </c>
      <c r="DF19" s="46">
        <v>1</v>
      </c>
      <c r="DG19" s="46">
        <v>2</v>
      </c>
      <c r="DH19" s="46">
        <v>1</v>
      </c>
      <c r="DI19" s="46">
        <v>1</v>
      </c>
      <c r="DJ19" s="46">
        <v>1</v>
      </c>
      <c r="DK19" s="46">
        <v>1</v>
      </c>
      <c r="DL19" s="46">
        <v>2</v>
      </c>
      <c r="DM19" s="46">
        <v>1</v>
      </c>
      <c r="DN19" s="46">
        <v>2</v>
      </c>
      <c r="DO19" s="46">
        <v>1</v>
      </c>
      <c r="DP19" s="46">
        <v>2</v>
      </c>
      <c r="DQ19" s="46">
        <v>2</v>
      </c>
      <c r="DR19" s="46">
        <v>1</v>
      </c>
      <c r="DS19" s="46">
        <v>2</v>
      </c>
      <c r="DT19" s="46">
        <v>2</v>
      </c>
      <c r="DU19" s="46">
        <v>1</v>
      </c>
      <c r="DV19" s="46">
        <v>1</v>
      </c>
      <c r="DW19" s="46">
        <v>2</v>
      </c>
      <c r="DX19" s="46">
        <v>2</v>
      </c>
      <c r="DY19" s="46">
        <v>1</v>
      </c>
      <c r="DZ19" s="46">
        <v>2</v>
      </c>
      <c r="EA19" s="46">
        <v>2</v>
      </c>
      <c r="EB19" s="46">
        <v>2</v>
      </c>
      <c r="EC19" s="46">
        <v>1</v>
      </c>
      <c r="ED19" s="46">
        <v>1</v>
      </c>
      <c r="EE19" s="46">
        <v>1</v>
      </c>
      <c r="EF19" s="46">
        <v>1</v>
      </c>
      <c r="EG19" s="46">
        <v>1</v>
      </c>
      <c r="EH19" s="46">
        <v>2</v>
      </c>
      <c r="EI19" s="46">
        <v>2</v>
      </c>
      <c r="EJ19" s="46">
        <v>1</v>
      </c>
      <c r="EK19" s="46">
        <v>1</v>
      </c>
      <c r="EL19" s="46">
        <v>2</v>
      </c>
      <c r="EM19" s="46">
        <v>2</v>
      </c>
      <c r="EN19" s="46">
        <v>1</v>
      </c>
      <c r="EO19" s="46">
        <v>1</v>
      </c>
      <c r="EP19" s="46">
        <v>1</v>
      </c>
      <c r="EQ19" s="46">
        <v>2</v>
      </c>
      <c r="ER19" s="46">
        <v>1</v>
      </c>
      <c r="ES19" s="46">
        <v>2</v>
      </c>
      <c r="ET19" s="46">
        <v>2</v>
      </c>
      <c r="EU19" s="46">
        <v>1</v>
      </c>
      <c r="EV19" s="46">
        <v>1</v>
      </c>
      <c r="EW19" s="46">
        <v>1</v>
      </c>
      <c r="EX19" s="46">
        <v>2</v>
      </c>
      <c r="EY19" s="46">
        <v>1</v>
      </c>
      <c r="EZ19" s="46">
        <v>1</v>
      </c>
      <c r="FA19" s="46">
        <v>2</v>
      </c>
      <c r="FB19" s="46">
        <v>2</v>
      </c>
      <c r="FC19" s="46">
        <v>2</v>
      </c>
      <c r="FD19" s="46">
        <v>2</v>
      </c>
      <c r="FE19" s="46">
        <v>2</v>
      </c>
      <c r="FF19" s="46">
        <v>2</v>
      </c>
      <c r="FG19" s="46">
        <v>1</v>
      </c>
      <c r="FH19" s="46">
        <v>1</v>
      </c>
    </row>
    <row r="20" spans="1:164" s="31" customFormat="1" x14ac:dyDescent="0.2">
      <c r="A20" s="35" t="s">
        <v>355</v>
      </c>
      <c r="B20" s="30" t="s">
        <v>266</v>
      </c>
      <c r="C20" s="30" t="s">
        <v>293</v>
      </c>
      <c r="D20" s="39" t="s">
        <v>253</v>
      </c>
      <c r="E20" s="46">
        <v>2</v>
      </c>
      <c r="F20" s="46">
        <v>1</v>
      </c>
      <c r="G20" s="46">
        <v>1</v>
      </c>
      <c r="H20" s="30">
        <v>2</v>
      </c>
      <c r="I20" s="30">
        <v>2</v>
      </c>
      <c r="J20" s="30">
        <v>2</v>
      </c>
      <c r="K20" s="46">
        <v>1</v>
      </c>
      <c r="L20" s="46">
        <v>1</v>
      </c>
      <c r="M20" s="46">
        <v>1</v>
      </c>
      <c r="N20" s="46">
        <v>1</v>
      </c>
      <c r="O20" s="46">
        <v>1</v>
      </c>
      <c r="P20" s="46">
        <v>1</v>
      </c>
      <c r="Q20" s="46">
        <v>1</v>
      </c>
      <c r="R20" s="46">
        <v>1</v>
      </c>
      <c r="S20" s="46">
        <v>2</v>
      </c>
      <c r="T20" s="46">
        <v>1</v>
      </c>
      <c r="U20" s="46">
        <v>2</v>
      </c>
      <c r="V20" s="46">
        <v>2</v>
      </c>
      <c r="W20" s="46">
        <v>1</v>
      </c>
      <c r="X20" s="46">
        <v>2</v>
      </c>
      <c r="Y20" s="46">
        <v>1</v>
      </c>
      <c r="Z20" s="46">
        <v>1</v>
      </c>
      <c r="AA20" s="46">
        <v>2</v>
      </c>
      <c r="AB20" s="46">
        <v>1</v>
      </c>
      <c r="AC20" s="46">
        <v>1</v>
      </c>
      <c r="AD20" s="46">
        <v>1</v>
      </c>
      <c r="AE20" s="46">
        <v>2</v>
      </c>
      <c r="AF20" s="46">
        <v>1</v>
      </c>
      <c r="AG20" s="46">
        <v>1</v>
      </c>
      <c r="AH20" s="46">
        <v>2</v>
      </c>
      <c r="AI20" s="46">
        <v>1</v>
      </c>
      <c r="AJ20" s="46">
        <v>1</v>
      </c>
      <c r="AK20" s="46">
        <v>2</v>
      </c>
      <c r="AL20" s="46">
        <v>1</v>
      </c>
      <c r="AM20" s="46">
        <v>2</v>
      </c>
      <c r="AN20" s="46">
        <v>1</v>
      </c>
      <c r="AO20" s="46">
        <v>1</v>
      </c>
      <c r="AP20" s="46">
        <v>1</v>
      </c>
      <c r="AQ20" s="46">
        <v>1</v>
      </c>
      <c r="AR20" s="46">
        <v>2</v>
      </c>
      <c r="AS20" s="46">
        <v>2</v>
      </c>
      <c r="AT20" s="46">
        <v>1</v>
      </c>
      <c r="AU20" s="46">
        <v>1</v>
      </c>
      <c r="AV20" s="46">
        <v>2</v>
      </c>
      <c r="AW20" s="46">
        <v>1</v>
      </c>
      <c r="AX20" s="46">
        <v>2</v>
      </c>
      <c r="AY20" s="46">
        <v>1</v>
      </c>
      <c r="AZ20" s="46">
        <v>2</v>
      </c>
      <c r="BA20" s="46">
        <v>1</v>
      </c>
      <c r="BB20" s="46">
        <v>1</v>
      </c>
      <c r="BC20" s="46">
        <v>1</v>
      </c>
      <c r="BD20" s="46">
        <v>2</v>
      </c>
      <c r="BE20" s="46">
        <v>2</v>
      </c>
      <c r="BF20" s="46">
        <v>2</v>
      </c>
      <c r="BG20" s="46">
        <v>2</v>
      </c>
      <c r="BH20" s="46">
        <v>2</v>
      </c>
      <c r="BI20" s="46">
        <v>2</v>
      </c>
      <c r="BJ20" s="46">
        <v>2</v>
      </c>
      <c r="BK20" s="46">
        <v>2</v>
      </c>
      <c r="BL20" s="46">
        <v>2</v>
      </c>
      <c r="BM20" s="46">
        <v>2</v>
      </c>
      <c r="BN20" s="46">
        <v>2</v>
      </c>
      <c r="BO20" s="46">
        <v>1</v>
      </c>
      <c r="BP20" s="46">
        <v>1</v>
      </c>
      <c r="BQ20" s="46">
        <v>1</v>
      </c>
      <c r="BR20" s="46">
        <v>1</v>
      </c>
      <c r="BS20" s="46">
        <v>1</v>
      </c>
      <c r="BT20" s="46">
        <v>2</v>
      </c>
      <c r="BU20" s="46">
        <v>1</v>
      </c>
      <c r="BV20" s="46">
        <v>2</v>
      </c>
      <c r="BW20" s="46">
        <v>1</v>
      </c>
      <c r="BX20" s="46">
        <v>1</v>
      </c>
      <c r="BY20" s="46">
        <v>2</v>
      </c>
      <c r="BZ20" s="46">
        <v>2</v>
      </c>
      <c r="CA20" s="46">
        <v>2</v>
      </c>
      <c r="CB20" s="46">
        <v>1</v>
      </c>
      <c r="CC20" s="46">
        <v>1</v>
      </c>
      <c r="CD20" s="46">
        <v>2</v>
      </c>
      <c r="CE20" s="46">
        <v>1</v>
      </c>
      <c r="CF20" s="46">
        <v>2</v>
      </c>
      <c r="CG20" s="46">
        <v>2</v>
      </c>
      <c r="CH20" s="46">
        <v>1</v>
      </c>
      <c r="CI20" s="46">
        <v>1</v>
      </c>
      <c r="CJ20" s="46">
        <v>2</v>
      </c>
      <c r="CK20" s="46">
        <v>1</v>
      </c>
      <c r="CL20" s="46">
        <v>1</v>
      </c>
      <c r="CM20" s="46">
        <v>2</v>
      </c>
      <c r="CN20" s="46">
        <v>1</v>
      </c>
      <c r="CO20" s="46">
        <v>2</v>
      </c>
      <c r="CP20" s="46">
        <v>2</v>
      </c>
      <c r="CQ20" s="46">
        <v>2</v>
      </c>
      <c r="CR20" s="46">
        <v>2</v>
      </c>
      <c r="CS20" s="46">
        <v>2</v>
      </c>
      <c r="CT20" s="46">
        <v>1</v>
      </c>
      <c r="CU20" s="46">
        <v>2</v>
      </c>
      <c r="CV20" s="46">
        <v>1</v>
      </c>
      <c r="CW20" s="46">
        <v>1</v>
      </c>
      <c r="CX20" s="46">
        <v>2</v>
      </c>
      <c r="CY20" s="46">
        <v>2</v>
      </c>
      <c r="CZ20" s="46">
        <v>2</v>
      </c>
      <c r="DA20" s="46">
        <v>1</v>
      </c>
      <c r="DB20" s="46">
        <v>2</v>
      </c>
      <c r="DC20" s="46">
        <v>1</v>
      </c>
      <c r="DD20" s="46">
        <v>1</v>
      </c>
      <c r="DE20" s="46">
        <v>2</v>
      </c>
      <c r="DF20" s="46">
        <v>2</v>
      </c>
      <c r="DG20" s="46">
        <v>1</v>
      </c>
      <c r="DH20" s="46">
        <v>2</v>
      </c>
      <c r="DI20" s="46">
        <v>2</v>
      </c>
      <c r="DJ20" s="46">
        <v>1</v>
      </c>
      <c r="DK20" s="46">
        <v>1</v>
      </c>
      <c r="DL20" s="46">
        <v>2</v>
      </c>
      <c r="DM20" s="46">
        <v>1</v>
      </c>
      <c r="DN20" s="46">
        <v>2</v>
      </c>
      <c r="DO20" s="46">
        <v>1</v>
      </c>
      <c r="DP20" s="46">
        <v>1</v>
      </c>
      <c r="DQ20" s="46">
        <v>2</v>
      </c>
      <c r="DR20" s="46">
        <v>2</v>
      </c>
      <c r="DS20" s="46">
        <v>1</v>
      </c>
      <c r="DT20" s="46">
        <v>1</v>
      </c>
      <c r="DU20" s="46">
        <v>2</v>
      </c>
      <c r="DV20" s="46">
        <v>2</v>
      </c>
      <c r="DW20" s="46">
        <v>2</v>
      </c>
      <c r="DX20" s="46">
        <v>2</v>
      </c>
      <c r="DY20" s="46">
        <v>2</v>
      </c>
      <c r="DZ20" s="46">
        <v>2</v>
      </c>
      <c r="EA20" s="46">
        <v>1</v>
      </c>
      <c r="EB20" s="46">
        <v>1</v>
      </c>
      <c r="EC20" s="46">
        <v>1</v>
      </c>
      <c r="ED20" s="46">
        <v>2</v>
      </c>
      <c r="EE20" s="46">
        <v>2</v>
      </c>
      <c r="EF20" s="46">
        <v>1</v>
      </c>
      <c r="EG20" s="46">
        <v>1</v>
      </c>
      <c r="EH20" s="46">
        <v>2</v>
      </c>
      <c r="EI20" s="46">
        <v>1</v>
      </c>
      <c r="EJ20" s="46">
        <v>1</v>
      </c>
      <c r="EK20" s="46">
        <v>1</v>
      </c>
      <c r="EL20" s="46">
        <v>2</v>
      </c>
      <c r="EM20" s="46">
        <v>2</v>
      </c>
      <c r="EN20" s="46">
        <v>1</v>
      </c>
      <c r="EO20" s="46">
        <v>2</v>
      </c>
      <c r="EP20" s="46">
        <v>1</v>
      </c>
      <c r="EQ20" s="46">
        <v>2</v>
      </c>
      <c r="ER20" s="46">
        <v>2</v>
      </c>
      <c r="ES20" s="46">
        <v>2</v>
      </c>
      <c r="ET20" s="46">
        <v>2</v>
      </c>
      <c r="EU20" s="46">
        <v>2</v>
      </c>
      <c r="EV20" s="46">
        <v>1</v>
      </c>
      <c r="EW20" s="46">
        <v>1</v>
      </c>
      <c r="EX20" s="46">
        <v>2</v>
      </c>
      <c r="EY20" s="46">
        <v>1</v>
      </c>
      <c r="EZ20" s="46">
        <v>2</v>
      </c>
      <c r="FA20" s="46">
        <v>1</v>
      </c>
      <c r="FB20" s="46">
        <v>1</v>
      </c>
      <c r="FC20" s="46">
        <v>2</v>
      </c>
      <c r="FD20" s="46">
        <v>2</v>
      </c>
      <c r="FE20" s="46">
        <v>2</v>
      </c>
      <c r="FF20" s="46">
        <v>1</v>
      </c>
      <c r="FG20" s="46">
        <v>1</v>
      </c>
      <c r="FH20" s="46">
        <v>2</v>
      </c>
    </row>
    <row r="21" spans="1:164" s="31" customFormat="1" x14ac:dyDescent="0.2">
      <c r="A21" s="35" t="s">
        <v>354</v>
      </c>
      <c r="B21" s="30" t="s">
        <v>265</v>
      </c>
      <c r="C21" s="30" t="s">
        <v>347</v>
      </c>
      <c r="D21" s="39" t="s">
        <v>251</v>
      </c>
      <c r="E21" s="46">
        <v>1</v>
      </c>
      <c r="F21" s="46">
        <v>1</v>
      </c>
      <c r="G21" s="46">
        <v>2</v>
      </c>
      <c r="H21" s="30">
        <v>2</v>
      </c>
      <c r="I21" s="30">
        <v>1</v>
      </c>
      <c r="J21" s="30">
        <v>1</v>
      </c>
      <c r="K21" s="46">
        <v>1</v>
      </c>
      <c r="L21" s="46">
        <v>1</v>
      </c>
      <c r="M21" s="46">
        <v>1</v>
      </c>
      <c r="N21" s="46">
        <v>1</v>
      </c>
      <c r="O21" s="46">
        <v>2</v>
      </c>
      <c r="P21" s="46">
        <v>2</v>
      </c>
      <c r="Q21" s="46">
        <v>1</v>
      </c>
      <c r="R21" s="46">
        <v>2</v>
      </c>
      <c r="S21" s="46">
        <v>2</v>
      </c>
      <c r="T21" s="46">
        <v>1</v>
      </c>
      <c r="U21" s="46">
        <v>1</v>
      </c>
      <c r="V21" s="46">
        <v>1</v>
      </c>
      <c r="W21" s="46">
        <v>2</v>
      </c>
      <c r="X21" s="46">
        <v>2</v>
      </c>
      <c r="Y21" s="46">
        <v>2</v>
      </c>
      <c r="Z21" s="46">
        <v>2</v>
      </c>
      <c r="AA21" s="46">
        <v>1</v>
      </c>
      <c r="AB21" s="46">
        <v>1</v>
      </c>
      <c r="AC21" s="46">
        <v>1</v>
      </c>
      <c r="AD21" s="46">
        <v>1</v>
      </c>
      <c r="AE21" s="46">
        <v>1</v>
      </c>
      <c r="AF21" s="46">
        <v>2</v>
      </c>
      <c r="AG21" s="46">
        <v>2</v>
      </c>
      <c r="AH21" s="46">
        <v>2</v>
      </c>
      <c r="AI21" s="46">
        <v>1</v>
      </c>
      <c r="AJ21" s="46">
        <v>1</v>
      </c>
      <c r="AK21" s="46">
        <v>2</v>
      </c>
      <c r="AL21" s="46">
        <v>2</v>
      </c>
      <c r="AM21" s="46">
        <v>1</v>
      </c>
      <c r="AN21" s="46">
        <v>2</v>
      </c>
      <c r="AO21" s="46">
        <v>2</v>
      </c>
      <c r="AP21" s="46">
        <v>1</v>
      </c>
      <c r="AQ21" s="46">
        <v>1</v>
      </c>
      <c r="AR21" s="46">
        <v>2</v>
      </c>
      <c r="AS21" s="46">
        <v>2</v>
      </c>
      <c r="AT21" s="46">
        <v>1</v>
      </c>
      <c r="AU21" s="46">
        <v>1</v>
      </c>
      <c r="AV21" s="46">
        <v>2</v>
      </c>
      <c r="AW21" s="46">
        <v>2</v>
      </c>
      <c r="AX21" s="46">
        <v>1</v>
      </c>
      <c r="AY21" s="46">
        <v>1</v>
      </c>
      <c r="AZ21" s="46">
        <v>2</v>
      </c>
      <c r="BA21" s="46">
        <v>1</v>
      </c>
      <c r="BB21" s="46">
        <v>1</v>
      </c>
      <c r="BC21" s="46">
        <v>2</v>
      </c>
      <c r="BD21" s="46">
        <v>2</v>
      </c>
      <c r="BE21" s="46">
        <v>2</v>
      </c>
      <c r="BF21" s="46">
        <v>1</v>
      </c>
      <c r="BG21" s="46">
        <v>2</v>
      </c>
      <c r="BH21" s="46">
        <v>1</v>
      </c>
      <c r="BI21" s="46">
        <v>2</v>
      </c>
      <c r="BJ21" s="46">
        <v>1</v>
      </c>
      <c r="BK21" s="46">
        <v>2</v>
      </c>
      <c r="BL21" s="46">
        <v>1</v>
      </c>
      <c r="BM21" s="46">
        <v>2</v>
      </c>
      <c r="BN21" s="46">
        <v>2</v>
      </c>
      <c r="BO21" s="46">
        <v>1</v>
      </c>
      <c r="BP21" s="46">
        <v>1</v>
      </c>
      <c r="BQ21" s="46">
        <v>1</v>
      </c>
      <c r="BR21" s="46">
        <v>1</v>
      </c>
      <c r="BS21" s="46">
        <v>1</v>
      </c>
      <c r="BT21" s="46">
        <v>1</v>
      </c>
      <c r="BU21" s="46">
        <v>1</v>
      </c>
      <c r="BV21" s="46">
        <v>1</v>
      </c>
      <c r="BW21" s="46">
        <v>2</v>
      </c>
      <c r="BX21" s="46">
        <v>2</v>
      </c>
      <c r="BY21" s="46">
        <v>2</v>
      </c>
      <c r="BZ21" s="46">
        <v>1</v>
      </c>
      <c r="CA21" s="46">
        <v>1</v>
      </c>
      <c r="CB21" s="46">
        <v>2</v>
      </c>
      <c r="CC21" s="46">
        <v>1</v>
      </c>
      <c r="CD21" s="46">
        <v>2</v>
      </c>
      <c r="CE21" s="46">
        <v>1</v>
      </c>
      <c r="CF21" s="46">
        <v>1</v>
      </c>
      <c r="CG21" s="46">
        <v>1</v>
      </c>
      <c r="CH21" s="46">
        <v>1</v>
      </c>
      <c r="CI21" s="46">
        <v>2</v>
      </c>
      <c r="CJ21" s="46">
        <v>1</v>
      </c>
      <c r="CK21" s="46">
        <v>2</v>
      </c>
      <c r="CL21" s="46">
        <v>2</v>
      </c>
      <c r="CM21" s="46">
        <v>2</v>
      </c>
      <c r="CN21" s="46">
        <v>2</v>
      </c>
      <c r="CO21" s="46">
        <v>2</v>
      </c>
      <c r="CP21" s="46">
        <v>2</v>
      </c>
      <c r="CQ21" s="46">
        <v>1</v>
      </c>
      <c r="CR21" s="46">
        <v>2</v>
      </c>
      <c r="CS21" s="46">
        <v>1</v>
      </c>
      <c r="CT21" s="46">
        <v>1</v>
      </c>
      <c r="CU21" s="46">
        <v>1</v>
      </c>
      <c r="CV21" s="46">
        <v>1</v>
      </c>
      <c r="CW21" s="46">
        <v>2</v>
      </c>
      <c r="CX21" s="46">
        <v>2</v>
      </c>
      <c r="CY21" s="46">
        <v>1</v>
      </c>
      <c r="CZ21" s="46">
        <v>2</v>
      </c>
      <c r="DA21" s="46">
        <v>1</v>
      </c>
      <c r="DB21" s="46">
        <v>2</v>
      </c>
      <c r="DC21" s="46">
        <v>2</v>
      </c>
      <c r="DD21" s="46">
        <v>2</v>
      </c>
      <c r="DE21" s="46">
        <v>2</v>
      </c>
      <c r="DF21" s="46">
        <v>1</v>
      </c>
      <c r="DG21" s="46">
        <v>2</v>
      </c>
      <c r="DH21" s="46">
        <v>1</v>
      </c>
      <c r="DI21" s="46">
        <v>1</v>
      </c>
      <c r="DJ21" s="46">
        <v>1</v>
      </c>
      <c r="DK21" s="46">
        <v>1</v>
      </c>
      <c r="DL21" s="46">
        <v>2</v>
      </c>
      <c r="DM21" s="46">
        <v>2</v>
      </c>
      <c r="DN21" s="46">
        <v>2</v>
      </c>
      <c r="DO21" s="46">
        <v>1</v>
      </c>
      <c r="DP21" s="46">
        <v>2</v>
      </c>
      <c r="DQ21" s="46">
        <v>2</v>
      </c>
      <c r="DR21" s="46">
        <v>0</v>
      </c>
      <c r="DS21" s="46">
        <v>1</v>
      </c>
      <c r="DT21" s="46">
        <v>1</v>
      </c>
      <c r="DU21" s="46">
        <v>2</v>
      </c>
      <c r="DV21" s="46">
        <v>1</v>
      </c>
      <c r="DW21" s="46">
        <v>2</v>
      </c>
      <c r="DX21" s="46">
        <v>2</v>
      </c>
      <c r="DY21" s="46">
        <v>1</v>
      </c>
      <c r="DZ21" s="46">
        <v>2</v>
      </c>
      <c r="EA21" s="46">
        <v>2</v>
      </c>
      <c r="EB21" s="46">
        <v>2</v>
      </c>
      <c r="EC21" s="46">
        <v>2</v>
      </c>
      <c r="ED21" s="46">
        <v>1</v>
      </c>
      <c r="EE21" s="46">
        <v>1</v>
      </c>
      <c r="EF21" s="46">
        <v>1</v>
      </c>
      <c r="EG21" s="46">
        <v>1</v>
      </c>
      <c r="EH21" s="46">
        <v>2</v>
      </c>
      <c r="EI21" s="46">
        <v>2</v>
      </c>
      <c r="EJ21" s="46">
        <v>1</v>
      </c>
      <c r="EK21" s="46">
        <v>2</v>
      </c>
      <c r="EL21" s="46">
        <v>1</v>
      </c>
      <c r="EM21" s="46">
        <v>2</v>
      </c>
      <c r="EN21" s="46">
        <v>1</v>
      </c>
      <c r="EO21" s="46">
        <v>1</v>
      </c>
      <c r="EP21" s="46">
        <v>2</v>
      </c>
      <c r="EQ21" s="46">
        <v>2</v>
      </c>
      <c r="ER21" s="46">
        <v>2</v>
      </c>
      <c r="ES21" s="46">
        <v>1</v>
      </c>
      <c r="ET21" s="46">
        <v>1</v>
      </c>
      <c r="EU21" s="46">
        <v>1</v>
      </c>
      <c r="EV21" s="46">
        <v>1</v>
      </c>
      <c r="EW21" s="46">
        <v>2</v>
      </c>
      <c r="EX21" s="46">
        <v>2</v>
      </c>
      <c r="EY21" s="46">
        <v>1</v>
      </c>
      <c r="EZ21" s="46">
        <v>2</v>
      </c>
      <c r="FA21" s="46">
        <v>1</v>
      </c>
      <c r="FB21" s="46">
        <v>1</v>
      </c>
      <c r="FC21" s="46">
        <v>2</v>
      </c>
      <c r="FD21" s="46">
        <v>2</v>
      </c>
      <c r="FE21" s="46">
        <v>2</v>
      </c>
      <c r="FF21" s="46">
        <v>1</v>
      </c>
      <c r="FG21" s="46">
        <v>1</v>
      </c>
      <c r="FH21" s="46">
        <v>2</v>
      </c>
    </row>
    <row r="22" spans="1:164" s="31" customFormat="1" x14ac:dyDescent="0.2">
      <c r="A22" s="35" t="s">
        <v>353</v>
      </c>
      <c r="B22" s="30" t="s">
        <v>265</v>
      </c>
      <c r="C22" s="30" t="s">
        <v>293</v>
      </c>
      <c r="D22" s="39" t="s">
        <v>253</v>
      </c>
      <c r="E22" s="46">
        <v>2</v>
      </c>
      <c r="F22" s="46">
        <v>1</v>
      </c>
      <c r="G22" s="46">
        <v>2</v>
      </c>
      <c r="H22" s="30">
        <v>1</v>
      </c>
      <c r="I22" s="30">
        <v>1</v>
      </c>
      <c r="J22" s="30">
        <v>2</v>
      </c>
      <c r="K22" s="46">
        <v>1</v>
      </c>
      <c r="L22" s="46">
        <v>1</v>
      </c>
      <c r="M22" s="46">
        <v>2</v>
      </c>
      <c r="N22" s="46">
        <v>1</v>
      </c>
      <c r="O22" s="46">
        <v>2</v>
      </c>
      <c r="P22" s="46">
        <v>1</v>
      </c>
      <c r="Q22" s="46">
        <v>1</v>
      </c>
      <c r="R22" s="46">
        <v>1</v>
      </c>
      <c r="S22" s="46">
        <v>2</v>
      </c>
      <c r="T22" s="46">
        <v>2</v>
      </c>
      <c r="U22" s="46">
        <v>1</v>
      </c>
      <c r="V22" s="46">
        <v>1</v>
      </c>
      <c r="W22" s="46">
        <v>2</v>
      </c>
      <c r="X22" s="46">
        <v>2</v>
      </c>
      <c r="Y22" s="46">
        <v>2</v>
      </c>
      <c r="Z22" s="46">
        <v>1</v>
      </c>
      <c r="AA22" s="46">
        <v>1</v>
      </c>
      <c r="AB22" s="46">
        <v>1</v>
      </c>
      <c r="AC22" s="46">
        <v>1</v>
      </c>
      <c r="AD22" s="46">
        <v>1</v>
      </c>
      <c r="AE22" s="46">
        <v>1</v>
      </c>
      <c r="AF22" s="46">
        <v>1</v>
      </c>
      <c r="AG22" s="46">
        <v>2</v>
      </c>
      <c r="AH22" s="46">
        <v>1</v>
      </c>
      <c r="AI22" s="46">
        <v>1</v>
      </c>
      <c r="AJ22" s="46">
        <v>1</v>
      </c>
      <c r="AK22" s="46">
        <v>2</v>
      </c>
      <c r="AL22" s="46">
        <v>1</v>
      </c>
      <c r="AM22" s="46">
        <v>2</v>
      </c>
      <c r="AN22" s="46">
        <v>1</v>
      </c>
      <c r="AO22" s="46">
        <v>2</v>
      </c>
      <c r="AP22" s="46">
        <v>1</v>
      </c>
      <c r="AQ22" s="46">
        <v>1</v>
      </c>
      <c r="AR22" s="46">
        <v>2</v>
      </c>
      <c r="AS22" s="46">
        <v>1</v>
      </c>
      <c r="AT22" s="46">
        <v>2</v>
      </c>
      <c r="AU22" s="46">
        <v>2</v>
      </c>
      <c r="AV22" s="46">
        <v>2</v>
      </c>
      <c r="AW22" s="46">
        <v>2</v>
      </c>
      <c r="AX22" s="46">
        <v>1</v>
      </c>
      <c r="AY22" s="46">
        <v>1</v>
      </c>
      <c r="AZ22" s="46">
        <v>2</v>
      </c>
      <c r="BA22" s="46">
        <v>1</v>
      </c>
      <c r="BB22" s="46">
        <v>1</v>
      </c>
      <c r="BC22" s="46">
        <v>1</v>
      </c>
      <c r="BD22" s="46">
        <v>2</v>
      </c>
      <c r="BE22" s="46">
        <v>2</v>
      </c>
      <c r="BF22" s="46">
        <v>1</v>
      </c>
      <c r="BG22" s="46">
        <v>2</v>
      </c>
      <c r="BH22" s="46">
        <v>2</v>
      </c>
      <c r="BI22" s="46">
        <v>2</v>
      </c>
      <c r="BJ22" s="46">
        <v>1</v>
      </c>
      <c r="BK22" s="46">
        <v>2</v>
      </c>
      <c r="BL22" s="46">
        <v>1</v>
      </c>
      <c r="BM22" s="46">
        <v>1</v>
      </c>
      <c r="BN22" s="46">
        <v>2</v>
      </c>
      <c r="BO22" s="46">
        <v>2</v>
      </c>
      <c r="BP22" s="46">
        <v>1</v>
      </c>
      <c r="BQ22" s="46">
        <v>1</v>
      </c>
      <c r="BR22" s="46">
        <v>1</v>
      </c>
      <c r="BS22" s="46">
        <v>1</v>
      </c>
      <c r="BT22" s="46">
        <v>2</v>
      </c>
      <c r="BU22" s="46">
        <v>1</v>
      </c>
      <c r="BV22" s="46">
        <v>1</v>
      </c>
      <c r="BW22" s="46">
        <v>1</v>
      </c>
      <c r="BX22" s="46">
        <v>1</v>
      </c>
      <c r="BY22" s="46">
        <v>2</v>
      </c>
      <c r="BZ22" s="46">
        <v>1</v>
      </c>
      <c r="CA22" s="46">
        <v>1</v>
      </c>
      <c r="CB22" s="46">
        <v>2</v>
      </c>
      <c r="CC22" s="46">
        <v>1</v>
      </c>
      <c r="CD22" s="46">
        <v>2</v>
      </c>
      <c r="CE22" s="46">
        <v>1</v>
      </c>
      <c r="CF22" s="46">
        <v>1</v>
      </c>
      <c r="CG22" s="46">
        <v>1</v>
      </c>
      <c r="CH22" s="46">
        <v>1</v>
      </c>
      <c r="CI22" s="46">
        <v>1</v>
      </c>
      <c r="CJ22" s="46">
        <v>2</v>
      </c>
      <c r="CK22" s="46">
        <v>1</v>
      </c>
      <c r="CL22" s="46">
        <v>1</v>
      </c>
      <c r="CM22" s="46">
        <v>1</v>
      </c>
      <c r="CN22" s="46">
        <v>1</v>
      </c>
      <c r="CO22" s="46">
        <v>1</v>
      </c>
      <c r="CP22" s="46">
        <v>1</v>
      </c>
      <c r="CQ22" s="46">
        <v>1</v>
      </c>
      <c r="CR22" s="46">
        <v>1</v>
      </c>
      <c r="CS22" s="46">
        <v>1</v>
      </c>
      <c r="CT22" s="46">
        <v>1</v>
      </c>
      <c r="CU22" s="46">
        <v>1</v>
      </c>
      <c r="CV22" s="46">
        <v>1</v>
      </c>
      <c r="CW22" s="46">
        <v>2</v>
      </c>
      <c r="CX22" s="46">
        <v>1</v>
      </c>
      <c r="CY22" s="46">
        <v>1</v>
      </c>
      <c r="CZ22" s="46">
        <v>1</v>
      </c>
      <c r="DA22" s="46">
        <v>1</v>
      </c>
      <c r="DB22" s="46">
        <v>1</v>
      </c>
      <c r="DC22" s="46">
        <v>2</v>
      </c>
      <c r="DD22" s="46">
        <v>1</v>
      </c>
      <c r="DE22" s="46">
        <v>1</v>
      </c>
      <c r="DF22" s="46">
        <v>2</v>
      </c>
      <c r="DG22" s="46">
        <v>2</v>
      </c>
      <c r="DH22" s="46">
        <v>1</v>
      </c>
      <c r="DI22" s="46">
        <v>1</v>
      </c>
      <c r="DJ22" s="46">
        <v>1</v>
      </c>
      <c r="DK22" s="46">
        <v>1</v>
      </c>
      <c r="DL22" s="46">
        <v>2</v>
      </c>
      <c r="DM22" s="46">
        <v>1</v>
      </c>
      <c r="DN22" s="46">
        <v>2</v>
      </c>
      <c r="DO22" s="46">
        <v>1</v>
      </c>
      <c r="DP22" s="46">
        <v>2</v>
      </c>
      <c r="DQ22" s="46">
        <v>1</v>
      </c>
      <c r="DR22" s="46">
        <v>1</v>
      </c>
      <c r="DS22" s="46">
        <v>2</v>
      </c>
      <c r="DT22" s="46">
        <v>2</v>
      </c>
      <c r="DU22" s="46">
        <v>1</v>
      </c>
      <c r="DV22" s="46">
        <v>1</v>
      </c>
      <c r="DW22" s="46">
        <v>1</v>
      </c>
      <c r="DX22" s="46">
        <v>2</v>
      </c>
      <c r="DY22" s="46">
        <v>1</v>
      </c>
      <c r="DZ22" s="46">
        <v>2</v>
      </c>
      <c r="EA22" s="46">
        <v>1</v>
      </c>
      <c r="EB22" s="46">
        <v>1</v>
      </c>
      <c r="EC22" s="46">
        <v>1</v>
      </c>
      <c r="ED22" s="46">
        <v>1</v>
      </c>
      <c r="EE22" s="46">
        <v>1</v>
      </c>
      <c r="EF22" s="46">
        <v>1</v>
      </c>
      <c r="EG22" s="46">
        <v>1</v>
      </c>
      <c r="EH22" s="46">
        <v>2</v>
      </c>
      <c r="EI22" s="46">
        <v>1</v>
      </c>
      <c r="EJ22" s="46">
        <v>1</v>
      </c>
      <c r="EK22" s="46">
        <v>2</v>
      </c>
      <c r="EL22" s="46">
        <v>1</v>
      </c>
      <c r="EM22" s="46">
        <v>2</v>
      </c>
      <c r="EN22" s="46">
        <v>2</v>
      </c>
      <c r="EO22" s="46">
        <v>1</v>
      </c>
      <c r="EP22" s="46">
        <v>2</v>
      </c>
      <c r="EQ22" s="46">
        <v>1</v>
      </c>
      <c r="ER22" s="46">
        <v>2</v>
      </c>
      <c r="ES22" s="46">
        <v>1</v>
      </c>
      <c r="ET22" s="46">
        <v>2</v>
      </c>
      <c r="EU22" s="46">
        <v>1</v>
      </c>
      <c r="EV22" s="46">
        <v>2</v>
      </c>
      <c r="EW22" s="46">
        <v>1</v>
      </c>
      <c r="EX22" s="46">
        <v>1</v>
      </c>
      <c r="EY22" s="46">
        <v>1</v>
      </c>
      <c r="EZ22" s="46">
        <v>2</v>
      </c>
      <c r="FA22" s="46">
        <v>1</v>
      </c>
      <c r="FB22" s="46">
        <v>1</v>
      </c>
      <c r="FC22" s="46">
        <v>1</v>
      </c>
      <c r="FD22" s="46">
        <v>2</v>
      </c>
      <c r="FE22" s="46">
        <v>2</v>
      </c>
      <c r="FF22" s="46">
        <v>2</v>
      </c>
      <c r="FG22" s="46">
        <v>2</v>
      </c>
      <c r="FH22" s="46">
        <v>1</v>
      </c>
    </row>
    <row r="23" spans="1:164" s="31" customFormat="1" x14ac:dyDescent="0.2">
      <c r="A23" s="35" t="s">
        <v>352</v>
      </c>
      <c r="B23" s="30" t="s">
        <v>261</v>
      </c>
      <c r="C23" s="30" t="s">
        <v>293</v>
      </c>
      <c r="D23" s="39" t="s">
        <v>253</v>
      </c>
      <c r="E23" s="46">
        <v>1</v>
      </c>
      <c r="F23" s="46">
        <v>1</v>
      </c>
      <c r="G23" s="46">
        <v>1</v>
      </c>
      <c r="H23" s="30">
        <v>1</v>
      </c>
      <c r="I23" s="30">
        <v>1</v>
      </c>
      <c r="J23" s="30">
        <v>1</v>
      </c>
      <c r="K23" s="46">
        <v>1</v>
      </c>
      <c r="L23" s="46">
        <v>1</v>
      </c>
      <c r="M23" s="46">
        <v>1</v>
      </c>
      <c r="N23" s="46">
        <v>1</v>
      </c>
      <c r="O23" s="46">
        <v>2</v>
      </c>
      <c r="P23" s="46">
        <v>2</v>
      </c>
      <c r="Q23" s="46">
        <v>2</v>
      </c>
      <c r="R23" s="46">
        <v>2</v>
      </c>
      <c r="S23" s="46">
        <v>1</v>
      </c>
      <c r="T23" s="46">
        <v>2</v>
      </c>
      <c r="U23" s="46">
        <v>1</v>
      </c>
      <c r="V23" s="46">
        <v>1</v>
      </c>
      <c r="W23" s="46">
        <v>2</v>
      </c>
      <c r="X23" s="46">
        <v>2</v>
      </c>
      <c r="Y23" s="46">
        <v>2</v>
      </c>
      <c r="Z23" s="46">
        <v>2</v>
      </c>
      <c r="AA23" s="46">
        <v>1</v>
      </c>
      <c r="AB23" s="46">
        <v>2</v>
      </c>
      <c r="AC23" s="46">
        <v>2</v>
      </c>
      <c r="AD23" s="46">
        <v>2</v>
      </c>
      <c r="AE23" s="46">
        <v>1</v>
      </c>
      <c r="AF23" s="46">
        <v>2</v>
      </c>
      <c r="AG23" s="46">
        <v>2</v>
      </c>
      <c r="AH23" s="46">
        <v>2</v>
      </c>
      <c r="AI23" s="46">
        <v>1</v>
      </c>
      <c r="AJ23" s="46">
        <v>2</v>
      </c>
      <c r="AK23" s="46">
        <v>2</v>
      </c>
      <c r="AL23" s="46">
        <v>2</v>
      </c>
      <c r="AM23" s="46">
        <v>2</v>
      </c>
      <c r="AN23" s="46">
        <v>2</v>
      </c>
      <c r="AO23" s="46">
        <v>2</v>
      </c>
      <c r="AP23" s="46">
        <v>2</v>
      </c>
      <c r="AQ23" s="46">
        <v>1</v>
      </c>
      <c r="AR23" s="46">
        <v>2</v>
      </c>
      <c r="AS23" s="46">
        <v>2</v>
      </c>
      <c r="AT23" s="46">
        <v>1</v>
      </c>
      <c r="AU23" s="46">
        <v>2</v>
      </c>
      <c r="AV23" s="46">
        <v>1</v>
      </c>
      <c r="AW23" s="46">
        <v>1</v>
      </c>
      <c r="AX23" s="46">
        <v>1</v>
      </c>
      <c r="AY23" s="46">
        <v>2</v>
      </c>
      <c r="AZ23" s="46">
        <v>2</v>
      </c>
      <c r="BA23" s="46">
        <v>2</v>
      </c>
      <c r="BB23" s="46">
        <v>1</v>
      </c>
      <c r="BC23" s="46">
        <v>1</v>
      </c>
      <c r="BD23" s="46">
        <v>2</v>
      </c>
      <c r="BE23" s="46">
        <v>2</v>
      </c>
      <c r="BF23" s="46">
        <v>2</v>
      </c>
      <c r="BG23" s="46">
        <v>1</v>
      </c>
      <c r="BH23" s="46">
        <v>2</v>
      </c>
      <c r="BI23" s="46">
        <v>2</v>
      </c>
      <c r="BJ23" s="46">
        <v>2</v>
      </c>
      <c r="BK23" s="46">
        <v>2</v>
      </c>
      <c r="BL23" s="46">
        <v>2</v>
      </c>
      <c r="BM23" s="46">
        <v>2</v>
      </c>
      <c r="BN23" s="46">
        <v>2</v>
      </c>
      <c r="BO23" s="46">
        <v>1</v>
      </c>
      <c r="BP23" s="46">
        <v>2</v>
      </c>
      <c r="BQ23" s="46">
        <v>2</v>
      </c>
      <c r="BR23" s="46">
        <v>2</v>
      </c>
      <c r="BS23" s="46">
        <v>2</v>
      </c>
      <c r="BT23" s="46">
        <v>2</v>
      </c>
      <c r="BU23" s="46">
        <v>2</v>
      </c>
      <c r="BV23" s="46">
        <v>2</v>
      </c>
      <c r="BW23" s="46">
        <v>2</v>
      </c>
      <c r="BX23" s="46">
        <v>2</v>
      </c>
      <c r="BY23" s="46">
        <v>2</v>
      </c>
      <c r="BZ23" s="46">
        <v>2</v>
      </c>
      <c r="CA23" s="46">
        <v>2</v>
      </c>
      <c r="CB23" s="46">
        <v>2</v>
      </c>
      <c r="CC23" s="46">
        <v>1</v>
      </c>
      <c r="CD23" s="46">
        <v>2</v>
      </c>
      <c r="CE23" s="46">
        <v>1</v>
      </c>
      <c r="CF23" s="46">
        <v>1</v>
      </c>
      <c r="CG23" s="46">
        <v>1</v>
      </c>
      <c r="CH23" s="46">
        <v>2</v>
      </c>
      <c r="CI23" s="46">
        <v>2</v>
      </c>
      <c r="CJ23" s="46">
        <v>2</v>
      </c>
      <c r="CK23" s="46">
        <v>2</v>
      </c>
      <c r="CL23" s="46">
        <v>2</v>
      </c>
      <c r="CM23" s="46">
        <v>1</v>
      </c>
      <c r="CN23" s="46">
        <v>2</v>
      </c>
      <c r="CO23" s="46">
        <v>2</v>
      </c>
      <c r="CP23" s="46">
        <v>2</v>
      </c>
      <c r="CQ23" s="46">
        <v>2</v>
      </c>
      <c r="CR23" s="46">
        <v>2</v>
      </c>
      <c r="CS23" s="46">
        <v>1</v>
      </c>
      <c r="CT23" s="46">
        <v>2</v>
      </c>
      <c r="CU23" s="46">
        <v>2</v>
      </c>
      <c r="CV23" s="46">
        <v>1</v>
      </c>
      <c r="CW23" s="46">
        <v>2</v>
      </c>
      <c r="CX23" s="46">
        <v>2</v>
      </c>
      <c r="CY23" s="46">
        <v>2</v>
      </c>
      <c r="CZ23" s="46">
        <v>2</v>
      </c>
      <c r="DA23" s="46">
        <v>2</v>
      </c>
      <c r="DB23" s="46">
        <v>1</v>
      </c>
      <c r="DC23" s="46">
        <v>2</v>
      </c>
      <c r="DD23" s="46">
        <v>2</v>
      </c>
      <c r="DE23" s="46">
        <v>2</v>
      </c>
      <c r="DF23" s="46">
        <v>2</v>
      </c>
      <c r="DG23" s="46">
        <v>2</v>
      </c>
      <c r="DH23" s="46">
        <v>1</v>
      </c>
      <c r="DI23" s="46">
        <v>1</v>
      </c>
      <c r="DJ23" s="46">
        <v>2</v>
      </c>
      <c r="DK23" s="46">
        <v>2</v>
      </c>
      <c r="DL23" s="46">
        <v>2</v>
      </c>
      <c r="DM23" s="46">
        <v>2</v>
      </c>
      <c r="DN23" s="46">
        <v>2</v>
      </c>
      <c r="DO23" s="46">
        <v>2</v>
      </c>
      <c r="DP23" s="46">
        <v>1</v>
      </c>
      <c r="DQ23" s="46">
        <v>2</v>
      </c>
      <c r="DR23" s="46">
        <v>1</v>
      </c>
      <c r="DS23" s="46">
        <v>2</v>
      </c>
      <c r="DT23" s="46">
        <v>2</v>
      </c>
      <c r="DU23" s="46">
        <v>2</v>
      </c>
      <c r="DV23" s="46">
        <v>2</v>
      </c>
      <c r="DW23" s="46">
        <v>2</v>
      </c>
      <c r="DX23" s="46">
        <v>2</v>
      </c>
      <c r="DY23" s="46">
        <v>1</v>
      </c>
      <c r="DZ23" s="46">
        <v>2</v>
      </c>
      <c r="EA23" s="46">
        <v>2</v>
      </c>
      <c r="EB23" s="46">
        <v>2</v>
      </c>
      <c r="EC23" s="46">
        <v>1</v>
      </c>
      <c r="ED23" s="46">
        <v>1</v>
      </c>
      <c r="EE23" s="46">
        <v>2</v>
      </c>
      <c r="EF23" s="46">
        <v>2</v>
      </c>
      <c r="EG23" s="46">
        <v>1</v>
      </c>
      <c r="EH23" s="46">
        <v>2</v>
      </c>
      <c r="EI23" s="46">
        <v>2</v>
      </c>
      <c r="EJ23" s="46">
        <v>1</v>
      </c>
      <c r="EK23" s="46">
        <v>2</v>
      </c>
      <c r="EL23" s="46">
        <v>2</v>
      </c>
      <c r="EM23" s="46">
        <v>2</v>
      </c>
      <c r="EN23" s="46">
        <v>2</v>
      </c>
      <c r="EO23" s="46">
        <v>2</v>
      </c>
      <c r="EP23" s="46">
        <v>2</v>
      </c>
      <c r="EQ23" s="46">
        <v>2</v>
      </c>
      <c r="ER23" s="46">
        <v>2</v>
      </c>
      <c r="ES23" s="46">
        <v>2</v>
      </c>
      <c r="ET23" s="46">
        <v>2</v>
      </c>
      <c r="EU23" s="46">
        <v>2</v>
      </c>
      <c r="EV23" s="46">
        <v>1</v>
      </c>
      <c r="EW23" s="46">
        <v>2</v>
      </c>
      <c r="EX23" s="46">
        <v>2</v>
      </c>
      <c r="EY23" s="46">
        <v>1</v>
      </c>
      <c r="EZ23" s="46">
        <v>2</v>
      </c>
      <c r="FA23" s="46">
        <v>2</v>
      </c>
      <c r="FB23" s="46">
        <v>2</v>
      </c>
      <c r="FC23" s="46">
        <v>2</v>
      </c>
      <c r="FD23" s="46">
        <v>2</v>
      </c>
      <c r="FE23" s="46">
        <v>2</v>
      </c>
      <c r="FF23" s="46">
        <v>2</v>
      </c>
      <c r="FG23" s="46">
        <v>1</v>
      </c>
      <c r="FH23" s="46">
        <v>2</v>
      </c>
    </row>
    <row r="24" spans="1:164" s="31" customFormat="1" x14ac:dyDescent="0.2">
      <c r="A24" s="35" t="s">
        <v>351</v>
      </c>
      <c r="B24" s="30" t="s">
        <v>266</v>
      </c>
      <c r="C24" s="30" t="s">
        <v>293</v>
      </c>
      <c r="D24" s="39" t="s">
        <v>253</v>
      </c>
      <c r="E24" s="46">
        <v>1</v>
      </c>
      <c r="F24" s="46">
        <v>1</v>
      </c>
      <c r="G24" s="46">
        <v>1</v>
      </c>
      <c r="H24" s="30">
        <v>1</v>
      </c>
      <c r="I24" s="30">
        <v>1</v>
      </c>
      <c r="J24" s="30">
        <v>1</v>
      </c>
      <c r="K24" s="46">
        <v>1</v>
      </c>
      <c r="L24" s="46">
        <v>1</v>
      </c>
      <c r="M24" s="46">
        <v>1</v>
      </c>
      <c r="N24" s="46">
        <v>2</v>
      </c>
      <c r="O24" s="46">
        <v>1</v>
      </c>
      <c r="P24" s="46">
        <v>2</v>
      </c>
      <c r="Q24" s="46">
        <v>1</v>
      </c>
      <c r="R24" s="46">
        <v>2</v>
      </c>
      <c r="S24" s="46">
        <v>2</v>
      </c>
      <c r="T24" s="46">
        <v>1</v>
      </c>
      <c r="U24" s="46">
        <v>1</v>
      </c>
      <c r="V24" s="46">
        <v>2</v>
      </c>
      <c r="W24" s="46">
        <v>2</v>
      </c>
      <c r="X24" s="46">
        <v>2</v>
      </c>
      <c r="Y24" s="46">
        <v>1</v>
      </c>
      <c r="Z24" s="46">
        <v>1</v>
      </c>
      <c r="AA24" s="46">
        <v>1</v>
      </c>
      <c r="AB24" s="46">
        <v>2</v>
      </c>
      <c r="AC24" s="46">
        <v>1</v>
      </c>
      <c r="AD24" s="46">
        <v>1</v>
      </c>
      <c r="AE24" s="46">
        <v>1</v>
      </c>
      <c r="AF24" s="46">
        <v>2</v>
      </c>
      <c r="AG24" s="46">
        <v>1</v>
      </c>
      <c r="AH24" s="46">
        <v>2</v>
      </c>
      <c r="AI24" s="46">
        <v>1</v>
      </c>
      <c r="AJ24" s="46">
        <v>2</v>
      </c>
      <c r="AK24" s="46">
        <v>2</v>
      </c>
      <c r="AL24" s="46">
        <v>1</v>
      </c>
      <c r="AM24" s="46">
        <v>1</v>
      </c>
      <c r="AN24" s="46">
        <v>1</v>
      </c>
      <c r="AO24" s="46">
        <v>1</v>
      </c>
      <c r="AP24" s="46">
        <v>1</v>
      </c>
      <c r="AQ24" s="46">
        <v>2</v>
      </c>
      <c r="AR24" s="46">
        <v>2</v>
      </c>
      <c r="AS24" s="46">
        <v>2</v>
      </c>
      <c r="AT24" s="46">
        <v>1</v>
      </c>
      <c r="AU24" s="46">
        <v>2</v>
      </c>
      <c r="AV24" s="46">
        <v>1</v>
      </c>
      <c r="AW24" s="46">
        <v>0</v>
      </c>
      <c r="AX24" s="46">
        <v>1</v>
      </c>
      <c r="AY24" s="46">
        <v>2</v>
      </c>
      <c r="AZ24" s="46">
        <v>2</v>
      </c>
      <c r="BA24" s="46">
        <v>2</v>
      </c>
      <c r="BB24" s="46">
        <v>1</v>
      </c>
      <c r="BC24" s="46">
        <v>2</v>
      </c>
      <c r="BD24" s="46">
        <v>2</v>
      </c>
      <c r="BE24" s="46">
        <v>2</v>
      </c>
      <c r="BF24" s="46">
        <v>1</v>
      </c>
      <c r="BG24" s="46">
        <v>2</v>
      </c>
      <c r="BH24" s="46">
        <v>2</v>
      </c>
      <c r="BI24" s="46">
        <v>2</v>
      </c>
      <c r="BJ24" s="46">
        <v>1</v>
      </c>
      <c r="BK24" s="46">
        <v>2</v>
      </c>
      <c r="BL24" s="46">
        <v>2</v>
      </c>
      <c r="BM24" s="46">
        <v>1</v>
      </c>
      <c r="BN24" s="46">
        <v>2</v>
      </c>
      <c r="BO24" s="46">
        <v>2</v>
      </c>
      <c r="BP24" s="46">
        <v>1</v>
      </c>
      <c r="BQ24" s="46">
        <v>1</v>
      </c>
      <c r="BR24" s="46">
        <v>2</v>
      </c>
      <c r="BS24" s="46">
        <v>2</v>
      </c>
      <c r="BT24" s="46">
        <v>2</v>
      </c>
      <c r="BU24" s="46">
        <v>1</v>
      </c>
      <c r="BV24" s="46">
        <v>2</v>
      </c>
      <c r="BW24" s="46">
        <v>1</v>
      </c>
      <c r="BX24" s="46">
        <v>2</v>
      </c>
      <c r="BY24" s="46">
        <v>0</v>
      </c>
      <c r="BZ24" s="46">
        <v>1</v>
      </c>
      <c r="CA24" s="46">
        <v>2</v>
      </c>
      <c r="CB24" s="46">
        <v>2</v>
      </c>
      <c r="CC24" s="46">
        <v>2</v>
      </c>
      <c r="CD24" s="46">
        <v>2</v>
      </c>
      <c r="CE24" s="46">
        <v>2</v>
      </c>
      <c r="CF24" s="46">
        <v>1</v>
      </c>
      <c r="CG24" s="46">
        <v>1</v>
      </c>
      <c r="CH24" s="46">
        <v>2</v>
      </c>
      <c r="CI24" s="46">
        <v>2</v>
      </c>
      <c r="CJ24" s="46">
        <v>1</v>
      </c>
      <c r="CK24" s="46">
        <v>2</v>
      </c>
      <c r="CL24" s="46">
        <v>2</v>
      </c>
      <c r="CM24" s="46">
        <v>2</v>
      </c>
      <c r="CN24" s="46">
        <v>1</v>
      </c>
      <c r="CO24" s="46">
        <v>2</v>
      </c>
      <c r="CP24" s="46">
        <v>2</v>
      </c>
      <c r="CQ24" s="46">
        <v>1</v>
      </c>
      <c r="CR24" s="46">
        <v>2</v>
      </c>
      <c r="CS24" s="46">
        <v>1</v>
      </c>
      <c r="CT24" s="46">
        <v>2</v>
      </c>
      <c r="CU24" s="46">
        <v>2</v>
      </c>
      <c r="CV24" s="46">
        <v>1</v>
      </c>
      <c r="CW24" s="46">
        <v>2</v>
      </c>
      <c r="CX24" s="46">
        <v>2</v>
      </c>
      <c r="CY24" s="46">
        <v>1</v>
      </c>
      <c r="CZ24" s="46">
        <v>2</v>
      </c>
      <c r="DA24" s="46">
        <v>2</v>
      </c>
      <c r="DB24" s="46">
        <v>2</v>
      </c>
      <c r="DC24" s="46">
        <v>2</v>
      </c>
      <c r="DD24" s="46">
        <v>2</v>
      </c>
      <c r="DE24" s="46">
        <v>1</v>
      </c>
      <c r="DF24" s="46">
        <v>1</v>
      </c>
      <c r="DG24" s="46">
        <v>1</v>
      </c>
      <c r="DH24" s="46">
        <v>1</v>
      </c>
      <c r="DI24" s="46">
        <v>2</v>
      </c>
      <c r="DJ24" s="46">
        <v>1</v>
      </c>
      <c r="DK24" s="46">
        <v>2</v>
      </c>
      <c r="DL24" s="46">
        <v>1</v>
      </c>
      <c r="DM24" s="46">
        <v>2</v>
      </c>
      <c r="DN24" s="46">
        <v>2</v>
      </c>
      <c r="DO24" s="46">
        <v>2</v>
      </c>
      <c r="DP24" s="46">
        <v>2</v>
      </c>
      <c r="DQ24" s="46">
        <v>2</v>
      </c>
      <c r="DR24" s="46">
        <v>1</v>
      </c>
      <c r="DS24" s="46">
        <v>2</v>
      </c>
      <c r="DT24" s="46">
        <v>2</v>
      </c>
      <c r="DU24" s="46">
        <v>2</v>
      </c>
      <c r="DV24" s="46">
        <v>1</v>
      </c>
      <c r="DW24" s="46">
        <v>2</v>
      </c>
      <c r="DX24" s="46">
        <v>2</v>
      </c>
      <c r="DY24" s="46">
        <v>1</v>
      </c>
      <c r="DZ24" s="46">
        <v>2</v>
      </c>
      <c r="EA24" s="46">
        <v>1</v>
      </c>
      <c r="EB24" s="46">
        <v>2</v>
      </c>
      <c r="EC24" s="46">
        <v>2</v>
      </c>
      <c r="ED24" s="46">
        <v>1</v>
      </c>
      <c r="EE24" s="46">
        <v>2</v>
      </c>
      <c r="EF24" s="46">
        <v>1</v>
      </c>
      <c r="EG24" s="46">
        <v>2</v>
      </c>
      <c r="EH24" s="46">
        <v>2</v>
      </c>
      <c r="EI24" s="46">
        <v>2</v>
      </c>
      <c r="EJ24" s="46">
        <v>2</v>
      </c>
      <c r="EK24" s="46">
        <v>2</v>
      </c>
      <c r="EL24" s="46">
        <v>2</v>
      </c>
      <c r="EM24" s="46">
        <v>2</v>
      </c>
      <c r="EN24" s="46">
        <v>1</v>
      </c>
      <c r="EO24" s="46">
        <v>2</v>
      </c>
      <c r="EP24" s="46">
        <v>1</v>
      </c>
      <c r="EQ24" s="46">
        <v>2</v>
      </c>
      <c r="ER24" s="46">
        <v>2</v>
      </c>
      <c r="ES24" s="46">
        <v>2</v>
      </c>
      <c r="ET24" s="46">
        <v>2</v>
      </c>
      <c r="EU24" s="46">
        <v>2</v>
      </c>
      <c r="EV24" s="46">
        <v>2</v>
      </c>
      <c r="EW24" s="46">
        <v>2</v>
      </c>
      <c r="EX24" s="46">
        <v>2</v>
      </c>
      <c r="EY24" s="46">
        <v>1</v>
      </c>
      <c r="EZ24" s="46">
        <v>2</v>
      </c>
      <c r="FA24" s="46">
        <v>1</v>
      </c>
      <c r="FB24" s="46">
        <v>2</v>
      </c>
      <c r="FC24" s="46">
        <v>2</v>
      </c>
      <c r="FD24" s="46">
        <v>2</v>
      </c>
      <c r="FE24" s="46">
        <v>2</v>
      </c>
      <c r="FF24" s="46">
        <v>2</v>
      </c>
      <c r="FG24" s="46">
        <v>1</v>
      </c>
      <c r="FH24" s="46">
        <v>2</v>
      </c>
    </row>
    <row r="25" spans="1:164" s="31" customFormat="1" x14ac:dyDescent="0.2">
      <c r="A25" s="35" t="s">
        <v>350</v>
      </c>
      <c r="B25" s="30" t="s">
        <v>268</v>
      </c>
      <c r="C25" s="30" t="s">
        <v>293</v>
      </c>
      <c r="D25" s="39" t="s">
        <v>253</v>
      </c>
      <c r="E25" s="46">
        <v>1</v>
      </c>
      <c r="F25" s="46">
        <v>1</v>
      </c>
      <c r="G25" s="46">
        <v>2</v>
      </c>
      <c r="H25" s="30">
        <v>1</v>
      </c>
      <c r="I25" s="30">
        <v>1</v>
      </c>
      <c r="J25" s="30">
        <v>1</v>
      </c>
      <c r="K25" s="46">
        <v>2</v>
      </c>
      <c r="L25" s="46">
        <v>1</v>
      </c>
      <c r="M25" s="46">
        <v>1</v>
      </c>
      <c r="N25" s="46">
        <v>1</v>
      </c>
      <c r="O25" s="46">
        <v>1</v>
      </c>
      <c r="P25" s="46">
        <v>2</v>
      </c>
      <c r="Q25" s="46">
        <v>1</v>
      </c>
      <c r="R25" s="46">
        <v>1</v>
      </c>
      <c r="S25" s="46">
        <v>1</v>
      </c>
      <c r="T25" s="46">
        <v>2</v>
      </c>
      <c r="U25" s="46">
        <v>1</v>
      </c>
      <c r="V25" s="46">
        <v>1</v>
      </c>
      <c r="W25" s="46">
        <v>1</v>
      </c>
      <c r="X25" s="46">
        <v>1</v>
      </c>
      <c r="Y25" s="46">
        <v>1</v>
      </c>
      <c r="Z25" s="46">
        <v>1</v>
      </c>
      <c r="AA25" s="46">
        <v>1</v>
      </c>
      <c r="AB25" s="46">
        <v>2</v>
      </c>
      <c r="AC25" s="46">
        <v>1</v>
      </c>
      <c r="AD25" s="46">
        <v>1</v>
      </c>
      <c r="AE25" s="46">
        <v>1</v>
      </c>
      <c r="AF25" s="46">
        <v>2</v>
      </c>
      <c r="AG25" s="46">
        <v>1</v>
      </c>
      <c r="AH25" s="46">
        <v>2</v>
      </c>
      <c r="AI25" s="46">
        <v>1</v>
      </c>
      <c r="AJ25" s="46">
        <v>1</v>
      </c>
      <c r="AK25" s="46">
        <v>1</v>
      </c>
      <c r="AL25" s="46">
        <v>1</v>
      </c>
      <c r="AM25" s="46">
        <v>2</v>
      </c>
      <c r="AN25" s="46">
        <v>1</v>
      </c>
      <c r="AO25" s="46">
        <v>1</v>
      </c>
      <c r="AP25" s="46">
        <v>2</v>
      </c>
      <c r="AQ25" s="46">
        <v>1</v>
      </c>
      <c r="AR25" s="46">
        <v>2</v>
      </c>
      <c r="AS25" s="46">
        <v>2</v>
      </c>
      <c r="AT25" s="46">
        <v>2</v>
      </c>
      <c r="AU25" s="46">
        <v>1</v>
      </c>
      <c r="AV25" s="46">
        <v>1</v>
      </c>
      <c r="AW25" s="46">
        <v>1</v>
      </c>
      <c r="AX25" s="46">
        <v>2</v>
      </c>
      <c r="AY25" s="46">
        <v>2</v>
      </c>
      <c r="AZ25" s="46">
        <v>1</v>
      </c>
      <c r="BA25" s="46">
        <v>2</v>
      </c>
      <c r="BB25" s="46">
        <v>1</v>
      </c>
      <c r="BC25" s="46">
        <v>1</v>
      </c>
      <c r="BD25" s="46">
        <v>2</v>
      </c>
      <c r="BE25" s="46">
        <v>1</v>
      </c>
      <c r="BF25" s="46">
        <v>1</v>
      </c>
      <c r="BG25" s="46">
        <v>1</v>
      </c>
      <c r="BH25" s="46">
        <v>1</v>
      </c>
      <c r="BI25" s="46">
        <v>2</v>
      </c>
      <c r="BJ25" s="46">
        <v>1</v>
      </c>
      <c r="BK25" s="46">
        <v>2</v>
      </c>
      <c r="BL25" s="46">
        <v>2</v>
      </c>
      <c r="BM25" s="46">
        <v>2</v>
      </c>
      <c r="BN25" s="46">
        <v>2</v>
      </c>
      <c r="BO25" s="46">
        <v>1</v>
      </c>
      <c r="BP25" s="46">
        <v>1</v>
      </c>
      <c r="BQ25" s="46">
        <v>0</v>
      </c>
      <c r="BR25" s="46">
        <v>1</v>
      </c>
      <c r="BS25" s="46">
        <v>2</v>
      </c>
      <c r="BT25" s="46">
        <v>1</v>
      </c>
      <c r="BU25" s="46">
        <v>1</v>
      </c>
      <c r="BV25" s="46">
        <v>1</v>
      </c>
      <c r="BW25" s="46">
        <v>1</v>
      </c>
      <c r="BX25" s="46">
        <v>1</v>
      </c>
      <c r="BY25" s="46">
        <v>2</v>
      </c>
      <c r="BZ25" s="46">
        <v>1</v>
      </c>
      <c r="CA25" s="46">
        <v>2</v>
      </c>
      <c r="CB25" s="46">
        <v>2</v>
      </c>
      <c r="CC25" s="46">
        <v>1</v>
      </c>
      <c r="CD25" s="46">
        <v>2</v>
      </c>
      <c r="CE25" s="46">
        <v>1</v>
      </c>
      <c r="CF25" s="46">
        <v>1</v>
      </c>
      <c r="CG25" s="46">
        <v>1</v>
      </c>
      <c r="CH25" s="46">
        <v>1</v>
      </c>
      <c r="CI25" s="46">
        <v>2</v>
      </c>
      <c r="CJ25" s="46">
        <v>1</v>
      </c>
      <c r="CK25" s="46">
        <v>1</v>
      </c>
      <c r="CL25" s="46">
        <v>1</v>
      </c>
      <c r="CM25" s="46">
        <v>1</v>
      </c>
      <c r="CN25" s="46">
        <v>2</v>
      </c>
      <c r="CO25" s="46">
        <v>1</v>
      </c>
      <c r="CP25" s="46">
        <v>2</v>
      </c>
      <c r="CQ25" s="46">
        <v>1</v>
      </c>
      <c r="CR25" s="46">
        <v>1</v>
      </c>
      <c r="CS25" s="46">
        <v>1</v>
      </c>
      <c r="CT25" s="46">
        <v>2</v>
      </c>
      <c r="CU25" s="46">
        <v>1</v>
      </c>
      <c r="CV25" s="46">
        <v>1</v>
      </c>
      <c r="CW25" s="46">
        <v>2</v>
      </c>
      <c r="CX25" s="46">
        <v>1</v>
      </c>
      <c r="CY25" s="46">
        <v>2</v>
      </c>
      <c r="CZ25" s="46">
        <v>2</v>
      </c>
      <c r="DA25" s="46">
        <v>1</v>
      </c>
      <c r="DB25" s="46">
        <v>1</v>
      </c>
      <c r="DC25" s="46">
        <v>1</v>
      </c>
      <c r="DD25" s="46">
        <v>1</v>
      </c>
      <c r="DE25" s="46">
        <v>1</v>
      </c>
      <c r="DF25" s="46">
        <v>1</v>
      </c>
      <c r="DG25" s="46">
        <v>1</v>
      </c>
      <c r="DH25" s="46">
        <v>1</v>
      </c>
      <c r="DI25" s="46">
        <v>2</v>
      </c>
      <c r="DJ25" s="46">
        <v>1</v>
      </c>
      <c r="DK25" s="46">
        <v>2</v>
      </c>
      <c r="DL25" s="46">
        <v>2</v>
      </c>
      <c r="DM25" s="46">
        <v>1</v>
      </c>
      <c r="DN25" s="46">
        <v>2</v>
      </c>
      <c r="DO25" s="46">
        <v>1</v>
      </c>
      <c r="DP25" s="46">
        <v>2</v>
      </c>
      <c r="DQ25" s="46">
        <v>2</v>
      </c>
      <c r="DR25" s="46">
        <v>1</v>
      </c>
      <c r="DS25" s="46">
        <v>2</v>
      </c>
      <c r="DT25" s="46">
        <v>2</v>
      </c>
      <c r="DU25" s="46">
        <v>2</v>
      </c>
      <c r="DV25" s="46">
        <v>2</v>
      </c>
      <c r="DW25" s="46">
        <v>2</v>
      </c>
      <c r="DX25" s="46">
        <v>2</v>
      </c>
      <c r="DY25" s="46">
        <v>1</v>
      </c>
      <c r="DZ25" s="46">
        <v>2</v>
      </c>
      <c r="EA25" s="46">
        <v>1</v>
      </c>
      <c r="EB25" s="46">
        <v>2</v>
      </c>
      <c r="EC25" s="46">
        <v>1</v>
      </c>
      <c r="ED25" s="46">
        <v>1</v>
      </c>
      <c r="EE25" s="46">
        <v>2</v>
      </c>
      <c r="EF25" s="46">
        <v>1</v>
      </c>
      <c r="EG25" s="46">
        <v>1</v>
      </c>
      <c r="EH25" s="46">
        <v>2</v>
      </c>
      <c r="EI25" s="46">
        <v>2</v>
      </c>
      <c r="EJ25" s="46">
        <v>1</v>
      </c>
      <c r="EK25" s="46">
        <v>2</v>
      </c>
      <c r="EL25" s="46">
        <v>1</v>
      </c>
      <c r="EM25" s="46">
        <v>2</v>
      </c>
      <c r="EN25" s="46">
        <v>1</v>
      </c>
      <c r="EO25" s="46">
        <v>1</v>
      </c>
      <c r="EP25" s="46">
        <v>2</v>
      </c>
      <c r="EQ25" s="46">
        <v>2</v>
      </c>
      <c r="ER25" s="46">
        <v>2</v>
      </c>
      <c r="ES25" s="46">
        <v>1</v>
      </c>
      <c r="ET25" s="46">
        <v>2</v>
      </c>
      <c r="EU25" s="46">
        <v>2</v>
      </c>
      <c r="EV25" s="46">
        <v>1</v>
      </c>
      <c r="EW25" s="46">
        <v>1</v>
      </c>
      <c r="EX25" s="46">
        <v>2</v>
      </c>
      <c r="EY25" s="46">
        <v>2</v>
      </c>
      <c r="EZ25" s="46">
        <v>1</v>
      </c>
      <c r="FA25" s="46">
        <v>1</v>
      </c>
      <c r="FB25" s="46">
        <v>1</v>
      </c>
      <c r="FC25" s="46">
        <v>2</v>
      </c>
      <c r="FD25" s="46">
        <v>1</v>
      </c>
      <c r="FE25" s="46">
        <v>2</v>
      </c>
      <c r="FF25" s="46">
        <v>1</v>
      </c>
      <c r="FG25" s="46">
        <v>1</v>
      </c>
      <c r="FH25" s="46">
        <v>2</v>
      </c>
    </row>
    <row r="26" spans="1:164" s="31" customFormat="1" x14ac:dyDescent="0.2">
      <c r="A26" s="35" t="s">
        <v>349</v>
      </c>
      <c r="B26" s="30" t="s">
        <v>264</v>
      </c>
      <c r="C26" s="30" t="s">
        <v>293</v>
      </c>
      <c r="D26" s="39" t="s">
        <v>254</v>
      </c>
      <c r="E26" s="46">
        <v>2</v>
      </c>
      <c r="F26" s="46">
        <v>1</v>
      </c>
      <c r="G26" s="46">
        <v>1</v>
      </c>
      <c r="H26" s="30">
        <v>1</v>
      </c>
      <c r="I26" s="30">
        <v>1</v>
      </c>
      <c r="J26" s="30">
        <v>1</v>
      </c>
      <c r="K26" s="46">
        <v>1</v>
      </c>
      <c r="L26" s="46">
        <v>1</v>
      </c>
      <c r="M26" s="46">
        <v>1</v>
      </c>
      <c r="N26" s="46">
        <v>1</v>
      </c>
      <c r="O26" s="46">
        <v>1</v>
      </c>
      <c r="P26" s="46">
        <v>2</v>
      </c>
      <c r="Q26" s="46">
        <v>1</v>
      </c>
      <c r="R26" s="46">
        <v>2</v>
      </c>
      <c r="S26" s="46">
        <v>1</v>
      </c>
      <c r="T26" s="46">
        <v>2</v>
      </c>
      <c r="U26" s="46">
        <v>2</v>
      </c>
      <c r="V26" s="46">
        <v>2</v>
      </c>
      <c r="W26" s="46">
        <v>2</v>
      </c>
      <c r="X26" s="46">
        <v>2</v>
      </c>
      <c r="Y26" s="46">
        <v>2</v>
      </c>
      <c r="Z26" s="46">
        <v>2</v>
      </c>
      <c r="AA26" s="46">
        <v>1</v>
      </c>
      <c r="AB26" s="46">
        <v>2</v>
      </c>
      <c r="AC26" s="46">
        <v>1</v>
      </c>
      <c r="AD26" s="46">
        <v>2</v>
      </c>
      <c r="AE26" s="46">
        <v>1</v>
      </c>
      <c r="AF26" s="46">
        <v>2</v>
      </c>
      <c r="AG26" s="46">
        <v>1</v>
      </c>
      <c r="AH26" s="46">
        <v>2</v>
      </c>
      <c r="AI26" s="46">
        <v>1</v>
      </c>
      <c r="AJ26" s="46">
        <v>2</v>
      </c>
      <c r="AK26" s="46">
        <v>2</v>
      </c>
      <c r="AL26" s="46">
        <v>2</v>
      </c>
      <c r="AM26" s="46">
        <v>2</v>
      </c>
      <c r="AN26" s="46">
        <v>1</v>
      </c>
      <c r="AO26" s="46">
        <v>2</v>
      </c>
      <c r="AP26" s="46">
        <v>2</v>
      </c>
      <c r="AQ26" s="46">
        <v>1</v>
      </c>
      <c r="AR26" s="46">
        <v>2</v>
      </c>
      <c r="AS26" s="46">
        <v>2</v>
      </c>
      <c r="AT26" s="46">
        <v>1</v>
      </c>
      <c r="AU26" s="46">
        <v>1</v>
      </c>
      <c r="AV26" s="46">
        <v>2</v>
      </c>
      <c r="AW26" s="46">
        <v>2</v>
      </c>
      <c r="AX26" s="46">
        <v>2</v>
      </c>
      <c r="AY26" s="46">
        <v>1</v>
      </c>
      <c r="AZ26" s="46">
        <v>2</v>
      </c>
      <c r="BA26" s="46">
        <v>2</v>
      </c>
      <c r="BB26" s="46">
        <v>1</v>
      </c>
      <c r="BC26" s="46">
        <v>1</v>
      </c>
      <c r="BD26" s="46">
        <v>2</v>
      </c>
      <c r="BE26" s="46">
        <v>2</v>
      </c>
      <c r="BF26" s="46">
        <v>2</v>
      </c>
      <c r="BG26" s="46">
        <v>2</v>
      </c>
      <c r="BH26" s="46">
        <v>2</v>
      </c>
      <c r="BI26" s="46">
        <v>2</v>
      </c>
      <c r="BJ26" s="46">
        <v>2</v>
      </c>
      <c r="BK26" s="46">
        <v>2</v>
      </c>
      <c r="BL26" s="46">
        <v>2</v>
      </c>
      <c r="BM26" s="46">
        <v>2</v>
      </c>
      <c r="BN26" s="46">
        <v>2</v>
      </c>
      <c r="BO26" s="46">
        <v>1</v>
      </c>
      <c r="BP26" s="46">
        <v>2</v>
      </c>
      <c r="BQ26" s="46">
        <v>2</v>
      </c>
      <c r="BR26" s="46">
        <v>2</v>
      </c>
      <c r="BS26" s="46">
        <v>2</v>
      </c>
      <c r="BT26" s="46">
        <v>1</v>
      </c>
      <c r="BU26" s="46">
        <v>2</v>
      </c>
      <c r="BV26" s="46">
        <v>2</v>
      </c>
      <c r="BW26" s="46">
        <v>1</v>
      </c>
      <c r="BX26" s="46">
        <v>1</v>
      </c>
      <c r="BY26" s="46">
        <v>2</v>
      </c>
      <c r="BZ26" s="46">
        <v>2</v>
      </c>
      <c r="CA26" s="46">
        <v>2</v>
      </c>
      <c r="CB26" s="46">
        <v>2</v>
      </c>
      <c r="CC26" s="46">
        <v>1</v>
      </c>
      <c r="CD26" s="46">
        <v>2</v>
      </c>
      <c r="CE26" s="46">
        <v>1</v>
      </c>
      <c r="CF26" s="46">
        <v>1</v>
      </c>
      <c r="CG26" s="46">
        <v>1</v>
      </c>
      <c r="CH26" s="46">
        <v>1</v>
      </c>
      <c r="CI26" s="46">
        <v>2</v>
      </c>
      <c r="CJ26" s="46">
        <v>1</v>
      </c>
      <c r="CK26" s="46">
        <v>2</v>
      </c>
      <c r="CL26" s="46">
        <v>1</v>
      </c>
      <c r="CM26" s="46">
        <v>2</v>
      </c>
      <c r="CN26" s="46">
        <v>2</v>
      </c>
      <c r="CO26" s="46">
        <v>2</v>
      </c>
      <c r="CP26" s="46">
        <v>2</v>
      </c>
      <c r="CQ26" s="46">
        <v>1</v>
      </c>
      <c r="CR26" s="46">
        <v>2</v>
      </c>
      <c r="CS26" s="46">
        <v>1</v>
      </c>
      <c r="CT26" s="46">
        <v>1</v>
      </c>
      <c r="CU26" s="46">
        <v>2</v>
      </c>
      <c r="CV26" s="46">
        <v>2</v>
      </c>
      <c r="CW26" s="46">
        <v>2</v>
      </c>
      <c r="CX26" s="46">
        <v>1</v>
      </c>
      <c r="CY26" s="46">
        <v>1</v>
      </c>
      <c r="CZ26" s="46">
        <v>2</v>
      </c>
      <c r="DA26" s="46">
        <v>2</v>
      </c>
      <c r="DB26" s="46">
        <v>2</v>
      </c>
      <c r="DC26" s="46">
        <v>2</v>
      </c>
      <c r="DD26" s="46">
        <v>2</v>
      </c>
      <c r="DE26" s="46">
        <v>2</v>
      </c>
      <c r="DF26" s="46">
        <v>1</v>
      </c>
      <c r="DG26" s="46">
        <v>1</v>
      </c>
      <c r="DH26" s="46">
        <v>2</v>
      </c>
      <c r="DI26" s="46">
        <v>2</v>
      </c>
      <c r="DJ26" s="46">
        <v>2</v>
      </c>
      <c r="DK26" s="46">
        <v>2</v>
      </c>
      <c r="DL26" s="46">
        <v>2</v>
      </c>
      <c r="DM26" s="46">
        <v>2</v>
      </c>
      <c r="DN26" s="46">
        <v>2</v>
      </c>
      <c r="DO26" s="46">
        <v>2</v>
      </c>
      <c r="DP26" s="46">
        <v>1</v>
      </c>
      <c r="DQ26" s="46">
        <v>2</v>
      </c>
      <c r="DR26" s="46">
        <v>2</v>
      </c>
      <c r="DS26" s="46">
        <v>2</v>
      </c>
      <c r="DT26" s="46">
        <v>2</v>
      </c>
      <c r="DU26" s="46">
        <v>2</v>
      </c>
      <c r="DV26" s="46">
        <v>2</v>
      </c>
      <c r="DW26" s="46">
        <v>2</v>
      </c>
      <c r="DX26" s="46">
        <v>2</v>
      </c>
      <c r="DY26" s="46">
        <v>1</v>
      </c>
      <c r="DZ26" s="46">
        <v>2</v>
      </c>
      <c r="EA26" s="46">
        <v>2</v>
      </c>
      <c r="EB26" s="46">
        <v>2</v>
      </c>
      <c r="EC26" s="46">
        <v>1</v>
      </c>
      <c r="ED26" s="46">
        <v>1</v>
      </c>
      <c r="EE26" s="46">
        <v>1</v>
      </c>
      <c r="EF26" s="46">
        <v>2</v>
      </c>
      <c r="EG26" s="46">
        <v>2</v>
      </c>
      <c r="EH26" s="46">
        <v>2</v>
      </c>
      <c r="EI26" s="46">
        <v>2</v>
      </c>
      <c r="EJ26" s="46">
        <v>1</v>
      </c>
      <c r="EK26" s="46">
        <v>1</v>
      </c>
      <c r="EL26" s="46">
        <v>2</v>
      </c>
      <c r="EM26" s="46">
        <v>2</v>
      </c>
      <c r="EN26" s="46">
        <v>2</v>
      </c>
      <c r="EO26" s="46">
        <v>1</v>
      </c>
      <c r="EP26" s="46">
        <v>2</v>
      </c>
      <c r="EQ26" s="46">
        <v>2</v>
      </c>
      <c r="ER26" s="46">
        <v>2</v>
      </c>
      <c r="ES26" s="46">
        <v>2</v>
      </c>
      <c r="ET26" s="46">
        <v>2</v>
      </c>
      <c r="EU26" s="46">
        <v>2</v>
      </c>
      <c r="EV26" s="46">
        <v>2</v>
      </c>
      <c r="EW26" s="46">
        <v>2</v>
      </c>
      <c r="EX26" s="46">
        <v>2</v>
      </c>
      <c r="EY26" s="46">
        <v>1</v>
      </c>
      <c r="EZ26" s="46">
        <v>2</v>
      </c>
      <c r="FA26" s="46">
        <v>2</v>
      </c>
      <c r="FB26" s="46">
        <v>2</v>
      </c>
      <c r="FC26" s="46">
        <v>2</v>
      </c>
      <c r="FD26" s="46">
        <v>2</v>
      </c>
      <c r="FE26" s="46">
        <v>2</v>
      </c>
      <c r="FF26" s="46">
        <v>2</v>
      </c>
      <c r="FG26" s="46">
        <v>1</v>
      </c>
      <c r="FH26" s="46">
        <v>1</v>
      </c>
    </row>
    <row r="27" spans="1:164" s="31" customFormat="1" x14ac:dyDescent="0.2">
      <c r="A27" s="35" t="s">
        <v>312</v>
      </c>
      <c r="B27" s="30" t="s">
        <v>266</v>
      </c>
      <c r="C27" s="30" t="s">
        <v>293</v>
      </c>
      <c r="D27" s="39" t="s">
        <v>253</v>
      </c>
      <c r="E27" s="46">
        <v>1</v>
      </c>
      <c r="F27" s="46">
        <v>1</v>
      </c>
      <c r="G27" s="46">
        <v>2</v>
      </c>
      <c r="H27" s="30">
        <v>1</v>
      </c>
      <c r="I27" s="30">
        <v>2</v>
      </c>
      <c r="J27" s="30">
        <v>2</v>
      </c>
      <c r="K27" s="46">
        <v>2</v>
      </c>
      <c r="L27" s="46">
        <v>1</v>
      </c>
      <c r="M27" s="46">
        <v>1</v>
      </c>
      <c r="N27" s="46">
        <v>2</v>
      </c>
      <c r="O27" s="46">
        <v>2</v>
      </c>
      <c r="P27" s="46">
        <v>1</v>
      </c>
      <c r="Q27" s="46">
        <v>1</v>
      </c>
      <c r="R27" s="46">
        <v>1</v>
      </c>
      <c r="S27" s="46">
        <v>1</v>
      </c>
      <c r="T27" s="46">
        <v>1</v>
      </c>
      <c r="U27" s="46">
        <v>1</v>
      </c>
      <c r="V27" s="46">
        <v>1</v>
      </c>
      <c r="W27" s="46">
        <v>1</v>
      </c>
      <c r="X27" s="46">
        <v>2</v>
      </c>
      <c r="Y27" s="46">
        <v>1</v>
      </c>
      <c r="Z27" s="46">
        <v>2</v>
      </c>
      <c r="AA27" s="46">
        <v>2</v>
      </c>
      <c r="AB27" s="46">
        <v>2</v>
      </c>
      <c r="AC27" s="46">
        <v>1</v>
      </c>
      <c r="AD27" s="46">
        <v>1</v>
      </c>
      <c r="AE27" s="46">
        <v>1</v>
      </c>
      <c r="AF27" s="46">
        <v>2</v>
      </c>
      <c r="AG27" s="46">
        <v>2</v>
      </c>
      <c r="AH27" s="46">
        <v>2</v>
      </c>
      <c r="AI27" s="46">
        <v>1</v>
      </c>
      <c r="AJ27" s="46">
        <v>1</v>
      </c>
      <c r="AK27" s="46">
        <v>2</v>
      </c>
      <c r="AL27" s="46">
        <v>1</v>
      </c>
      <c r="AM27" s="46">
        <v>1</v>
      </c>
      <c r="AN27" s="46">
        <v>1</v>
      </c>
      <c r="AO27" s="46">
        <v>2</v>
      </c>
      <c r="AP27" s="46">
        <v>1</v>
      </c>
      <c r="AQ27" s="46">
        <v>1</v>
      </c>
      <c r="AR27" s="46">
        <v>2</v>
      </c>
      <c r="AS27" s="46">
        <v>1</v>
      </c>
      <c r="AT27" s="46">
        <v>1</v>
      </c>
      <c r="AU27" s="46">
        <v>2</v>
      </c>
      <c r="AV27" s="46">
        <v>2</v>
      </c>
      <c r="AW27" s="46">
        <v>1</v>
      </c>
      <c r="AX27" s="46">
        <v>1</v>
      </c>
      <c r="AY27" s="46">
        <v>2</v>
      </c>
      <c r="AZ27" s="46">
        <v>2</v>
      </c>
      <c r="BA27" s="46">
        <v>1</v>
      </c>
      <c r="BB27" s="46">
        <v>1</v>
      </c>
      <c r="BC27" s="46">
        <v>1</v>
      </c>
      <c r="BD27" s="46">
        <v>2</v>
      </c>
      <c r="BE27" s="46">
        <v>1</v>
      </c>
      <c r="BF27" s="46">
        <v>2</v>
      </c>
      <c r="BG27" s="46">
        <v>2</v>
      </c>
      <c r="BH27" s="46">
        <v>2</v>
      </c>
      <c r="BI27" s="46">
        <v>2</v>
      </c>
      <c r="BJ27" s="46">
        <v>1</v>
      </c>
      <c r="BK27" s="46">
        <v>2</v>
      </c>
      <c r="BL27" s="46">
        <v>1</v>
      </c>
      <c r="BM27" s="46">
        <v>1</v>
      </c>
      <c r="BN27" s="46">
        <v>2</v>
      </c>
      <c r="BO27" s="46">
        <v>2</v>
      </c>
      <c r="BP27" s="46">
        <v>1</v>
      </c>
      <c r="BQ27" s="46">
        <v>2</v>
      </c>
      <c r="BR27" s="46">
        <v>2</v>
      </c>
      <c r="BS27" s="46">
        <v>1</v>
      </c>
      <c r="BT27" s="46">
        <v>1</v>
      </c>
      <c r="BU27" s="46">
        <v>2</v>
      </c>
      <c r="BV27" s="46">
        <v>2</v>
      </c>
      <c r="BW27" s="46">
        <v>1</v>
      </c>
      <c r="BX27" s="46">
        <v>1</v>
      </c>
      <c r="BY27" s="46">
        <v>0</v>
      </c>
      <c r="BZ27" s="46">
        <v>1</v>
      </c>
      <c r="CA27" s="46">
        <v>2</v>
      </c>
      <c r="CB27" s="46">
        <v>1</v>
      </c>
      <c r="CC27" s="46">
        <v>1</v>
      </c>
      <c r="CD27" s="46">
        <v>2</v>
      </c>
      <c r="CE27" s="46">
        <v>2</v>
      </c>
      <c r="CF27" s="46">
        <v>2</v>
      </c>
      <c r="CG27" s="46">
        <v>2</v>
      </c>
      <c r="CH27" s="46">
        <v>2</v>
      </c>
      <c r="CI27" s="46">
        <v>2</v>
      </c>
      <c r="CJ27" s="46">
        <v>1</v>
      </c>
      <c r="CK27" s="46">
        <v>1</v>
      </c>
      <c r="CL27" s="46">
        <v>2</v>
      </c>
      <c r="CM27" s="46">
        <v>1</v>
      </c>
      <c r="CN27" s="46">
        <v>2</v>
      </c>
      <c r="CO27" s="46">
        <v>1</v>
      </c>
      <c r="CP27" s="46">
        <v>2</v>
      </c>
      <c r="CQ27" s="46">
        <v>1</v>
      </c>
      <c r="CR27" s="46">
        <v>2</v>
      </c>
      <c r="CS27" s="46">
        <v>1</v>
      </c>
      <c r="CT27" s="46">
        <v>2</v>
      </c>
      <c r="CU27" s="46">
        <v>1</v>
      </c>
      <c r="CV27" s="46">
        <v>1</v>
      </c>
      <c r="CW27" s="46">
        <v>2</v>
      </c>
      <c r="CX27" s="46">
        <v>1</v>
      </c>
      <c r="CY27" s="46">
        <v>1</v>
      </c>
      <c r="CZ27" s="46">
        <v>1</v>
      </c>
      <c r="DA27" s="46">
        <v>2</v>
      </c>
      <c r="DB27" s="46">
        <v>2</v>
      </c>
      <c r="DC27" s="46">
        <v>2</v>
      </c>
      <c r="DD27" s="46">
        <v>2</v>
      </c>
      <c r="DE27" s="46">
        <v>2</v>
      </c>
      <c r="DF27" s="46">
        <v>1</v>
      </c>
      <c r="DG27" s="46">
        <v>2</v>
      </c>
      <c r="DH27" s="46">
        <v>1</v>
      </c>
      <c r="DI27" s="46">
        <v>2</v>
      </c>
      <c r="DJ27" s="46">
        <v>1</v>
      </c>
      <c r="DK27" s="46">
        <v>1</v>
      </c>
      <c r="DL27" s="46">
        <v>1</v>
      </c>
      <c r="DM27" s="46">
        <v>1</v>
      </c>
      <c r="DN27" s="46">
        <v>1</v>
      </c>
      <c r="DO27" s="46">
        <v>2</v>
      </c>
      <c r="DP27" s="46">
        <v>1</v>
      </c>
      <c r="DQ27" s="46">
        <v>2</v>
      </c>
      <c r="DR27" s="46">
        <v>1</v>
      </c>
      <c r="DS27" s="46">
        <v>1</v>
      </c>
      <c r="DT27" s="46">
        <v>2</v>
      </c>
      <c r="DU27" s="46">
        <v>2</v>
      </c>
      <c r="DV27" s="46">
        <v>1</v>
      </c>
      <c r="DW27" s="46">
        <v>1</v>
      </c>
      <c r="DX27" s="46">
        <v>2</v>
      </c>
      <c r="DY27" s="46">
        <v>2</v>
      </c>
      <c r="DZ27" s="46">
        <v>2</v>
      </c>
      <c r="EA27" s="46">
        <v>1</v>
      </c>
      <c r="EB27" s="46">
        <v>1</v>
      </c>
      <c r="EC27" s="46">
        <v>1</v>
      </c>
      <c r="ED27" s="46">
        <v>1</v>
      </c>
      <c r="EE27" s="46">
        <v>1</v>
      </c>
      <c r="EF27" s="46">
        <v>1</v>
      </c>
      <c r="EG27" s="46">
        <v>1</v>
      </c>
      <c r="EH27" s="46">
        <v>2</v>
      </c>
      <c r="EI27" s="46">
        <v>2</v>
      </c>
      <c r="EJ27" s="46">
        <v>1</v>
      </c>
      <c r="EK27" s="46">
        <v>1</v>
      </c>
      <c r="EL27" s="46">
        <v>2</v>
      </c>
      <c r="EM27" s="46">
        <v>2</v>
      </c>
      <c r="EN27" s="46">
        <v>1</v>
      </c>
      <c r="EO27" s="46">
        <v>1</v>
      </c>
      <c r="EP27" s="46">
        <v>1</v>
      </c>
      <c r="EQ27" s="46">
        <v>2</v>
      </c>
      <c r="ER27" s="46">
        <v>2</v>
      </c>
      <c r="ES27" s="46">
        <v>2</v>
      </c>
      <c r="ET27" s="46">
        <v>2</v>
      </c>
      <c r="EU27" s="46">
        <v>1</v>
      </c>
      <c r="EV27" s="46">
        <v>1</v>
      </c>
      <c r="EW27" s="46">
        <v>2</v>
      </c>
      <c r="EX27" s="46">
        <v>2</v>
      </c>
      <c r="EY27" s="46">
        <v>1</v>
      </c>
      <c r="EZ27" s="46">
        <v>2</v>
      </c>
      <c r="FA27" s="46">
        <v>1</v>
      </c>
      <c r="FB27" s="46">
        <v>1</v>
      </c>
      <c r="FC27" s="46">
        <v>2</v>
      </c>
      <c r="FD27" s="46">
        <v>2</v>
      </c>
      <c r="FE27" s="46">
        <v>2</v>
      </c>
      <c r="FF27" s="46">
        <v>2</v>
      </c>
      <c r="FG27" s="46">
        <v>1</v>
      </c>
      <c r="FH27" s="46">
        <v>2</v>
      </c>
    </row>
    <row r="28" spans="1:164" s="31" customFormat="1" x14ac:dyDescent="0.2">
      <c r="A28" s="35" t="s">
        <v>348</v>
      </c>
      <c r="B28" s="30" t="s">
        <v>266</v>
      </c>
      <c r="C28" s="30" t="s">
        <v>293</v>
      </c>
      <c r="D28" s="39" t="s">
        <v>253</v>
      </c>
      <c r="E28" s="46">
        <v>1</v>
      </c>
      <c r="F28" s="46">
        <v>2</v>
      </c>
      <c r="G28" s="46">
        <v>2</v>
      </c>
      <c r="H28" s="30">
        <v>1</v>
      </c>
      <c r="I28" s="30">
        <v>1</v>
      </c>
      <c r="J28" s="30">
        <v>1</v>
      </c>
      <c r="K28" s="46">
        <v>1</v>
      </c>
      <c r="L28" s="46">
        <v>1</v>
      </c>
      <c r="M28" s="46">
        <v>1</v>
      </c>
      <c r="N28" s="46">
        <v>2</v>
      </c>
      <c r="O28" s="46">
        <v>2</v>
      </c>
      <c r="P28" s="46">
        <v>2</v>
      </c>
      <c r="Q28" s="46">
        <v>1</v>
      </c>
      <c r="R28" s="46">
        <v>1</v>
      </c>
      <c r="S28" s="46">
        <v>1</v>
      </c>
      <c r="T28" s="46">
        <v>1</v>
      </c>
      <c r="U28" s="46">
        <v>1</v>
      </c>
      <c r="V28" s="46">
        <v>1</v>
      </c>
      <c r="W28" s="46">
        <v>1</v>
      </c>
      <c r="X28" s="46">
        <v>1</v>
      </c>
      <c r="Y28" s="46">
        <v>1</v>
      </c>
      <c r="Z28" s="46">
        <v>1</v>
      </c>
      <c r="AA28" s="46">
        <v>2</v>
      </c>
      <c r="AB28" s="46">
        <v>2</v>
      </c>
      <c r="AC28" s="46">
        <v>1</v>
      </c>
      <c r="AD28" s="46">
        <v>1</v>
      </c>
      <c r="AE28" s="46">
        <v>1</v>
      </c>
      <c r="AF28" s="46">
        <v>2</v>
      </c>
      <c r="AG28" s="46">
        <v>1</v>
      </c>
      <c r="AH28" s="46">
        <v>2</v>
      </c>
      <c r="AI28" s="46">
        <v>1</v>
      </c>
      <c r="AJ28" s="46">
        <v>1</v>
      </c>
      <c r="AK28" s="46">
        <v>2</v>
      </c>
      <c r="AL28" s="46">
        <v>1</v>
      </c>
      <c r="AM28" s="46">
        <v>1</v>
      </c>
      <c r="AN28" s="46">
        <v>2</v>
      </c>
      <c r="AO28" s="46">
        <v>2</v>
      </c>
      <c r="AP28" s="46">
        <v>1</v>
      </c>
      <c r="AQ28" s="46">
        <v>1</v>
      </c>
      <c r="AR28" s="46">
        <v>2</v>
      </c>
      <c r="AS28" s="46">
        <v>1</v>
      </c>
      <c r="AT28" s="46">
        <v>1</v>
      </c>
      <c r="AU28" s="46">
        <v>1</v>
      </c>
      <c r="AV28" s="46">
        <v>2</v>
      </c>
      <c r="AW28" s="46">
        <v>1</v>
      </c>
      <c r="AX28" s="46">
        <v>1</v>
      </c>
      <c r="AY28" s="46">
        <v>1</v>
      </c>
      <c r="AZ28" s="46">
        <v>2</v>
      </c>
      <c r="BA28" s="46">
        <v>1</v>
      </c>
      <c r="BB28" s="46">
        <v>2</v>
      </c>
      <c r="BC28" s="46">
        <v>1</v>
      </c>
      <c r="BD28" s="46">
        <v>1</v>
      </c>
      <c r="BE28" s="46">
        <v>2</v>
      </c>
      <c r="BF28" s="46">
        <v>1</v>
      </c>
      <c r="BG28" s="46">
        <v>1</v>
      </c>
      <c r="BH28" s="46">
        <v>1</v>
      </c>
      <c r="BI28" s="46">
        <v>1</v>
      </c>
      <c r="BJ28" s="46">
        <v>1</v>
      </c>
      <c r="BK28" s="46">
        <v>2</v>
      </c>
      <c r="BL28" s="46">
        <v>2</v>
      </c>
      <c r="BM28" s="46">
        <v>2</v>
      </c>
      <c r="BN28" s="46">
        <v>2</v>
      </c>
      <c r="BO28" s="46">
        <v>1</v>
      </c>
      <c r="BP28" s="46">
        <v>1</v>
      </c>
      <c r="BQ28" s="46">
        <v>2</v>
      </c>
      <c r="BR28" s="46">
        <v>2</v>
      </c>
      <c r="BS28" s="46">
        <v>1</v>
      </c>
      <c r="BT28" s="46">
        <v>2</v>
      </c>
      <c r="BU28" s="46">
        <v>1</v>
      </c>
      <c r="BV28" s="46">
        <v>2</v>
      </c>
      <c r="BW28" s="46">
        <v>1</v>
      </c>
      <c r="BX28" s="46">
        <v>1</v>
      </c>
      <c r="BY28" s="46">
        <v>1</v>
      </c>
      <c r="BZ28" s="46">
        <v>1</v>
      </c>
      <c r="CA28" s="46">
        <v>2</v>
      </c>
      <c r="CB28" s="46">
        <v>1</v>
      </c>
      <c r="CC28" s="46">
        <v>1</v>
      </c>
      <c r="CD28" s="46">
        <v>2</v>
      </c>
      <c r="CE28" s="46">
        <v>2</v>
      </c>
      <c r="CF28" s="46">
        <v>1</v>
      </c>
      <c r="CG28" s="46">
        <v>2</v>
      </c>
      <c r="CH28" s="46">
        <v>2</v>
      </c>
      <c r="CI28" s="46">
        <v>2</v>
      </c>
      <c r="CJ28" s="46">
        <v>1</v>
      </c>
      <c r="CK28" s="46">
        <v>1</v>
      </c>
      <c r="CL28" s="46">
        <v>2</v>
      </c>
      <c r="CM28" s="46">
        <v>2</v>
      </c>
      <c r="CN28" s="46">
        <v>1</v>
      </c>
      <c r="CO28" s="46">
        <v>1</v>
      </c>
      <c r="CP28" s="46">
        <v>1</v>
      </c>
      <c r="CQ28" s="46">
        <v>1</v>
      </c>
      <c r="CR28" s="46">
        <v>1</v>
      </c>
      <c r="CS28" s="46">
        <v>1</v>
      </c>
      <c r="CT28" s="46">
        <v>2</v>
      </c>
      <c r="CU28" s="46">
        <v>2</v>
      </c>
      <c r="CV28" s="46">
        <v>1</v>
      </c>
      <c r="CW28" s="46">
        <v>2</v>
      </c>
      <c r="CX28" s="46">
        <v>1</v>
      </c>
      <c r="CY28" s="46">
        <v>1</v>
      </c>
      <c r="CZ28" s="46">
        <v>2</v>
      </c>
      <c r="DA28" s="46">
        <v>2</v>
      </c>
      <c r="DB28" s="46">
        <v>2</v>
      </c>
      <c r="DC28" s="46">
        <v>2</v>
      </c>
      <c r="DD28" s="46">
        <v>1</v>
      </c>
      <c r="DE28" s="46">
        <v>2</v>
      </c>
      <c r="DF28" s="46">
        <v>1</v>
      </c>
      <c r="DG28" s="46">
        <v>1</v>
      </c>
      <c r="DH28" s="46">
        <v>2</v>
      </c>
      <c r="DI28" s="46">
        <v>2</v>
      </c>
      <c r="DJ28" s="46">
        <v>1</v>
      </c>
      <c r="DK28" s="46">
        <v>2</v>
      </c>
      <c r="DL28" s="46">
        <v>2</v>
      </c>
      <c r="DM28" s="46">
        <v>1</v>
      </c>
      <c r="DN28" s="46">
        <v>2</v>
      </c>
      <c r="DO28" s="46">
        <v>1</v>
      </c>
      <c r="DP28" s="46">
        <v>1</v>
      </c>
      <c r="DQ28" s="46">
        <v>1</v>
      </c>
      <c r="DR28" s="46">
        <v>1</v>
      </c>
      <c r="DS28" s="46">
        <v>1</v>
      </c>
      <c r="DT28" s="46">
        <v>2</v>
      </c>
      <c r="DU28" s="46">
        <v>1</v>
      </c>
      <c r="DV28" s="46">
        <v>1</v>
      </c>
      <c r="DW28" s="46">
        <v>1</v>
      </c>
      <c r="DX28" s="46">
        <v>2</v>
      </c>
      <c r="DY28" s="46">
        <v>1</v>
      </c>
      <c r="DZ28" s="46">
        <v>2</v>
      </c>
      <c r="EA28" s="46">
        <v>1</v>
      </c>
      <c r="EB28" s="46">
        <v>1</v>
      </c>
      <c r="EC28" s="46">
        <v>1</v>
      </c>
      <c r="ED28" s="46">
        <v>1</v>
      </c>
      <c r="EE28" s="46">
        <v>2</v>
      </c>
      <c r="EF28" s="46">
        <v>1</v>
      </c>
      <c r="EG28" s="46">
        <v>1</v>
      </c>
      <c r="EH28" s="46">
        <v>2</v>
      </c>
      <c r="EI28" s="46">
        <v>2</v>
      </c>
      <c r="EJ28" s="46">
        <v>1</v>
      </c>
      <c r="EK28" s="46">
        <v>1</v>
      </c>
      <c r="EL28" s="46">
        <v>2</v>
      </c>
      <c r="EM28" s="46">
        <v>2</v>
      </c>
      <c r="EN28" s="46">
        <v>1</v>
      </c>
      <c r="EO28" s="46">
        <v>2</v>
      </c>
      <c r="EP28" s="46">
        <v>2</v>
      </c>
      <c r="EQ28" s="46">
        <v>2</v>
      </c>
      <c r="ER28" s="46">
        <v>2</v>
      </c>
      <c r="ES28" s="46">
        <v>2</v>
      </c>
      <c r="ET28" s="46">
        <v>2</v>
      </c>
      <c r="EU28" s="46">
        <v>2</v>
      </c>
      <c r="EV28" s="46">
        <v>1</v>
      </c>
      <c r="EW28" s="46">
        <v>1</v>
      </c>
      <c r="EX28" s="46">
        <v>1</v>
      </c>
      <c r="EY28" s="46">
        <v>1</v>
      </c>
      <c r="EZ28" s="46">
        <v>1</v>
      </c>
      <c r="FA28" s="46">
        <v>2</v>
      </c>
      <c r="FB28" s="46">
        <v>1</v>
      </c>
      <c r="FC28" s="46">
        <v>1</v>
      </c>
      <c r="FD28" s="46">
        <v>2</v>
      </c>
      <c r="FE28" s="46">
        <v>1</v>
      </c>
      <c r="FF28" s="46">
        <v>1</v>
      </c>
      <c r="FG28" s="46">
        <v>1</v>
      </c>
      <c r="FH28" s="46">
        <v>1</v>
      </c>
    </row>
    <row r="29" spans="1:164" s="31" customFormat="1" x14ac:dyDescent="0.2">
      <c r="A29" s="35" t="s">
        <v>346</v>
      </c>
      <c r="B29" s="30" t="s">
        <v>264</v>
      </c>
      <c r="C29" s="30" t="s">
        <v>347</v>
      </c>
      <c r="D29" s="39" t="s">
        <v>252</v>
      </c>
      <c r="E29" s="46">
        <v>2</v>
      </c>
      <c r="F29" s="46">
        <v>1</v>
      </c>
      <c r="G29" s="46">
        <v>2</v>
      </c>
      <c r="H29" s="30">
        <v>2</v>
      </c>
      <c r="I29" s="30">
        <v>1</v>
      </c>
      <c r="J29" s="30">
        <v>1</v>
      </c>
      <c r="K29" s="46">
        <v>2</v>
      </c>
      <c r="L29" s="46">
        <v>2</v>
      </c>
      <c r="M29" s="46">
        <v>1</v>
      </c>
      <c r="N29" s="46">
        <v>1</v>
      </c>
      <c r="O29" s="46">
        <v>2</v>
      </c>
      <c r="P29" s="46">
        <v>1</v>
      </c>
      <c r="Q29" s="46">
        <v>1</v>
      </c>
      <c r="R29" s="46">
        <v>2</v>
      </c>
      <c r="S29" s="46">
        <v>1</v>
      </c>
      <c r="T29" s="46">
        <v>2</v>
      </c>
      <c r="U29" s="46">
        <v>1</v>
      </c>
      <c r="V29" s="46">
        <v>1</v>
      </c>
      <c r="W29" s="46">
        <v>2</v>
      </c>
      <c r="X29" s="46">
        <v>1</v>
      </c>
      <c r="Y29" s="46">
        <v>1</v>
      </c>
      <c r="Z29" s="46">
        <v>2</v>
      </c>
      <c r="AA29" s="46">
        <v>1</v>
      </c>
      <c r="AB29" s="46">
        <v>2</v>
      </c>
      <c r="AC29" s="46">
        <v>1</v>
      </c>
      <c r="AD29" s="46">
        <v>1</v>
      </c>
      <c r="AE29" s="46">
        <v>1</v>
      </c>
      <c r="AF29" s="46">
        <v>1</v>
      </c>
      <c r="AG29" s="46">
        <v>1</v>
      </c>
      <c r="AH29" s="46">
        <v>2</v>
      </c>
      <c r="AI29" s="46">
        <v>1</v>
      </c>
      <c r="AJ29" s="46">
        <v>1</v>
      </c>
      <c r="AK29" s="46">
        <v>2</v>
      </c>
      <c r="AL29" s="46">
        <v>2</v>
      </c>
      <c r="AM29" s="46">
        <v>1</v>
      </c>
      <c r="AN29" s="46">
        <v>1</v>
      </c>
      <c r="AO29" s="46">
        <v>2</v>
      </c>
      <c r="AP29" s="46">
        <v>1</v>
      </c>
      <c r="AQ29" s="46">
        <v>1</v>
      </c>
      <c r="AR29" s="46">
        <v>2</v>
      </c>
      <c r="AS29" s="46">
        <v>1</v>
      </c>
      <c r="AT29" s="46">
        <v>1</v>
      </c>
      <c r="AU29" s="46">
        <v>2</v>
      </c>
      <c r="AV29" s="46">
        <v>1</v>
      </c>
      <c r="AW29" s="46">
        <v>1</v>
      </c>
      <c r="AX29" s="46">
        <v>2</v>
      </c>
      <c r="AY29" s="46">
        <v>1</v>
      </c>
      <c r="AZ29" s="46">
        <v>2</v>
      </c>
      <c r="BA29" s="46">
        <v>1</v>
      </c>
      <c r="BB29" s="46">
        <v>1</v>
      </c>
      <c r="BC29" s="46">
        <v>2</v>
      </c>
      <c r="BD29" s="46">
        <v>1</v>
      </c>
      <c r="BE29" s="46">
        <v>1</v>
      </c>
      <c r="BF29" s="46">
        <v>2</v>
      </c>
      <c r="BG29" s="46">
        <v>2</v>
      </c>
      <c r="BH29" s="46">
        <v>1</v>
      </c>
      <c r="BI29" s="46">
        <v>2</v>
      </c>
      <c r="BJ29" s="46">
        <v>2</v>
      </c>
      <c r="BK29" s="46">
        <v>1</v>
      </c>
      <c r="BL29" s="46">
        <v>1</v>
      </c>
      <c r="BM29" s="46">
        <v>1</v>
      </c>
      <c r="BN29" s="46">
        <v>2</v>
      </c>
      <c r="BO29" s="46">
        <v>2</v>
      </c>
      <c r="BP29" s="46">
        <v>1</v>
      </c>
      <c r="BQ29" s="46">
        <v>2</v>
      </c>
      <c r="BR29" s="46">
        <v>1</v>
      </c>
      <c r="BS29" s="46">
        <v>1</v>
      </c>
      <c r="BT29" s="46">
        <v>1</v>
      </c>
      <c r="BU29" s="46">
        <v>1</v>
      </c>
      <c r="BV29" s="46">
        <v>1</v>
      </c>
      <c r="BW29" s="46">
        <v>1</v>
      </c>
      <c r="BX29" s="46">
        <v>2</v>
      </c>
      <c r="BY29" s="46">
        <v>2</v>
      </c>
      <c r="BZ29" s="46">
        <v>1</v>
      </c>
      <c r="CA29" s="46">
        <v>2</v>
      </c>
      <c r="CB29" s="46">
        <v>1</v>
      </c>
      <c r="CC29" s="46">
        <v>1</v>
      </c>
      <c r="CD29" s="46">
        <v>2</v>
      </c>
      <c r="CE29" s="46">
        <v>1</v>
      </c>
      <c r="CF29" s="46">
        <v>1</v>
      </c>
      <c r="CG29" s="46">
        <v>1</v>
      </c>
      <c r="CH29" s="46">
        <v>1</v>
      </c>
      <c r="CI29" s="46">
        <v>2</v>
      </c>
      <c r="CJ29" s="46">
        <v>1</v>
      </c>
      <c r="CK29" s="46">
        <v>2</v>
      </c>
      <c r="CL29" s="46">
        <v>1</v>
      </c>
      <c r="CM29" s="46">
        <v>1</v>
      </c>
      <c r="CN29" s="46">
        <v>2</v>
      </c>
      <c r="CO29" s="46">
        <v>1</v>
      </c>
      <c r="CP29" s="46">
        <v>2</v>
      </c>
      <c r="CQ29" s="46">
        <v>1</v>
      </c>
      <c r="CR29" s="46">
        <v>1</v>
      </c>
      <c r="CS29" s="46">
        <v>1</v>
      </c>
      <c r="CT29" s="46">
        <v>2</v>
      </c>
      <c r="CU29" s="46">
        <v>2</v>
      </c>
      <c r="CV29" s="46">
        <v>1</v>
      </c>
      <c r="CW29" s="46">
        <v>1</v>
      </c>
      <c r="CX29" s="46">
        <v>1</v>
      </c>
      <c r="CY29" s="46">
        <v>1</v>
      </c>
      <c r="CZ29" s="46">
        <v>1</v>
      </c>
      <c r="DA29" s="46">
        <v>1</v>
      </c>
      <c r="DB29" s="46">
        <v>1</v>
      </c>
      <c r="DC29" s="46">
        <v>1</v>
      </c>
      <c r="DD29" s="46">
        <v>1</v>
      </c>
      <c r="DE29" s="46">
        <v>1</v>
      </c>
      <c r="DF29" s="46">
        <v>1</v>
      </c>
      <c r="DG29" s="46">
        <v>2</v>
      </c>
      <c r="DH29" s="46">
        <v>1</v>
      </c>
      <c r="DI29" s="46">
        <v>1</v>
      </c>
      <c r="DJ29" s="46">
        <v>2</v>
      </c>
      <c r="DK29" s="46">
        <v>2</v>
      </c>
      <c r="DL29" s="46">
        <v>1</v>
      </c>
      <c r="DM29" s="46">
        <v>1</v>
      </c>
      <c r="DN29" s="46">
        <v>2</v>
      </c>
      <c r="DO29" s="46">
        <v>1</v>
      </c>
      <c r="DP29" s="46">
        <v>2</v>
      </c>
      <c r="DQ29" s="46">
        <v>1</v>
      </c>
      <c r="DR29" s="46">
        <v>2</v>
      </c>
      <c r="DS29" s="46">
        <v>2</v>
      </c>
      <c r="DT29" s="46">
        <v>2</v>
      </c>
      <c r="DU29" s="46">
        <v>1</v>
      </c>
      <c r="DV29" s="46">
        <v>2</v>
      </c>
      <c r="DW29" s="46">
        <v>1</v>
      </c>
      <c r="DX29" s="46">
        <v>2</v>
      </c>
      <c r="DY29" s="46">
        <v>1</v>
      </c>
      <c r="DZ29" s="46">
        <v>2</v>
      </c>
      <c r="EA29" s="46">
        <v>1</v>
      </c>
      <c r="EB29" s="46">
        <v>2</v>
      </c>
      <c r="EC29" s="46">
        <v>2</v>
      </c>
      <c r="ED29" s="46">
        <v>1</v>
      </c>
      <c r="EE29" s="46">
        <v>1</v>
      </c>
      <c r="EF29" s="46">
        <v>2</v>
      </c>
      <c r="EG29" s="46">
        <v>1</v>
      </c>
      <c r="EH29" s="46">
        <v>2</v>
      </c>
      <c r="EI29" s="46">
        <v>2</v>
      </c>
      <c r="EJ29" s="46">
        <v>1</v>
      </c>
      <c r="EK29" s="46">
        <v>2</v>
      </c>
      <c r="EL29" s="46">
        <v>2</v>
      </c>
      <c r="EM29" s="46">
        <v>1</v>
      </c>
      <c r="EN29" s="46">
        <v>1</v>
      </c>
      <c r="EO29" s="46">
        <v>1</v>
      </c>
      <c r="EP29" s="46">
        <v>2</v>
      </c>
      <c r="EQ29" s="46">
        <v>2</v>
      </c>
      <c r="ER29" s="46">
        <v>1</v>
      </c>
      <c r="ES29" s="46">
        <v>2</v>
      </c>
      <c r="ET29" s="46">
        <v>1</v>
      </c>
      <c r="EU29" s="46">
        <v>2</v>
      </c>
      <c r="EV29" s="46">
        <v>1</v>
      </c>
      <c r="EW29" s="46">
        <v>1</v>
      </c>
      <c r="EX29" s="46">
        <v>1</v>
      </c>
      <c r="EY29" s="46">
        <v>1</v>
      </c>
      <c r="EZ29" s="46">
        <v>1</v>
      </c>
      <c r="FA29" s="46">
        <v>1</v>
      </c>
      <c r="FB29" s="46">
        <v>1</v>
      </c>
      <c r="FC29" s="46">
        <v>2</v>
      </c>
      <c r="FD29" s="46">
        <v>1</v>
      </c>
      <c r="FE29" s="46">
        <v>2</v>
      </c>
      <c r="FF29" s="46">
        <v>2</v>
      </c>
      <c r="FG29" s="46">
        <v>1</v>
      </c>
      <c r="FH29" s="46">
        <v>2</v>
      </c>
    </row>
    <row r="30" spans="1:164" s="31" customFormat="1" x14ac:dyDescent="0.2">
      <c r="A30" s="35" t="s">
        <v>345</v>
      </c>
      <c r="B30" s="30" t="s">
        <v>268</v>
      </c>
      <c r="C30" s="30" t="s">
        <v>293</v>
      </c>
      <c r="D30" s="39" t="s">
        <v>253</v>
      </c>
      <c r="E30" s="46">
        <v>2</v>
      </c>
      <c r="F30" s="46">
        <v>1</v>
      </c>
      <c r="G30" s="46">
        <v>1</v>
      </c>
      <c r="H30" s="30">
        <v>1</v>
      </c>
      <c r="I30" s="30">
        <v>2</v>
      </c>
      <c r="J30" s="30">
        <v>1</v>
      </c>
      <c r="K30" s="46">
        <v>2</v>
      </c>
      <c r="L30" s="46">
        <v>1</v>
      </c>
      <c r="M30" s="46">
        <v>1</v>
      </c>
      <c r="N30" s="46">
        <v>1</v>
      </c>
      <c r="O30" s="46">
        <v>1</v>
      </c>
      <c r="P30" s="46">
        <v>1</v>
      </c>
      <c r="Q30" s="46">
        <v>1</v>
      </c>
      <c r="R30" s="46">
        <v>1</v>
      </c>
      <c r="S30" s="46">
        <v>2</v>
      </c>
      <c r="T30" s="46">
        <v>2</v>
      </c>
      <c r="U30" s="46">
        <v>1</v>
      </c>
      <c r="V30" s="46">
        <v>1</v>
      </c>
      <c r="W30" s="46">
        <v>2</v>
      </c>
      <c r="X30" s="46">
        <v>1</v>
      </c>
      <c r="Y30" s="46">
        <v>1</v>
      </c>
      <c r="Z30" s="46">
        <v>2</v>
      </c>
      <c r="AA30" s="46">
        <v>1</v>
      </c>
      <c r="AB30" s="46">
        <v>2</v>
      </c>
      <c r="AC30" s="46">
        <v>1</v>
      </c>
      <c r="AD30" s="46">
        <v>1</v>
      </c>
      <c r="AE30" s="46">
        <v>1</v>
      </c>
      <c r="AF30" s="46">
        <v>2</v>
      </c>
      <c r="AG30" s="46">
        <v>1</v>
      </c>
      <c r="AH30" s="46">
        <v>2</v>
      </c>
      <c r="AI30" s="46">
        <v>2</v>
      </c>
      <c r="AJ30" s="46">
        <v>1</v>
      </c>
      <c r="AK30" s="46">
        <v>2</v>
      </c>
      <c r="AL30" s="46">
        <v>2</v>
      </c>
      <c r="AM30" s="46">
        <v>2</v>
      </c>
      <c r="AN30" s="46">
        <v>1</v>
      </c>
      <c r="AO30" s="46">
        <v>1</v>
      </c>
      <c r="AP30" s="46">
        <v>2</v>
      </c>
      <c r="AQ30" s="46">
        <v>1</v>
      </c>
      <c r="AR30" s="46">
        <v>1</v>
      </c>
      <c r="AS30" s="46">
        <v>2</v>
      </c>
      <c r="AT30" s="46">
        <v>1</v>
      </c>
      <c r="AU30" s="46">
        <v>2</v>
      </c>
      <c r="AV30" s="46">
        <v>1</v>
      </c>
      <c r="AW30" s="46">
        <v>1</v>
      </c>
      <c r="AX30" s="46">
        <v>2</v>
      </c>
      <c r="AY30" s="46">
        <v>1</v>
      </c>
      <c r="AZ30" s="46">
        <v>1</v>
      </c>
      <c r="BA30" s="46">
        <v>2</v>
      </c>
      <c r="BB30" s="46">
        <v>1</v>
      </c>
      <c r="BC30" s="46">
        <v>1</v>
      </c>
      <c r="BD30" s="46">
        <v>1</v>
      </c>
      <c r="BE30" s="46">
        <v>2</v>
      </c>
      <c r="BF30" s="46">
        <v>1</v>
      </c>
      <c r="BG30" s="46">
        <v>1</v>
      </c>
      <c r="BH30" s="46">
        <v>2</v>
      </c>
      <c r="BI30" s="46">
        <v>1</v>
      </c>
      <c r="BJ30" s="46">
        <v>2</v>
      </c>
      <c r="BK30" s="46">
        <v>1</v>
      </c>
      <c r="BL30" s="46">
        <v>1</v>
      </c>
      <c r="BM30" s="46">
        <v>2</v>
      </c>
      <c r="BN30" s="46">
        <v>1</v>
      </c>
      <c r="BO30" s="46">
        <v>2</v>
      </c>
      <c r="BP30" s="46">
        <v>2</v>
      </c>
      <c r="BQ30" s="46">
        <v>2</v>
      </c>
      <c r="BR30" s="46">
        <v>1</v>
      </c>
      <c r="BS30" s="46">
        <v>1</v>
      </c>
      <c r="BT30" s="46">
        <v>2</v>
      </c>
      <c r="BU30" s="46">
        <v>2</v>
      </c>
      <c r="BV30" s="46">
        <v>1</v>
      </c>
      <c r="BW30" s="46">
        <v>1</v>
      </c>
      <c r="BX30" s="46">
        <v>2</v>
      </c>
      <c r="BY30" s="46">
        <v>1</v>
      </c>
      <c r="BZ30" s="46">
        <v>2</v>
      </c>
      <c r="CA30" s="46">
        <v>1</v>
      </c>
      <c r="CB30" s="46">
        <v>1</v>
      </c>
      <c r="CC30" s="46">
        <v>2</v>
      </c>
      <c r="CD30" s="46">
        <v>1</v>
      </c>
      <c r="CE30" s="46">
        <v>2</v>
      </c>
      <c r="CF30" s="46">
        <v>1</v>
      </c>
      <c r="CG30" s="46">
        <v>1</v>
      </c>
      <c r="CH30" s="46">
        <v>2</v>
      </c>
      <c r="CI30" s="46">
        <v>1</v>
      </c>
      <c r="CJ30" s="46">
        <v>2</v>
      </c>
      <c r="CK30" s="46">
        <v>1</v>
      </c>
      <c r="CL30" s="46">
        <v>1</v>
      </c>
      <c r="CM30" s="46">
        <v>1</v>
      </c>
      <c r="CN30" s="46">
        <v>2</v>
      </c>
      <c r="CO30" s="46">
        <v>2</v>
      </c>
      <c r="CP30" s="46">
        <v>1</v>
      </c>
      <c r="CQ30" s="46">
        <v>1</v>
      </c>
      <c r="CR30" s="46">
        <v>1</v>
      </c>
      <c r="CS30" s="46">
        <v>2</v>
      </c>
      <c r="CT30" s="46">
        <v>2</v>
      </c>
      <c r="CU30" s="46">
        <v>1</v>
      </c>
      <c r="CV30" s="46">
        <v>1</v>
      </c>
      <c r="CW30" s="46">
        <v>1</v>
      </c>
      <c r="CX30" s="46">
        <v>1</v>
      </c>
      <c r="CY30" s="46">
        <v>1</v>
      </c>
      <c r="CZ30" s="46">
        <v>2</v>
      </c>
      <c r="DA30" s="46">
        <v>2</v>
      </c>
      <c r="DB30" s="46">
        <v>2</v>
      </c>
      <c r="DC30" s="46">
        <v>1</v>
      </c>
      <c r="DD30" s="46">
        <v>1</v>
      </c>
      <c r="DE30" s="46">
        <v>1</v>
      </c>
      <c r="DF30" s="46">
        <v>1</v>
      </c>
      <c r="DG30" s="46">
        <v>1</v>
      </c>
      <c r="DH30" s="46">
        <v>2</v>
      </c>
      <c r="DI30" s="46">
        <v>2</v>
      </c>
      <c r="DJ30" s="46">
        <v>1</v>
      </c>
      <c r="DK30" s="46">
        <v>1</v>
      </c>
      <c r="DL30" s="46">
        <v>2</v>
      </c>
      <c r="DM30" s="46">
        <v>2</v>
      </c>
      <c r="DN30" s="46">
        <v>2</v>
      </c>
      <c r="DO30" s="46">
        <v>1</v>
      </c>
      <c r="DP30" s="46">
        <v>1</v>
      </c>
      <c r="DQ30" s="46">
        <v>2</v>
      </c>
      <c r="DR30" s="46">
        <v>0</v>
      </c>
      <c r="DS30" s="46">
        <v>1</v>
      </c>
      <c r="DT30" s="46">
        <v>2</v>
      </c>
      <c r="DU30" s="46">
        <v>2</v>
      </c>
      <c r="DV30" s="46">
        <v>2</v>
      </c>
      <c r="DW30" s="46">
        <v>2</v>
      </c>
      <c r="DX30" s="46">
        <v>1</v>
      </c>
      <c r="DY30" s="46">
        <v>1</v>
      </c>
      <c r="DZ30" s="46">
        <v>2</v>
      </c>
      <c r="EA30" s="46">
        <v>1</v>
      </c>
      <c r="EB30" s="46">
        <v>1</v>
      </c>
      <c r="EC30" s="46">
        <v>2</v>
      </c>
      <c r="ED30" s="46">
        <v>1</v>
      </c>
      <c r="EE30" s="46">
        <v>1</v>
      </c>
      <c r="EF30" s="46">
        <v>1</v>
      </c>
      <c r="EG30" s="46">
        <v>1</v>
      </c>
      <c r="EH30" s="46">
        <v>2</v>
      </c>
      <c r="EI30" s="46">
        <v>1</v>
      </c>
      <c r="EJ30" s="46">
        <v>1</v>
      </c>
      <c r="EK30" s="46">
        <v>1</v>
      </c>
      <c r="EL30" s="46">
        <v>2</v>
      </c>
      <c r="EM30" s="46">
        <v>1</v>
      </c>
      <c r="EN30" s="46">
        <v>1</v>
      </c>
      <c r="EO30" s="46">
        <v>1</v>
      </c>
      <c r="EP30" s="46">
        <v>1</v>
      </c>
      <c r="EQ30" s="46">
        <v>1</v>
      </c>
      <c r="ER30" s="46">
        <v>2</v>
      </c>
      <c r="ES30" s="46">
        <v>1</v>
      </c>
      <c r="ET30" s="46">
        <v>1</v>
      </c>
      <c r="EU30" s="46">
        <v>2</v>
      </c>
      <c r="EV30" s="46">
        <v>1</v>
      </c>
      <c r="EW30" s="46">
        <v>1</v>
      </c>
      <c r="EX30" s="46">
        <v>1</v>
      </c>
      <c r="EY30" s="46">
        <v>2</v>
      </c>
      <c r="EZ30" s="46">
        <v>2</v>
      </c>
      <c r="FA30" s="46">
        <v>1</v>
      </c>
      <c r="FB30" s="46">
        <v>2</v>
      </c>
      <c r="FC30" s="46">
        <v>1</v>
      </c>
      <c r="FD30" s="46">
        <v>1</v>
      </c>
      <c r="FE30" s="46">
        <v>1</v>
      </c>
      <c r="FF30" s="46">
        <v>1</v>
      </c>
      <c r="FG30" s="46">
        <v>1</v>
      </c>
      <c r="FH30" s="46">
        <v>2</v>
      </c>
    </row>
    <row r="31" spans="1:164" s="31" customFormat="1" x14ac:dyDescent="0.2">
      <c r="A31" s="44" t="s">
        <v>295</v>
      </c>
      <c r="B31" s="30" t="s">
        <v>266</v>
      </c>
      <c r="C31" s="30" t="s">
        <v>293</v>
      </c>
      <c r="D31" s="35" t="s">
        <v>253</v>
      </c>
      <c r="E31" s="46">
        <v>1</v>
      </c>
      <c r="F31" s="46">
        <v>2</v>
      </c>
      <c r="G31" s="46">
        <v>1</v>
      </c>
      <c r="H31" s="30">
        <v>2</v>
      </c>
      <c r="I31" s="30">
        <v>1</v>
      </c>
      <c r="J31" s="30">
        <v>1</v>
      </c>
      <c r="K31" s="46">
        <v>2</v>
      </c>
      <c r="L31" s="46">
        <v>1</v>
      </c>
      <c r="M31" s="46">
        <v>1</v>
      </c>
      <c r="N31" s="46">
        <v>2</v>
      </c>
      <c r="O31" s="46">
        <v>1</v>
      </c>
      <c r="P31" s="46">
        <v>1</v>
      </c>
      <c r="Q31" s="46">
        <v>2</v>
      </c>
      <c r="R31" s="46">
        <v>1</v>
      </c>
      <c r="S31" s="46">
        <v>2</v>
      </c>
      <c r="T31" s="46">
        <v>1</v>
      </c>
      <c r="U31" s="46">
        <v>1</v>
      </c>
      <c r="V31" s="46">
        <v>1</v>
      </c>
      <c r="W31" s="46">
        <v>2</v>
      </c>
      <c r="X31" s="46">
        <v>2</v>
      </c>
      <c r="Y31" s="46">
        <v>2</v>
      </c>
      <c r="Z31" s="46">
        <v>1</v>
      </c>
      <c r="AA31" s="46">
        <v>1</v>
      </c>
      <c r="AB31" s="46">
        <v>1</v>
      </c>
      <c r="AC31" s="46">
        <v>2</v>
      </c>
      <c r="AD31" s="46">
        <v>1</v>
      </c>
      <c r="AE31" s="46">
        <v>1</v>
      </c>
      <c r="AF31" s="46">
        <v>2</v>
      </c>
      <c r="AG31" s="46">
        <v>1</v>
      </c>
      <c r="AH31" s="46">
        <v>1</v>
      </c>
      <c r="AI31" s="46">
        <v>1</v>
      </c>
      <c r="AJ31" s="46">
        <v>1</v>
      </c>
      <c r="AK31" s="46">
        <v>1</v>
      </c>
      <c r="AL31" s="46">
        <v>2</v>
      </c>
      <c r="AM31" s="46">
        <v>2</v>
      </c>
      <c r="AN31" s="46">
        <v>1</v>
      </c>
      <c r="AO31" s="46">
        <v>1</v>
      </c>
      <c r="AP31" s="46">
        <v>2</v>
      </c>
      <c r="AQ31" s="46">
        <v>2</v>
      </c>
      <c r="AR31" s="46">
        <v>2</v>
      </c>
      <c r="AS31" s="46">
        <v>2</v>
      </c>
      <c r="AT31" s="46">
        <v>1</v>
      </c>
      <c r="AU31" s="46">
        <v>1</v>
      </c>
      <c r="AV31" s="46">
        <v>1</v>
      </c>
      <c r="AW31" s="46">
        <v>2</v>
      </c>
      <c r="AX31" s="46">
        <v>1</v>
      </c>
      <c r="AY31" s="46">
        <v>2</v>
      </c>
      <c r="AZ31" s="46">
        <v>1</v>
      </c>
      <c r="BA31" s="46">
        <v>2</v>
      </c>
      <c r="BB31" s="46">
        <v>1</v>
      </c>
      <c r="BC31" s="46">
        <v>2</v>
      </c>
      <c r="BD31" s="46">
        <v>2</v>
      </c>
      <c r="BE31" s="46">
        <v>2</v>
      </c>
      <c r="BF31" s="46">
        <v>1</v>
      </c>
      <c r="BG31" s="46">
        <v>2</v>
      </c>
      <c r="BH31" s="46">
        <v>1</v>
      </c>
      <c r="BI31" s="46">
        <v>1</v>
      </c>
      <c r="BJ31" s="46">
        <v>1</v>
      </c>
      <c r="BK31" s="46">
        <v>2</v>
      </c>
      <c r="BL31" s="46">
        <v>1</v>
      </c>
      <c r="BM31" s="46">
        <v>2</v>
      </c>
      <c r="BN31" s="46">
        <v>2</v>
      </c>
      <c r="BO31" s="46">
        <v>1</v>
      </c>
      <c r="BP31" s="46">
        <v>1</v>
      </c>
      <c r="BQ31" s="46">
        <v>1</v>
      </c>
      <c r="BR31" s="46">
        <v>1</v>
      </c>
      <c r="BS31" s="46">
        <v>1</v>
      </c>
      <c r="BT31" s="46">
        <v>2</v>
      </c>
      <c r="BU31" s="46">
        <v>1</v>
      </c>
      <c r="BV31" s="46">
        <v>1</v>
      </c>
      <c r="BW31" s="46">
        <v>1</v>
      </c>
      <c r="BX31" s="46">
        <v>1</v>
      </c>
      <c r="BY31" s="46">
        <v>2</v>
      </c>
      <c r="BZ31" s="46">
        <v>1</v>
      </c>
      <c r="CA31" s="46">
        <v>2</v>
      </c>
      <c r="CB31" s="46">
        <v>1</v>
      </c>
      <c r="CC31" s="46">
        <v>1</v>
      </c>
      <c r="CD31" s="46">
        <v>2</v>
      </c>
      <c r="CE31" s="46">
        <v>1</v>
      </c>
      <c r="CF31" s="46">
        <v>2</v>
      </c>
      <c r="CG31" s="46">
        <v>1</v>
      </c>
      <c r="CH31" s="46">
        <v>2</v>
      </c>
      <c r="CI31" s="46">
        <v>2</v>
      </c>
      <c r="CJ31" s="46">
        <v>1</v>
      </c>
      <c r="CK31" s="46">
        <v>1</v>
      </c>
      <c r="CL31" s="46">
        <v>1</v>
      </c>
      <c r="CM31" s="46">
        <v>1</v>
      </c>
      <c r="CN31" s="46">
        <v>2</v>
      </c>
      <c r="CO31" s="46">
        <v>1</v>
      </c>
      <c r="CP31" s="46">
        <v>1</v>
      </c>
      <c r="CQ31" s="46">
        <v>2</v>
      </c>
      <c r="CR31" s="46">
        <v>1</v>
      </c>
      <c r="CS31" s="46">
        <v>2</v>
      </c>
      <c r="CT31" s="46">
        <v>1</v>
      </c>
      <c r="CU31" s="46">
        <v>1</v>
      </c>
      <c r="CV31" s="46">
        <v>1</v>
      </c>
      <c r="CW31" s="46">
        <v>1</v>
      </c>
      <c r="CX31" s="46">
        <v>1</v>
      </c>
      <c r="CY31" s="46">
        <v>1</v>
      </c>
      <c r="CZ31" s="46">
        <v>1</v>
      </c>
      <c r="DA31" s="46">
        <v>1</v>
      </c>
      <c r="DB31" s="46">
        <v>2</v>
      </c>
      <c r="DC31" s="46">
        <v>2</v>
      </c>
      <c r="DD31" s="46">
        <v>1</v>
      </c>
      <c r="DE31" s="46">
        <v>2</v>
      </c>
      <c r="DF31" s="46">
        <v>1</v>
      </c>
      <c r="DG31" s="46">
        <v>2</v>
      </c>
      <c r="DH31" s="46">
        <v>1</v>
      </c>
      <c r="DI31" s="46">
        <v>1</v>
      </c>
      <c r="DJ31" s="46">
        <v>2</v>
      </c>
      <c r="DK31" s="46">
        <v>2</v>
      </c>
      <c r="DL31" s="46">
        <v>2</v>
      </c>
      <c r="DM31" s="46">
        <v>2</v>
      </c>
      <c r="DN31" s="46">
        <v>2</v>
      </c>
      <c r="DO31" s="46">
        <v>1</v>
      </c>
      <c r="DP31" s="46">
        <v>2</v>
      </c>
      <c r="DQ31" s="46">
        <v>2</v>
      </c>
      <c r="DR31" s="46">
        <v>2</v>
      </c>
      <c r="DS31" s="46">
        <v>1</v>
      </c>
      <c r="DT31" s="46">
        <v>2</v>
      </c>
      <c r="DU31" s="46">
        <v>1</v>
      </c>
      <c r="DV31" s="46">
        <v>1</v>
      </c>
      <c r="DW31" s="46">
        <v>1</v>
      </c>
      <c r="DX31" s="46">
        <v>2</v>
      </c>
      <c r="DY31" s="46">
        <v>2</v>
      </c>
      <c r="DZ31" s="46">
        <v>2</v>
      </c>
      <c r="EA31" s="46">
        <v>2</v>
      </c>
      <c r="EB31" s="46">
        <v>2</v>
      </c>
      <c r="EC31" s="46">
        <v>2</v>
      </c>
      <c r="ED31" s="46">
        <v>1</v>
      </c>
      <c r="EE31" s="46">
        <v>1</v>
      </c>
      <c r="EF31" s="46">
        <v>1</v>
      </c>
      <c r="EG31" s="46">
        <v>1</v>
      </c>
      <c r="EH31" s="46">
        <v>2</v>
      </c>
      <c r="EI31" s="46">
        <v>1</v>
      </c>
      <c r="EJ31" s="46">
        <v>1</v>
      </c>
      <c r="EK31" s="46">
        <v>1</v>
      </c>
      <c r="EL31" s="46">
        <v>2</v>
      </c>
      <c r="EM31" s="46">
        <v>2</v>
      </c>
      <c r="EN31" s="46">
        <v>2</v>
      </c>
      <c r="EO31" s="46">
        <v>1</v>
      </c>
      <c r="EP31" s="46">
        <v>2</v>
      </c>
      <c r="EQ31" s="46">
        <v>1</v>
      </c>
      <c r="ER31" s="46">
        <v>1</v>
      </c>
      <c r="ES31" s="46">
        <v>1</v>
      </c>
      <c r="ET31" s="46">
        <v>1</v>
      </c>
      <c r="EU31" s="46">
        <v>2</v>
      </c>
      <c r="EV31" s="46">
        <v>1</v>
      </c>
      <c r="EW31" s="46">
        <v>1</v>
      </c>
      <c r="EX31" s="46">
        <v>1</v>
      </c>
      <c r="EY31" s="46">
        <v>2</v>
      </c>
      <c r="EZ31" s="46">
        <v>2</v>
      </c>
      <c r="FA31" s="46">
        <v>1</v>
      </c>
      <c r="FB31" s="46">
        <v>2</v>
      </c>
      <c r="FC31" s="46">
        <v>2</v>
      </c>
      <c r="FD31" s="46">
        <v>2</v>
      </c>
      <c r="FE31" s="46">
        <v>2</v>
      </c>
      <c r="FF31" s="46">
        <v>2</v>
      </c>
      <c r="FG31" s="46">
        <v>1</v>
      </c>
      <c r="FH31" s="46">
        <v>2</v>
      </c>
    </row>
    <row r="32" spans="1:164" s="31" customFormat="1" x14ac:dyDescent="0.2">
      <c r="A32" s="44" t="s">
        <v>296</v>
      </c>
      <c r="B32" s="30" t="s">
        <v>264</v>
      </c>
      <c r="C32" s="30" t="s">
        <v>293</v>
      </c>
      <c r="D32" s="35" t="s">
        <v>254</v>
      </c>
      <c r="E32" s="46">
        <v>2</v>
      </c>
      <c r="F32" s="46">
        <v>2</v>
      </c>
      <c r="G32" s="46">
        <v>2</v>
      </c>
      <c r="H32" s="30">
        <v>2</v>
      </c>
      <c r="I32" s="30">
        <v>2</v>
      </c>
      <c r="J32" s="30">
        <v>2</v>
      </c>
      <c r="K32" s="46">
        <v>2</v>
      </c>
      <c r="L32" s="46">
        <v>2</v>
      </c>
      <c r="M32" s="46">
        <v>2</v>
      </c>
      <c r="N32" s="46">
        <v>2</v>
      </c>
      <c r="O32" s="46">
        <v>2</v>
      </c>
      <c r="P32" s="46">
        <v>2</v>
      </c>
      <c r="Q32" s="46">
        <v>2</v>
      </c>
      <c r="R32" s="46">
        <v>2</v>
      </c>
      <c r="S32" s="46">
        <v>2</v>
      </c>
      <c r="T32" s="46">
        <v>2</v>
      </c>
      <c r="U32" s="46">
        <v>2</v>
      </c>
      <c r="V32" s="46">
        <v>2</v>
      </c>
      <c r="W32" s="46">
        <v>2</v>
      </c>
      <c r="X32" s="46">
        <v>2</v>
      </c>
      <c r="Y32" s="46">
        <v>2</v>
      </c>
      <c r="Z32" s="46">
        <v>2</v>
      </c>
      <c r="AA32" s="46">
        <v>1</v>
      </c>
      <c r="AB32" s="46">
        <v>2</v>
      </c>
      <c r="AC32" s="46">
        <v>1</v>
      </c>
      <c r="AD32" s="46">
        <v>2</v>
      </c>
      <c r="AE32" s="46">
        <v>1</v>
      </c>
      <c r="AF32" s="46">
        <v>2</v>
      </c>
      <c r="AG32" s="46">
        <v>2</v>
      </c>
      <c r="AH32" s="46">
        <v>2</v>
      </c>
      <c r="AI32" s="46">
        <v>1</v>
      </c>
      <c r="AJ32" s="46">
        <v>2</v>
      </c>
      <c r="AK32" s="46">
        <v>2</v>
      </c>
      <c r="AL32" s="46">
        <v>2</v>
      </c>
      <c r="AM32" s="46">
        <v>2</v>
      </c>
      <c r="AN32" s="46">
        <v>1</v>
      </c>
      <c r="AO32" s="46">
        <v>2</v>
      </c>
      <c r="AP32" s="46">
        <v>2</v>
      </c>
      <c r="AQ32" s="46">
        <v>2</v>
      </c>
      <c r="AR32" s="46">
        <v>2</v>
      </c>
      <c r="AS32" s="46">
        <v>1</v>
      </c>
      <c r="AT32" s="46">
        <v>2</v>
      </c>
      <c r="AU32" s="46">
        <v>2</v>
      </c>
      <c r="AV32" s="46">
        <v>1</v>
      </c>
      <c r="AW32" s="46">
        <v>2</v>
      </c>
      <c r="AX32" s="46">
        <v>1</v>
      </c>
      <c r="AY32" s="46">
        <v>2</v>
      </c>
      <c r="AZ32" s="46">
        <v>1</v>
      </c>
      <c r="BA32" s="46">
        <v>2</v>
      </c>
      <c r="BB32" s="46">
        <v>2</v>
      </c>
      <c r="BC32" s="46">
        <v>2</v>
      </c>
      <c r="BD32" s="46">
        <v>2</v>
      </c>
      <c r="BE32" s="46">
        <v>1</v>
      </c>
      <c r="BF32" s="46">
        <v>2</v>
      </c>
      <c r="BG32" s="46">
        <v>2</v>
      </c>
      <c r="BH32" s="46">
        <v>1</v>
      </c>
      <c r="BI32" s="46">
        <v>2</v>
      </c>
      <c r="BJ32" s="46">
        <v>1</v>
      </c>
      <c r="BK32" s="46">
        <v>2</v>
      </c>
      <c r="BL32" s="46">
        <v>2</v>
      </c>
      <c r="BM32" s="46">
        <v>2</v>
      </c>
      <c r="BN32" s="46">
        <v>1</v>
      </c>
      <c r="BO32" s="46">
        <v>2</v>
      </c>
      <c r="BP32" s="46">
        <v>2</v>
      </c>
      <c r="BQ32" s="46">
        <v>1</v>
      </c>
      <c r="BR32" s="46">
        <v>2</v>
      </c>
      <c r="BS32" s="46">
        <v>1</v>
      </c>
      <c r="BT32" s="46">
        <v>2</v>
      </c>
      <c r="BU32" s="46">
        <v>1</v>
      </c>
      <c r="BV32" s="46">
        <v>2</v>
      </c>
      <c r="BW32" s="46">
        <v>2</v>
      </c>
      <c r="BX32" s="46">
        <v>1</v>
      </c>
      <c r="BY32" s="46">
        <v>2</v>
      </c>
      <c r="BZ32" s="46">
        <v>1</v>
      </c>
      <c r="CA32" s="46">
        <v>2</v>
      </c>
      <c r="CB32" s="46">
        <v>2</v>
      </c>
      <c r="CC32" s="46">
        <v>1</v>
      </c>
      <c r="CD32" s="46">
        <v>2</v>
      </c>
      <c r="CE32" s="46">
        <v>1</v>
      </c>
      <c r="CF32" s="46">
        <v>2</v>
      </c>
      <c r="CG32" s="46">
        <v>1</v>
      </c>
      <c r="CH32" s="46">
        <v>2</v>
      </c>
      <c r="CI32" s="46">
        <v>1</v>
      </c>
      <c r="CJ32" s="46">
        <v>2</v>
      </c>
      <c r="CK32" s="46">
        <v>1</v>
      </c>
      <c r="CL32" s="46">
        <v>1</v>
      </c>
      <c r="CM32" s="46">
        <v>2</v>
      </c>
      <c r="CN32" s="46">
        <v>1</v>
      </c>
      <c r="CO32" s="46">
        <v>2</v>
      </c>
      <c r="CP32" s="46">
        <v>1</v>
      </c>
      <c r="CQ32" s="46">
        <v>2</v>
      </c>
      <c r="CR32" s="46">
        <v>2</v>
      </c>
      <c r="CS32" s="46">
        <v>2</v>
      </c>
      <c r="CT32" s="46">
        <v>2</v>
      </c>
      <c r="CU32" s="46">
        <v>2</v>
      </c>
      <c r="CV32" s="46">
        <v>2</v>
      </c>
      <c r="CW32" s="46">
        <v>1</v>
      </c>
      <c r="CX32" s="46">
        <v>2</v>
      </c>
      <c r="CY32" s="46">
        <v>2</v>
      </c>
      <c r="CZ32" s="46">
        <v>2</v>
      </c>
      <c r="DA32" s="46">
        <v>2</v>
      </c>
      <c r="DB32" s="46">
        <v>2</v>
      </c>
      <c r="DC32" s="46">
        <v>2</v>
      </c>
      <c r="DD32" s="46">
        <v>2</v>
      </c>
      <c r="DE32" s="46">
        <v>1</v>
      </c>
      <c r="DF32" s="46">
        <v>2</v>
      </c>
      <c r="DG32" s="46">
        <v>1</v>
      </c>
      <c r="DH32" s="46">
        <v>2</v>
      </c>
      <c r="DI32" s="46">
        <v>1</v>
      </c>
      <c r="DJ32" s="46">
        <v>2</v>
      </c>
      <c r="DK32" s="46">
        <v>2</v>
      </c>
      <c r="DL32" s="46">
        <v>1</v>
      </c>
      <c r="DM32" s="46">
        <v>2</v>
      </c>
      <c r="DN32" s="46">
        <v>1</v>
      </c>
      <c r="DO32" s="46">
        <v>2</v>
      </c>
      <c r="DP32" s="46">
        <v>2</v>
      </c>
      <c r="DQ32" s="46">
        <v>2</v>
      </c>
      <c r="DR32" s="46">
        <v>1</v>
      </c>
      <c r="DS32" s="46">
        <v>2</v>
      </c>
      <c r="DT32" s="46">
        <v>2</v>
      </c>
      <c r="DU32" s="46">
        <v>2</v>
      </c>
      <c r="DV32" s="46">
        <v>1</v>
      </c>
      <c r="DW32" s="46">
        <v>2</v>
      </c>
      <c r="DX32" s="46">
        <v>1</v>
      </c>
      <c r="DY32" s="46">
        <v>2</v>
      </c>
      <c r="DZ32" s="46">
        <v>1</v>
      </c>
      <c r="EA32" s="46">
        <v>2</v>
      </c>
      <c r="EB32" s="46">
        <v>1</v>
      </c>
      <c r="EC32" s="46">
        <v>2</v>
      </c>
      <c r="ED32" s="46">
        <v>1</v>
      </c>
      <c r="EE32" s="46">
        <v>2</v>
      </c>
      <c r="EF32" s="46">
        <v>1</v>
      </c>
      <c r="EG32" s="46">
        <v>2</v>
      </c>
      <c r="EH32" s="46">
        <v>1</v>
      </c>
      <c r="EI32" s="46">
        <v>2</v>
      </c>
      <c r="EJ32" s="46">
        <v>2</v>
      </c>
      <c r="EK32" s="46">
        <v>1</v>
      </c>
      <c r="EL32" s="46">
        <v>2</v>
      </c>
      <c r="EM32" s="46">
        <v>1</v>
      </c>
      <c r="EN32" s="46">
        <v>2</v>
      </c>
      <c r="EO32" s="46">
        <v>1</v>
      </c>
      <c r="EP32" s="46">
        <v>2</v>
      </c>
      <c r="EQ32" s="46">
        <v>1</v>
      </c>
      <c r="ER32" s="46">
        <v>2</v>
      </c>
      <c r="ES32" s="46">
        <v>1</v>
      </c>
      <c r="ET32" s="46">
        <v>1</v>
      </c>
      <c r="EU32" s="46">
        <v>2</v>
      </c>
      <c r="EV32" s="46">
        <v>1</v>
      </c>
      <c r="EW32" s="46">
        <v>2</v>
      </c>
      <c r="EX32" s="46">
        <v>2</v>
      </c>
      <c r="EY32" s="46">
        <v>2</v>
      </c>
      <c r="EZ32" s="46">
        <v>2</v>
      </c>
      <c r="FA32" s="46">
        <v>2</v>
      </c>
      <c r="FB32" s="46">
        <v>2</v>
      </c>
      <c r="FC32" s="46">
        <v>2</v>
      </c>
      <c r="FD32" s="46">
        <v>2</v>
      </c>
      <c r="FE32" s="46">
        <v>2</v>
      </c>
      <c r="FF32" s="46">
        <v>1</v>
      </c>
      <c r="FG32" s="46">
        <v>2</v>
      </c>
      <c r="FH32" s="46">
        <v>2</v>
      </c>
    </row>
    <row r="33" spans="1:164" s="31" customFormat="1" x14ac:dyDescent="0.2">
      <c r="A33" s="44" t="s">
        <v>428</v>
      </c>
      <c r="B33" s="30" t="s">
        <v>264</v>
      </c>
      <c r="C33" s="30" t="s">
        <v>293</v>
      </c>
      <c r="D33" s="35" t="s">
        <v>254</v>
      </c>
      <c r="E33" s="46">
        <v>1</v>
      </c>
      <c r="F33" s="46">
        <v>2</v>
      </c>
      <c r="G33" s="46">
        <v>1</v>
      </c>
      <c r="H33" s="30">
        <v>1</v>
      </c>
      <c r="I33" s="30">
        <v>2</v>
      </c>
      <c r="J33" s="30">
        <v>2</v>
      </c>
      <c r="K33" s="46">
        <v>2</v>
      </c>
      <c r="L33" s="46">
        <v>1</v>
      </c>
      <c r="M33" s="46">
        <v>1</v>
      </c>
      <c r="N33" s="46">
        <v>2</v>
      </c>
      <c r="O33" s="46">
        <v>2</v>
      </c>
      <c r="P33" s="46">
        <v>1</v>
      </c>
      <c r="Q33" s="46">
        <v>1</v>
      </c>
      <c r="R33" s="46">
        <v>1</v>
      </c>
      <c r="S33" s="46">
        <v>1</v>
      </c>
      <c r="T33" s="46">
        <v>1</v>
      </c>
      <c r="U33" s="46">
        <v>1</v>
      </c>
      <c r="V33" s="46">
        <v>1</v>
      </c>
      <c r="W33" s="46">
        <v>1</v>
      </c>
      <c r="X33" s="46">
        <v>1</v>
      </c>
      <c r="Y33" s="46">
        <v>1</v>
      </c>
      <c r="Z33" s="46">
        <v>1</v>
      </c>
      <c r="AA33" s="46">
        <v>1</v>
      </c>
      <c r="AB33" s="46">
        <v>2</v>
      </c>
      <c r="AC33" s="46">
        <v>1</v>
      </c>
      <c r="AD33" s="46">
        <v>1</v>
      </c>
      <c r="AE33" s="46">
        <v>2</v>
      </c>
      <c r="AF33" s="46">
        <v>2</v>
      </c>
      <c r="AG33" s="46">
        <v>2</v>
      </c>
      <c r="AH33" s="46">
        <v>2</v>
      </c>
      <c r="AI33" s="46">
        <v>1</v>
      </c>
      <c r="AJ33" s="46">
        <v>1</v>
      </c>
      <c r="AK33" s="46">
        <v>2</v>
      </c>
      <c r="AL33" s="46">
        <v>1</v>
      </c>
      <c r="AM33" s="46">
        <v>1</v>
      </c>
      <c r="AN33" s="46">
        <v>1</v>
      </c>
      <c r="AO33" s="46">
        <v>2</v>
      </c>
      <c r="AP33" s="46">
        <v>1</v>
      </c>
      <c r="AQ33" s="46">
        <v>1</v>
      </c>
      <c r="AR33" s="46">
        <v>2</v>
      </c>
      <c r="AS33" s="46">
        <v>1</v>
      </c>
      <c r="AT33" s="46">
        <v>1</v>
      </c>
      <c r="AU33" s="46">
        <v>1</v>
      </c>
      <c r="AV33" s="46">
        <v>1</v>
      </c>
      <c r="AW33" s="46">
        <v>1</v>
      </c>
      <c r="AX33" s="46">
        <v>1</v>
      </c>
      <c r="AY33" s="46">
        <v>1</v>
      </c>
      <c r="AZ33" s="46">
        <v>1</v>
      </c>
      <c r="BA33" s="46">
        <v>1</v>
      </c>
      <c r="BB33" s="46">
        <v>2</v>
      </c>
      <c r="BC33" s="46">
        <v>1</v>
      </c>
      <c r="BD33" s="46">
        <v>2</v>
      </c>
      <c r="BE33" s="46">
        <v>1</v>
      </c>
      <c r="BF33" s="46">
        <v>1</v>
      </c>
      <c r="BG33" s="46">
        <v>2</v>
      </c>
      <c r="BH33" s="46">
        <v>2</v>
      </c>
      <c r="BI33" s="46">
        <v>2</v>
      </c>
      <c r="BJ33" s="46">
        <v>1</v>
      </c>
      <c r="BK33" s="46">
        <v>2</v>
      </c>
      <c r="BL33" s="46">
        <v>1</v>
      </c>
      <c r="BM33" s="46">
        <v>1</v>
      </c>
      <c r="BN33" s="46">
        <v>2</v>
      </c>
      <c r="BO33" s="46">
        <v>1</v>
      </c>
      <c r="BP33" s="46">
        <v>1</v>
      </c>
      <c r="BQ33" s="46">
        <v>2</v>
      </c>
      <c r="BR33" s="46">
        <v>1</v>
      </c>
      <c r="BS33" s="46">
        <v>1</v>
      </c>
      <c r="BT33" s="46">
        <v>2</v>
      </c>
      <c r="BU33" s="46">
        <v>1</v>
      </c>
      <c r="BV33" s="46">
        <v>2</v>
      </c>
      <c r="BW33" s="46">
        <v>1</v>
      </c>
      <c r="BX33" s="46">
        <v>2</v>
      </c>
      <c r="BY33" s="46">
        <v>2</v>
      </c>
      <c r="BZ33" s="46">
        <v>1</v>
      </c>
      <c r="CA33" s="46">
        <v>2</v>
      </c>
      <c r="CB33" s="46">
        <v>1</v>
      </c>
      <c r="CC33" s="46">
        <v>1</v>
      </c>
      <c r="CD33" s="46">
        <v>1</v>
      </c>
      <c r="CE33" s="46">
        <v>1</v>
      </c>
      <c r="CF33" s="46">
        <v>1</v>
      </c>
      <c r="CG33" s="46">
        <v>2</v>
      </c>
      <c r="CH33" s="46">
        <v>2</v>
      </c>
      <c r="CI33" s="46">
        <v>2</v>
      </c>
      <c r="CJ33" s="46">
        <v>1</v>
      </c>
      <c r="CK33" s="46">
        <v>2</v>
      </c>
      <c r="CL33" s="46">
        <v>2</v>
      </c>
      <c r="CM33" s="46">
        <v>1</v>
      </c>
      <c r="CN33" s="46">
        <v>1</v>
      </c>
      <c r="CO33" s="46">
        <v>1</v>
      </c>
      <c r="CP33" s="46">
        <v>2</v>
      </c>
      <c r="CQ33" s="46">
        <v>1</v>
      </c>
      <c r="CR33" s="46">
        <v>1</v>
      </c>
      <c r="CS33" s="46">
        <v>2</v>
      </c>
      <c r="CT33" s="46">
        <v>2</v>
      </c>
      <c r="CU33" s="46">
        <v>1</v>
      </c>
      <c r="CV33" s="46">
        <v>2</v>
      </c>
      <c r="CW33" s="46">
        <v>2</v>
      </c>
      <c r="CX33" s="46">
        <v>2</v>
      </c>
      <c r="CY33" s="46">
        <v>1</v>
      </c>
      <c r="CZ33" s="46">
        <v>2</v>
      </c>
      <c r="DA33" s="46">
        <v>2</v>
      </c>
      <c r="DB33" s="46">
        <v>2</v>
      </c>
      <c r="DC33" s="46">
        <v>2</v>
      </c>
      <c r="DD33" s="46">
        <v>1</v>
      </c>
      <c r="DE33" s="46">
        <v>2</v>
      </c>
      <c r="DF33" s="46">
        <v>1</v>
      </c>
      <c r="DG33" s="46">
        <v>1</v>
      </c>
      <c r="DH33" s="46">
        <v>1</v>
      </c>
      <c r="DI33" s="46">
        <v>1</v>
      </c>
      <c r="DJ33" s="46">
        <v>1</v>
      </c>
      <c r="DK33" s="46">
        <v>2</v>
      </c>
      <c r="DL33" s="46">
        <v>1</v>
      </c>
      <c r="DM33" s="46">
        <v>2</v>
      </c>
      <c r="DN33" s="46">
        <v>2</v>
      </c>
      <c r="DO33" s="46">
        <v>1</v>
      </c>
      <c r="DP33" s="46">
        <v>1</v>
      </c>
      <c r="DQ33" s="46">
        <v>1</v>
      </c>
      <c r="DR33" s="46">
        <v>1</v>
      </c>
      <c r="DS33" s="46">
        <v>1</v>
      </c>
      <c r="DT33" s="46">
        <v>2</v>
      </c>
      <c r="DU33" s="46">
        <v>1</v>
      </c>
      <c r="DV33" s="46">
        <v>2</v>
      </c>
      <c r="DW33" s="46">
        <v>1</v>
      </c>
      <c r="DX33" s="46">
        <v>2</v>
      </c>
      <c r="DY33" s="46">
        <v>1</v>
      </c>
      <c r="DZ33" s="46">
        <v>2</v>
      </c>
      <c r="EA33" s="46">
        <v>1</v>
      </c>
      <c r="EB33" s="46">
        <v>2</v>
      </c>
      <c r="EC33" s="46">
        <v>2</v>
      </c>
      <c r="ED33" s="46">
        <v>1</v>
      </c>
      <c r="EE33" s="46">
        <v>2</v>
      </c>
      <c r="EF33" s="46">
        <v>1</v>
      </c>
      <c r="EG33" s="46">
        <v>1</v>
      </c>
      <c r="EH33" s="46">
        <v>2</v>
      </c>
      <c r="EI33" s="46">
        <v>2</v>
      </c>
      <c r="EJ33" s="46">
        <v>1</v>
      </c>
      <c r="EK33" s="46">
        <v>2</v>
      </c>
      <c r="EL33" s="46">
        <v>2</v>
      </c>
      <c r="EM33" s="46">
        <v>1</v>
      </c>
      <c r="EN33" s="46">
        <v>1</v>
      </c>
      <c r="EO33" s="46">
        <v>1</v>
      </c>
      <c r="EP33" s="46">
        <v>2</v>
      </c>
      <c r="EQ33" s="46">
        <v>2</v>
      </c>
      <c r="ER33" s="46">
        <v>1</v>
      </c>
      <c r="ES33" s="46">
        <v>2</v>
      </c>
      <c r="ET33" s="46">
        <v>2</v>
      </c>
      <c r="EU33" s="46">
        <v>1</v>
      </c>
      <c r="EV33" s="46">
        <v>2</v>
      </c>
      <c r="EW33" s="46">
        <v>2</v>
      </c>
      <c r="EX33" s="46">
        <v>2</v>
      </c>
      <c r="EY33" s="46">
        <v>1</v>
      </c>
      <c r="EZ33" s="46">
        <v>2</v>
      </c>
      <c r="FA33" s="46">
        <v>1</v>
      </c>
      <c r="FB33" s="46">
        <v>1</v>
      </c>
      <c r="FC33" s="46">
        <v>1</v>
      </c>
      <c r="FD33" s="46">
        <v>1</v>
      </c>
      <c r="FE33" s="46">
        <v>2</v>
      </c>
      <c r="FF33" s="46">
        <v>1</v>
      </c>
      <c r="FG33" s="46">
        <v>1</v>
      </c>
      <c r="FH33" s="46">
        <v>2</v>
      </c>
    </row>
    <row r="34" spans="1:164" s="31" customFormat="1" x14ac:dyDescent="0.2">
      <c r="A34" s="44" t="s">
        <v>297</v>
      </c>
      <c r="B34" s="30" t="s">
        <v>265</v>
      </c>
      <c r="C34" s="30" t="s">
        <v>293</v>
      </c>
      <c r="D34" s="35" t="s">
        <v>253</v>
      </c>
      <c r="E34" s="46">
        <v>2</v>
      </c>
      <c r="F34" s="46">
        <v>1</v>
      </c>
      <c r="G34" s="46">
        <v>1</v>
      </c>
      <c r="H34" s="30">
        <v>2</v>
      </c>
      <c r="I34" s="30">
        <v>1</v>
      </c>
      <c r="J34" s="30">
        <v>1</v>
      </c>
      <c r="K34" s="46">
        <v>2</v>
      </c>
      <c r="L34" s="46">
        <v>1</v>
      </c>
      <c r="M34" s="46">
        <v>1</v>
      </c>
      <c r="N34" s="46">
        <v>1</v>
      </c>
      <c r="O34" s="46">
        <v>1</v>
      </c>
      <c r="P34" s="46">
        <v>1</v>
      </c>
      <c r="Q34" s="46">
        <v>1</v>
      </c>
      <c r="R34" s="46">
        <v>1</v>
      </c>
      <c r="S34" s="46">
        <v>1</v>
      </c>
      <c r="T34" s="46">
        <v>2</v>
      </c>
      <c r="U34" s="46">
        <v>1</v>
      </c>
      <c r="V34" s="46">
        <v>1</v>
      </c>
      <c r="W34" s="46">
        <v>2</v>
      </c>
      <c r="X34" s="46">
        <v>2</v>
      </c>
      <c r="Y34" s="46">
        <v>1</v>
      </c>
      <c r="Z34" s="46">
        <v>2</v>
      </c>
      <c r="AA34" s="46">
        <v>1</v>
      </c>
      <c r="AB34" s="46">
        <v>1</v>
      </c>
      <c r="AC34" s="46">
        <v>2</v>
      </c>
      <c r="AD34" s="46">
        <v>1</v>
      </c>
      <c r="AE34" s="46">
        <v>1</v>
      </c>
      <c r="AF34" s="46">
        <v>2</v>
      </c>
      <c r="AG34" s="46">
        <v>2</v>
      </c>
      <c r="AH34" s="46">
        <v>2</v>
      </c>
      <c r="AI34" s="46">
        <v>2</v>
      </c>
      <c r="AJ34" s="46">
        <v>2</v>
      </c>
      <c r="AK34" s="46">
        <v>2</v>
      </c>
      <c r="AL34" s="46">
        <v>1</v>
      </c>
      <c r="AM34" s="46">
        <v>2</v>
      </c>
      <c r="AN34" s="46">
        <v>1</v>
      </c>
      <c r="AO34" s="46">
        <v>2</v>
      </c>
      <c r="AP34" s="46">
        <v>1</v>
      </c>
      <c r="AQ34" s="46">
        <v>2</v>
      </c>
      <c r="AR34" s="46">
        <v>2</v>
      </c>
      <c r="AS34" s="46">
        <v>2</v>
      </c>
      <c r="AT34" s="46">
        <v>1</v>
      </c>
      <c r="AU34" s="46">
        <v>2</v>
      </c>
      <c r="AV34" s="46">
        <v>1</v>
      </c>
      <c r="AW34" s="46">
        <v>1</v>
      </c>
      <c r="AX34" s="46">
        <v>1</v>
      </c>
      <c r="AY34" s="46">
        <v>2</v>
      </c>
      <c r="AZ34" s="46">
        <v>2</v>
      </c>
      <c r="BA34" s="46">
        <v>1</v>
      </c>
      <c r="BB34" s="46">
        <v>2</v>
      </c>
      <c r="BC34" s="46">
        <v>1</v>
      </c>
      <c r="BD34" s="46">
        <v>2</v>
      </c>
      <c r="BE34" s="46">
        <v>2</v>
      </c>
      <c r="BF34" s="46">
        <v>1</v>
      </c>
      <c r="BG34" s="46">
        <v>1</v>
      </c>
      <c r="BH34" s="46">
        <v>2</v>
      </c>
      <c r="BI34" s="46">
        <v>2</v>
      </c>
      <c r="BJ34" s="46">
        <v>2</v>
      </c>
      <c r="BK34" s="46">
        <v>2</v>
      </c>
      <c r="BL34" s="46">
        <v>1</v>
      </c>
      <c r="BM34" s="46">
        <v>2</v>
      </c>
      <c r="BN34" s="46">
        <v>1</v>
      </c>
      <c r="BO34" s="46">
        <v>2</v>
      </c>
      <c r="BP34" s="46">
        <v>2</v>
      </c>
      <c r="BQ34" s="46">
        <v>2</v>
      </c>
      <c r="BR34" s="46">
        <v>2</v>
      </c>
      <c r="BS34" s="46">
        <v>1</v>
      </c>
      <c r="BT34" s="46">
        <v>1</v>
      </c>
      <c r="BU34" s="46">
        <v>2</v>
      </c>
      <c r="BV34" s="46">
        <v>2</v>
      </c>
      <c r="BW34" s="46">
        <v>2</v>
      </c>
      <c r="BX34" s="46">
        <v>1</v>
      </c>
      <c r="BY34" s="46">
        <v>2</v>
      </c>
      <c r="BZ34" s="46">
        <v>1</v>
      </c>
      <c r="CA34" s="46">
        <v>2</v>
      </c>
      <c r="CB34" s="46">
        <v>2</v>
      </c>
      <c r="CC34" s="46">
        <v>2</v>
      </c>
      <c r="CD34" s="46">
        <v>1</v>
      </c>
      <c r="CE34" s="46">
        <v>2</v>
      </c>
      <c r="CF34" s="46">
        <v>1</v>
      </c>
      <c r="CG34" s="46">
        <v>1</v>
      </c>
      <c r="CH34" s="46">
        <v>2</v>
      </c>
      <c r="CI34" s="46">
        <v>1</v>
      </c>
      <c r="CJ34" s="46">
        <v>2</v>
      </c>
      <c r="CK34" s="46">
        <v>1</v>
      </c>
      <c r="CL34" s="46">
        <v>1</v>
      </c>
      <c r="CM34" s="46">
        <v>2</v>
      </c>
      <c r="CN34" s="46">
        <v>1</v>
      </c>
      <c r="CO34" s="46">
        <v>1</v>
      </c>
      <c r="CP34" s="46">
        <v>1</v>
      </c>
      <c r="CQ34" s="46">
        <v>2</v>
      </c>
      <c r="CR34" s="46">
        <v>2</v>
      </c>
      <c r="CS34" s="46">
        <v>1</v>
      </c>
      <c r="CT34" s="46">
        <v>1</v>
      </c>
      <c r="CU34" s="46">
        <v>2</v>
      </c>
      <c r="CV34" s="46">
        <v>2</v>
      </c>
      <c r="CW34" s="46">
        <v>2</v>
      </c>
      <c r="CX34" s="46">
        <v>1</v>
      </c>
      <c r="CY34" s="46">
        <v>2</v>
      </c>
      <c r="CZ34" s="46">
        <v>2</v>
      </c>
      <c r="DA34" s="46">
        <v>1</v>
      </c>
      <c r="DB34" s="46">
        <v>1</v>
      </c>
      <c r="DC34" s="46">
        <v>2</v>
      </c>
      <c r="DD34" s="46">
        <v>1</v>
      </c>
      <c r="DE34" s="46">
        <v>2</v>
      </c>
      <c r="DF34" s="46">
        <v>2</v>
      </c>
      <c r="DG34" s="46">
        <v>2</v>
      </c>
      <c r="DH34" s="46">
        <v>2</v>
      </c>
      <c r="DI34" s="46">
        <v>1</v>
      </c>
      <c r="DJ34" s="46">
        <v>2</v>
      </c>
      <c r="DK34" s="46">
        <v>2</v>
      </c>
      <c r="DL34" s="46">
        <v>2</v>
      </c>
      <c r="DM34" s="46">
        <v>2</v>
      </c>
      <c r="DN34" s="46">
        <v>1</v>
      </c>
      <c r="DO34" s="46">
        <v>2</v>
      </c>
      <c r="DP34" s="46">
        <v>1</v>
      </c>
      <c r="DQ34" s="46">
        <v>2</v>
      </c>
      <c r="DR34" s="46">
        <v>2</v>
      </c>
      <c r="DS34" s="46">
        <v>2</v>
      </c>
      <c r="DT34" s="46">
        <v>2</v>
      </c>
      <c r="DU34" s="46">
        <v>1</v>
      </c>
      <c r="DV34" s="46">
        <v>2</v>
      </c>
      <c r="DW34" s="46">
        <v>2</v>
      </c>
      <c r="DX34" s="46">
        <v>2</v>
      </c>
      <c r="DY34" s="46">
        <v>2</v>
      </c>
      <c r="DZ34" s="46">
        <v>2</v>
      </c>
      <c r="EA34" s="46">
        <v>2</v>
      </c>
      <c r="EB34" s="46">
        <v>1</v>
      </c>
      <c r="EC34" s="46">
        <v>2</v>
      </c>
      <c r="ED34" s="46">
        <v>1</v>
      </c>
      <c r="EE34" s="46">
        <v>2</v>
      </c>
      <c r="EF34" s="46">
        <v>1</v>
      </c>
      <c r="EG34" s="46">
        <v>2</v>
      </c>
      <c r="EH34" s="46">
        <v>2</v>
      </c>
      <c r="EI34" s="46">
        <v>1</v>
      </c>
      <c r="EJ34" s="46">
        <v>2</v>
      </c>
      <c r="EK34" s="46">
        <v>1</v>
      </c>
      <c r="EL34" s="46">
        <v>2</v>
      </c>
      <c r="EM34" s="46">
        <v>2</v>
      </c>
      <c r="EN34" s="46">
        <v>2</v>
      </c>
      <c r="EO34" s="46">
        <v>2</v>
      </c>
      <c r="EP34" s="46">
        <v>1</v>
      </c>
      <c r="EQ34" s="46">
        <v>1</v>
      </c>
      <c r="ER34" s="46">
        <v>2</v>
      </c>
      <c r="ES34" s="46">
        <v>2</v>
      </c>
      <c r="ET34" s="46">
        <v>2</v>
      </c>
      <c r="EU34" s="46">
        <v>1</v>
      </c>
      <c r="EV34" s="46">
        <v>1</v>
      </c>
      <c r="EW34" s="46">
        <v>2</v>
      </c>
      <c r="EX34" s="46">
        <v>2</v>
      </c>
      <c r="EY34" s="46">
        <v>2</v>
      </c>
      <c r="EZ34" s="46">
        <v>2</v>
      </c>
      <c r="FA34" s="46">
        <v>2</v>
      </c>
      <c r="FB34" s="46">
        <v>1</v>
      </c>
      <c r="FC34" s="46">
        <v>2</v>
      </c>
      <c r="FD34" s="46">
        <v>2</v>
      </c>
      <c r="FE34" s="46">
        <v>1</v>
      </c>
      <c r="FF34" s="46">
        <v>2</v>
      </c>
      <c r="FG34" s="46">
        <v>2</v>
      </c>
      <c r="FH34" s="46">
        <v>1</v>
      </c>
    </row>
    <row r="35" spans="1:164" s="31" customFormat="1" x14ac:dyDescent="0.2">
      <c r="A35" s="44" t="s">
        <v>298</v>
      </c>
      <c r="B35" s="30" t="s">
        <v>264</v>
      </c>
      <c r="C35" s="30" t="s">
        <v>293</v>
      </c>
      <c r="D35" s="35" t="s">
        <v>254</v>
      </c>
      <c r="E35" s="46">
        <v>2</v>
      </c>
      <c r="F35" s="46">
        <v>1</v>
      </c>
      <c r="G35" s="46">
        <v>1</v>
      </c>
      <c r="H35" s="30">
        <v>1</v>
      </c>
      <c r="I35" s="30">
        <v>1</v>
      </c>
      <c r="J35" s="30">
        <v>2</v>
      </c>
      <c r="K35" s="46">
        <v>1</v>
      </c>
      <c r="L35" s="46">
        <v>1</v>
      </c>
      <c r="M35" s="46">
        <v>1</v>
      </c>
      <c r="N35" s="46">
        <v>2</v>
      </c>
      <c r="O35" s="46">
        <v>2</v>
      </c>
      <c r="P35" s="46">
        <v>1</v>
      </c>
      <c r="Q35" s="46">
        <v>1</v>
      </c>
      <c r="R35" s="46">
        <v>1</v>
      </c>
      <c r="S35" s="46">
        <v>1</v>
      </c>
      <c r="T35" s="46">
        <v>1</v>
      </c>
      <c r="U35" s="46">
        <v>2</v>
      </c>
      <c r="V35" s="46">
        <v>1</v>
      </c>
      <c r="W35" s="46">
        <v>2</v>
      </c>
      <c r="X35" s="46">
        <v>1</v>
      </c>
      <c r="Y35" s="46">
        <v>1</v>
      </c>
      <c r="Z35" s="46">
        <v>1</v>
      </c>
      <c r="AA35" s="46">
        <v>2</v>
      </c>
      <c r="AB35" s="46">
        <v>2</v>
      </c>
      <c r="AC35" s="46">
        <v>2</v>
      </c>
      <c r="AD35" s="46">
        <v>1</v>
      </c>
      <c r="AE35" s="46">
        <v>2</v>
      </c>
      <c r="AF35" s="46">
        <v>2</v>
      </c>
      <c r="AG35" s="46">
        <v>2</v>
      </c>
      <c r="AH35" s="46">
        <v>2</v>
      </c>
      <c r="AI35" s="46">
        <v>1</v>
      </c>
      <c r="AJ35" s="46">
        <v>2</v>
      </c>
      <c r="AK35" s="46">
        <v>2</v>
      </c>
      <c r="AL35" s="46">
        <v>1</v>
      </c>
      <c r="AM35" s="46">
        <v>1</v>
      </c>
      <c r="AN35" s="46">
        <v>1</v>
      </c>
      <c r="AO35" s="46">
        <v>1</v>
      </c>
      <c r="AP35" s="46">
        <v>1</v>
      </c>
      <c r="AQ35" s="46">
        <v>2</v>
      </c>
      <c r="AR35" s="46">
        <v>2</v>
      </c>
      <c r="AS35" s="46">
        <v>2</v>
      </c>
      <c r="AT35" s="46">
        <v>2</v>
      </c>
      <c r="AU35" s="46">
        <v>0</v>
      </c>
      <c r="AV35" s="46">
        <v>2</v>
      </c>
      <c r="AW35" s="46">
        <v>1</v>
      </c>
      <c r="AX35" s="46">
        <v>1</v>
      </c>
      <c r="AY35" s="46">
        <v>2</v>
      </c>
      <c r="AZ35" s="46">
        <v>1</v>
      </c>
      <c r="BA35" s="46">
        <v>2</v>
      </c>
      <c r="BB35" s="46">
        <v>2</v>
      </c>
      <c r="BC35" s="46">
        <v>1</v>
      </c>
      <c r="BD35" s="46">
        <v>2</v>
      </c>
      <c r="BE35" s="46">
        <v>1</v>
      </c>
      <c r="BF35" s="46">
        <v>1</v>
      </c>
      <c r="BG35" s="46">
        <v>2</v>
      </c>
      <c r="BH35" s="46">
        <v>2</v>
      </c>
      <c r="BI35" s="46">
        <v>2</v>
      </c>
      <c r="BJ35" s="46">
        <v>1</v>
      </c>
      <c r="BK35" s="46">
        <v>2</v>
      </c>
      <c r="BL35" s="46">
        <v>1</v>
      </c>
      <c r="BM35" s="46">
        <v>2</v>
      </c>
      <c r="BN35" s="46">
        <v>2</v>
      </c>
      <c r="BO35" s="46">
        <v>1</v>
      </c>
      <c r="BP35" s="46">
        <v>1</v>
      </c>
      <c r="BQ35" s="46">
        <v>2</v>
      </c>
      <c r="BR35" s="46">
        <v>1</v>
      </c>
      <c r="BS35" s="46">
        <v>2</v>
      </c>
      <c r="BT35" s="46">
        <v>2</v>
      </c>
      <c r="BU35" s="46">
        <v>1</v>
      </c>
      <c r="BV35" s="46">
        <v>2</v>
      </c>
      <c r="BW35" s="46">
        <v>1</v>
      </c>
      <c r="BX35" s="46">
        <v>1</v>
      </c>
      <c r="BY35" s="46">
        <v>1</v>
      </c>
      <c r="BZ35" s="46">
        <v>1</v>
      </c>
      <c r="CA35" s="46">
        <v>2</v>
      </c>
      <c r="CB35" s="46">
        <v>1</v>
      </c>
      <c r="CC35" s="46">
        <v>1</v>
      </c>
      <c r="CD35" s="46">
        <v>2</v>
      </c>
      <c r="CE35" s="46">
        <v>1</v>
      </c>
      <c r="CF35" s="46">
        <v>1</v>
      </c>
      <c r="CG35" s="46">
        <v>1</v>
      </c>
      <c r="CH35" s="46">
        <v>1</v>
      </c>
      <c r="CI35" s="46">
        <v>1</v>
      </c>
      <c r="CJ35" s="46">
        <v>1</v>
      </c>
      <c r="CK35" s="46">
        <v>1</v>
      </c>
      <c r="CL35" s="46">
        <v>1</v>
      </c>
      <c r="CM35" s="46">
        <v>1</v>
      </c>
      <c r="CN35" s="46">
        <v>1</v>
      </c>
      <c r="CO35" s="46">
        <v>1</v>
      </c>
      <c r="CP35" s="46">
        <v>2</v>
      </c>
      <c r="CQ35" s="46">
        <v>1</v>
      </c>
      <c r="CR35" s="46">
        <v>2</v>
      </c>
      <c r="CS35" s="46">
        <v>1</v>
      </c>
      <c r="CT35" s="46">
        <v>2</v>
      </c>
      <c r="CU35" s="46">
        <v>1</v>
      </c>
      <c r="CV35" s="46">
        <v>2</v>
      </c>
      <c r="CW35" s="46">
        <v>2</v>
      </c>
      <c r="CX35" s="46">
        <v>2</v>
      </c>
      <c r="CY35" s="46">
        <v>1</v>
      </c>
      <c r="CZ35" s="46">
        <v>1</v>
      </c>
      <c r="DA35" s="46">
        <v>2</v>
      </c>
      <c r="DB35" s="46">
        <v>2</v>
      </c>
      <c r="DC35" s="46">
        <v>2</v>
      </c>
      <c r="DD35" s="46">
        <v>2</v>
      </c>
      <c r="DE35" s="46">
        <v>2</v>
      </c>
      <c r="DF35" s="46">
        <v>1</v>
      </c>
      <c r="DG35" s="46">
        <v>1</v>
      </c>
      <c r="DH35" s="46">
        <v>1</v>
      </c>
      <c r="DI35" s="46">
        <v>1</v>
      </c>
      <c r="DJ35" s="46">
        <v>1</v>
      </c>
      <c r="DK35" s="46">
        <v>2</v>
      </c>
      <c r="DL35" s="46">
        <v>1</v>
      </c>
      <c r="DM35" s="46">
        <v>1</v>
      </c>
      <c r="DN35" s="46">
        <v>2</v>
      </c>
      <c r="DO35" s="46">
        <v>1</v>
      </c>
      <c r="DP35" s="46">
        <v>2</v>
      </c>
      <c r="DQ35" s="46">
        <v>2</v>
      </c>
      <c r="DR35" s="46">
        <v>2</v>
      </c>
      <c r="DS35" s="46">
        <v>1</v>
      </c>
      <c r="DT35" s="46">
        <v>1</v>
      </c>
      <c r="DU35" s="46">
        <v>2</v>
      </c>
      <c r="DV35" s="46">
        <v>1</v>
      </c>
      <c r="DW35" s="46">
        <v>1</v>
      </c>
      <c r="DX35" s="46">
        <v>2</v>
      </c>
      <c r="DY35" s="46">
        <v>1</v>
      </c>
      <c r="DZ35" s="46">
        <v>2</v>
      </c>
      <c r="EA35" s="46">
        <v>1</v>
      </c>
      <c r="EB35" s="46">
        <v>2</v>
      </c>
      <c r="EC35" s="46">
        <v>1</v>
      </c>
      <c r="ED35" s="46">
        <v>1</v>
      </c>
      <c r="EE35" s="46">
        <v>2</v>
      </c>
      <c r="EF35" s="46">
        <v>2</v>
      </c>
      <c r="EG35" s="46">
        <v>1</v>
      </c>
      <c r="EH35" s="46">
        <v>2</v>
      </c>
      <c r="EI35" s="46">
        <v>2</v>
      </c>
      <c r="EJ35" s="46">
        <v>1</v>
      </c>
      <c r="EK35" s="46">
        <v>2</v>
      </c>
      <c r="EL35" s="46">
        <v>1</v>
      </c>
      <c r="EM35" s="46">
        <v>2</v>
      </c>
      <c r="EN35" s="46">
        <v>1</v>
      </c>
      <c r="EO35" s="46">
        <v>1</v>
      </c>
      <c r="EP35" s="46">
        <v>1</v>
      </c>
      <c r="EQ35" s="46">
        <v>2</v>
      </c>
      <c r="ER35" s="46">
        <v>2</v>
      </c>
      <c r="ES35" s="46">
        <v>1</v>
      </c>
      <c r="ET35" s="46">
        <v>2</v>
      </c>
      <c r="EU35" s="46">
        <v>2</v>
      </c>
      <c r="EV35" s="46">
        <v>2</v>
      </c>
      <c r="EW35" s="46">
        <v>2</v>
      </c>
      <c r="EX35" s="46">
        <v>2</v>
      </c>
      <c r="EY35" s="46">
        <v>1</v>
      </c>
      <c r="EZ35" s="46">
        <v>2</v>
      </c>
      <c r="FA35" s="46">
        <v>1</v>
      </c>
      <c r="FB35" s="46">
        <v>1</v>
      </c>
      <c r="FC35" s="46">
        <v>2</v>
      </c>
      <c r="FD35" s="46">
        <v>1</v>
      </c>
      <c r="FE35" s="46">
        <v>2</v>
      </c>
      <c r="FF35" s="46">
        <v>1</v>
      </c>
      <c r="FG35" s="46">
        <v>1</v>
      </c>
      <c r="FH35" s="46">
        <v>2</v>
      </c>
    </row>
    <row r="36" spans="1:164" s="31" customFormat="1" x14ac:dyDescent="0.2">
      <c r="A36" s="44" t="s">
        <v>299</v>
      </c>
      <c r="B36" s="30" t="s">
        <v>264</v>
      </c>
      <c r="C36" s="30" t="s">
        <v>347</v>
      </c>
      <c r="D36" s="35" t="s">
        <v>252</v>
      </c>
      <c r="E36" s="46">
        <v>1</v>
      </c>
      <c r="F36" s="46">
        <v>2</v>
      </c>
      <c r="G36" s="46">
        <v>1</v>
      </c>
      <c r="H36" s="30">
        <v>1</v>
      </c>
      <c r="I36" s="30">
        <v>1</v>
      </c>
      <c r="J36" s="30">
        <v>1</v>
      </c>
      <c r="K36" s="46">
        <v>1</v>
      </c>
      <c r="L36" s="46">
        <v>1</v>
      </c>
      <c r="M36" s="46">
        <v>1</v>
      </c>
      <c r="N36" s="46">
        <v>1</v>
      </c>
      <c r="O36" s="46">
        <v>2</v>
      </c>
      <c r="P36" s="46">
        <v>2</v>
      </c>
      <c r="Q36" s="46">
        <v>2</v>
      </c>
      <c r="R36" s="46">
        <v>1</v>
      </c>
      <c r="S36" s="46">
        <v>1</v>
      </c>
      <c r="T36" s="46">
        <v>1</v>
      </c>
      <c r="U36" s="46">
        <v>1</v>
      </c>
      <c r="V36" s="46">
        <v>2</v>
      </c>
      <c r="W36" s="46">
        <v>2</v>
      </c>
      <c r="X36" s="46">
        <v>1</v>
      </c>
      <c r="Y36" s="46">
        <v>1</v>
      </c>
      <c r="Z36" s="46">
        <v>2</v>
      </c>
      <c r="AA36" s="46">
        <v>1</v>
      </c>
      <c r="AB36" s="46">
        <v>2</v>
      </c>
      <c r="AC36" s="46">
        <v>1</v>
      </c>
      <c r="AD36" s="46">
        <v>2</v>
      </c>
      <c r="AE36" s="46">
        <v>1</v>
      </c>
      <c r="AF36" s="46">
        <v>2</v>
      </c>
      <c r="AG36" s="46">
        <v>2</v>
      </c>
      <c r="AH36" s="46">
        <v>2</v>
      </c>
      <c r="AI36" s="46">
        <v>2</v>
      </c>
      <c r="AJ36" s="46">
        <v>2</v>
      </c>
      <c r="AK36" s="46">
        <v>2</v>
      </c>
      <c r="AL36" s="46">
        <v>1</v>
      </c>
      <c r="AM36" s="46">
        <v>1</v>
      </c>
      <c r="AN36" s="46">
        <v>2</v>
      </c>
      <c r="AO36" s="46">
        <v>2</v>
      </c>
      <c r="AP36" s="46">
        <v>1</v>
      </c>
      <c r="AQ36" s="46">
        <v>1</v>
      </c>
      <c r="AR36" s="46">
        <v>2</v>
      </c>
      <c r="AS36" s="46">
        <v>1</v>
      </c>
      <c r="AT36" s="46">
        <v>1</v>
      </c>
      <c r="AU36" s="46">
        <v>1</v>
      </c>
      <c r="AV36" s="46">
        <v>1</v>
      </c>
      <c r="AW36" s="46">
        <v>1</v>
      </c>
      <c r="AX36" s="46">
        <v>2</v>
      </c>
      <c r="AY36" s="46">
        <v>2</v>
      </c>
      <c r="AZ36" s="46">
        <v>1</v>
      </c>
      <c r="BA36" s="46">
        <v>1</v>
      </c>
      <c r="BB36" s="46">
        <v>1</v>
      </c>
      <c r="BC36" s="46">
        <v>1</v>
      </c>
      <c r="BD36" s="46">
        <v>2</v>
      </c>
      <c r="BE36" s="46">
        <v>1</v>
      </c>
      <c r="BF36" s="46">
        <v>1</v>
      </c>
      <c r="BG36" s="46">
        <v>2</v>
      </c>
      <c r="BH36" s="46">
        <v>1</v>
      </c>
      <c r="BI36" s="46">
        <v>2</v>
      </c>
      <c r="BJ36" s="46">
        <v>1</v>
      </c>
      <c r="BK36" s="46">
        <v>2</v>
      </c>
      <c r="BL36" s="46">
        <v>2</v>
      </c>
      <c r="BM36" s="46">
        <v>1</v>
      </c>
      <c r="BN36" s="46">
        <v>2</v>
      </c>
      <c r="BO36" s="46">
        <v>1</v>
      </c>
      <c r="BP36" s="46">
        <v>2</v>
      </c>
      <c r="BQ36" s="46">
        <v>2</v>
      </c>
      <c r="BR36" s="46">
        <v>2</v>
      </c>
      <c r="BS36" s="46">
        <v>1</v>
      </c>
      <c r="BT36" s="46">
        <v>1</v>
      </c>
      <c r="BU36" s="46">
        <v>1</v>
      </c>
      <c r="BV36" s="46">
        <v>1</v>
      </c>
      <c r="BW36" s="46">
        <v>1</v>
      </c>
      <c r="BX36" s="46">
        <v>2</v>
      </c>
      <c r="BY36" s="46">
        <v>2</v>
      </c>
      <c r="BZ36" s="46">
        <v>2</v>
      </c>
      <c r="CA36" s="46">
        <v>2</v>
      </c>
      <c r="CB36" s="46">
        <v>1</v>
      </c>
      <c r="CC36" s="46">
        <v>1</v>
      </c>
      <c r="CD36" s="46">
        <v>1</v>
      </c>
      <c r="CE36" s="46">
        <v>1</v>
      </c>
      <c r="CF36" s="46">
        <v>1</v>
      </c>
      <c r="CG36" s="46">
        <v>1</v>
      </c>
      <c r="CH36" s="46">
        <v>1</v>
      </c>
      <c r="CI36" s="46">
        <v>2</v>
      </c>
      <c r="CJ36" s="46">
        <v>1</v>
      </c>
      <c r="CK36" s="46">
        <v>2</v>
      </c>
      <c r="CL36" s="46">
        <v>1</v>
      </c>
      <c r="CM36" s="46">
        <v>1</v>
      </c>
      <c r="CN36" s="46">
        <v>1</v>
      </c>
      <c r="CO36" s="46">
        <v>1</v>
      </c>
      <c r="CP36" s="46">
        <v>2</v>
      </c>
      <c r="CQ36" s="46">
        <v>2</v>
      </c>
      <c r="CR36" s="46">
        <v>2</v>
      </c>
      <c r="CS36" s="46">
        <v>1</v>
      </c>
      <c r="CT36" s="46">
        <v>2</v>
      </c>
      <c r="CU36" s="46">
        <v>1</v>
      </c>
      <c r="CV36" s="46">
        <v>1</v>
      </c>
      <c r="CW36" s="46">
        <v>2</v>
      </c>
      <c r="CX36" s="46">
        <v>1</v>
      </c>
      <c r="CY36" s="46">
        <v>1</v>
      </c>
      <c r="CZ36" s="46">
        <v>2</v>
      </c>
      <c r="DA36" s="46">
        <v>2</v>
      </c>
      <c r="DB36" s="46">
        <v>1</v>
      </c>
      <c r="DC36" s="46">
        <v>2</v>
      </c>
      <c r="DD36" s="46">
        <v>2</v>
      </c>
      <c r="DE36" s="46">
        <v>2</v>
      </c>
      <c r="DF36" s="46">
        <v>1</v>
      </c>
      <c r="DG36" s="46">
        <v>1</v>
      </c>
      <c r="DH36" s="46">
        <v>2</v>
      </c>
      <c r="DI36" s="46">
        <v>1</v>
      </c>
      <c r="DJ36" s="46">
        <v>1</v>
      </c>
      <c r="DK36" s="46">
        <v>2</v>
      </c>
      <c r="DL36" s="46">
        <v>1</v>
      </c>
      <c r="DM36" s="46">
        <v>2</v>
      </c>
      <c r="DN36" s="46">
        <v>2</v>
      </c>
      <c r="DO36" s="46">
        <v>1</v>
      </c>
      <c r="DP36" s="46">
        <v>2</v>
      </c>
      <c r="DQ36" s="46">
        <v>1</v>
      </c>
      <c r="DR36" s="46">
        <v>1</v>
      </c>
      <c r="DS36" s="46">
        <v>1</v>
      </c>
      <c r="DT36" s="46">
        <v>2</v>
      </c>
      <c r="DU36" s="46">
        <v>2</v>
      </c>
      <c r="DV36" s="46">
        <v>1</v>
      </c>
      <c r="DW36" s="46">
        <v>1</v>
      </c>
      <c r="DX36" s="46">
        <v>1</v>
      </c>
      <c r="DY36" s="46">
        <v>2</v>
      </c>
      <c r="DZ36" s="46">
        <v>2</v>
      </c>
      <c r="EA36" s="46">
        <v>1</v>
      </c>
      <c r="EB36" s="46">
        <v>2</v>
      </c>
      <c r="EC36" s="46">
        <v>2</v>
      </c>
      <c r="ED36" s="46">
        <v>1</v>
      </c>
      <c r="EE36" s="46">
        <v>1</v>
      </c>
      <c r="EF36" s="46">
        <v>1</v>
      </c>
      <c r="EG36" s="46">
        <v>2</v>
      </c>
      <c r="EH36" s="46">
        <v>2</v>
      </c>
      <c r="EI36" s="46">
        <v>1</v>
      </c>
      <c r="EJ36" s="46">
        <v>1</v>
      </c>
      <c r="EK36" s="46">
        <v>2</v>
      </c>
      <c r="EL36" s="46">
        <v>2</v>
      </c>
      <c r="EM36" s="46">
        <v>2</v>
      </c>
      <c r="EN36" s="46">
        <v>2</v>
      </c>
      <c r="EO36" s="46">
        <v>1</v>
      </c>
      <c r="EP36" s="46">
        <v>2</v>
      </c>
      <c r="EQ36" s="46">
        <v>2</v>
      </c>
      <c r="ER36" s="46">
        <v>2</v>
      </c>
      <c r="ES36" s="46">
        <v>2</v>
      </c>
      <c r="ET36" s="46">
        <v>1</v>
      </c>
      <c r="EU36" s="46">
        <v>1</v>
      </c>
      <c r="EV36" s="46">
        <v>2</v>
      </c>
      <c r="EW36" s="46">
        <v>2</v>
      </c>
      <c r="EX36" s="46">
        <v>2</v>
      </c>
      <c r="EY36" s="46">
        <v>2</v>
      </c>
      <c r="EZ36" s="46">
        <v>2</v>
      </c>
      <c r="FA36" s="46">
        <v>2</v>
      </c>
      <c r="FB36" s="46">
        <v>2</v>
      </c>
      <c r="FC36" s="46">
        <v>2</v>
      </c>
      <c r="FD36" s="46">
        <v>2</v>
      </c>
      <c r="FE36" s="46">
        <v>2</v>
      </c>
      <c r="FF36" s="46">
        <v>1</v>
      </c>
      <c r="FG36" s="46">
        <v>1</v>
      </c>
      <c r="FH36" s="46">
        <v>2</v>
      </c>
    </row>
    <row r="37" spans="1:164" s="31" customFormat="1" x14ac:dyDescent="0.2">
      <c r="A37" s="51" t="s">
        <v>300</v>
      </c>
      <c r="B37" s="30" t="s">
        <v>266</v>
      </c>
      <c r="C37" s="30" t="s">
        <v>347</v>
      </c>
      <c r="D37" s="35" t="s">
        <v>251</v>
      </c>
      <c r="E37" s="46">
        <v>2</v>
      </c>
      <c r="F37" s="46">
        <v>1</v>
      </c>
      <c r="G37" s="46">
        <v>2</v>
      </c>
      <c r="H37" s="30">
        <v>2</v>
      </c>
      <c r="I37" s="30">
        <v>1</v>
      </c>
      <c r="J37" s="30">
        <v>1</v>
      </c>
      <c r="K37" s="46">
        <v>2</v>
      </c>
      <c r="L37" s="46">
        <v>2</v>
      </c>
      <c r="M37" s="46">
        <v>1</v>
      </c>
      <c r="N37" s="46">
        <v>1</v>
      </c>
      <c r="O37" s="46">
        <v>2</v>
      </c>
      <c r="P37" s="46">
        <v>1</v>
      </c>
      <c r="Q37" s="46">
        <v>2</v>
      </c>
      <c r="R37" s="46">
        <v>2</v>
      </c>
      <c r="S37" s="46">
        <v>2</v>
      </c>
      <c r="T37" s="46">
        <v>2</v>
      </c>
      <c r="U37" s="46">
        <v>2</v>
      </c>
      <c r="V37" s="46">
        <v>2</v>
      </c>
      <c r="W37" s="46">
        <v>2</v>
      </c>
      <c r="X37" s="46">
        <v>2</v>
      </c>
      <c r="Y37" s="46">
        <v>2</v>
      </c>
      <c r="Z37" s="46">
        <v>2</v>
      </c>
      <c r="AA37" s="46">
        <v>1</v>
      </c>
      <c r="AB37" s="46">
        <v>1</v>
      </c>
      <c r="AC37" s="46">
        <v>2</v>
      </c>
      <c r="AD37" s="46">
        <v>2</v>
      </c>
      <c r="AE37" s="46">
        <v>1</v>
      </c>
      <c r="AF37" s="46">
        <v>2</v>
      </c>
      <c r="AG37" s="46">
        <v>2</v>
      </c>
      <c r="AH37" s="46">
        <v>2</v>
      </c>
      <c r="AI37" s="46">
        <v>2</v>
      </c>
      <c r="AJ37" s="46">
        <v>2</v>
      </c>
      <c r="AK37" s="46">
        <v>2</v>
      </c>
      <c r="AL37" s="46">
        <v>2</v>
      </c>
      <c r="AM37" s="46">
        <v>2</v>
      </c>
      <c r="AN37" s="46">
        <v>1</v>
      </c>
      <c r="AO37" s="46">
        <v>2</v>
      </c>
      <c r="AP37" s="46">
        <v>2</v>
      </c>
      <c r="AQ37" s="46">
        <v>1</v>
      </c>
      <c r="AR37" s="46">
        <v>2</v>
      </c>
      <c r="AS37" s="46">
        <v>2</v>
      </c>
      <c r="AT37" s="46">
        <v>2</v>
      </c>
      <c r="AU37" s="46">
        <v>2</v>
      </c>
      <c r="AV37" s="46">
        <v>1</v>
      </c>
      <c r="AW37" s="46">
        <v>2</v>
      </c>
      <c r="AX37" s="46">
        <v>2</v>
      </c>
      <c r="AY37" s="46">
        <v>2</v>
      </c>
      <c r="AZ37" s="46">
        <v>2</v>
      </c>
      <c r="BA37" s="46">
        <v>2</v>
      </c>
      <c r="BB37" s="46">
        <v>1</v>
      </c>
      <c r="BC37" s="46">
        <v>2</v>
      </c>
      <c r="BD37" s="46">
        <v>2</v>
      </c>
      <c r="BE37" s="46">
        <v>2</v>
      </c>
      <c r="BF37" s="46">
        <v>2</v>
      </c>
      <c r="BG37" s="46">
        <v>2</v>
      </c>
      <c r="BH37" s="46">
        <v>2</v>
      </c>
      <c r="BI37" s="46">
        <v>2</v>
      </c>
      <c r="BJ37" s="46">
        <v>2</v>
      </c>
      <c r="BK37" s="46">
        <v>2</v>
      </c>
      <c r="BL37" s="46">
        <v>2</v>
      </c>
      <c r="BM37" s="46">
        <v>2</v>
      </c>
      <c r="BN37" s="46">
        <v>2</v>
      </c>
      <c r="BO37" s="46">
        <v>2</v>
      </c>
      <c r="BP37" s="46">
        <v>2</v>
      </c>
      <c r="BQ37" s="46">
        <v>2</v>
      </c>
      <c r="BR37" s="46">
        <v>2</v>
      </c>
      <c r="BS37" s="46">
        <v>2</v>
      </c>
      <c r="BT37" s="46">
        <v>1</v>
      </c>
      <c r="BU37" s="46">
        <v>2</v>
      </c>
      <c r="BV37" s="46">
        <v>1</v>
      </c>
      <c r="BW37" s="46">
        <v>2</v>
      </c>
      <c r="BX37" s="46">
        <v>2</v>
      </c>
      <c r="BY37" s="46">
        <v>1</v>
      </c>
      <c r="BZ37" s="46">
        <v>2</v>
      </c>
      <c r="CA37" s="46">
        <v>2</v>
      </c>
      <c r="CB37" s="46">
        <v>2</v>
      </c>
      <c r="CC37" s="46">
        <v>2</v>
      </c>
      <c r="CD37" s="46">
        <v>2</v>
      </c>
      <c r="CE37" s="46">
        <v>2</v>
      </c>
      <c r="CF37" s="46">
        <v>1</v>
      </c>
      <c r="CG37" s="46">
        <v>1</v>
      </c>
      <c r="CH37" s="46">
        <v>1</v>
      </c>
      <c r="CI37" s="46">
        <v>2</v>
      </c>
      <c r="CJ37" s="46">
        <v>2</v>
      </c>
      <c r="CK37" s="46">
        <v>2</v>
      </c>
      <c r="CL37" s="46">
        <v>1</v>
      </c>
      <c r="CM37" s="46">
        <v>1</v>
      </c>
      <c r="CN37" s="46">
        <v>2</v>
      </c>
      <c r="CO37" s="46">
        <v>2</v>
      </c>
      <c r="CP37" s="46">
        <v>2</v>
      </c>
      <c r="CQ37" s="46">
        <v>2</v>
      </c>
      <c r="CR37" s="46">
        <v>2</v>
      </c>
      <c r="CS37" s="46">
        <v>1</v>
      </c>
      <c r="CT37" s="46">
        <v>2</v>
      </c>
      <c r="CU37" s="46">
        <v>2</v>
      </c>
      <c r="CV37" s="46">
        <v>1</v>
      </c>
      <c r="CW37" s="46">
        <v>2</v>
      </c>
      <c r="CX37" s="46">
        <v>1</v>
      </c>
      <c r="CY37" s="46">
        <v>1</v>
      </c>
      <c r="CZ37" s="46">
        <v>2</v>
      </c>
      <c r="DA37" s="46">
        <v>2</v>
      </c>
      <c r="DB37" s="46">
        <v>2</v>
      </c>
      <c r="DC37" s="46">
        <v>2</v>
      </c>
      <c r="DD37" s="46">
        <v>2</v>
      </c>
      <c r="DE37" s="46">
        <v>2</v>
      </c>
      <c r="DF37" s="46">
        <v>2</v>
      </c>
      <c r="DG37" s="46">
        <v>2</v>
      </c>
      <c r="DH37" s="46">
        <v>2</v>
      </c>
      <c r="DI37" s="46">
        <v>2</v>
      </c>
      <c r="DJ37" s="46">
        <v>2</v>
      </c>
      <c r="DK37" s="46">
        <v>2</v>
      </c>
      <c r="DL37" s="46">
        <v>2</v>
      </c>
      <c r="DM37" s="46">
        <v>2</v>
      </c>
      <c r="DN37" s="46">
        <v>2</v>
      </c>
      <c r="DO37" s="46">
        <v>2</v>
      </c>
      <c r="DP37" s="46">
        <v>1</v>
      </c>
      <c r="DQ37" s="46">
        <v>2</v>
      </c>
      <c r="DR37" s="46">
        <v>2</v>
      </c>
      <c r="DS37" s="46">
        <v>2</v>
      </c>
      <c r="DT37" s="46">
        <v>2</v>
      </c>
      <c r="DU37" s="46">
        <v>2</v>
      </c>
      <c r="DV37" s="46">
        <v>1</v>
      </c>
      <c r="DW37" s="46">
        <v>2</v>
      </c>
      <c r="DX37" s="46">
        <v>2</v>
      </c>
      <c r="DY37" s="46">
        <v>2</v>
      </c>
      <c r="DZ37" s="46">
        <v>2</v>
      </c>
      <c r="EA37" s="46">
        <v>2</v>
      </c>
      <c r="EB37" s="46">
        <v>2</v>
      </c>
      <c r="EC37" s="46">
        <v>2</v>
      </c>
      <c r="ED37" s="46">
        <v>1</v>
      </c>
      <c r="EE37" s="46">
        <v>1</v>
      </c>
      <c r="EF37" s="46">
        <v>1</v>
      </c>
      <c r="EG37" s="46">
        <v>2</v>
      </c>
      <c r="EH37" s="46">
        <v>2</v>
      </c>
      <c r="EI37" s="46">
        <v>2</v>
      </c>
      <c r="EJ37" s="46">
        <v>2</v>
      </c>
      <c r="EK37" s="46">
        <v>2</v>
      </c>
      <c r="EL37" s="46">
        <v>2</v>
      </c>
      <c r="EM37" s="46">
        <v>2</v>
      </c>
      <c r="EN37" s="46">
        <v>2</v>
      </c>
      <c r="EO37" s="46">
        <v>2</v>
      </c>
      <c r="EP37" s="46">
        <v>2</v>
      </c>
      <c r="EQ37" s="46">
        <v>2</v>
      </c>
      <c r="ER37" s="46">
        <v>2</v>
      </c>
      <c r="ES37" s="46">
        <v>2</v>
      </c>
      <c r="ET37" s="46">
        <v>2</v>
      </c>
      <c r="EU37" s="46">
        <v>2</v>
      </c>
      <c r="EV37" s="46">
        <v>1</v>
      </c>
      <c r="EW37" s="46">
        <v>2</v>
      </c>
      <c r="EX37" s="46">
        <v>2</v>
      </c>
      <c r="EY37" s="46">
        <v>2</v>
      </c>
      <c r="EZ37" s="46">
        <v>2</v>
      </c>
      <c r="FA37" s="46">
        <v>2</v>
      </c>
      <c r="FB37" s="46">
        <v>2</v>
      </c>
      <c r="FC37" s="46">
        <v>2</v>
      </c>
      <c r="FD37" s="46">
        <v>2</v>
      </c>
      <c r="FE37" s="46">
        <v>2</v>
      </c>
      <c r="FF37" s="46">
        <v>2</v>
      </c>
      <c r="FG37" s="46">
        <v>1</v>
      </c>
      <c r="FH37" s="46">
        <v>2</v>
      </c>
    </row>
    <row r="38" spans="1:164" s="31" customFormat="1" x14ac:dyDescent="0.2">
      <c r="A38" s="44" t="s">
        <v>301</v>
      </c>
      <c r="B38" s="30" t="s">
        <v>264</v>
      </c>
      <c r="C38" s="30" t="s">
        <v>347</v>
      </c>
      <c r="D38" s="35" t="s">
        <v>252</v>
      </c>
      <c r="E38" s="46">
        <v>2</v>
      </c>
      <c r="F38" s="46">
        <v>1</v>
      </c>
      <c r="G38" s="46">
        <v>1</v>
      </c>
      <c r="H38" s="30">
        <v>2</v>
      </c>
      <c r="I38" s="30">
        <v>1</v>
      </c>
      <c r="J38" s="30">
        <v>1</v>
      </c>
      <c r="K38" s="46">
        <v>2</v>
      </c>
      <c r="L38" s="46">
        <v>2</v>
      </c>
      <c r="M38" s="46">
        <v>1</v>
      </c>
      <c r="N38" s="46">
        <v>1</v>
      </c>
      <c r="O38" s="46">
        <v>2</v>
      </c>
      <c r="P38" s="46">
        <v>1</v>
      </c>
      <c r="Q38" s="46">
        <v>1</v>
      </c>
      <c r="R38" s="46">
        <v>2</v>
      </c>
      <c r="S38" s="46">
        <v>1</v>
      </c>
      <c r="T38" s="46">
        <v>2</v>
      </c>
      <c r="U38" s="46">
        <v>1</v>
      </c>
      <c r="V38" s="46">
        <v>1</v>
      </c>
      <c r="W38" s="46">
        <v>2</v>
      </c>
      <c r="X38" s="46">
        <v>1</v>
      </c>
      <c r="Y38" s="46">
        <v>2</v>
      </c>
      <c r="Z38" s="46">
        <v>1</v>
      </c>
      <c r="AA38" s="46">
        <v>1</v>
      </c>
      <c r="AB38" s="46">
        <v>2</v>
      </c>
      <c r="AC38" s="46">
        <v>2</v>
      </c>
      <c r="AD38" s="46">
        <v>1</v>
      </c>
      <c r="AE38" s="46">
        <v>1</v>
      </c>
      <c r="AF38" s="46">
        <v>2</v>
      </c>
      <c r="AG38" s="46">
        <v>1</v>
      </c>
      <c r="AH38" s="46">
        <v>2</v>
      </c>
      <c r="AI38" s="46">
        <v>1</v>
      </c>
      <c r="AJ38" s="46">
        <v>2</v>
      </c>
      <c r="AK38" s="46">
        <v>1</v>
      </c>
      <c r="AL38" s="46">
        <v>2</v>
      </c>
      <c r="AM38" s="46">
        <v>2</v>
      </c>
      <c r="AN38" s="46">
        <v>1</v>
      </c>
      <c r="AO38" s="46">
        <v>1</v>
      </c>
      <c r="AP38" s="46">
        <v>2</v>
      </c>
      <c r="AQ38" s="46">
        <v>1</v>
      </c>
      <c r="AR38" s="46">
        <v>1</v>
      </c>
      <c r="AS38" s="46">
        <v>1</v>
      </c>
      <c r="AT38" s="46">
        <v>1</v>
      </c>
      <c r="AU38" s="46">
        <v>1</v>
      </c>
      <c r="AV38" s="46">
        <v>2</v>
      </c>
      <c r="AW38" s="46">
        <v>1</v>
      </c>
      <c r="AX38" s="46">
        <v>2</v>
      </c>
      <c r="AY38" s="46">
        <v>2</v>
      </c>
      <c r="AZ38" s="46">
        <v>1</v>
      </c>
      <c r="BA38" s="46">
        <v>1</v>
      </c>
      <c r="BB38" s="46">
        <v>1</v>
      </c>
      <c r="BC38" s="46">
        <v>1</v>
      </c>
      <c r="BD38" s="46">
        <v>2</v>
      </c>
      <c r="BE38" s="46">
        <v>2</v>
      </c>
      <c r="BF38" s="46">
        <v>2</v>
      </c>
      <c r="BG38" s="46">
        <v>1</v>
      </c>
      <c r="BH38" s="46">
        <v>2</v>
      </c>
      <c r="BI38" s="46">
        <v>2</v>
      </c>
      <c r="BJ38" s="46">
        <v>1</v>
      </c>
      <c r="BK38" s="46">
        <v>2</v>
      </c>
      <c r="BL38" s="46">
        <v>1</v>
      </c>
      <c r="BM38" s="46">
        <v>1</v>
      </c>
      <c r="BN38" s="46">
        <v>2</v>
      </c>
      <c r="BO38" s="46">
        <v>1</v>
      </c>
      <c r="BP38" s="46">
        <v>2</v>
      </c>
      <c r="BQ38" s="46">
        <v>1</v>
      </c>
      <c r="BR38" s="46">
        <v>1</v>
      </c>
      <c r="BS38" s="46">
        <v>1</v>
      </c>
      <c r="BT38" s="46">
        <v>1</v>
      </c>
      <c r="BU38" s="46">
        <v>1</v>
      </c>
      <c r="BV38" s="46">
        <v>1</v>
      </c>
      <c r="BW38" s="46">
        <v>2</v>
      </c>
      <c r="BX38" s="46">
        <v>2</v>
      </c>
      <c r="BY38" s="46">
        <v>1</v>
      </c>
      <c r="BZ38" s="46">
        <v>1</v>
      </c>
      <c r="CA38" s="46">
        <v>2</v>
      </c>
      <c r="CB38" s="46">
        <v>1</v>
      </c>
      <c r="CC38" s="46">
        <v>1</v>
      </c>
      <c r="CD38" s="46">
        <v>2</v>
      </c>
      <c r="CE38" s="46">
        <v>1</v>
      </c>
      <c r="CF38" s="46">
        <v>1</v>
      </c>
      <c r="CG38" s="46">
        <v>1</v>
      </c>
      <c r="CH38" s="46">
        <v>1</v>
      </c>
      <c r="CI38" s="46">
        <v>2</v>
      </c>
      <c r="CJ38" s="46">
        <v>2</v>
      </c>
      <c r="CK38" s="46">
        <v>1</v>
      </c>
      <c r="CL38" s="46">
        <v>2</v>
      </c>
      <c r="CM38" s="46">
        <v>2</v>
      </c>
      <c r="CN38" s="46">
        <v>2</v>
      </c>
      <c r="CO38" s="46">
        <v>1</v>
      </c>
      <c r="CP38" s="46">
        <v>1</v>
      </c>
      <c r="CQ38" s="46">
        <v>2</v>
      </c>
      <c r="CR38" s="46">
        <v>2</v>
      </c>
      <c r="CS38" s="46">
        <v>1</v>
      </c>
      <c r="CT38" s="46">
        <v>2</v>
      </c>
      <c r="CU38" s="46">
        <v>1</v>
      </c>
      <c r="CV38" s="46">
        <v>2</v>
      </c>
      <c r="CW38" s="46">
        <v>2</v>
      </c>
      <c r="CX38" s="46">
        <v>1</v>
      </c>
      <c r="CY38" s="46">
        <v>2</v>
      </c>
      <c r="CZ38" s="46">
        <v>1</v>
      </c>
      <c r="DA38" s="46">
        <v>1</v>
      </c>
      <c r="DB38" s="46">
        <v>1</v>
      </c>
      <c r="DC38" s="46">
        <v>1</v>
      </c>
      <c r="DD38" s="46">
        <v>1</v>
      </c>
      <c r="DE38" s="46">
        <v>1</v>
      </c>
      <c r="DF38" s="46">
        <v>1</v>
      </c>
      <c r="DG38" s="46">
        <v>2</v>
      </c>
      <c r="DH38" s="46">
        <v>1</v>
      </c>
      <c r="DI38" s="46">
        <v>1</v>
      </c>
      <c r="DJ38" s="46">
        <v>1</v>
      </c>
      <c r="DK38" s="46">
        <v>1</v>
      </c>
      <c r="DL38" s="46">
        <v>1</v>
      </c>
      <c r="DM38" s="46">
        <v>1</v>
      </c>
      <c r="DN38" s="46">
        <v>2</v>
      </c>
      <c r="DO38" s="46">
        <v>2</v>
      </c>
      <c r="DP38" s="46">
        <v>2</v>
      </c>
      <c r="DQ38" s="46">
        <v>1</v>
      </c>
      <c r="DR38" s="46">
        <v>2</v>
      </c>
      <c r="DS38" s="46">
        <v>2</v>
      </c>
      <c r="DT38" s="46">
        <v>1</v>
      </c>
      <c r="DU38" s="46">
        <v>2</v>
      </c>
      <c r="DV38" s="46">
        <v>1</v>
      </c>
      <c r="DW38" s="46">
        <v>2</v>
      </c>
      <c r="DX38" s="46">
        <v>2</v>
      </c>
      <c r="DY38" s="46">
        <v>1</v>
      </c>
      <c r="DZ38" s="46">
        <v>2</v>
      </c>
      <c r="EA38" s="46">
        <v>1</v>
      </c>
      <c r="EB38" s="46">
        <v>1</v>
      </c>
      <c r="EC38" s="46">
        <v>1</v>
      </c>
      <c r="ED38" s="46">
        <v>1</v>
      </c>
      <c r="EE38" s="46">
        <v>1</v>
      </c>
      <c r="EF38" s="46">
        <v>2</v>
      </c>
      <c r="EG38" s="46">
        <v>1</v>
      </c>
      <c r="EH38" s="46">
        <v>2</v>
      </c>
      <c r="EI38" s="46">
        <v>1</v>
      </c>
      <c r="EJ38" s="46">
        <v>1</v>
      </c>
      <c r="EK38" s="46">
        <v>2</v>
      </c>
      <c r="EL38" s="46">
        <v>1</v>
      </c>
      <c r="EM38" s="46">
        <v>2</v>
      </c>
      <c r="EN38" s="46">
        <v>1</v>
      </c>
      <c r="EO38" s="46">
        <v>1</v>
      </c>
      <c r="EP38" s="46">
        <v>2</v>
      </c>
      <c r="EQ38" s="46">
        <v>1</v>
      </c>
      <c r="ER38" s="46">
        <v>1</v>
      </c>
      <c r="ES38" s="46">
        <v>1</v>
      </c>
      <c r="ET38" s="46">
        <v>2</v>
      </c>
      <c r="EU38" s="46">
        <v>1</v>
      </c>
      <c r="EV38" s="46">
        <v>1</v>
      </c>
      <c r="EW38" s="46">
        <v>1</v>
      </c>
      <c r="EX38" s="46">
        <v>2</v>
      </c>
      <c r="EY38" s="46">
        <v>1</v>
      </c>
      <c r="EZ38" s="46">
        <v>2</v>
      </c>
      <c r="FA38" s="46">
        <v>1</v>
      </c>
      <c r="FB38" s="46">
        <v>1</v>
      </c>
      <c r="FC38" s="46">
        <v>2</v>
      </c>
      <c r="FD38" s="46">
        <v>2</v>
      </c>
      <c r="FE38" s="46">
        <v>2</v>
      </c>
      <c r="FF38" s="46">
        <v>2</v>
      </c>
      <c r="FG38" s="46">
        <v>1</v>
      </c>
      <c r="FH38" s="46">
        <v>1</v>
      </c>
    </row>
    <row r="39" spans="1:164" s="31" customFormat="1" x14ac:dyDescent="0.2">
      <c r="A39" s="44" t="s">
        <v>302</v>
      </c>
      <c r="B39" s="30" t="s">
        <v>264</v>
      </c>
      <c r="C39" s="30" t="s">
        <v>293</v>
      </c>
      <c r="D39" s="35" t="s">
        <v>252</v>
      </c>
      <c r="E39" s="46">
        <v>2</v>
      </c>
      <c r="F39" s="46">
        <v>1</v>
      </c>
      <c r="G39" s="46">
        <v>2</v>
      </c>
      <c r="H39" s="30">
        <v>2</v>
      </c>
      <c r="I39" s="30">
        <v>2</v>
      </c>
      <c r="J39" s="30">
        <v>0</v>
      </c>
      <c r="K39" s="46">
        <v>1</v>
      </c>
      <c r="L39" s="46">
        <v>2</v>
      </c>
      <c r="M39" s="46">
        <v>1</v>
      </c>
      <c r="N39" s="46">
        <v>1</v>
      </c>
      <c r="O39" s="46">
        <v>2</v>
      </c>
      <c r="P39" s="46">
        <v>1</v>
      </c>
      <c r="Q39" s="46">
        <v>1</v>
      </c>
      <c r="R39" s="46">
        <v>2</v>
      </c>
      <c r="S39" s="46">
        <v>1</v>
      </c>
      <c r="T39" s="46">
        <v>1</v>
      </c>
      <c r="U39" s="46">
        <v>1</v>
      </c>
      <c r="V39" s="46">
        <v>1</v>
      </c>
      <c r="W39" s="46">
        <v>1</v>
      </c>
      <c r="X39" s="46">
        <v>2</v>
      </c>
      <c r="Y39" s="46">
        <v>2</v>
      </c>
      <c r="Z39" s="46">
        <v>1</v>
      </c>
      <c r="AA39" s="46">
        <v>1</v>
      </c>
      <c r="AB39" s="46">
        <v>1</v>
      </c>
      <c r="AC39" s="46">
        <v>1</v>
      </c>
      <c r="AD39" s="46">
        <v>1</v>
      </c>
      <c r="AE39" s="46">
        <v>1</v>
      </c>
      <c r="AF39" s="46">
        <v>2</v>
      </c>
      <c r="AG39" s="46">
        <v>2</v>
      </c>
      <c r="AH39" s="46">
        <v>2</v>
      </c>
      <c r="AI39" s="46">
        <v>1</v>
      </c>
      <c r="AJ39" s="46">
        <v>2</v>
      </c>
      <c r="AK39" s="46">
        <v>2</v>
      </c>
      <c r="AL39" s="46">
        <v>1</v>
      </c>
      <c r="AM39" s="46">
        <v>2</v>
      </c>
      <c r="AN39" s="46">
        <v>1</v>
      </c>
      <c r="AO39" s="46">
        <v>1</v>
      </c>
      <c r="AP39" s="46">
        <v>2</v>
      </c>
      <c r="AQ39" s="46">
        <v>1</v>
      </c>
      <c r="AR39" s="46">
        <v>2</v>
      </c>
      <c r="AS39" s="46">
        <v>1</v>
      </c>
      <c r="AT39" s="46">
        <v>1</v>
      </c>
      <c r="AU39" s="46">
        <v>1</v>
      </c>
      <c r="AV39" s="46">
        <v>1</v>
      </c>
      <c r="AW39" s="46">
        <v>2</v>
      </c>
      <c r="AX39" s="46">
        <v>1</v>
      </c>
      <c r="AY39" s="46">
        <v>1</v>
      </c>
      <c r="AZ39" s="46">
        <v>1</v>
      </c>
      <c r="BA39" s="46">
        <v>2</v>
      </c>
      <c r="BB39" s="46">
        <v>1</v>
      </c>
      <c r="BC39" s="46">
        <v>1</v>
      </c>
      <c r="BD39" s="46">
        <v>2</v>
      </c>
      <c r="BE39" s="46">
        <v>1</v>
      </c>
      <c r="BF39" s="46">
        <v>2</v>
      </c>
      <c r="BG39" s="46">
        <v>1</v>
      </c>
      <c r="BH39" s="46">
        <v>2</v>
      </c>
      <c r="BI39" s="46">
        <v>2</v>
      </c>
      <c r="BJ39" s="46">
        <v>1</v>
      </c>
      <c r="BK39" s="46">
        <v>2</v>
      </c>
      <c r="BL39" s="46">
        <v>1</v>
      </c>
      <c r="BM39" s="46">
        <v>1</v>
      </c>
      <c r="BN39" s="46">
        <v>2</v>
      </c>
      <c r="BO39" s="46">
        <v>2</v>
      </c>
      <c r="BP39" s="46">
        <v>1</v>
      </c>
      <c r="BQ39" s="46">
        <v>2</v>
      </c>
      <c r="BR39" s="46">
        <v>2</v>
      </c>
      <c r="BS39" s="46">
        <v>1</v>
      </c>
      <c r="BT39" s="46">
        <v>2</v>
      </c>
      <c r="BU39" s="46">
        <v>1</v>
      </c>
      <c r="BV39" s="46">
        <v>1</v>
      </c>
      <c r="BW39" s="46">
        <v>2</v>
      </c>
      <c r="BX39" s="46">
        <v>2</v>
      </c>
      <c r="BY39" s="46">
        <v>1</v>
      </c>
      <c r="BZ39" s="46">
        <v>1</v>
      </c>
      <c r="CA39" s="46">
        <v>2</v>
      </c>
      <c r="CB39" s="46">
        <v>1</v>
      </c>
      <c r="CC39" s="46">
        <v>1</v>
      </c>
      <c r="CD39" s="46">
        <v>2</v>
      </c>
      <c r="CE39" s="46">
        <v>1</v>
      </c>
      <c r="CF39" s="46">
        <v>1</v>
      </c>
      <c r="CG39" s="46">
        <v>1</v>
      </c>
      <c r="CH39" s="46">
        <v>2</v>
      </c>
      <c r="CI39" s="46">
        <v>1</v>
      </c>
      <c r="CJ39" s="46">
        <v>1</v>
      </c>
      <c r="CK39" s="46">
        <v>1</v>
      </c>
      <c r="CL39" s="46">
        <v>2</v>
      </c>
      <c r="CM39" s="46">
        <v>2</v>
      </c>
      <c r="CN39" s="46">
        <v>1</v>
      </c>
      <c r="CO39" s="46">
        <v>2</v>
      </c>
      <c r="CP39" s="46">
        <v>2</v>
      </c>
      <c r="CQ39" s="46">
        <v>1</v>
      </c>
      <c r="CR39" s="46">
        <v>1</v>
      </c>
      <c r="CS39" s="46">
        <v>1</v>
      </c>
      <c r="CT39" s="46">
        <v>2</v>
      </c>
      <c r="CU39" s="46">
        <v>1</v>
      </c>
      <c r="CV39" s="46">
        <v>1</v>
      </c>
      <c r="CW39" s="46">
        <v>1</v>
      </c>
      <c r="CX39" s="46">
        <v>1</v>
      </c>
      <c r="CY39" s="46">
        <v>1</v>
      </c>
      <c r="CZ39" s="46">
        <v>2</v>
      </c>
      <c r="DA39" s="46">
        <v>2</v>
      </c>
      <c r="DB39" s="46">
        <v>1</v>
      </c>
      <c r="DC39" s="46">
        <v>1</v>
      </c>
      <c r="DD39" s="46">
        <v>1</v>
      </c>
      <c r="DE39" s="46">
        <v>1</v>
      </c>
      <c r="DF39" s="46">
        <v>1</v>
      </c>
      <c r="DG39" s="46">
        <v>2</v>
      </c>
      <c r="DH39" s="46">
        <v>1</v>
      </c>
      <c r="DI39" s="46">
        <v>2</v>
      </c>
      <c r="DJ39" s="46">
        <v>1</v>
      </c>
      <c r="DK39" s="46">
        <v>2</v>
      </c>
      <c r="DL39" s="46">
        <v>2</v>
      </c>
      <c r="DM39" s="46">
        <v>2</v>
      </c>
      <c r="DN39" s="46">
        <v>2</v>
      </c>
      <c r="DO39" s="46">
        <v>1</v>
      </c>
      <c r="DP39" s="46">
        <v>1</v>
      </c>
      <c r="DQ39" s="46">
        <v>1</v>
      </c>
      <c r="DR39" s="46">
        <v>1</v>
      </c>
      <c r="DS39" s="46">
        <v>2</v>
      </c>
      <c r="DT39" s="46">
        <v>2</v>
      </c>
      <c r="DU39" s="46">
        <v>1</v>
      </c>
      <c r="DV39" s="46">
        <v>1</v>
      </c>
      <c r="DW39" s="46">
        <v>2</v>
      </c>
      <c r="DX39" s="46">
        <v>2</v>
      </c>
      <c r="DY39" s="46">
        <v>1</v>
      </c>
      <c r="DZ39" s="46">
        <v>2</v>
      </c>
      <c r="EA39" s="46">
        <v>2</v>
      </c>
      <c r="EB39" s="46">
        <v>1</v>
      </c>
      <c r="EC39" s="46">
        <v>2</v>
      </c>
      <c r="ED39" s="46">
        <v>1</v>
      </c>
      <c r="EE39" s="46">
        <v>1</v>
      </c>
      <c r="EF39" s="46">
        <v>1</v>
      </c>
      <c r="EG39" s="46">
        <v>1</v>
      </c>
      <c r="EH39" s="46">
        <v>2</v>
      </c>
      <c r="EI39" s="46">
        <v>2</v>
      </c>
      <c r="EJ39" s="46">
        <v>1</v>
      </c>
      <c r="EK39" s="46">
        <v>2</v>
      </c>
      <c r="EL39" s="46">
        <v>2</v>
      </c>
      <c r="EM39" s="46">
        <v>2</v>
      </c>
      <c r="EN39" s="46">
        <v>1</v>
      </c>
      <c r="EO39" s="46">
        <v>1</v>
      </c>
      <c r="EP39" s="46">
        <v>2</v>
      </c>
      <c r="EQ39" s="46">
        <v>2</v>
      </c>
      <c r="ER39" s="46">
        <v>2</v>
      </c>
      <c r="ES39" s="46">
        <v>1</v>
      </c>
      <c r="ET39" s="46">
        <v>1</v>
      </c>
      <c r="EU39" s="46">
        <v>1</v>
      </c>
      <c r="EV39" s="46">
        <v>1</v>
      </c>
      <c r="EW39" s="46">
        <v>2</v>
      </c>
      <c r="EX39" s="46">
        <v>2</v>
      </c>
      <c r="EY39" s="46">
        <v>1</v>
      </c>
      <c r="EZ39" s="46">
        <v>2</v>
      </c>
      <c r="FA39" s="46">
        <v>1</v>
      </c>
      <c r="FB39" s="46">
        <v>1</v>
      </c>
      <c r="FC39" s="46">
        <v>2</v>
      </c>
      <c r="FD39" s="46">
        <v>2</v>
      </c>
      <c r="FE39" s="46">
        <v>2</v>
      </c>
      <c r="FF39" s="46">
        <v>1</v>
      </c>
      <c r="FG39" s="46">
        <v>1</v>
      </c>
      <c r="FH39" s="46">
        <v>2</v>
      </c>
    </row>
    <row r="40" spans="1:164" s="31" customFormat="1" x14ac:dyDescent="0.2">
      <c r="A40" s="44" t="s">
        <v>303</v>
      </c>
      <c r="B40" s="30" t="s">
        <v>265</v>
      </c>
      <c r="C40" s="30" t="s">
        <v>347</v>
      </c>
      <c r="D40" s="35" t="s">
        <v>251</v>
      </c>
      <c r="E40" s="46">
        <v>1</v>
      </c>
      <c r="F40" s="46">
        <v>1</v>
      </c>
      <c r="G40" s="46">
        <v>1</v>
      </c>
      <c r="H40" s="30">
        <v>1</v>
      </c>
      <c r="I40" s="30">
        <v>1</v>
      </c>
      <c r="J40" s="30">
        <v>1</v>
      </c>
      <c r="K40" s="46">
        <v>1</v>
      </c>
      <c r="L40" s="46">
        <v>1</v>
      </c>
      <c r="M40" s="46">
        <v>1</v>
      </c>
      <c r="N40" s="46">
        <v>1</v>
      </c>
      <c r="O40" s="46">
        <v>2</v>
      </c>
      <c r="P40" s="46">
        <v>2</v>
      </c>
      <c r="Q40" s="46">
        <v>1</v>
      </c>
      <c r="R40" s="46">
        <v>1</v>
      </c>
      <c r="S40" s="46">
        <v>1</v>
      </c>
      <c r="T40" s="46">
        <v>2</v>
      </c>
      <c r="U40" s="46">
        <v>1</v>
      </c>
      <c r="V40" s="46">
        <v>1</v>
      </c>
      <c r="W40" s="46">
        <v>2</v>
      </c>
      <c r="X40" s="46">
        <v>1</v>
      </c>
      <c r="Y40" s="46">
        <v>1</v>
      </c>
      <c r="Z40" s="46">
        <v>1</v>
      </c>
      <c r="AA40" s="46">
        <v>1</v>
      </c>
      <c r="AB40" s="46">
        <v>2</v>
      </c>
      <c r="AC40" s="46">
        <v>2</v>
      </c>
      <c r="AD40" s="46">
        <v>2</v>
      </c>
      <c r="AE40" s="46">
        <v>1</v>
      </c>
      <c r="AF40" s="46">
        <v>2</v>
      </c>
      <c r="AG40" s="46">
        <v>2</v>
      </c>
      <c r="AH40" s="46">
        <v>1</v>
      </c>
      <c r="AI40" s="46">
        <v>2</v>
      </c>
      <c r="AJ40" s="46">
        <v>2</v>
      </c>
      <c r="AK40" s="46">
        <v>1</v>
      </c>
      <c r="AL40" s="46">
        <v>2</v>
      </c>
      <c r="AM40" s="46">
        <v>1</v>
      </c>
      <c r="AN40" s="46">
        <v>2</v>
      </c>
      <c r="AO40" s="46">
        <v>1</v>
      </c>
      <c r="AP40" s="46">
        <v>2</v>
      </c>
      <c r="AQ40" s="46">
        <v>1</v>
      </c>
      <c r="AR40" s="46">
        <v>2</v>
      </c>
      <c r="AS40" s="46">
        <v>2</v>
      </c>
      <c r="AT40" s="46">
        <v>2</v>
      </c>
      <c r="AU40" s="46">
        <v>2</v>
      </c>
      <c r="AV40" s="46">
        <v>1</v>
      </c>
      <c r="AW40" s="46">
        <v>2</v>
      </c>
      <c r="AX40" s="46">
        <v>2</v>
      </c>
      <c r="AY40" s="46">
        <v>1</v>
      </c>
      <c r="AZ40" s="46">
        <v>2</v>
      </c>
      <c r="BA40" s="46">
        <v>1</v>
      </c>
      <c r="BB40" s="46">
        <v>1</v>
      </c>
      <c r="BC40" s="46">
        <v>2</v>
      </c>
      <c r="BD40" s="46">
        <v>2</v>
      </c>
      <c r="BE40" s="46">
        <v>2</v>
      </c>
      <c r="BF40" s="46">
        <v>2</v>
      </c>
      <c r="BG40" s="46">
        <v>1</v>
      </c>
      <c r="BH40" s="46">
        <v>2</v>
      </c>
      <c r="BI40" s="46">
        <v>2</v>
      </c>
      <c r="BJ40" s="46">
        <v>1</v>
      </c>
      <c r="BK40" s="46">
        <v>2</v>
      </c>
      <c r="BL40" s="46">
        <v>1</v>
      </c>
      <c r="BM40" s="46">
        <v>1</v>
      </c>
      <c r="BN40" s="46">
        <v>2</v>
      </c>
      <c r="BO40" s="46">
        <v>1</v>
      </c>
      <c r="BP40" s="46">
        <v>1</v>
      </c>
      <c r="BQ40" s="46">
        <v>2</v>
      </c>
      <c r="BR40" s="46">
        <v>1</v>
      </c>
      <c r="BS40" s="46">
        <v>2</v>
      </c>
      <c r="BT40" s="46">
        <v>1</v>
      </c>
      <c r="BU40" s="46">
        <v>1</v>
      </c>
      <c r="BV40" s="46">
        <v>2</v>
      </c>
      <c r="BW40" s="46">
        <v>2</v>
      </c>
      <c r="BX40" s="46">
        <v>1</v>
      </c>
      <c r="BY40" s="46">
        <v>1</v>
      </c>
      <c r="BZ40" s="46">
        <v>2</v>
      </c>
      <c r="CA40" s="46">
        <v>2</v>
      </c>
      <c r="CB40" s="46">
        <v>1</v>
      </c>
      <c r="CC40" s="46">
        <v>1</v>
      </c>
      <c r="CD40" s="46">
        <v>0</v>
      </c>
      <c r="CE40" s="46">
        <v>2</v>
      </c>
      <c r="CF40" s="46">
        <v>1</v>
      </c>
      <c r="CG40" s="46">
        <v>1</v>
      </c>
      <c r="CH40" s="46">
        <v>2</v>
      </c>
      <c r="CI40" s="46">
        <v>1</v>
      </c>
      <c r="CJ40" s="46">
        <v>1</v>
      </c>
      <c r="CK40" s="46">
        <v>1</v>
      </c>
      <c r="CL40" s="46">
        <v>1</v>
      </c>
      <c r="CM40" s="46">
        <v>2</v>
      </c>
      <c r="CN40" s="46">
        <v>2</v>
      </c>
      <c r="CO40" s="46">
        <v>2</v>
      </c>
      <c r="CP40" s="46">
        <v>2</v>
      </c>
      <c r="CQ40" s="46">
        <v>1</v>
      </c>
      <c r="CR40" s="46">
        <v>2</v>
      </c>
      <c r="CS40" s="46">
        <v>1</v>
      </c>
      <c r="CT40" s="46">
        <v>2</v>
      </c>
      <c r="CU40" s="46">
        <v>1</v>
      </c>
      <c r="CV40" s="46">
        <v>1</v>
      </c>
      <c r="CW40" s="46">
        <v>2</v>
      </c>
      <c r="CX40" s="46">
        <v>2</v>
      </c>
      <c r="CY40" s="46">
        <v>2</v>
      </c>
      <c r="CZ40" s="46">
        <v>2</v>
      </c>
      <c r="DA40" s="46">
        <v>2</v>
      </c>
      <c r="DB40" s="46">
        <v>2</v>
      </c>
      <c r="DC40" s="46">
        <v>1</v>
      </c>
      <c r="DD40" s="46">
        <v>2</v>
      </c>
      <c r="DE40" s="46">
        <v>2</v>
      </c>
      <c r="DF40" s="46">
        <v>1</v>
      </c>
      <c r="DG40" s="46">
        <v>2</v>
      </c>
      <c r="DH40" s="46">
        <v>1</v>
      </c>
      <c r="DI40" s="46">
        <v>1</v>
      </c>
      <c r="DJ40" s="46">
        <v>2</v>
      </c>
      <c r="DK40" s="46">
        <v>2</v>
      </c>
      <c r="DL40" s="46">
        <v>2</v>
      </c>
      <c r="DM40" s="46">
        <v>2</v>
      </c>
      <c r="DN40" s="46">
        <v>2</v>
      </c>
      <c r="DO40" s="46">
        <v>0</v>
      </c>
      <c r="DP40" s="46">
        <v>1</v>
      </c>
      <c r="DQ40" s="46">
        <v>2</v>
      </c>
      <c r="DR40" s="46">
        <v>1</v>
      </c>
      <c r="DS40" s="46">
        <v>1</v>
      </c>
      <c r="DT40" s="46">
        <v>1</v>
      </c>
      <c r="DU40" s="46">
        <v>1</v>
      </c>
      <c r="DV40" s="46">
        <v>1</v>
      </c>
      <c r="DW40" s="46">
        <v>1</v>
      </c>
      <c r="DX40" s="46">
        <v>1</v>
      </c>
      <c r="DY40" s="46">
        <v>1</v>
      </c>
      <c r="DZ40" s="46">
        <v>2</v>
      </c>
      <c r="EA40" s="46">
        <v>2</v>
      </c>
      <c r="EB40" s="46">
        <v>2</v>
      </c>
      <c r="EC40" s="46">
        <v>1</v>
      </c>
      <c r="ED40" s="46">
        <v>1</v>
      </c>
      <c r="EE40" s="46">
        <v>1</v>
      </c>
      <c r="EF40" s="46">
        <v>1</v>
      </c>
      <c r="EG40" s="46">
        <v>1</v>
      </c>
      <c r="EH40" s="46">
        <v>2</v>
      </c>
      <c r="EI40" s="46">
        <v>0</v>
      </c>
      <c r="EJ40" s="46">
        <v>2</v>
      </c>
      <c r="EK40" s="46">
        <v>1</v>
      </c>
      <c r="EL40" s="46">
        <v>2</v>
      </c>
      <c r="EM40" s="46">
        <v>1</v>
      </c>
      <c r="EN40" s="46">
        <v>1</v>
      </c>
      <c r="EO40" s="46">
        <v>1</v>
      </c>
      <c r="EP40" s="46">
        <v>2</v>
      </c>
      <c r="EQ40" s="46">
        <v>2</v>
      </c>
      <c r="ER40" s="46">
        <v>2</v>
      </c>
      <c r="ES40" s="46">
        <v>0</v>
      </c>
      <c r="ET40" s="46">
        <v>1</v>
      </c>
      <c r="EU40" s="46">
        <v>2</v>
      </c>
      <c r="EV40" s="46">
        <v>1</v>
      </c>
      <c r="EW40" s="46">
        <v>2</v>
      </c>
      <c r="EX40" s="46">
        <v>2</v>
      </c>
      <c r="EY40" s="46">
        <v>1</v>
      </c>
      <c r="EZ40" s="46">
        <v>2</v>
      </c>
      <c r="FA40" s="46">
        <v>1</v>
      </c>
      <c r="FB40" s="46">
        <v>1</v>
      </c>
      <c r="FC40" s="46">
        <v>2</v>
      </c>
      <c r="FD40" s="46">
        <v>2</v>
      </c>
      <c r="FE40" s="46">
        <v>2</v>
      </c>
      <c r="FF40" s="46">
        <v>2</v>
      </c>
      <c r="FG40" s="46">
        <v>1</v>
      </c>
      <c r="FH40" s="46">
        <v>2</v>
      </c>
    </row>
    <row r="41" spans="1:164" s="31" customFormat="1" x14ac:dyDescent="0.2">
      <c r="A41" s="44" t="s">
        <v>304</v>
      </c>
      <c r="B41" s="30" t="s">
        <v>264</v>
      </c>
      <c r="C41" s="30" t="s">
        <v>293</v>
      </c>
      <c r="D41" s="35" t="s">
        <v>254</v>
      </c>
      <c r="E41" s="46">
        <v>2</v>
      </c>
      <c r="F41" s="46">
        <v>1</v>
      </c>
      <c r="G41" s="46">
        <v>2</v>
      </c>
      <c r="H41" s="30">
        <v>1</v>
      </c>
      <c r="I41" s="30">
        <v>1</v>
      </c>
      <c r="J41" s="30">
        <v>1</v>
      </c>
      <c r="K41" s="46">
        <v>2</v>
      </c>
      <c r="L41" s="46">
        <v>1</v>
      </c>
      <c r="M41" s="46">
        <v>1</v>
      </c>
      <c r="N41" s="46">
        <v>1</v>
      </c>
      <c r="O41" s="46">
        <v>1</v>
      </c>
      <c r="P41" s="46">
        <v>1</v>
      </c>
      <c r="Q41" s="46">
        <v>2</v>
      </c>
      <c r="R41" s="46">
        <v>2</v>
      </c>
      <c r="S41" s="46">
        <v>2</v>
      </c>
      <c r="T41" s="46">
        <v>2</v>
      </c>
      <c r="U41" s="46">
        <v>1</v>
      </c>
      <c r="V41" s="46">
        <v>2</v>
      </c>
      <c r="W41" s="46">
        <v>2</v>
      </c>
      <c r="X41" s="46">
        <v>2</v>
      </c>
      <c r="Y41" s="46">
        <v>2</v>
      </c>
      <c r="Z41" s="46">
        <v>2</v>
      </c>
      <c r="AA41" s="46">
        <v>1</v>
      </c>
      <c r="AB41" s="46">
        <v>1</v>
      </c>
      <c r="AC41" s="46">
        <v>1</v>
      </c>
      <c r="AD41" s="46">
        <v>1</v>
      </c>
      <c r="AE41" s="46">
        <v>2</v>
      </c>
      <c r="AF41" s="46">
        <v>2</v>
      </c>
      <c r="AG41" s="46">
        <v>1</v>
      </c>
      <c r="AH41" s="46">
        <v>1</v>
      </c>
      <c r="AI41" s="46">
        <v>1</v>
      </c>
      <c r="AJ41" s="46">
        <v>2</v>
      </c>
      <c r="AK41" s="46">
        <v>2</v>
      </c>
      <c r="AL41" s="46">
        <v>1</v>
      </c>
      <c r="AM41" s="46">
        <v>2</v>
      </c>
      <c r="AN41" s="46">
        <v>1</v>
      </c>
      <c r="AO41" s="46">
        <v>1</v>
      </c>
      <c r="AP41" s="46">
        <v>2</v>
      </c>
      <c r="AQ41" s="46">
        <v>1</v>
      </c>
      <c r="AR41" s="46">
        <v>2</v>
      </c>
      <c r="AS41" s="46">
        <v>1</v>
      </c>
      <c r="AT41" s="46">
        <v>2</v>
      </c>
      <c r="AU41" s="46">
        <v>2</v>
      </c>
      <c r="AV41" s="46">
        <v>2</v>
      </c>
      <c r="AW41" s="46">
        <v>2</v>
      </c>
      <c r="AX41" s="46">
        <v>1</v>
      </c>
      <c r="AY41" s="46">
        <v>1</v>
      </c>
      <c r="AZ41" s="46">
        <v>1</v>
      </c>
      <c r="BA41" s="46">
        <v>1</v>
      </c>
      <c r="BB41" s="46">
        <v>1</v>
      </c>
      <c r="BC41" s="46">
        <v>1</v>
      </c>
      <c r="BD41" s="46">
        <v>2</v>
      </c>
      <c r="BE41" s="46">
        <v>2</v>
      </c>
      <c r="BF41" s="46">
        <v>2</v>
      </c>
      <c r="BG41" s="46">
        <v>1</v>
      </c>
      <c r="BH41" s="46">
        <v>1</v>
      </c>
      <c r="BI41" s="46">
        <v>2</v>
      </c>
      <c r="BJ41" s="46">
        <v>2</v>
      </c>
      <c r="BK41" s="46">
        <v>2</v>
      </c>
      <c r="BL41" s="46">
        <v>1</v>
      </c>
      <c r="BM41" s="46">
        <v>1</v>
      </c>
      <c r="BN41" s="46">
        <v>2</v>
      </c>
      <c r="BO41" s="46">
        <v>2</v>
      </c>
      <c r="BP41" s="46">
        <v>2</v>
      </c>
      <c r="BQ41" s="46">
        <v>2</v>
      </c>
      <c r="BR41" s="46">
        <v>2</v>
      </c>
      <c r="BS41" s="46">
        <v>2</v>
      </c>
      <c r="BT41" s="46">
        <v>2</v>
      </c>
      <c r="BU41" s="46">
        <v>2</v>
      </c>
      <c r="BV41" s="46">
        <v>2</v>
      </c>
      <c r="BW41" s="46">
        <v>1</v>
      </c>
      <c r="BX41" s="46">
        <v>1</v>
      </c>
      <c r="BY41" s="46">
        <v>1</v>
      </c>
      <c r="BZ41" s="46">
        <v>1</v>
      </c>
      <c r="CA41" s="46">
        <v>1</v>
      </c>
      <c r="CB41" s="46">
        <v>1</v>
      </c>
      <c r="CC41" s="46">
        <v>1</v>
      </c>
      <c r="CD41" s="46">
        <v>1</v>
      </c>
      <c r="CE41" s="46">
        <v>2</v>
      </c>
      <c r="CF41" s="46">
        <v>1</v>
      </c>
      <c r="CG41" s="46">
        <v>1</v>
      </c>
      <c r="CH41" s="46">
        <v>1</v>
      </c>
      <c r="CI41" s="46">
        <v>2</v>
      </c>
      <c r="CJ41" s="46">
        <v>2</v>
      </c>
      <c r="CK41" s="46">
        <v>2</v>
      </c>
      <c r="CL41" s="46">
        <v>1</v>
      </c>
      <c r="CM41" s="46">
        <v>2</v>
      </c>
      <c r="CN41" s="46">
        <v>2</v>
      </c>
      <c r="CO41" s="46">
        <v>2</v>
      </c>
      <c r="CP41" s="46">
        <v>2</v>
      </c>
      <c r="CQ41" s="46">
        <v>1</v>
      </c>
      <c r="CR41" s="46">
        <v>2</v>
      </c>
      <c r="CS41" s="46">
        <v>1</v>
      </c>
      <c r="CT41" s="46">
        <v>2</v>
      </c>
      <c r="CU41" s="46">
        <v>2</v>
      </c>
      <c r="CV41" s="46">
        <v>2</v>
      </c>
      <c r="CW41" s="46">
        <v>2</v>
      </c>
      <c r="CX41" s="46">
        <v>1</v>
      </c>
      <c r="CY41" s="46">
        <v>2</v>
      </c>
      <c r="CZ41" s="46">
        <v>1</v>
      </c>
      <c r="DA41" s="46">
        <v>2</v>
      </c>
      <c r="DB41" s="46">
        <v>2</v>
      </c>
      <c r="DC41" s="46">
        <v>2</v>
      </c>
      <c r="DD41" s="46">
        <v>2</v>
      </c>
      <c r="DE41" s="46">
        <v>1</v>
      </c>
      <c r="DF41" s="46">
        <v>1</v>
      </c>
      <c r="DG41" s="46">
        <v>2</v>
      </c>
      <c r="DH41" s="46">
        <v>1</v>
      </c>
      <c r="DI41" s="46">
        <v>2</v>
      </c>
      <c r="DJ41" s="46">
        <v>1</v>
      </c>
      <c r="DK41" s="46">
        <v>1</v>
      </c>
      <c r="DL41" s="46">
        <v>1</v>
      </c>
      <c r="DM41" s="46">
        <v>2</v>
      </c>
      <c r="DN41" s="46">
        <v>2</v>
      </c>
      <c r="DO41" s="46">
        <v>1</v>
      </c>
      <c r="DP41" s="46">
        <v>2</v>
      </c>
      <c r="DQ41" s="46">
        <v>2</v>
      </c>
      <c r="DR41" s="46">
        <v>1</v>
      </c>
      <c r="DS41" s="46">
        <v>2</v>
      </c>
      <c r="DT41" s="46">
        <v>2</v>
      </c>
      <c r="DU41" s="46">
        <v>1</v>
      </c>
      <c r="DV41" s="46">
        <v>1</v>
      </c>
      <c r="DW41" s="46">
        <v>2</v>
      </c>
      <c r="DX41" s="46">
        <v>1</v>
      </c>
      <c r="DY41" s="46">
        <v>1</v>
      </c>
      <c r="DZ41" s="46">
        <v>2</v>
      </c>
      <c r="EA41" s="46">
        <v>1</v>
      </c>
      <c r="EB41" s="46">
        <v>2</v>
      </c>
      <c r="EC41" s="46">
        <v>1</v>
      </c>
      <c r="ED41" s="46">
        <v>1</v>
      </c>
      <c r="EE41" s="46">
        <v>1</v>
      </c>
      <c r="EF41" s="46">
        <v>1</v>
      </c>
      <c r="EG41" s="46">
        <v>1</v>
      </c>
      <c r="EH41" s="46">
        <v>2</v>
      </c>
      <c r="EI41" s="46">
        <v>2</v>
      </c>
      <c r="EJ41" s="46">
        <v>2</v>
      </c>
      <c r="EK41" s="46">
        <v>2</v>
      </c>
      <c r="EL41" s="46">
        <v>2</v>
      </c>
      <c r="EM41" s="46">
        <v>2</v>
      </c>
      <c r="EN41" s="46">
        <v>1</v>
      </c>
      <c r="EO41" s="46">
        <v>1</v>
      </c>
      <c r="EP41" s="46">
        <v>1</v>
      </c>
      <c r="EQ41" s="46">
        <v>2</v>
      </c>
      <c r="ER41" s="46">
        <v>1</v>
      </c>
      <c r="ES41" s="46">
        <v>2</v>
      </c>
      <c r="ET41" s="46">
        <v>2</v>
      </c>
      <c r="EU41" s="46">
        <v>1</v>
      </c>
      <c r="EV41" s="46">
        <v>1</v>
      </c>
      <c r="EW41" s="46">
        <v>2</v>
      </c>
      <c r="EX41" s="46">
        <v>2</v>
      </c>
      <c r="EY41" s="46">
        <v>1</v>
      </c>
      <c r="EZ41" s="46">
        <v>2</v>
      </c>
      <c r="FA41" s="46">
        <v>1</v>
      </c>
      <c r="FB41" s="46">
        <v>1</v>
      </c>
      <c r="FC41" s="46">
        <v>2</v>
      </c>
      <c r="FD41" s="46">
        <v>2</v>
      </c>
      <c r="FE41" s="46">
        <v>2</v>
      </c>
      <c r="FF41" s="46">
        <v>2</v>
      </c>
      <c r="FG41" s="46">
        <v>1</v>
      </c>
      <c r="FH41" s="46">
        <v>1</v>
      </c>
    </row>
    <row r="42" spans="1:164" s="31" customFormat="1" x14ac:dyDescent="0.2">
      <c r="A42" s="44" t="s">
        <v>305</v>
      </c>
      <c r="B42" s="30" t="s">
        <v>261</v>
      </c>
      <c r="C42" s="30" t="s">
        <v>293</v>
      </c>
      <c r="D42" s="35" t="s">
        <v>253</v>
      </c>
      <c r="E42" s="46">
        <v>1</v>
      </c>
      <c r="F42" s="46">
        <v>1</v>
      </c>
      <c r="G42" s="46">
        <v>2</v>
      </c>
      <c r="H42" s="30">
        <v>1</v>
      </c>
      <c r="I42" s="30">
        <v>1</v>
      </c>
      <c r="J42" s="30">
        <v>1</v>
      </c>
      <c r="K42" s="46">
        <v>2</v>
      </c>
      <c r="L42" s="46">
        <v>1</v>
      </c>
      <c r="M42" s="46">
        <v>1</v>
      </c>
      <c r="N42" s="46">
        <v>1</v>
      </c>
      <c r="O42" s="46">
        <v>1</v>
      </c>
      <c r="P42" s="46">
        <v>2</v>
      </c>
      <c r="Q42" s="46">
        <v>2</v>
      </c>
      <c r="R42" s="46">
        <v>1</v>
      </c>
      <c r="S42" s="46">
        <v>1</v>
      </c>
      <c r="T42" s="46">
        <v>1</v>
      </c>
      <c r="U42" s="46">
        <v>2</v>
      </c>
      <c r="V42" s="46">
        <v>1</v>
      </c>
      <c r="W42" s="46">
        <v>2</v>
      </c>
      <c r="X42" s="46">
        <v>1</v>
      </c>
      <c r="Y42" s="46">
        <v>1</v>
      </c>
      <c r="Z42" s="46">
        <v>1</v>
      </c>
      <c r="AA42" s="46">
        <v>1</v>
      </c>
      <c r="AB42" s="46">
        <v>2</v>
      </c>
      <c r="AC42" s="46">
        <v>1</v>
      </c>
      <c r="AD42" s="46">
        <v>2</v>
      </c>
      <c r="AE42" s="46">
        <v>1</v>
      </c>
      <c r="AF42" s="46">
        <v>2</v>
      </c>
      <c r="AG42" s="46">
        <v>1</v>
      </c>
      <c r="AH42" s="46">
        <v>1</v>
      </c>
      <c r="AI42" s="46">
        <v>1</v>
      </c>
      <c r="AJ42" s="46">
        <v>1</v>
      </c>
      <c r="AK42" s="46">
        <v>2</v>
      </c>
      <c r="AL42" s="46">
        <v>1</v>
      </c>
      <c r="AM42" s="46">
        <v>2</v>
      </c>
      <c r="AN42" s="46">
        <v>2</v>
      </c>
      <c r="AO42" s="46">
        <v>1</v>
      </c>
      <c r="AP42" s="46">
        <v>1</v>
      </c>
      <c r="AQ42" s="46">
        <v>2</v>
      </c>
      <c r="AR42" s="46">
        <v>1</v>
      </c>
      <c r="AS42" s="46">
        <v>1</v>
      </c>
      <c r="AT42" s="46">
        <v>2</v>
      </c>
      <c r="AU42" s="46">
        <v>1</v>
      </c>
      <c r="AV42" s="46">
        <v>1</v>
      </c>
      <c r="AW42" s="46">
        <v>2</v>
      </c>
      <c r="AX42" s="46">
        <v>2</v>
      </c>
      <c r="AY42" s="46">
        <v>2</v>
      </c>
      <c r="AZ42" s="46">
        <v>1</v>
      </c>
      <c r="BA42" s="46">
        <v>1</v>
      </c>
      <c r="BB42" s="46">
        <v>1</v>
      </c>
      <c r="BC42" s="46">
        <v>2</v>
      </c>
      <c r="BD42" s="46">
        <v>2</v>
      </c>
      <c r="BE42" s="46">
        <v>1</v>
      </c>
      <c r="BF42" s="46">
        <v>1</v>
      </c>
      <c r="BG42" s="46">
        <v>2</v>
      </c>
      <c r="BH42" s="46">
        <v>2</v>
      </c>
      <c r="BI42" s="46">
        <v>1</v>
      </c>
      <c r="BJ42" s="46">
        <v>2</v>
      </c>
      <c r="BK42" s="46">
        <v>2</v>
      </c>
      <c r="BL42" s="46">
        <v>2</v>
      </c>
      <c r="BM42" s="46">
        <v>2</v>
      </c>
      <c r="BN42" s="46">
        <v>2</v>
      </c>
      <c r="BO42" s="46">
        <v>1</v>
      </c>
      <c r="BP42" s="46">
        <v>1</v>
      </c>
      <c r="BQ42" s="46">
        <v>2</v>
      </c>
      <c r="BR42" s="46">
        <v>1</v>
      </c>
      <c r="BS42" s="46">
        <v>2</v>
      </c>
      <c r="BT42" s="46">
        <v>2</v>
      </c>
      <c r="BU42" s="46">
        <v>2</v>
      </c>
      <c r="BV42" s="46">
        <v>2</v>
      </c>
      <c r="BW42" s="46">
        <v>1</v>
      </c>
      <c r="BX42" s="46">
        <v>1</v>
      </c>
      <c r="BY42" s="46">
        <v>1</v>
      </c>
      <c r="BZ42" s="46">
        <v>2</v>
      </c>
      <c r="CA42" s="46">
        <v>2</v>
      </c>
      <c r="CB42" s="46">
        <v>2</v>
      </c>
      <c r="CC42" s="46">
        <v>2</v>
      </c>
      <c r="CD42" s="46">
        <v>2</v>
      </c>
      <c r="CE42" s="46">
        <v>1</v>
      </c>
      <c r="CF42" s="46">
        <v>1</v>
      </c>
      <c r="CG42" s="46">
        <v>1</v>
      </c>
      <c r="CH42" s="46">
        <v>0</v>
      </c>
      <c r="CI42" s="46">
        <v>1</v>
      </c>
      <c r="CJ42" s="46">
        <v>1</v>
      </c>
      <c r="CK42" s="46">
        <v>2</v>
      </c>
      <c r="CL42" s="46">
        <v>2</v>
      </c>
      <c r="CM42" s="46">
        <v>2</v>
      </c>
      <c r="CN42" s="46">
        <v>1</v>
      </c>
      <c r="CO42" s="46">
        <v>1</v>
      </c>
      <c r="CP42" s="46">
        <v>1</v>
      </c>
      <c r="CQ42" s="46">
        <v>2</v>
      </c>
      <c r="CR42" s="46">
        <v>2</v>
      </c>
      <c r="CS42" s="46">
        <v>1</v>
      </c>
      <c r="CT42" s="46">
        <v>2</v>
      </c>
      <c r="CU42" s="46">
        <v>1</v>
      </c>
      <c r="CV42" s="46">
        <v>1</v>
      </c>
      <c r="CW42" s="46">
        <v>2</v>
      </c>
      <c r="CX42" s="46">
        <v>2</v>
      </c>
      <c r="CY42" s="46">
        <v>2</v>
      </c>
      <c r="CZ42" s="46">
        <v>2</v>
      </c>
      <c r="DA42" s="46">
        <v>2</v>
      </c>
      <c r="DB42" s="46">
        <v>2</v>
      </c>
      <c r="DC42" s="46">
        <v>2</v>
      </c>
      <c r="DD42" s="46">
        <v>1</v>
      </c>
      <c r="DE42" s="46">
        <v>1</v>
      </c>
      <c r="DF42" s="46">
        <v>1</v>
      </c>
      <c r="DG42" s="46">
        <v>1</v>
      </c>
      <c r="DH42" s="46">
        <v>1</v>
      </c>
      <c r="DI42" s="46">
        <v>2</v>
      </c>
      <c r="DJ42" s="46">
        <v>1</v>
      </c>
      <c r="DK42" s="46">
        <v>2</v>
      </c>
      <c r="DL42" s="46">
        <v>2</v>
      </c>
      <c r="DM42" s="46">
        <v>2</v>
      </c>
      <c r="DN42" s="46">
        <v>2</v>
      </c>
      <c r="DO42" s="46">
        <v>1</v>
      </c>
      <c r="DP42" s="46">
        <v>2</v>
      </c>
      <c r="DQ42" s="46">
        <v>1</v>
      </c>
      <c r="DR42" s="46">
        <v>1</v>
      </c>
      <c r="DS42" s="46">
        <v>2</v>
      </c>
      <c r="DT42" s="46">
        <v>2</v>
      </c>
      <c r="DU42" s="46">
        <v>2</v>
      </c>
      <c r="DV42" s="46">
        <v>2</v>
      </c>
      <c r="DW42" s="46">
        <v>1</v>
      </c>
      <c r="DX42" s="46">
        <v>2</v>
      </c>
      <c r="DY42" s="46">
        <v>1</v>
      </c>
      <c r="DZ42" s="46">
        <v>2</v>
      </c>
      <c r="EA42" s="46">
        <v>1</v>
      </c>
      <c r="EB42" s="46">
        <v>2</v>
      </c>
      <c r="EC42" s="46">
        <v>1</v>
      </c>
      <c r="ED42" s="46">
        <v>1</v>
      </c>
      <c r="EE42" s="46">
        <v>2</v>
      </c>
      <c r="EF42" s="46">
        <v>1</v>
      </c>
      <c r="EG42" s="46">
        <v>1</v>
      </c>
      <c r="EH42" s="46">
        <v>2</v>
      </c>
      <c r="EI42" s="46">
        <v>2</v>
      </c>
      <c r="EJ42" s="46">
        <v>2</v>
      </c>
      <c r="EK42" s="46">
        <v>1</v>
      </c>
      <c r="EL42" s="46">
        <v>2</v>
      </c>
      <c r="EM42" s="46">
        <v>2</v>
      </c>
      <c r="EN42" s="46">
        <v>1</v>
      </c>
      <c r="EO42" s="46">
        <v>1</v>
      </c>
      <c r="EP42" s="46">
        <v>1</v>
      </c>
      <c r="EQ42" s="46">
        <v>2</v>
      </c>
      <c r="ER42" s="46">
        <v>2</v>
      </c>
      <c r="ES42" s="46">
        <v>2</v>
      </c>
      <c r="ET42" s="46">
        <v>2</v>
      </c>
      <c r="EU42" s="46">
        <v>1</v>
      </c>
      <c r="EV42" s="46">
        <v>2</v>
      </c>
      <c r="EW42" s="46">
        <v>2</v>
      </c>
      <c r="EX42" s="46">
        <v>2</v>
      </c>
      <c r="EY42" s="46">
        <v>1</v>
      </c>
      <c r="EZ42" s="46">
        <v>2</v>
      </c>
      <c r="FA42" s="46">
        <v>1</v>
      </c>
      <c r="FB42" s="46">
        <v>1</v>
      </c>
      <c r="FC42" s="46">
        <v>2</v>
      </c>
      <c r="FD42" s="46">
        <v>1</v>
      </c>
      <c r="FE42" s="46">
        <v>2</v>
      </c>
      <c r="FF42" s="46">
        <v>1</v>
      </c>
      <c r="FG42" s="46">
        <v>1</v>
      </c>
      <c r="FH42" s="46">
        <v>2</v>
      </c>
    </row>
    <row r="43" spans="1:164" s="31" customFormat="1" x14ac:dyDescent="0.2">
      <c r="A43" s="44" t="s">
        <v>306</v>
      </c>
      <c r="B43" s="30" t="s">
        <v>261</v>
      </c>
      <c r="C43" s="30" t="s">
        <v>293</v>
      </c>
      <c r="D43" s="35" t="s">
        <v>253</v>
      </c>
      <c r="E43" s="46">
        <v>2</v>
      </c>
      <c r="F43" s="46">
        <v>1</v>
      </c>
      <c r="G43" s="46">
        <v>2</v>
      </c>
      <c r="H43" s="30">
        <v>2</v>
      </c>
      <c r="I43" s="30">
        <v>1</v>
      </c>
      <c r="J43" s="30">
        <v>1</v>
      </c>
      <c r="K43" s="46">
        <v>2</v>
      </c>
      <c r="L43" s="46">
        <v>1</v>
      </c>
      <c r="M43" s="46">
        <v>1</v>
      </c>
      <c r="N43" s="46">
        <v>2</v>
      </c>
      <c r="O43" s="46">
        <v>2</v>
      </c>
      <c r="P43" s="46">
        <v>1</v>
      </c>
      <c r="Q43" s="46">
        <v>2</v>
      </c>
      <c r="R43" s="46">
        <v>1</v>
      </c>
      <c r="S43" s="46">
        <v>2</v>
      </c>
      <c r="T43" s="46">
        <v>1</v>
      </c>
      <c r="U43" s="46">
        <v>1</v>
      </c>
      <c r="V43" s="46">
        <v>2</v>
      </c>
      <c r="W43" s="46">
        <v>2</v>
      </c>
      <c r="X43" s="46">
        <v>1</v>
      </c>
      <c r="Y43" s="46">
        <v>1</v>
      </c>
      <c r="Z43" s="46">
        <v>1</v>
      </c>
      <c r="AA43" s="46">
        <v>2</v>
      </c>
      <c r="AB43" s="46">
        <v>2</v>
      </c>
      <c r="AC43" s="46">
        <v>1</v>
      </c>
      <c r="AD43" s="46">
        <v>1</v>
      </c>
      <c r="AE43" s="46">
        <v>1</v>
      </c>
      <c r="AF43" s="46">
        <v>1</v>
      </c>
      <c r="AG43" s="46">
        <v>1</v>
      </c>
      <c r="AH43" s="46">
        <v>1</v>
      </c>
      <c r="AI43" s="46">
        <v>1</v>
      </c>
      <c r="AJ43" s="46">
        <v>1</v>
      </c>
      <c r="AK43" s="46">
        <v>2</v>
      </c>
      <c r="AL43" s="46">
        <v>2</v>
      </c>
      <c r="AM43" s="46">
        <v>1</v>
      </c>
      <c r="AN43" s="46">
        <v>1</v>
      </c>
      <c r="AO43" s="46">
        <v>1</v>
      </c>
      <c r="AP43" s="46">
        <v>2</v>
      </c>
      <c r="AQ43" s="46">
        <v>1</v>
      </c>
      <c r="AR43" s="46">
        <v>2</v>
      </c>
      <c r="AS43" s="46">
        <v>2</v>
      </c>
      <c r="AT43" s="46">
        <v>1</v>
      </c>
      <c r="AU43" s="46">
        <v>1</v>
      </c>
      <c r="AV43" s="46">
        <v>1</v>
      </c>
      <c r="AW43" s="46">
        <v>2</v>
      </c>
      <c r="AX43" s="46">
        <v>1</v>
      </c>
      <c r="AY43" s="46">
        <v>2</v>
      </c>
      <c r="AZ43" s="46">
        <v>1</v>
      </c>
      <c r="BA43" s="46">
        <v>1</v>
      </c>
      <c r="BB43" s="46">
        <v>2</v>
      </c>
      <c r="BC43" s="46">
        <v>1</v>
      </c>
      <c r="BD43" s="46">
        <v>2</v>
      </c>
      <c r="BE43" s="46">
        <v>2</v>
      </c>
      <c r="BF43" s="46">
        <v>2</v>
      </c>
      <c r="BG43" s="46">
        <v>1</v>
      </c>
      <c r="BH43" s="46">
        <v>2</v>
      </c>
      <c r="BI43" s="46">
        <v>2</v>
      </c>
      <c r="BJ43" s="46">
        <v>1</v>
      </c>
      <c r="BK43" s="46">
        <v>2</v>
      </c>
      <c r="BL43" s="46">
        <v>1</v>
      </c>
      <c r="BM43" s="46">
        <v>1</v>
      </c>
      <c r="BN43" s="46">
        <v>1</v>
      </c>
      <c r="BO43" s="46">
        <v>1</v>
      </c>
      <c r="BP43" s="46">
        <v>1</v>
      </c>
      <c r="BQ43" s="46">
        <v>2</v>
      </c>
      <c r="BR43" s="46">
        <v>2</v>
      </c>
      <c r="BS43" s="46">
        <v>2</v>
      </c>
      <c r="BT43" s="46">
        <v>2</v>
      </c>
      <c r="BU43" s="46">
        <v>1</v>
      </c>
      <c r="BV43" s="46">
        <v>1</v>
      </c>
      <c r="BW43" s="46">
        <v>2</v>
      </c>
      <c r="BX43" s="46">
        <v>1</v>
      </c>
      <c r="BY43" s="46">
        <v>1</v>
      </c>
      <c r="BZ43" s="46">
        <v>2</v>
      </c>
      <c r="CA43" s="46">
        <v>2</v>
      </c>
      <c r="CB43" s="46">
        <v>1</v>
      </c>
      <c r="CC43" s="46">
        <v>1</v>
      </c>
      <c r="CD43" s="46">
        <v>2</v>
      </c>
      <c r="CE43" s="46">
        <v>1</v>
      </c>
      <c r="CF43" s="46">
        <v>2</v>
      </c>
      <c r="CG43" s="46">
        <v>1</v>
      </c>
      <c r="CH43" s="46">
        <v>2</v>
      </c>
      <c r="CI43" s="46">
        <v>1</v>
      </c>
      <c r="CJ43" s="46">
        <v>1</v>
      </c>
      <c r="CK43" s="46">
        <v>1</v>
      </c>
      <c r="CL43" s="46">
        <v>1</v>
      </c>
      <c r="CM43" s="46">
        <v>2</v>
      </c>
      <c r="CN43" s="46">
        <v>1</v>
      </c>
      <c r="CO43" s="46">
        <v>2</v>
      </c>
      <c r="CP43" s="46">
        <v>2</v>
      </c>
      <c r="CQ43" s="46">
        <v>1</v>
      </c>
      <c r="CR43" s="46">
        <v>2</v>
      </c>
      <c r="CS43" s="46">
        <v>1</v>
      </c>
      <c r="CT43" s="46">
        <v>2</v>
      </c>
      <c r="CU43" s="46">
        <v>1</v>
      </c>
      <c r="CV43" s="46">
        <v>1</v>
      </c>
      <c r="CW43" s="46">
        <v>1</v>
      </c>
      <c r="CX43" s="46">
        <v>2</v>
      </c>
      <c r="CY43" s="46">
        <v>1</v>
      </c>
      <c r="CZ43" s="46">
        <v>2</v>
      </c>
      <c r="DA43" s="46">
        <v>2</v>
      </c>
      <c r="DB43" s="46">
        <v>1</v>
      </c>
      <c r="DC43" s="46">
        <v>2</v>
      </c>
      <c r="DD43" s="46">
        <v>2</v>
      </c>
      <c r="DE43" s="46">
        <v>1</v>
      </c>
      <c r="DF43" s="46">
        <v>1</v>
      </c>
      <c r="DG43" s="46">
        <v>1</v>
      </c>
      <c r="DH43" s="46">
        <v>1</v>
      </c>
      <c r="DI43" s="46">
        <v>1</v>
      </c>
      <c r="DJ43" s="46">
        <v>1</v>
      </c>
      <c r="DK43" s="46">
        <v>2</v>
      </c>
      <c r="DL43" s="46">
        <v>2</v>
      </c>
      <c r="DM43" s="46">
        <v>2</v>
      </c>
      <c r="DN43" s="46">
        <v>1</v>
      </c>
      <c r="DO43" s="46">
        <v>1</v>
      </c>
      <c r="DP43" s="46">
        <v>1</v>
      </c>
      <c r="DQ43" s="46">
        <v>2</v>
      </c>
      <c r="DR43" s="46">
        <v>1</v>
      </c>
      <c r="DS43" s="46">
        <v>2</v>
      </c>
      <c r="DT43" s="46">
        <v>2</v>
      </c>
      <c r="DU43" s="46">
        <v>2</v>
      </c>
      <c r="DV43" s="46">
        <v>1</v>
      </c>
      <c r="DW43" s="46">
        <v>2</v>
      </c>
      <c r="DX43" s="46">
        <v>1</v>
      </c>
      <c r="DY43" s="46">
        <v>1</v>
      </c>
      <c r="DZ43" s="46">
        <v>2</v>
      </c>
      <c r="EA43" s="46">
        <v>2</v>
      </c>
      <c r="EB43" s="46">
        <v>1</v>
      </c>
      <c r="EC43" s="46">
        <v>1</v>
      </c>
      <c r="ED43" s="46">
        <v>1</v>
      </c>
      <c r="EE43" s="46">
        <v>2</v>
      </c>
      <c r="EF43" s="46">
        <v>1</v>
      </c>
      <c r="EG43" s="46">
        <v>2</v>
      </c>
      <c r="EH43" s="46">
        <v>2</v>
      </c>
      <c r="EI43" s="46">
        <v>0</v>
      </c>
      <c r="EJ43" s="46">
        <v>2</v>
      </c>
      <c r="EK43" s="46">
        <v>1</v>
      </c>
      <c r="EL43" s="46">
        <v>2</v>
      </c>
      <c r="EM43" s="46">
        <v>2</v>
      </c>
      <c r="EN43" s="46">
        <v>1</v>
      </c>
      <c r="EO43" s="46">
        <v>1</v>
      </c>
      <c r="EP43" s="46">
        <v>2</v>
      </c>
      <c r="EQ43" s="46">
        <v>1</v>
      </c>
      <c r="ER43" s="46">
        <v>1</v>
      </c>
      <c r="ES43" s="46">
        <v>2</v>
      </c>
      <c r="ET43" s="46">
        <v>2</v>
      </c>
      <c r="EU43" s="46">
        <v>1</v>
      </c>
      <c r="EV43" s="46">
        <v>1</v>
      </c>
      <c r="EW43" s="46">
        <v>2</v>
      </c>
      <c r="EX43" s="46">
        <v>1</v>
      </c>
      <c r="EY43" s="46">
        <v>2</v>
      </c>
      <c r="EZ43" s="46">
        <v>2</v>
      </c>
      <c r="FA43" s="46">
        <v>1</v>
      </c>
      <c r="FB43" s="46">
        <v>1</v>
      </c>
      <c r="FC43" s="46">
        <v>2</v>
      </c>
      <c r="FD43" s="46">
        <v>1</v>
      </c>
      <c r="FE43" s="46">
        <v>2</v>
      </c>
      <c r="FF43" s="46">
        <v>1</v>
      </c>
      <c r="FG43" s="46">
        <v>1</v>
      </c>
      <c r="FH43" s="46">
        <v>2</v>
      </c>
    </row>
    <row r="44" spans="1:164" s="31" customFormat="1" x14ac:dyDescent="0.2">
      <c r="A44" s="44" t="s">
        <v>307</v>
      </c>
      <c r="B44" s="30" t="s">
        <v>266</v>
      </c>
      <c r="C44" s="30" t="s">
        <v>293</v>
      </c>
      <c r="D44" s="35" t="s">
        <v>253</v>
      </c>
      <c r="E44" s="46">
        <v>1</v>
      </c>
      <c r="F44" s="46">
        <v>1</v>
      </c>
      <c r="G44" s="46">
        <v>1</v>
      </c>
      <c r="H44" s="30">
        <v>1</v>
      </c>
      <c r="I44" s="30">
        <v>2</v>
      </c>
      <c r="J44" s="30">
        <v>2</v>
      </c>
      <c r="K44" s="46">
        <v>1</v>
      </c>
      <c r="L44" s="46">
        <v>1</v>
      </c>
      <c r="M44" s="46">
        <v>1</v>
      </c>
      <c r="N44" s="46">
        <v>1</v>
      </c>
      <c r="O44" s="46">
        <v>2</v>
      </c>
      <c r="P44" s="46">
        <v>2</v>
      </c>
      <c r="Q44" s="46">
        <v>2</v>
      </c>
      <c r="R44" s="46">
        <v>1</v>
      </c>
      <c r="S44" s="46">
        <v>1</v>
      </c>
      <c r="T44" s="46">
        <v>2</v>
      </c>
      <c r="U44" s="46">
        <v>2</v>
      </c>
      <c r="V44" s="46">
        <v>1</v>
      </c>
      <c r="W44" s="46">
        <v>1</v>
      </c>
      <c r="X44" s="46">
        <v>1</v>
      </c>
      <c r="Y44" s="46">
        <v>1</v>
      </c>
      <c r="Z44" s="46">
        <v>1</v>
      </c>
      <c r="AA44" s="46">
        <v>1</v>
      </c>
      <c r="AB44" s="46">
        <v>2</v>
      </c>
      <c r="AC44" s="46">
        <v>1</v>
      </c>
      <c r="AD44" s="46">
        <v>1</v>
      </c>
      <c r="AE44" s="46">
        <v>1</v>
      </c>
      <c r="AF44" s="46">
        <v>2</v>
      </c>
      <c r="AG44" s="46">
        <v>1</v>
      </c>
      <c r="AH44" s="46">
        <v>2</v>
      </c>
      <c r="AI44" s="46">
        <v>1</v>
      </c>
      <c r="AJ44" s="46">
        <v>2</v>
      </c>
      <c r="AK44" s="46">
        <v>1</v>
      </c>
      <c r="AL44" s="46">
        <v>2</v>
      </c>
      <c r="AM44" s="46">
        <v>1</v>
      </c>
      <c r="AN44" s="46">
        <v>2</v>
      </c>
      <c r="AO44" s="46">
        <v>1</v>
      </c>
      <c r="AP44" s="46">
        <v>1</v>
      </c>
      <c r="AQ44" s="46">
        <v>1</v>
      </c>
      <c r="AR44" s="46">
        <v>2</v>
      </c>
      <c r="AS44" s="46">
        <v>1</v>
      </c>
      <c r="AT44" s="46">
        <v>1</v>
      </c>
      <c r="AU44" s="46">
        <v>2</v>
      </c>
      <c r="AV44" s="46">
        <v>1</v>
      </c>
      <c r="AW44" s="46">
        <v>2</v>
      </c>
      <c r="AX44" s="46">
        <v>2</v>
      </c>
      <c r="AY44" s="46">
        <v>1</v>
      </c>
      <c r="AZ44" s="46">
        <v>1</v>
      </c>
      <c r="BA44" s="46">
        <v>1</v>
      </c>
      <c r="BB44" s="46">
        <v>1</v>
      </c>
      <c r="BC44" s="46">
        <v>1</v>
      </c>
      <c r="BD44" s="46">
        <v>2</v>
      </c>
      <c r="BE44" s="46">
        <v>1</v>
      </c>
      <c r="BF44" s="46">
        <v>2</v>
      </c>
      <c r="BG44" s="46">
        <v>2</v>
      </c>
      <c r="BH44" s="46">
        <v>2</v>
      </c>
      <c r="BI44" s="46">
        <v>2</v>
      </c>
      <c r="BJ44" s="46">
        <v>1</v>
      </c>
      <c r="BK44" s="46">
        <v>2</v>
      </c>
      <c r="BL44" s="46">
        <v>2</v>
      </c>
      <c r="BM44" s="46">
        <v>2</v>
      </c>
      <c r="BN44" s="46">
        <v>2</v>
      </c>
      <c r="BO44" s="46">
        <v>1</v>
      </c>
      <c r="BP44" s="46">
        <v>1</v>
      </c>
      <c r="BQ44" s="46">
        <v>2</v>
      </c>
      <c r="BR44" s="46">
        <v>2</v>
      </c>
      <c r="BS44" s="46">
        <v>2</v>
      </c>
      <c r="BT44" s="46">
        <v>2</v>
      </c>
      <c r="BU44" s="46">
        <v>1</v>
      </c>
      <c r="BV44" s="46">
        <v>1</v>
      </c>
      <c r="BW44" s="46">
        <v>1</v>
      </c>
      <c r="BX44" s="46">
        <v>1</v>
      </c>
      <c r="BY44" s="46">
        <v>2</v>
      </c>
      <c r="BZ44" s="46">
        <v>1</v>
      </c>
      <c r="CA44" s="46">
        <v>2</v>
      </c>
      <c r="CB44" s="46">
        <v>1</v>
      </c>
      <c r="CC44" s="46">
        <v>1</v>
      </c>
      <c r="CD44" s="46">
        <v>2</v>
      </c>
      <c r="CE44" s="46">
        <v>1</v>
      </c>
      <c r="CF44" s="46">
        <v>1</v>
      </c>
      <c r="CG44" s="46">
        <v>1</v>
      </c>
      <c r="CH44" s="46">
        <v>1</v>
      </c>
      <c r="CI44" s="46">
        <v>2</v>
      </c>
      <c r="CJ44" s="46">
        <v>2</v>
      </c>
      <c r="CK44" s="46">
        <v>1</v>
      </c>
      <c r="CL44" s="46">
        <v>2</v>
      </c>
      <c r="CM44" s="46">
        <v>1</v>
      </c>
      <c r="CN44" s="46">
        <v>2</v>
      </c>
      <c r="CO44" s="46">
        <v>1</v>
      </c>
      <c r="CP44" s="46">
        <v>2</v>
      </c>
      <c r="CQ44" s="46">
        <v>2</v>
      </c>
      <c r="CR44" s="46">
        <v>1</v>
      </c>
      <c r="CS44" s="46">
        <v>1</v>
      </c>
      <c r="CT44" s="46">
        <v>2</v>
      </c>
      <c r="CU44" s="46">
        <v>2</v>
      </c>
      <c r="CV44" s="46">
        <v>1</v>
      </c>
      <c r="CW44" s="46">
        <v>2</v>
      </c>
      <c r="CX44" s="46">
        <v>1</v>
      </c>
      <c r="CY44" s="46">
        <v>1</v>
      </c>
      <c r="CZ44" s="46">
        <v>1</v>
      </c>
      <c r="DA44" s="46">
        <v>2</v>
      </c>
      <c r="DB44" s="46">
        <v>2</v>
      </c>
      <c r="DC44" s="46">
        <v>1</v>
      </c>
      <c r="DD44" s="46">
        <v>1</v>
      </c>
      <c r="DE44" s="46">
        <v>1</v>
      </c>
      <c r="DF44" s="46">
        <v>1</v>
      </c>
      <c r="DG44" s="46">
        <v>2</v>
      </c>
      <c r="DH44" s="46">
        <v>1</v>
      </c>
      <c r="DI44" s="46">
        <v>1</v>
      </c>
      <c r="DJ44" s="46">
        <v>1</v>
      </c>
      <c r="DK44" s="46">
        <v>1</v>
      </c>
      <c r="DL44" s="46">
        <v>2</v>
      </c>
      <c r="DM44" s="46">
        <v>2</v>
      </c>
      <c r="DN44" s="46">
        <v>2</v>
      </c>
      <c r="DO44" s="46">
        <v>1</v>
      </c>
      <c r="DP44" s="46">
        <v>2</v>
      </c>
      <c r="DQ44" s="46">
        <v>2</v>
      </c>
      <c r="DR44" s="46">
        <v>1</v>
      </c>
      <c r="DS44" s="46">
        <v>1</v>
      </c>
      <c r="DT44" s="46">
        <v>1</v>
      </c>
      <c r="DU44" s="46">
        <v>2</v>
      </c>
      <c r="DV44" s="46">
        <v>1</v>
      </c>
      <c r="DW44" s="46">
        <v>2</v>
      </c>
      <c r="DX44" s="46">
        <v>1</v>
      </c>
      <c r="DY44" s="46">
        <v>2</v>
      </c>
      <c r="DZ44" s="46">
        <v>2</v>
      </c>
      <c r="EA44" s="46">
        <v>2</v>
      </c>
      <c r="EB44" s="46">
        <v>2</v>
      </c>
      <c r="EC44" s="46">
        <v>2</v>
      </c>
      <c r="ED44" s="46">
        <v>1</v>
      </c>
      <c r="EE44" s="46">
        <v>1</v>
      </c>
      <c r="EF44" s="46">
        <v>1</v>
      </c>
      <c r="EG44" s="46">
        <v>2</v>
      </c>
      <c r="EH44" s="46">
        <v>2</v>
      </c>
      <c r="EI44" s="46">
        <v>1</v>
      </c>
      <c r="EJ44" s="46">
        <v>1</v>
      </c>
      <c r="EK44" s="46">
        <v>1</v>
      </c>
      <c r="EL44" s="46">
        <v>2</v>
      </c>
      <c r="EM44" s="46">
        <v>2</v>
      </c>
      <c r="EN44" s="46">
        <v>1</v>
      </c>
      <c r="EO44" s="46">
        <v>1</v>
      </c>
      <c r="EP44" s="46">
        <v>2</v>
      </c>
      <c r="EQ44" s="46">
        <v>2</v>
      </c>
      <c r="ER44" s="46">
        <v>2</v>
      </c>
      <c r="ES44" s="46">
        <v>2</v>
      </c>
      <c r="ET44" s="46">
        <v>2</v>
      </c>
      <c r="EU44" s="46">
        <v>2</v>
      </c>
      <c r="EV44" s="46">
        <v>1</v>
      </c>
      <c r="EW44" s="46">
        <v>2</v>
      </c>
      <c r="EX44" s="46">
        <v>2</v>
      </c>
      <c r="EY44" s="46">
        <v>1</v>
      </c>
      <c r="EZ44" s="46">
        <v>2</v>
      </c>
      <c r="FA44" s="46">
        <v>2</v>
      </c>
      <c r="FB44" s="46">
        <v>2</v>
      </c>
      <c r="FC44" s="46">
        <v>2</v>
      </c>
      <c r="FD44" s="46">
        <v>2</v>
      </c>
      <c r="FE44" s="46">
        <v>2</v>
      </c>
      <c r="FF44" s="46">
        <v>2</v>
      </c>
      <c r="FG44" s="46">
        <v>1</v>
      </c>
      <c r="FH44" s="46">
        <v>1</v>
      </c>
    </row>
    <row r="45" spans="1:164" s="31" customFormat="1" x14ac:dyDescent="0.2">
      <c r="A45" s="44" t="s">
        <v>308</v>
      </c>
      <c r="B45" s="30" t="s">
        <v>261</v>
      </c>
      <c r="C45" s="30" t="s">
        <v>293</v>
      </c>
      <c r="D45" s="35" t="s">
        <v>253</v>
      </c>
      <c r="E45" s="46">
        <v>2</v>
      </c>
      <c r="F45" s="46">
        <v>1</v>
      </c>
      <c r="G45" s="46">
        <v>1</v>
      </c>
      <c r="H45" s="30">
        <v>2</v>
      </c>
      <c r="I45" s="30">
        <v>1</v>
      </c>
      <c r="J45" s="30">
        <v>1</v>
      </c>
      <c r="K45" s="46">
        <v>2</v>
      </c>
      <c r="L45" s="46">
        <v>1</v>
      </c>
      <c r="M45" s="46">
        <v>1</v>
      </c>
      <c r="N45" s="46">
        <v>1</v>
      </c>
      <c r="O45" s="46">
        <v>2</v>
      </c>
      <c r="P45" s="46">
        <v>2</v>
      </c>
      <c r="Q45" s="46">
        <v>2</v>
      </c>
      <c r="R45" s="46">
        <v>2</v>
      </c>
      <c r="S45" s="46">
        <v>1</v>
      </c>
      <c r="T45" s="46">
        <v>2</v>
      </c>
      <c r="U45" s="46">
        <v>1</v>
      </c>
      <c r="V45" s="46">
        <v>2</v>
      </c>
      <c r="W45" s="46">
        <v>2</v>
      </c>
      <c r="X45" s="46">
        <v>2</v>
      </c>
      <c r="Y45" s="46">
        <v>2</v>
      </c>
      <c r="Z45" s="46">
        <v>2</v>
      </c>
      <c r="AA45" s="46">
        <v>1</v>
      </c>
      <c r="AB45" s="46">
        <v>2</v>
      </c>
      <c r="AC45" s="46">
        <v>0</v>
      </c>
      <c r="AD45" s="46">
        <v>2</v>
      </c>
      <c r="AE45" s="46">
        <v>1</v>
      </c>
      <c r="AF45" s="46">
        <v>2</v>
      </c>
      <c r="AG45" s="46">
        <v>2</v>
      </c>
      <c r="AH45" s="46">
        <v>2</v>
      </c>
      <c r="AI45" s="46">
        <v>2</v>
      </c>
      <c r="AJ45" s="46">
        <v>2</v>
      </c>
      <c r="AK45" s="46">
        <v>1</v>
      </c>
      <c r="AL45" s="46">
        <v>2</v>
      </c>
      <c r="AM45" s="46">
        <v>2</v>
      </c>
      <c r="AN45" s="46">
        <v>1</v>
      </c>
      <c r="AO45" s="46">
        <v>2</v>
      </c>
      <c r="AP45" s="46">
        <v>2</v>
      </c>
      <c r="AQ45" s="46">
        <v>1</v>
      </c>
      <c r="AR45" s="46">
        <v>2</v>
      </c>
      <c r="AS45" s="46">
        <v>2</v>
      </c>
      <c r="AT45" s="46">
        <v>2</v>
      </c>
      <c r="AU45" s="46">
        <v>2</v>
      </c>
      <c r="AV45" s="46">
        <v>2</v>
      </c>
      <c r="AW45" s="46">
        <v>1</v>
      </c>
      <c r="AX45" s="46">
        <v>2</v>
      </c>
      <c r="AY45" s="46">
        <v>2</v>
      </c>
      <c r="AZ45" s="46">
        <v>2</v>
      </c>
      <c r="BA45" s="46">
        <v>2</v>
      </c>
      <c r="BB45" s="46">
        <v>1</v>
      </c>
      <c r="BC45" s="46">
        <v>2</v>
      </c>
      <c r="BD45" s="46">
        <v>1</v>
      </c>
      <c r="BE45" s="46">
        <v>2</v>
      </c>
      <c r="BF45" s="46">
        <v>2</v>
      </c>
      <c r="BG45" s="46">
        <v>2</v>
      </c>
      <c r="BH45" s="46">
        <v>2</v>
      </c>
      <c r="BI45" s="46">
        <v>2</v>
      </c>
      <c r="BJ45" s="46">
        <v>2</v>
      </c>
      <c r="BK45" s="46">
        <v>2</v>
      </c>
      <c r="BL45" s="46">
        <v>1</v>
      </c>
      <c r="BM45" s="46">
        <v>2</v>
      </c>
      <c r="BN45" s="46">
        <v>2</v>
      </c>
      <c r="BO45" s="46">
        <v>1</v>
      </c>
      <c r="BP45" s="46">
        <v>2</v>
      </c>
      <c r="BQ45" s="46">
        <v>2</v>
      </c>
      <c r="BR45" s="46">
        <v>2</v>
      </c>
      <c r="BS45" s="46">
        <v>2</v>
      </c>
      <c r="BT45" s="46">
        <v>1</v>
      </c>
      <c r="BU45" s="46">
        <v>2</v>
      </c>
      <c r="BV45" s="46">
        <v>2</v>
      </c>
      <c r="BW45" s="46">
        <v>1</v>
      </c>
      <c r="BX45" s="46">
        <v>2</v>
      </c>
      <c r="BY45" s="46">
        <v>2</v>
      </c>
      <c r="BZ45" s="46">
        <v>2</v>
      </c>
      <c r="CA45" s="46">
        <v>2</v>
      </c>
      <c r="CB45" s="46">
        <v>2</v>
      </c>
      <c r="CC45" s="46">
        <v>1</v>
      </c>
      <c r="CD45" s="46">
        <v>2</v>
      </c>
      <c r="CE45" s="46">
        <v>1</v>
      </c>
      <c r="CF45" s="46">
        <v>2</v>
      </c>
      <c r="CG45" s="46">
        <v>1</v>
      </c>
      <c r="CH45" s="46">
        <v>2</v>
      </c>
      <c r="CI45" s="46">
        <v>2</v>
      </c>
      <c r="CJ45" s="46">
        <v>2</v>
      </c>
      <c r="CK45" s="46">
        <v>2</v>
      </c>
      <c r="CL45" s="46">
        <v>2</v>
      </c>
      <c r="CM45" s="46">
        <v>2</v>
      </c>
      <c r="CN45" s="46">
        <v>2</v>
      </c>
      <c r="CO45" s="46">
        <v>2</v>
      </c>
      <c r="CP45" s="46">
        <v>2</v>
      </c>
      <c r="CQ45" s="46">
        <v>2</v>
      </c>
      <c r="CR45" s="46">
        <v>2</v>
      </c>
      <c r="CS45" s="46">
        <v>1</v>
      </c>
      <c r="CT45" s="46">
        <v>2</v>
      </c>
      <c r="CU45" s="46">
        <v>2</v>
      </c>
      <c r="CV45" s="46">
        <v>1</v>
      </c>
      <c r="CW45" s="46">
        <v>2</v>
      </c>
      <c r="CX45" s="46">
        <v>2</v>
      </c>
      <c r="CY45" s="46">
        <v>1</v>
      </c>
      <c r="CZ45" s="46">
        <v>2</v>
      </c>
      <c r="DA45" s="46">
        <v>2</v>
      </c>
      <c r="DB45" s="46">
        <v>2</v>
      </c>
      <c r="DC45" s="46">
        <v>2</v>
      </c>
      <c r="DD45" s="46">
        <v>2</v>
      </c>
      <c r="DE45" s="46">
        <v>2</v>
      </c>
      <c r="DF45" s="46">
        <v>2</v>
      </c>
      <c r="DG45" s="46">
        <v>2</v>
      </c>
      <c r="DH45" s="46">
        <v>2</v>
      </c>
      <c r="DI45" s="46">
        <v>1</v>
      </c>
      <c r="DJ45" s="46">
        <v>1</v>
      </c>
      <c r="DK45" s="46">
        <v>2</v>
      </c>
      <c r="DL45" s="46">
        <v>2</v>
      </c>
      <c r="DM45" s="46">
        <v>2</v>
      </c>
      <c r="DN45" s="46">
        <v>1</v>
      </c>
      <c r="DO45" s="46">
        <v>2</v>
      </c>
      <c r="DP45" s="46">
        <v>1</v>
      </c>
      <c r="DQ45" s="46">
        <v>2</v>
      </c>
      <c r="DR45" s="46">
        <v>2</v>
      </c>
      <c r="DS45" s="46">
        <v>2</v>
      </c>
      <c r="DT45" s="46">
        <v>2</v>
      </c>
      <c r="DU45" s="46">
        <v>2</v>
      </c>
      <c r="DV45" s="46">
        <v>1</v>
      </c>
      <c r="DW45" s="46">
        <v>2</v>
      </c>
      <c r="DX45" s="46">
        <v>2</v>
      </c>
      <c r="DY45" s="46">
        <v>2</v>
      </c>
      <c r="DZ45" s="46">
        <v>2</v>
      </c>
      <c r="EA45" s="46">
        <v>2</v>
      </c>
      <c r="EB45" s="46">
        <v>2</v>
      </c>
      <c r="EC45" s="46">
        <v>1</v>
      </c>
      <c r="ED45" s="46">
        <v>1</v>
      </c>
      <c r="EE45" s="46">
        <v>1</v>
      </c>
      <c r="EF45" s="46">
        <v>2</v>
      </c>
      <c r="EG45" s="46">
        <v>2</v>
      </c>
      <c r="EH45" s="46">
        <v>2</v>
      </c>
      <c r="EI45" s="46">
        <v>2</v>
      </c>
      <c r="EJ45" s="46">
        <v>2</v>
      </c>
      <c r="EK45" s="46">
        <v>2</v>
      </c>
      <c r="EL45" s="46">
        <v>2</v>
      </c>
      <c r="EM45" s="46">
        <v>2</v>
      </c>
      <c r="EN45" s="46">
        <v>2</v>
      </c>
      <c r="EO45" s="46">
        <v>2</v>
      </c>
      <c r="EP45" s="46">
        <v>2</v>
      </c>
      <c r="EQ45" s="46">
        <v>2</v>
      </c>
      <c r="ER45" s="46">
        <v>2</v>
      </c>
      <c r="ES45" s="46">
        <v>2</v>
      </c>
      <c r="ET45" s="46">
        <v>2</v>
      </c>
      <c r="EU45" s="46">
        <v>2</v>
      </c>
      <c r="EV45" s="46">
        <v>2</v>
      </c>
      <c r="EW45" s="46">
        <v>2</v>
      </c>
      <c r="EX45" s="46">
        <v>2</v>
      </c>
      <c r="EY45" s="46">
        <v>2</v>
      </c>
      <c r="EZ45" s="46">
        <v>2</v>
      </c>
      <c r="FA45" s="46">
        <v>2</v>
      </c>
      <c r="FB45" s="46">
        <v>2</v>
      </c>
      <c r="FC45" s="46">
        <v>2</v>
      </c>
      <c r="FD45" s="46">
        <v>2</v>
      </c>
      <c r="FE45" s="46">
        <v>2</v>
      </c>
      <c r="FF45" s="46">
        <v>2</v>
      </c>
      <c r="FG45" s="46">
        <v>1</v>
      </c>
      <c r="FH45" s="46">
        <v>2</v>
      </c>
    </row>
    <row r="46" spans="1:164" s="31" customFormat="1" x14ac:dyDescent="0.2">
      <c r="A46" s="44" t="s">
        <v>309</v>
      </c>
      <c r="B46" s="30" t="s">
        <v>266</v>
      </c>
      <c r="C46" s="30" t="s">
        <v>293</v>
      </c>
      <c r="D46" s="35" t="s">
        <v>253</v>
      </c>
      <c r="E46" s="46">
        <v>2</v>
      </c>
      <c r="F46" s="46">
        <v>1</v>
      </c>
      <c r="G46" s="46">
        <v>1</v>
      </c>
      <c r="H46" s="30">
        <v>2</v>
      </c>
      <c r="I46" s="30">
        <v>1</v>
      </c>
      <c r="J46" s="30">
        <v>1</v>
      </c>
      <c r="K46" s="46">
        <v>2</v>
      </c>
      <c r="L46" s="46">
        <v>1</v>
      </c>
      <c r="M46" s="46">
        <v>2</v>
      </c>
      <c r="N46" s="46">
        <v>1</v>
      </c>
      <c r="O46" s="46">
        <v>1</v>
      </c>
      <c r="P46" s="46">
        <v>2</v>
      </c>
      <c r="Q46" s="46">
        <v>1</v>
      </c>
      <c r="R46" s="46">
        <v>2</v>
      </c>
      <c r="S46" s="46">
        <v>2</v>
      </c>
      <c r="T46" s="46">
        <v>2</v>
      </c>
      <c r="U46" s="46">
        <v>1</v>
      </c>
      <c r="V46" s="46">
        <v>1</v>
      </c>
      <c r="W46" s="46">
        <v>2</v>
      </c>
      <c r="X46" s="46">
        <v>2</v>
      </c>
      <c r="Y46" s="46">
        <v>2</v>
      </c>
      <c r="Z46" s="46">
        <v>2</v>
      </c>
      <c r="AA46" s="46">
        <v>1</v>
      </c>
      <c r="AB46" s="46">
        <v>1</v>
      </c>
      <c r="AC46" s="46">
        <v>2</v>
      </c>
      <c r="AD46" s="46">
        <v>2</v>
      </c>
      <c r="AE46" s="46">
        <v>1</v>
      </c>
      <c r="AF46" s="46">
        <v>2</v>
      </c>
      <c r="AG46" s="46">
        <v>1</v>
      </c>
      <c r="AH46" s="46">
        <v>2</v>
      </c>
      <c r="AI46" s="46">
        <v>2</v>
      </c>
      <c r="AJ46" s="46">
        <v>2</v>
      </c>
      <c r="AK46" s="46">
        <v>2</v>
      </c>
      <c r="AL46" s="46">
        <v>2</v>
      </c>
      <c r="AM46" s="46">
        <v>2</v>
      </c>
      <c r="AN46" s="46">
        <v>1</v>
      </c>
      <c r="AO46" s="46">
        <v>1</v>
      </c>
      <c r="AP46" s="46">
        <v>2</v>
      </c>
      <c r="AQ46" s="46">
        <v>1</v>
      </c>
      <c r="AR46" s="46">
        <v>2</v>
      </c>
      <c r="AS46" s="46">
        <v>2</v>
      </c>
      <c r="AT46" s="46">
        <v>1</v>
      </c>
      <c r="AU46" s="46">
        <v>2</v>
      </c>
      <c r="AV46" s="46">
        <v>1</v>
      </c>
      <c r="AW46" s="46">
        <v>2</v>
      </c>
      <c r="AX46" s="46">
        <v>2</v>
      </c>
      <c r="AY46" s="46">
        <v>2</v>
      </c>
      <c r="AZ46" s="46">
        <v>2</v>
      </c>
      <c r="BA46" s="46">
        <v>1</v>
      </c>
      <c r="BB46" s="46">
        <v>1</v>
      </c>
      <c r="BC46" s="46">
        <v>2</v>
      </c>
      <c r="BD46" s="46">
        <v>2</v>
      </c>
      <c r="BE46" s="46">
        <v>2</v>
      </c>
      <c r="BF46" s="46">
        <v>2</v>
      </c>
      <c r="BG46" s="46">
        <v>2</v>
      </c>
      <c r="BH46" s="46">
        <v>2</v>
      </c>
      <c r="BI46" s="46">
        <v>2</v>
      </c>
      <c r="BJ46" s="46">
        <v>2</v>
      </c>
      <c r="BK46" s="46">
        <v>2</v>
      </c>
      <c r="BL46" s="46">
        <v>2</v>
      </c>
      <c r="BM46" s="46">
        <v>1</v>
      </c>
      <c r="BN46" s="46">
        <v>2</v>
      </c>
      <c r="BO46" s="46">
        <v>1</v>
      </c>
      <c r="BP46" s="46">
        <v>2</v>
      </c>
      <c r="BQ46" s="46">
        <v>2</v>
      </c>
      <c r="BR46" s="46">
        <v>2</v>
      </c>
      <c r="BS46" s="46">
        <v>2</v>
      </c>
      <c r="BT46" s="46">
        <v>1</v>
      </c>
      <c r="BU46" s="46">
        <v>2</v>
      </c>
      <c r="BV46" s="46">
        <v>1</v>
      </c>
      <c r="BW46" s="46">
        <v>1</v>
      </c>
      <c r="BX46" s="46">
        <v>2</v>
      </c>
      <c r="BY46" s="46">
        <v>2</v>
      </c>
      <c r="BZ46" s="46">
        <v>1</v>
      </c>
      <c r="CA46" s="46">
        <v>2</v>
      </c>
      <c r="CB46" s="46">
        <v>2</v>
      </c>
      <c r="CC46" s="46">
        <v>2</v>
      </c>
      <c r="CD46" s="46">
        <v>2</v>
      </c>
      <c r="CE46" s="46">
        <v>1</v>
      </c>
      <c r="CF46" s="46">
        <v>2</v>
      </c>
      <c r="CG46" s="46">
        <v>1</v>
      </c>
      <c r="CH46" s="46">
        <v>2</v>
      </c>
      <c r="CI46" s="46">
        <v>2</v>
      </c>
      <c r="CJ46" s="46">
        <v>2</v>
      </c>
      <c r="CK46" s="46">
        <v>1</v>
      </c>
      <c r="CL46" s="46">
        <v>2</v>
      </c>
      <c r="CM46" s="46">
        <v>2</v>
      </c>
      <c r="CN46" s="46">
        <v>1</v>
      </c>
      <c r="CO46" s="46">
        <v>2</v>
      </c>
      <c r="CP46" s="46">
        <v>2</v>
      </c>
      <c r="CQ46" s="46">
        <v>2</v>
      </c>
      <c r="CR46" s="46">
        <v>2</v>
      </c>
      <c r="CS46" s="46">
        <v>1</v>
      </c>
      <c r="CT46" s="46">
        <v>2</v>
      </c>
      <c r="CU46" s="46">
        <v>2</v>
      </c>
      <c r="CV46" s="46">
        <v>1</v>
      </c>
      <c r="CW46" s="46">
        <v>2</v>
      </c>
      <c r="CX46" s="46">
        <v>1</v>
      </c>
      <c r="CY46" s="46">
        <v>2</v>
      </c>
      <c r="CZ46" s="46">
        <v>2</v>
      </c>
      <c r="DA46" s="46">
        <v>2</v>
      </c>
      <c r="DB46" s="46">
        <v>2</v>
      </c>
      <c r="DC46" s="46">
        <v>2</v>
      </c>
      <c r="DD46" s="46">
        <v>1</v>
      </c>
      <c r="DE46" s="46">
        <v>1</v>
      </c>
      <c r="DF46" s="46">
        <v>2</v>
      </c>
      <c r="DG46" s="46">
        <v>2</v>
      </c>
      <c r="DH46" s="46">
        <v>2</v>
      </c>
      <c r="DI46" s="46">
        <v>1</v>
      </c>
      <c r="DJ46" s="46">
        <v>2</v>
      </c>
      <c r="DK46" s="46">
        <v>2</v>
      </c>
      <c r="DL46" s="46">
        <v>2</v>
      </c>
      <c r="DM46" s="46">
        <v>2</v>
      </c>
      <c r="DN46" s="46">
        <v>2</v>
      </c>
      <c r="DO46" s="46">
        <v>1</v>
      </c>
      <c r="DP46" s="46">
        <v>2</v>
      </c>
      <c r="DQ46" s="46">
        <v>1</v>
      </c>
      <c r="DR46" s="46">
        <v>2</v>
      </c>
      <c r="DS46" s="46">
        <v>2</v>
      </c>
      <c r="DT46" s="46">
        <v>2</v>
      </c>
      <c r="DU46" s="46">
        <v>2</v>
      </c>
      <c r="DV46" s="46">
        <v>2</v>
      </c>
      <c r="DW46" s="46">
        <v>2</v>
      </c>
      <c r="DX46" s="46">
        <v>2</v>
      </c>
      <c r="DY46" s="46">
        <v>1</v>
      </c>
      <c r="DZ46" s="46">
        <v>2</v>
      </c>
      <c r="EA46" s="46">
        <v>2</v>
      </c>
      <c r="EB46" s="46">
        <v>2</v>
      </c>
      <c r="EC46" s="46">
        <v>1</v>
      </c>
      <c r="ED46" s="46">
        <v>1</v>
      </c>
      <c r="EE46" s="46">
        <v>1</v>
      </c>
      <c r="EF46" s="46">
        <v>1</v>
      </c>
      <c r="EG46" s="46">
        <v>2</v>
      </c>
      <c r="EH46" s="46">
        <v>2</v>
      </c>
      <c r="EI46" s="46">
        <v>2</v>
      </c>
      <c r="EJ46" s="46">
        <v>2</v>
      </c>
      <c r="EK46" s="46">
        <v>2</v>
      </c>
      <c r="EL46" s="46">
        <v>2</v>
      </c>
      <c r="EM46" s="46">
        <v>2</v>
      </c>
      <c r="EN46" s="46">
        <v>1</v>
      </c>
      <c r="EO46" s="46">
        <v>1</v>
      </c>
      <c r="EP46" s="46">
        <v>2</v>
      </c>
      <c r="EQ46" s="46">
        <v>2</v>
      </c>
      <c r="ER46" s="46">
        <v>2</v>
      </c>
      <c r="ES46" s="46">
        <v>2</v>
      </c>
      <c r="ET46" s="46">
        <v>2</v>
      </c>
      <c r="EU46" s="46">
        <v>2</v>
      </c>
      <c r="EV46" s="46">
        <v>2</v>
      </c>
      <c r="EW46" s="46">
        <v>2</v>
      </c>
      <c r="EX46" s="46">
        <v>2</v>
      </c>
      <c r="EY46" s="46">
        <v>2</v>
      </c>
      <c r="EZ46" s="46">
        <v>2</v>
      </c>
      <c r="FA46" s="46">
        <v>2</v>
      </c>
      <c r="FB46" s="46">
        <v>2</v>
      </c>
      <c r="FC46" s="46">
        <v>2</v>
      </c>
      <c r="FD46" s="46">
        <v>2</v>
      </c>
      <c r="FE46" s="46">
        <v>2</v>
      </c>
      <c r="FF46" s="46">
        <v>2</v>
      </c>
      <c r="FG46" s="46">
        <v>1</v>
      </c>
      <c r="FH46" s="46">
        <v>2</v>
      </c>
    </row>
    <row r="47" spans="1:164" s="31" customFormat="1" x14ac:dyDescent="0.2">
      <c r="A47" s="44" t="s">
        <v>310</v>
      </c>
      <c r="B47" s="30" t="s">
        <v>265</v>
      </c>
      <c r="C47" s="30" t="s">
        <v>293</v>
      </c>
      <c r="D47" s="35" t="s">
        <v>253</v>
      </c>
      <c r="E47" s="46">
        <v>1</v>
      </c>
      <c r="F47" s="46">
        <v>1</v>
      </c>
      <c r="G47" s="46">
        <v>2</v>
      </c>
      <c r="H47" s="30">
        <v>1</v>
      </c>
      <c r="I47" s="30">
        <v>1</v>
      </c>
      <c r="J47" s="30">
        <v>1</v>
      </c>
      <c r="K47" s="46">
        <v>2</v>
      </c>
      <c r="L47" s="46">
        <v>1</v>
      </c>
      <c r="M47" s="46">
        <v>1</v>
      </c>
      <c r="N47" s="46">
        <v>1</v>
      </c>
      <c r="O47" s="46">
        <v>1</v>
      </c>
      <c r="P47" s="46">
        <v>1</v>
      </c>
      <c r="Q47" s="46">
        <v>1</v>
      </c>
      <c r="R47" s="46">
        <v>1</v>
      </c>
      <c r="S47" s="46">
        <v>1</v>
      </c>
      <c r="T47" s="46">
        <v>2</v>
      </c>
      <c r="U47" s="46">
        <v>1</v>
      </c>
      <c r="V47" s="46">
        <v>1</v>
      </c>
      <c r="W47" s="46">
        <v>2</v>
      </c>
      <c r="X47" s="46">
        <v>1</v>
      </c>
      <c r="Y47" s="46">
        <v>1</v>
      </c>
      <c r="Z47" s="46">
        <v>1</v>
      </c>
      <c r="AA47" s="46">
        <v>1</v>
      </c>
      <c r="AB47" s="46">
        <v>2</v>
      </c>
      <c r="AC47" s="46">
        <v>1</v>
      </c>
      <c r="AD47" s="46">
        <v>2</v>
      </c>
      <c r="AE47" s="46">
        <v>1</v>
      </c>
      <c r="AF47" s="46">
        <v>2</v>
      </c>
      <c r="AG47" s="46">
        <v>2</v>
      </c>
      <c r="AH47" s="46">
        <v>2</v>
      </c>
      <c r="AI47" s="46">
        <v>1</v>
      </c>
      <c r="AJ47" s="46">
        <v>2</v>
      </c>
      <c r="AK47" s="46">
        <v>2</v>
      </c>
      <c r="AL47" s="46">
        <v>1</v>
      </c>
      <c r="AM47" s="46">
        <v>1</v>
      </c>
      <c r="AN47" s="46">
        <v>2</v>
      </c>
      <c r="AO47" s="46">
        <v>1</v>
      </c>
      <c r="AP47" s="46">
        <v>1</v>
      </c>
      <c r="AQ47" s="46">
        <v>1</v>
      </c>
      <c r="AR47" s="46">
        <v>2</v>
      </c>
      <c r="AS47" s="46">
        <v>2</v>
      </c>
      <c r="AT47" s="46">
        <v>1</v>
      </c>
      <c r="AU47" s="46">
        <v>1</v>
      </c>
      <c r="AV47" s="46">
        <v>2</v>
      </c>
      <c r="AW47" s="46">
        <v>1</v>
      </c>
      <c r="AX47" s="46">
        <v>1</v>
      </c>
      <c r="AY47" s="46">
        <v>2</v>
      </c>
      <c r="AZ47" s="46">
        <v>1</v>
      </c>
      <c r="BA47" s="46">
        <v>1</v>
      </c>
      <c r="BB47" s="46">
        <v>1</v>
      </c>
      <c r="BC47" s="46">
        <v>1</v>
      </c>
      <c r="BD47" s="46">
        <v>2</v>
      </c>
      <c r="BE47" s="46">
        <v>2</v>
      </c>
      <c r="BF47" s="46">
        <v>2</v>
      </c>
      <c r="BG47" s="46">
        <v>1</v>
      </c>
      <c r="BH47" s="46">
        <v>2</v>
      </c>
      <c r="BI47" s="46">
        <v>2</v>
      </c>
      <c r="BJ47" s="46">
        <v>2</v>
      </c>
      <c r="BK47" s="46">
        <v>2</v>
      </c>
      <c r="BL47" s="46">
        <v>1</v>
      </c>
      <c r="BM47" s="46">
        <v>2</v>
      </c>
      <c r="BN47" s="46">
        <v>2</v>
      </c>
      <c r="BO47" s="46">
        <v>1</v>
      </c>
      <c r="BP47" s="46">
        <v>1</v>
      </c>
      <c r="BQ47" s="46">
        <v>2</v>
      </c>
      <c r="BR47" s="46">
        <v>1</v>
      </c>
      <c r="BS47" s="46">
        <v>2</v>
      </c>
      <c r="BT47" s="46">
        <v>2</v>
      </c>
      <c r="BU47" s="46">
        <v>2</v>
      </c>
      <c r="BV47" s="46">
        <v>2</v>
      </c>
      <c r="BW47" s="46">
        <v>1</v>
      </c>
      <c r="BX47" s="46">
        <v>1</v>
      </c>
      <c r="BY47" s="46">
        <v>1</v>
      </c>
      <c r="BZ47" s="46">
        <v>2</v>
      </c>
      <c r="CA47" s="46">
        <v>2</v>
      </c>
      <c r="CB47" s="46">
        <v>2</v>
      </c>
      <c r="CC47" s="46">
        <v>1</v>
      </c>
      <c r="CD47" s="46">
        <v>2</v>
      </c>
      <c r="CE47" s="46">
        <v>2</v>
      </c>
      <c r="CF47" s="46">
        <v>1</v>
      </c>
      <c r="CG47" s="46">
        <v>1</v>
      </c>
      <c r="CH47" s="46">
        <v>2</v>
      </c>
      <c r="CI47" s="46">
        <v>1</v>
      </c>
      <c r="CJ47" s="46">
        <v>2</v>
      </c>
      <c r="CK47" s="46">
        <v>1</v>
      </c>
      <c r="CL47" s="46">
        <v>1</v>
      </c>
      <c r="CM47" s="46">
        <v>1</v>
      </c>
      <c r="CN47" s="46">
        <v>2</v>
      </c>
      <c r="CO47" s="46">
        <v>1</v>
      </c>
      <c r="CP47" s="46">
        <v>2</v>
      </c>
      <c r="CQ47" s="46">
        <v>2</v>
      </c>
      <c r="CR47" s="46">
        <v>2</v>
      </c>
      <c r="CS47" s="46">
        <v>1</v>
      </c>
      <c r="CT47" s="46">
        <v>1</v>
      </c>
      <c r="CU47" s="46">
        <v>2</v>
      </c>
      <c r="CV47" s="46">
        <v>1</v>
      </c>
      <c r="CW47" s="46">
        <v>2</v>
      </c>
      <c r="CX47" s="46">
        <v>2</v>
      </c>
      <c r="CY47" s="46">
        <v>2</v>
      </c>
      <c r="CZ47" s="46">
        <v>2</v>
      </c>
      <c r="DA47" s="46">
        <v>2</v>
      </c>
      <c r="DB47" s="46">
        <v>2</v>
      </c>
      <c r="DC47" s="46">
        <v>2</v>
      </c>
      <c r="DD47" s="46">
        <v>2</v>
      </c>
      <c r="DE47" s="46">
        <v>2</v>
      </c>
      <c r="DF47" s="46">
        <v>1</v>
      </c>
      <c r="DG47" s="46">
        <v>2</v>
      </c>
      <c r="DH47" s="46">
        <v>1</v>
      </c>
      <c r="DI47" s="46">
        <v>2</v>
      </c>
      <c r="DJ47" s="46">
        <v>1</v>
      </c>
      <c r="DK47" s="46">
        <v>2</v>
      </c>
      <c r="DL47" s="46">
        <v>2</v>
      </c>
      <c r="DM47" s="46">
        <v>2</v>
      </c>
      <c r="DN47" s="46">
        <v>2</v>
      </c>
      <c r="DO47" s="46">
        <v>1</v>
      </c>
      <c r="DP47" s="46">
        <v>1</v>
      </c>
      <c r="DQ47" s="46">
        <v>2</v>
      </c>
      <c r="DR47" s="46">
        <v>1</v>
      </c>
      <c r="DS47" s="46">
        <v>1</v>
      </c>
      <c r="DT47" s="46">
        <v>1</v>
      </c>
      <c r="DU47" s="46">
        <v>1</v>
      </c>
      <c r="DV47" s="46">
        <v>1</v>
      </c>
      <c r="DW47" s="46">
        <v>2</v>
      </c>
      <c r="DX47" s="46">
        <v>2</v>
      </c>
      <c r="DY47" s="46">
        <v>2</v>
      </c>
      <c r="DZ47" s="46">
        <v>2</v>
      </c>
      <c r="EA47" s="46">
        <v>2</v>
      </c>
      <c r="EB47" s="46">
        <v>2</v>
      </c>
      <c r="EC47" s="46">
        <v>1</v>
      </c>
      <c r="ED47" s="46">
        <v>2</v>
      </c>
      <c r="EE47" s="46">
        <v>1</v>
      </c>
      <c r="EF47" s="46">
        <v>1</v>
      </c>
      <c r="EG47" s="46">
        <v>2</v>
      </c>
      <c r="EH47" s="46">
        <v>2</v>
      </c>
      <c r="EI47" s="46">
        <v>2</v>
      </c>
      <c r="EJ47" s="46">
        <v>1</v>
      </c>
      <c r="EK47" s="46">
        <v>1</v>
      </c>
      <c r="EL47" s="46">
        <v>2</v>
      </c>
      <c r="EM47" s="46">
        <v>2</v>
      </c>
      <c r="EN47" s="46">
        <v>1</v>
      </c>
      <c r="EO47" s="46">
        <v>2</v>
      </c>
      <c r="EP47" s="46">
        <v>1</v>
      </c>
      <c r="EQ47" s="46">
        <v>2</v>
      </c>
      <c r="ER47" s="46">
        <v>2</v>
      </c>
      <c r="ES47" s="46">
        <v>1</v>
      </c>
      <c r="ET47" s="46">
        <v>2</v>
      </c>
      <c r="EU47" s="46">
        <v>2</v>
      </c>
      <c r="EV47" s="46">
        <v>1</v>
      </c>
      <c r="EW47" s="46">
        <v>2</v>
      </c>
      <c r="EX47" s="46">
        <v>2</v>
      </c>
      <c r="EY47" s="46">
        <v>2</v>
      </c>
      <c r="EZ47" s="46">
        <v>1</v>
      </c>
      <c r="FA47" s="46">
        <v>1</v>
      </c>
      <c r="FB47" s="46">
        <v>2</v>
      </c>
      <c r="FC47" s="46">
        <v>2</v>
      </c>
      <c r="FD47" s="46">
        <v>2</v>
      </c>
      <c r="FE47" s="46">
        <v>2</v>
      </c>
      <c r="FF47" s="46">
        <v>2</v>
      </c>
      <c r="FG47" s="46">
        <v>1</v>
      </c>
      <c r="FH47" s="46">
        <v>1</v>
      </c>
    </row>
    <row r="48" spans="1:164" s="31" customFormat="1" x14ac:dyDescent="0.2">
      <c r="A48" s="44" t="s">
        <v>311</v>
      </c>
      <c r="B48" s="30" t="s">
        <v>265</v>
      </c>
      <c r="C48" s="30" t="s">
        <v>293</v>
      </c>
      <c r="D48" s="35" t="s">
        <v>253</v>
      </c>
      <c r="E48" s="46">
        <v>1</v>
      </c>
      <c r="F48" s="46">
        <v>1</v>
      </c>
      <c r="G48" s="46">
        <v>2</v>
      </c>
      <c r="H48" s="30">
        <v>2</v>
      </c>
      <c r="I48" s="30">
        <v>2</v>
      </c>
      <c r="J48" s="30">
        <v>1</v>
      </c>
      <c r="K48" s="46">
        <v>2</v>
      </c>
      <c r="L48" s="46">
        <v>2</v>
      </c>
      <c r="M48" s="46">
        <v>1</v>
      </c>
      <c r="N48" s="46">
        <v>2</v>
      </c>
      <c r="O48" s="46">
        <v>1</v>
      </c>
      <c r="P48" s="46">
        <v>1</v>
      </c>
      <c r="Q48" s="46">
        <v>2</v>
      </c>
      <c r="R48" s="46">
        <v>1</v>
      </c>
      <c r="S48" s="46">
        <v>2</v>
      </c>
      <c r="T48" s="46">
        <v>2</v>
      </c>
      <c r="U48" s="46">
        <v>1</v>
      </c>
      <c r="V48" s="46">
        <v>2</v>
      </c>
      <c r="W48" s="46">
        <v>1</v>
      </c>
      <c r="X48" s="46">
        <v>1</v>
      </c>
      <c r="Y48" s="46">
        <v>1</v>
      </c>
      <c r="Z48" s="46">
        <v>2</v>
      </c>
      <c r="AA48" s="46">
        <v>1</v>
      </c>
      <c r="AB48" s="46">
        <v>1</v>
      </c>
      <c r="AC48" s="46">
        <v>0</v>
      </c>
      <c r="AD48" s="46">
        <v>1</v>
      </c>
      <c r="AE48" s="46">
        <v>2</v>
      </c>
      <c r="AF48" s="46">
        <v>2</v>
      </c>
      <c r="AG48" s="46">
        <v>1</v>
      </c>
      <c r="AH48" s="46">
        <v>1</v>
      </c>
      <c r="AI48" s="46">
        <v>2</v>
      </c>
      <c r="AJ48" s="46">
        <v>1</v>
      </c>
      <c r="AK48" s="46">
        <v>2</v>
      </c>
      <c r="AL48" s="46">
        <v>2</v>
      </c>
      <c r="AM48" s="46">
        <v>1</v>
      </c>
      <c r="AN48" s="46">
        <v>1</v>
      </c>
      <c r="AO48" s="46">
        <v>2</v>
      </c>
      <c r="AP48" s="46">
        <v>1</v>
      </c>
      <c r="AQ48" s="46">
        <v>1</v>
      </c>
      <c r="AR48" s="46">
        <v>0</v>
      </c>
      <c r="AS48" s="46">
        <v>1</v>
      </c>
      <c r="AT48" s="46">
        <v>1</v>
      </c>
      <c r="AU48" s="46">
        <v>1</v>
      </c>
      <c r="AV48" s="46">
        <v>2</v>
      </c>
      <c r="AW48" s="46">
        <v>1</v>
      </c>
      <c r="AX48" s="46">
        <v>2</v>
      </c>
      <c r="AY48" s="46">
        <v>1</v>
      </c>
      <c r="AZ48" s="46">
        <v>1</v>
      </c>
      <c r="BA48" s="46">
        <v>1</v>
      </c>
      <c r="BB48" s="46">
        <v>2</v>
      </c>
      <c r="BC48" s="46">
        <v>1</v>
      </c>
      <c r="BD48" s="46">
        <v>2</v>
      </c>
      <c r="BE48" s="46">
        <v>1</v>
      </c>
      <c r="BF48" s="46">
        <v>2</v>
      </c>
      <c r="BG48" s="46">
        <v>1</v>
      </c>
      <c r="BH48" s="46">
        <v>1</v>
      </c>
      <c r="BI48" s="46">
        <v>2</v>
      </c>
      <c r="BJ48" s="46">
        <v>1</v>
      </c>
      <c r="BK48" s="46">
        <v>2</v>
      </c>
      <c r="BL48" s="46">
        <v>1</v>
      </c>
      <c r="BM48" s="46">
        <v>1</v>
      </c>
      <c r="BN48" s="46">
        <v>2</v>
      </c>
      <c r="BO48" s="46">
        <v>2</v>
      </c>
      <c r="BP48" s="46">
        <v>2</v>
      </c>
      <c r="BQ48" s="46">
        <v>1</v>
      </c>
      <c r="BR48" s="46">
        <v>1</v>
      </c>
      <c r="BS48" s="46">
        <v>1</v>
      </c>
      <c r="BT48" s="46">
        <v>1</v>
      </c>
      <c r="BU48" s="46">
        <v>2</v>
      </c>
      <c r="BV48" s="46">
        <v>0</v>
      </c>
      <c r="BW48" s="46">
        <v>1</v>
      </c>
      <c r="BX48" s="46">
        <v>1</v>
      </c>
      <c r="BY48" s="46">
        <v>1</v>
      </c>
      <c r="BZ48" s="46">
        <v>1</v>
      </c>
      <c r="CA48" s="46">
        <v>2</v>
      </c>
      <c r="CB48" s="46">
        <v>2</v>
      </c>
      <c r="CC48" s="46">
        <v>1</v>
      </c>
      <c r="CD48" s="46">
        <v>2</v>
      </c>
      <c r="CE48" s="46">
        <v>1</v>
      </c>
      <c r="CF48" s="46">
        <v>1</v>
      </c>
      <c r="CG48" s="46">
        <v>1</v>
      </c>
      <c r="CH48" s="46">
        <v>2</v>
      </c>
      <c r="CI48" s="46">
        <v>1</v>
      </c>
      <c r="CJ48" s="46">
        <v>1</v>
      </c>
      <c r="CK48" s="46">
        <v>2</v>
      </c>
      <c r="CL48" s="46">
        <v>1</v>
      </c>
      <c r="CM48" s="46">
        <v>1</v>
      </c>
      <c r="CN48" s="46">
        <v>2</v>
      </c>
      <c r="CO48" s="46">
        <v>1</v>
      </c>
      <c r="CP48" s="46">
        <v>1</v>
      </c>
      <c r="CQ48" s="46">
        <v>1</v>
      </c>
      <c r="CR48" s="46">
        <v>2</v>
      </c>
      <c r="CS48" s="46">
        <v>1</v>
      </c>
      <c r="CT48" s="46">
        <v>2</v>
      </c>
      <c r="CU48" s="46">
        <v>1</v>
      </c>
      <c r="CV48" s="46">
        <v>1</v>
      </c>
      <c r="CW48" s="46">
        <v>1</v>
      </c>
      <c r="CX48" s="46">
        <v>1</v>
      </c>
      <c r="CY48" s="46">
        <v>1</v>
      </c>
      <c r="CZ48" s="46">
        <v>1</v>
      </c>
      <c r="DA48" s="46">
        <v>2</v>
      </c>
      <c r="DB48" s="46">
        <v>1</v>
      </c>
      <c r="DC48" s="46">
        <v>1</v>
      </c>
      <c r="DD48" s="46">
        <v>2</v>
      </c>
      <c r="DE48" s="46">
        <v>1</v>
      </c>
      <c r="DF48" s="46">
        <v>1</v>
      </c>
      <c r="DG48" s="46">
        <v>1</v>
      </c>
      <c r="DH48" s="46">
        <v>2</v>
      </c>
      <c r="DI48" s="46">
        <v>1</v>
      </c>
      <c r="DJ48" s="46">
        <v>1</v>
      </c>
      <c r="DK48" s="46">
        <v>1</v>
      </c>
      <c r="DL48" s="46">
        <v>1</v>
      </c>
      <c r="DM48" s="46">
        <v>2</v>
      </c>
      <c r="DN48" s="46">
        <v>1</v>
      </c>
      <c r="DO48" s="46">
        <v>2</v>
      </c>
      <c r="DP48" s="46">
        <v>1</v>
      </c>
      <c r="DQ48" s="46">
        <v>2</v>
      </c>
      <c r="DR48" s="46">
        <v>1</v>
      </c>
      <c r="DS48" s="46">
        <v>2</v>
      </c>
      <c r="DT48" s="46">
        <v>1</v>
      </c>
      <c r="DU48" s="46">
        <v>1</v>
      </c>
      <c r="DV48" s="46">
        <v>2</v>
      </c>
      <c r="DW48" s="46">
        <v>1</v>
      </c>
      <c r="DX48" s="46">
        <v>1</v>
      </c>
      <c r="DY48" s="46">
        <v>1</v>
      </c>
      <c r="DZ48" s="46">
        <v>2</v>
      </c>
      <c r="EA48" s="46">
        <v>1</v>
      </c>
      <c r="EB48" s="46">
        <v>2</v>
      </c>
      <c r="EC48" s="46">
        <v>1</v>
      </c>
      <c r="ED48" s="46">
        <v>1</v>
      </c>
      <c r="EE48" s="46">
        <v>2</v>
      </c>
      <c r="EF48" s="46">
        <v>1</v>
      </c>
      <c r="EG48" s="46">
        <v>1</v>
      </c>
      <c r="EH48" s="46">
        <v>2</v>
      </c>
      <c r="EI48" s="46">
        <v>2</v>
      </c>
      <c r="EJ48" s="46">
        <v>1</v>
      </c>
      <c r="EK48" s="46">
        <v>1</v>
      </c>
      <c r="EL48" s="46">
        <v>1</v>
      </c>
      <c r="EM48" s="46">
        <v>2</v>
      </c>
      <c r="EN48" s="46">
        <v>1</v>
      </c>
      <c r="EO48" s="46">
        <v>1</v>
      </c>
      <c r="EP48" s="46">
        <v>1</v>
      </c>
      <c r="EQ48" s="46">
        <v>2</v>
      </c>
      <c r="ER48" s="46">
        <v>1</v>
      </c>
      <c r="ES48" s="46">
        <v>1</v>
      </c>
      <c r="ET48" s="46">
        <v>1</v>
      </c>
      <c r="EU48" s="46">
        <v>1</v>
      </c>
      <c r="EV48" s="46">
        <v>2</v>
      </c>
      <c r="EW48" s="46">
        <v>1</v>
      </c>
      <c r="EX48" s="46">
        <v>1</v>
      </c>
      <c r="EY48" s="46">
        <v>1</v>
      </c>
      <c r="EZ48" s="46">
        <v>1</v>
      </c>
      <c r="FA48" s="46">
        <v>1</v>
      </c>
      <c r="FB48" s="46">
        <v>2</v>
      </c>
      <c r="FC48" s="46">
        <v>1</v>
      </c>
      <c r="FD48" s="46">
        <v>1</v>
      </c>
      <c r="FE48" s="46">
        <v>2</v>
      </c>
      <c r="FF48" s="46">
        <v>1</v>
      </c>
      <c r="FG48" s="46">
        <v>1</v>
      </c>
      <c r="FH48" s="46">
        <v>1</v>
      </c>
    </row>
    <row r="49" spans="1:164" s="31" customFormat="1" x14ac:dyDescent="0.2">
      <c r="A49" s="44" t="s">
        <v>313</v>
      </c>
      <c r="B49" s="30" t="s">
        <v>264</v>
      </c>
      <c r="C49" s="30" t="s">
        <v>293</v>
      </c>
      <c r="D49" s="35" t="s">
        <v>254</v>
      </c>
      <c r="E49" s="46">
        <v>1</v>
      </c>
      <c r="F49" s="46">
        <v>1</v>
      </c>
      <c r="G49" s="46">
        <v>2</v>
      </c>
      <c r="H49" s="30">
        <v>2</v>
      </c>
      <c r="I49" s="30">
        <v>1</v>
      </c>
      <c r="J49" s="30">
        <v>1</v>
      </c>
      <c r="K49" s="46">
        <v>1</v>
      </c>
      <c r="L49" s="46">
        <v>1</v>
      </c>
      <c r="M49" s="46">
        <v>1</v>
      </c>
      <c r="N49" s="46">
        <v>1</v>
      </c>
      <c r="O49" s="46">
        <v>1</v>
      </c>
      <c r="P49" s="46">
        <v>1</v>
      </c>
      <c r="Q49" s="46">
        <v>1</v>
      </c>
      <c r="R49" s="46">
        <v>1</v>
      </c>
      <c r="S49" s="46">
        <v>2</v>
      </c>
      <c r="T49" s="46">
        <v>2</v>
      </c>
      <c r="U49" s="46">
        <v>1</v>
      </c>
      <c r="V49" s="46">
        <v>1</v>
      </c>
      <c r="W49" s="46">
        <v>1</v>
      </c>
      <c r="X49" s="46">
        <v>1</v>
      </c>
      <c r="Y49" s="46">
        <v>2</v>
      </c>
      <c r="Z49" s="46">
        <v>1</v>
      </c>
      <c r="AA49" s="46">
        <v>1</v>
      </c>
      <c r="AB49" s="46">
        <v>2</v>
      </c>
      <c r="AC49" s="46">
        <v>2</v>
      </c>
      <c r="AD49" s="46">
        <v>1</v>
      </c>
      <c r="AE49" s="46">
        <v>1</v>
      </c>
      <c r="AF49" s="46">
        <v>1</v>
      </c>
      <c r="AG49" s="46">
        <v>1</v>
      </c>
      <c r="AH49" s="46">
        <v>2</v>
      </c>
      <c r="AI49" s="46">
        <v>1</v>
      </c>
      <c r="AJ49" s="46">
        <v>1</v>
      </c>
      <c r="AK49" s="46">
        <v>1</v>
      </c>
      <c r="AL49" s="46">
        <v>1</v>
      </c>
      <c r="AM49" s="46">
        <v>1</v>
      </c>
      <c r="AN49" s="46">
        <v>1</v>
      </c>
      <c r="AO49" s="46">
        <v>2</v>
      </c>
      <c r="AP49" s="46">
        <v>1</v>
      </c>
      <c r="AQ49" s="46">
        <v>1</v>
      </c>
      <c r="AR49" s="46">
        <v>2</v>
      </c>
      <c r="AS49" s="46">
        <v>1</v>
      </c>
      <c r="AT49" s="46">
        <v>1</v>
      </c>
      <c r="AU49" s="46">
        <v>1</v>
      </c>
      <c r="AV49" s="46">
        <v>1</v>
      </c>
      <c r="AW49" s="46">
        <v>1</v>
      </c>
      <c r="AX49" s="46">
        <v>1</v>
      </c>
      <c r="AY49" s="46">
        <v>2</v>
      </c>
      <c r="AZ49" s="46">
        <v>1</v>
      </c>
      <c r="BA49" s="46">
        <v>1</v>
      </c>
      <c r="BB49" s="46">
        <v>1</v>
      </c>
      <c r="BC49" s="46">
        <v>1</v>
      </c>
      <c r="BD49" s="46">
        <v>2</v>
      </c>
      <c r="BE49" s="46">
        <v>2</v>
      </c>
      <c r="BF49" s="46">
        <v>2</v>
      </c>
      <c r="BG49" s="46">
        <v>2</v>
      </c>
      <c r="BH49" s="46">
        <v>2</v>
      </c>
      <c r="BI49" s="46">
        <v>2</v>
      </c>
      <c r="BJ49" s="46">
        <v>2</v>
      </c>
      <c r="BK49" s="46">
        <v>2</v>
      </c>
      <c r="BL49" s="46">
        <v>2</v>
      </c>
      <c r="BM49" s="46">
        <v>1</v>
      </c>
      <c r="BN49" s="46">
        <v>2</v>
      </c>
      <c r="BO49" s="46">
        <v>1</v>
      </c>
      <c r="BP49" s="46">
        <v>1</v>
      </c>
      <c r="BQ49" s="46">
        <v>2</v>
      </c>
      <c r="BR49" s="46">
        <v>1</v>
      </c>
      <c r="BS49" s="46">
        <v>1</v>
      </c>
      <c r="BT49" s="46">
        <v>2</v>
      </c>
      <c r="BU49" s="46">
        <v>1</v>
      </c>
      <c r="BV49" s="46">
        <v>2</v>
      </c>
      <c r="BW49" s="46">
        <v>1</v>
      </c>
      <c r="BX49" s="46">
        <v>1</v>
      </c>
      <c r="BY49" s="46">
        <v>2</v>
      </c>
      <c r="BZ49" s="46">
        <v>2</v>
      </c>
      <c r="CA49" s="46">
        <v>2</v>
      </c>
      <c r="CB49" s="46">
        <v>2</v>
      </c>
      <c r="CC49" s="46">
        <v>1</v>
      </c>
      <c r="CD49" s="46">
        <v>2</v>
      </c>
      <c r="CE49" s="46">
        <v>1</v>
      </c>
      <c r="CF49" s="46">
        <v>1</v>
      </c>
      <c r="CG49" s="46">
        <v>1</v>
      </c>
      <c r="CH49" s="46">
        <v>2</v>
      </c>
      <c r="CI49" s="46">
        <v>1</v>
      </c>
      <c r="CJ49" s="46">
        <v>1</v>
      </c>
      <c r="CK49" s="46">
        <v>2</v>
      </c>
      <c r="CL49" s="46">
        <v>2</v>
      </c>
      <c r="CM49" s="46">
        <v>2</v>
      </c>
      <c r="CN49" s="46">
        <v>2</v>
      </c>
      <c r="CO49" s="46">
        <v>1</v>
      </c>
      <c r="CP49" s="46">
        <v>2</v>
      </c>
      <c r="CQ49" s="46">
        <v>2</v>
      </c>
      <c r="CR49" s="46">
        <v>2</v>
      </c>
      <c r="CS49" s="46">
        <v>1</v>
      </c>
      <c r="CT49" s="46">
        <v>2</v>
      </c>
      <c r="CU49" s="46">
        <v>2</v>
      </c>
      <c r="CV49" s="46">
        <v>1</v>
      </c>
      <c r="CW49" s="46">
        <v>2</v>
      </c>
      <c r="CX49" s="46">
        <v>1</v>
      </c>
      <c r="CY49" s="46">
        <v>1</v>
      </c>
      <c r="CZ49" s="46">
        <v>1</v>
      </c>
      <c r="DA49" s="46">
        <v>2</v>
      </c>
      <c r="DB49" s="46">
        <v>2</v>
      </c>
      <c r="DC49" s="46">
        <v>2</v>
      </c>
      <c r="DD49" s="46">
        <v>1</v>
      </c>
      <c r="DE49" s="46">
        <v>2</v>
      </c>
      <c r="DF49" s="46">
        <v>1</v>
      </c>
      <c r="DG49" s="46">
        <v>2</v>
      </c>
      <c r="DH49" s="46">
        <v>1</v>
      </c>
      <c r="DI49" s="46">
        <v>1</v>
      </c>
      <c r="DJ49" s="46">
        <v>1</v>
      </c>
      <c r="DK49" s="46">
        <v>2</v>
      </c>
      <c r="DL49" s="46">
        <v>2</v>
      </c>
      <c r="DM49" s="46">
        <v>2</v>
      </c>
      <c r="DN49" s="46">
        <v>2</v>
      </c>
      <c r="DO49" s="46">
        <v>1</v>
      </c>
      <c r="DP49" s="46">
        <v>1</v>
      </c>
      <c r="DQ49" s="46">
        <v>2</v>
      </c>
      <c r="DR49" s="46">
        <v>1</v>
      </c>
      <c r="DS49" s="46">
        <v>2</v>
      </c>
      <c r="DT49" s="46">
        <v>2</v>
      </c>
      <c r="DU49" s="46">
        <v>2</v>
      </c>
      <c r="DV49" s="46">
        <v>1</v>
      </c>
      <c r="DW49" s="46">
        <v>1</v>
      </c>
      <c r="DX49" s="46">
        <v>2</v>
      </c>
      <c r="DY49" s="46">
        <v>1</v>
      </c>
      <c r="DZ49" s="46">
        <v>2</v>
      </c>
      <c r="EA49" s="46">
        <v>1</v>
      </c>
      <c r="EB49" s="46">
        <v>2</v>
      </c>
      <c r="EC49" s="46">
        <v>1</v>
      </c>
      <c r="ED49" s="46">
        <v>1</v>
      </c>
      <c r="EE49" s="46">
        <v>2</v>
      </c>
      <c r="EF49" s="46">
        <v>1</v>
      </c>
      <c r="EG49" s="46">
        <v>1</v>
      </c>
      <c r="EH49" s="46">
        <v>2</v>
      </c>
      <c r="EI49" s="46">
        <v>2</v>
      </c>
      <c r="EJ49" s="46">
        <v>1</v>
      </c>
      <c r="EK49" s="46">
        <v>2</v>
      </c>
      <c r="EL49" s="46">
        <v>2</v>
      </c>
      <c r="EM49" s="46">
        <v>2</v>
      </c>
      <c r="EN49" s="46">
        <v>1</v>
      </c>
      <c r="EO49" s="46">
        <v>1</v>
      </c>
      <c r="EP49" s="46">
        <v>1</v>
      </c>
      <c r="EQ49" s="46">
        <v>2</v>
      </c>
      <c r="ER49" s="46">
        <v>2</v>
      </c>
      <c r="ES49" s="46">
        <v>2</v>
      </c>
      <c r="ET49" s="46">
        <v>2</v>
      </c>
      <c r="EU49" s="46">
        <v>1</v>
      </c>
      <c r="EV49" s="46">
        <v>1</v>
      </c>
      <c r="EW49" s="46">
        <v>2</v>
      </c>
      <c r="EX49" s="46">
        <v>2</v>
      </c>
      <c r="EY49" s="46">
        <v>1</v>
      </c>
      <c r="EZ49" s="46">
        <v>2</v>
      </c>
      <c r="FA49" s="46">
        <v>1</v>
      </c>
      <c r="FB49" s="46">
        <v>1</v>
      </c>
      <c r="FC49" s="46">
        <v>2</v>
      </c>
      <c r="FD49" s="46">
        <v>2</v>
      </c>
      <c r="FE49" s="46">
        <v>2</v>
      </c>
      <c r="FF49" s="46">
        <v>1</v>
      </c>
      <c r="FG49" s="46">
        <v>1</v>
      </c>
      <c r="FH49" s="46">
        <v>1</v>
      </c>
    </row>
    <row r="50" spans="1:164" s="31" customFormat="1" x14ac:dyDescent="0.2">
      <c r="A50" s="44" t="s">
        <v>314</v>
      </c>
      <c r="B50" s="30" t="s">
        <v>265</v>
      </c>
      <c r="C50" s="30" t="s">
        <v>293</v>
      </c>
      <c r="D50" s="35" t="s">
        <v>253</v>
      </c>
      <c r="E50" s="46">
        <v>1</v>
      </c>
      <c r="F50" s="46">
        <v>1</v>
      </c>
      <c r="G50" s="46">
        <v>2</v>
      </c>
      <c r="H50" s="30">
        <v>1</v>
      </c>
      <c r="I50" s="30">
        <v>1</v>
      </c>
      <c r="J50" s="30">
        <v>1</v>
      </c>
      <c r="K50" s="46">
        <v>2</v>
      </c>
      <c r="L50" s="46">
        <v>1</v>
      </c>
      <c r="M50" s="46">
        <v>1</v>
      </c>
      <c r="N50" s="46">
        <v>1</v>
      </c>
      <c r="O50" s="46">
        <v>2</v>
      </c>
      <c r="P50" s="46">
        <v>1</v>
      </c>
      <c r="Q50" s="46">
        <v>1</v>
      </c>
      <c r="R50" s="46">
        <v>1</v>
      </c>
      <c r="S50" s="46">
        <v>2</v>
      </c>
      <c r="T50" s="46">
        <v>2</v>
      </c>
      <c r="U50" s="46">
        <v>1</v>
      </c>
      <c r="V50" s="46">
        <v>1</v>
      </c>
      <c r="W50" s="46">
        <v>2</v>
      </c>
      <c r="X50" s="46">
        <v>1</v>
      </c>
      <c r="Y50" s="46">
        <v>1</v>
      </c>
      <c r="Z50" s="46">
        <v>2</v>
      </c>
      <c r="AA50" s="46">
        <v>1</v>
      </c>
      <c r="AB50" s="46">
        <v>2</v>
      </c>
      <c r="AC50" s="46">
        <v>2</v>
      </c>
      <c r="AD50" s="46">
        <v>1</v>
      </c>
      <c r="AE50" s="46">
        <v>1</v>
      </c>
      <c r="AF50" s="46">
        <v>2</v>
      </c>
      <c r="AG50" s="46">
        <v>2</v>
      </c>
      <c r="AH50" s="46">
        <v>2</v>
      </c>
      <c r="AI50" s="46">
        <v>1</v>
      </c>
      <c r="AJ50" s="46">
        <v>1</v>
      </c>
      <c r="AK50" s="46">
        <v>1</v>
      </c>
      <c r="AL50" s="46">
        <v>2</v>
      </c>
      <c r="AM50" s="46">
        <v>1</v>
      </c>
      <c r="AN50" s="46">
        <v>1</v>
      </c>
      <c r="AO50" s="46">
        <v>2</v>
      </c>
      <c r="AP50" s="46">
        <v>2</v>
      </c>
      <c r="AQ50" s="46">
        <v>1</v>
      </c>
      <c r="AR50" s="46">
        <v>2</v>
      </c>
      <c r="AS50" s="46">
        <v>2</v>
      </c>
      <c r="AT50" s="46">
        <v>1</v>
      </c>
      <c r="AU50" s="46">
        <v>1</v>
      </c>
      <c r="AV50" s="46">
        <v>1</v>
      </c>
      <c r="AW50" s="46">
        <v>1</v>
      </c>
      <c r="AX50" s="46">
        <v>2</v>
      </c>
      <c r="AY50" s="46">
        <v>1</v>
      </c>
      <c r="AZ50" s="46">
        <v>2</v>
      </c>
      <c r="BA50" s="46">
        <v>2</v>
      </c>
      <c r="BB50" s="46">
        <v>1</v>
      </c>
      <c r="BC50" s="46">
        <v>1</v>
      </c>
      <c r="BD50" s="46">
        <v>2</v>
      </c>
      <c r="BE50" s="46">
        <v>2</v>
      </c>
      <c r="BF50" s="46">
        <v>1</v>
      </c>
      <c r="BG50" s="46">
        <v>2</v>
      </c>
      <c r="BH50" s="46">
        <v>2</v>
      </c>
      <c r="BI50" s="46">
        <v>2</v>
      </c>
      <c r="BJ50" s="46">
        <v>2</v>
      </c>
      <c r="BK50" s="46">
        <v>2</v>
      </c>
      <c r="BL50" s="46">
        <v>2</v>
      </c>
      <c r="BM50" s="46">
        <v>2</v>
      </c>
      <c r="BN50" s="46">
        <v>2</v>
      </c>
      <c r="BO50" s="46">
        <v>2</v>
      </c>
      <c r="BP50" s="46">
        <v>1</v>
      </c>
      <c r="BQ50" s="46">
        <v>2</v>
      </c>
      <c r="BR50" s="46">
        <v>1</v>
      </c>
      <c r="BS50" s="46">
        <v>1</v>
      </c>
      <c r="BT50" s="46">
        <v>2</v>
      </c>
      <c r="BU50" s="46">
        <v>1</v>
      </c>
      <c r="BV50" s="46">
        <v>1</v>
      </c>
      <c r="BW50" s="46">
        <v>1</v>
      </c>
      <c r="BX50" s="46">
        <v>1</v>
      </c>
      <c r="BY50" s="46">
        <v>2</v>
      </c>
      <c r="BZ50" s="46">
        <v>1</v>
      </c>
      <c r="CA50" s="46">
        <v>2</v>
      </c>
      <c r="CB50" s="46">
        <v>1</v>
      </c>
      <c r="CC50" s="46">
        <v>1</v>
      </c>
      <c r="CD50" s="46">
        <v>2</v>
      </c>
      <c r="CE50" s="46">
        <v>1</v>
      </c>
      <c r="CF50" s="46">
        <v>1</v>
      </c>
      <c r="CG50" s="46">
        <v>1</v>
      </c>
      <c r="CH50" s="46">
        <v>1</v>
      </c>
      <c r="CI50" s="46">
        <v>2</v>
      </c>
      <c r="CJ50" s="46">
        <v>1</v>
      </c>
      <c r="CK50" s="46">
        <v>1</v>
      </c>
      <c r="CL50" s="46">
        <v>1</v>
      </c>
      <c r="CM50" s="46">
        <v>1</v>
      </c>
      <c r="CN50" s="46">
        <v>2</v>
      </c>
      <c r="CO50" s="46">
        <v>1</v>
      </c>
      <c r="CP50" s="46">
        <v>2</v>
      </c>
      <c r="CQ50" s="46">
        <v>1</v>
      </c>
      <c r="CR50" s="46">
        <v>2</v>
      </c>
      <c r="CS50" s="46">
        <v>1</v>
      </c>
      <c r="CT50" s="46">
        <v>2</v>
      </c>
      <c r="CU50" s="46">
        <v>2</v>
      </c>
      <c r="CV50" s="46">
        <v>1</v>
      </c>
      <c r="CW50" s="46">
        <v>2</v>
      </c>
      <c r="CX50" s="46">
        <v>1</v>
      </c>
      <c r="CY50" s="46">
        <v>2</v>
      </c>
      <c r="CZ50" s="46">
        <v>1</v>
      </c>
      <c r="DA50" s="46">
        <v>2</v>
      </c>
      <c r="DB50" s="46">
        <v>2</v>
      </c>
      <c r="DC50" s="46">
        <v>2</v>
      </c>
      <c r="DD50" s="46">
        <v>2</v>
      </c>
      <c r="DE50" s="46">
        <v>2</v>
      </c>
      <c r="DF50" s="46">
        <v>1</v>
      </c>
      <c r="DG50" s="46">
        <v>2</v>
      </c>
      <c r="DH50" s="46">
        <v>1</v>
      </c>
      <c r="DI50" s="46">
        <v>1</v>
      </c>
      <c r="DJ50" s="46">
        <v>1</v>
      </c>
      <c r="DK50" s="46">
        <v>1</v>
      </c>
      <c r="DL50" s="46">
        <v>2</v>
      </c>
      <c r="DM50" s="46">
        <v>1</v>
      </c>
      <c r="DN50" s="46">
        <v>1</v>
      </c>
      <c r="DO50" s="46">
        <v>1</v>
      </c>
      <c r="DP50" s="46">
        <v>1</v>
      </c>
      <c r="DQ50" s="46">
        <v>2</v>
      </c>
      <c r="DR50" s="46">
        <v>1</v>
      </c>
      <c r="DS50" s="46">
        <v>2</v>
      </c>
      <c r="DT50" s="46">
        <v>2</v>
      </c>
      <c r="DU50" s="46">
        <v>1</v>
      </c>
      <c r="DV50" s="46">
        <v>2</v>
      </c>
      <c r="DW50" s="46">
        <v>1</v>
      </c>
      <c r="DX50" s="46">
        <v>2</v>
      </c>
      <c r="DY50" s="46">
        <v>1</v>
      </c>
      <c r="DZ50" s="46">
        <v>2</v>
      </c>
      <c r="EA50" s="46">
        <v>1</v>
      </c>
      <c r="EB50" s="46">
        <v>2</v>
      </c>
      <c r="EC50" s="46">
        <v>1</v>
      </c>
      <c r="ED50" s="46">
        <v>1</v>
      </c>
      <c r="EE50" s="46">
        <v>1</v>
      </c>
      <c r="EF50" s="46">
        <v>1</v>
      </c>
      <c r="EG50" s="46">
        <v>1</v>
      </c>
      <c r="EH50" s="46">
        <v>2</v>
      </c>
      <c r="EI50" s="46">
        <v>2</v>
      </c>
      <c r="EJ50" s="46">
        <v>1</v>
      </c>
      <c r="EK50" s="46">
        <v>1</v>
      </c>
      <c r="EL50" s="46">
        <v>1</v>
      </c>
      <c r="EM50" s="46">
        <v>2</v>
      </c>
      <c r="EN50" s="46">
        <v>1</v>
      </c>
      <c r="EO50" s="46">
        <v>2</v>
      </c>
      <c r="EP50" s="46">
        <v>2</v>
      </c>
      <c r="EQ50" s="46">
        <v>2</v>
      </c>
      <c r="ER50" s="46">
        <v>2</v>
      </c>
      <c r="ES50" s="46">
        <v>2</v>
      </c>
      <c r="ET50" s="46">
        <v>2</v>
      </c>
      <c r="EU50" s="46">
        <v>1</v>
      </c>
      <c r="EV50" s="46">
        <v>1</v>
      </c>
      <c r="EW50" s="46">
        <v>2</v>
      </c>
      <c r="EX50" s="46">
        <v>2</v>
      </c>
      <c r="EY50" s="46">
        <v>2</v>
      </c>
      <c r="EZ50" s="46">
        <v>2</v>
      </c>
      <c r="FA50" s="46">
        <v>1</v>
      </c>
      <c r="FB50" s="46">
        <v>1</v>
      </c>
      <c r="FC50" s="46">
        <v>2</v>
      </c>
      <c r="FD50" s="46">
        <v>2</v>
      </c>
      <c r="FE50" s="46">
        <v>2</v>
      </c>
      <c r="FF50" s="46">
        <v>1</v>
      </c>
      <c r="FG50" s="46">
        <v>1</v>
      </c>
      <c r="FH50" s="46">
        <v>1</v>
      </c>
    </row>
    <row r="51" spans="1:164" s="31" customFormat="1" x14ac:dyDescent="0.2">
      <c r="A51" s="44" t="s">
        <v>315</v>
      </c>
      <c r="B51" s="30" t="s">
        <v>266</v>
      </c>
      <c r="C51" s="30" t="s">
        <v>293</v>
      </c>
      <c r="D51" s="35" t="s">
        <v>253</v>
      </c>
      <c r="E51" s="46">
        <v>2</v>
      </c>
      <c r="F51" s="46">
        <v>1</v>
      </c>
      <c r="G51" s="46">
        <v>1</v>
      </c>
      <c r="H51" s="30">
        <v>1</v>
      </c>
      <c r="I51" s="30">
        <v>1</v>
      </c>
      <c r="J51" s="30">
        <v>1</v>
      </c>
      <c r="K51" s="46">
        <v>1</v>
      </c>
      <c r="L51" s="46">
        <v>1</v>
      </c>
      <c r="M51" s="46">
        <v>1</v>
      </c>
      <c r="N51" s="46">
        <v>2</v>
      </c>
      <c r="O51" s="46">
        <v>1</v>
      </c>
      <c r="P51" s="46">
        <v>1</v>
      </c>
      <c r="Q51" s="46">
        <v>1</v>
      </c>
      <c r="R51" s="46">
        <v>1</v>
      </c>
      <c r="S51" s="46">
        <v>1</v>
      </c>
      <c r="T51" s="46">
        <v>1</v>
      </c>
      <c r="U51" s="46">
        <v>1</v>
      </c>
      <c r="V51" s="46">
        <v>1</v>
      </c>
      <c r="W51" s="46">
        <v>2</v>
      </c>
      <c r="X51" s="46">
        <v>1</v>
      </c>
      <c r="Y51" s="46">
        <v>1</v>
      </c>
      <c r="Z51" s="46">
        <v>1</v>
      </c>
      <c r="AA51" s="46">
        <v>1</v>
      </c>
      <c r="AB51" s="46">
        <v>2</v>
      </c>
      <c r="AC51" s="46">
        <v>1</v>
      </c>
      <c r="AD51" s="46">
        <v>1</v>
      </c>
      <c r="AE51" s="46">
        <v>1</v>
      </c>
      <c r="AF51" s="46">
        <v>2</v>
      </c>
      <c r="AG51" s="46">
        <v>1</v>
      </c>
      <c r="AH51" s="46">
        <v>2</v>
      </c>
      <c r="AI51" s="46">
        <v>2</v>
      </c>
      <c r="AJ51" s="46">
        <v>1</v>
      </c>
      <c r="AK51" s="46">
        <v>1</v>
      </c>
      <c r="AL51" s="46">
        <v>1</v>
      </c>
      <c r="AM51" s="46">
        <v>1</v>
      </c>
      <c r="AN51" s="46">
        <v>1</v>
      </c>
      <c r="AO51" s="46">
        <v>1</v>
      </c>
      <c r="AP51" s="46">
        <v>1</v>
      </c>
      <c r="AQ51" s="46">
        <v>1</v>
      </c>
      <c r="AR51" s="46">
        <v>2</v>
      </c>
      <c r="AS51" s="46">
        <v>1</v>
      </c>
      <c r="AT51" s="46">
        <v>1</v>
      </c>
      <c r="AU51" s="46">
        <v>1</v>
      </c>
      <c r="AV51" s="46">
        <v>1</v>
      </c>
      <c r="AW51" s="46">
        <v>1</v>
      </c>
      <c r="AX51" s="46">
        <v>1</v>
      </c>
      <c r="AY51" s="46">
        <v>1</v>
      </c>
      <c r="AZ51" s="46">
        <v>1</v>
      </c>
      <c r="BA51" s="46">
        <v>1</v>
      </c>
      <c r="BB51" s="46">
        <v>1</v>
      </c>
      <c r="BC51" s="46">
        <v>2</v>
      </c>
      <c r="BD51" s="46">
        <v>1</v>
      </c>
      <c r="BE51" s="46">
        <v>1</v>
      </c>
      <c r="BF51" s="46">
        <v>1</v>
      </c>
      <c r="BG51" s="46">
        <v>2</v>
      </c>
      <c r="BH51" s="46">
        <v>1</v>
      </c>
      <c r="BI51" s="46">
        <v>2</v>
      </c>
      <c r="BJ51" s="46">
        <v>1</v>
      </c>
      <c r="BK51" s="46">
        <v>2</v>
      </c>
      <c r="BL51" s="46">
        <v>1</v>
      </c>
      <c r="BM51" s="46">
        <v>1</v>
      </c>
      <c r="BN51" s="46">
        <v>2</v>
      </c>
      <c r="BO51" s="46">
        <v>2</v>
      </c>
      <c r="BP51" s="46">
        <v>1</v>
      </c>
      <c r="BQ51" s="46">
        <v>1</v>
      </c>
      <c r="BR51" s="46">
        <v>1</v>
      </c>
      <c r="BS51" s="46">
        <v>1</v>
      </c>
      <c r="BT51" s="46">
        <v>2</v>
      </c>
      <c r="BU51" s="46">
        <v>1</v>
      </c>
      <c r="BV51" s="46">
        <v>2</v>
      </c>
      <c r="BW51" s="46">
        <v>2</v>
      </c>
      <c r="BX51" s="46">
        <v>1</v>
      </c>
      <c r="BY51" s="46">
        <v>2</v>
      </c>
      <c r="BZ51" s="46">
        <v>2</v>
      </c>
      <c r="CA51" s="46">
        <v>2</v>
      </c>
      <c r="CB51" s="46">
        <v>1</v>
      </c>
      <c r="CC51" s="46">
        <v>1</v>
      </c>
      <c r="CD51" s="46">
        <v>2</v>
      </c>
      <c r="CE51" s="46">
        <v>1</v>
      </c>
      <c r="CF51" s="46">
        <v>1</v>
      </c>
      <c r="CG51" s="46">
        <v>2</v>
      </c>
      <c r="CH51" s="46">
        <v>1</v>
      </c>
      <c r="CI51" s="46">
        <v>1</v>
      </c>
      <c r="CJ51" s="46">
        <v>1</v>
      </c>
      <c r="CK51" s="46">
        <v>1</v>
      </c>
      <c r="CL51" s="46">
        <v>1</v>
      </c>
      <c r="CM51" s="46">
        <v>1</v>
      </c>
      <c r="CN51" s="46">
        <v>1</v>
      </c>
      <c r="CO51" s="46">
        <v>1</v>
      </c>
      <c r="CP51" s="46">
        <v>2</v>
      </c>
      <c r="CQ51" s="46">
        <v>1</v>
      </c>
      <c r="CR51" s="46">
        <v>2</v>
      </c>
      <c r="CS51" s="46">
        <v>1</v>
      </c>
      <c r="CT51" s="46">
        <v>2</v>
      </c>
      <c r="CU51" s="46">
        <v>1</v>
      </c>
      <c r="CV51" s="46">
        <v>1</v>
      </c>
      <c r="CW51" s="46">
        <v>2</v>
      </c>
      <c r="CX51" s="46">
        <v>0</v>
      </c>
      <c r="CY51" s="46">
        <v>1</v>
      </c>
      <c r="CZ51" s="46">
        <v>1</v>
      </c>
      <c r="DA51" s="46">
        <v>1</v>
      </c>
      <c r="DB51" s="46">
        <v>2</v>
      </c>
      <c r="DC51" s="46">
        <v>2</v>
      </c>
      <c r="DD51" s="46">
        <v>1</v>
      </c>
      <c r="DE51" s="46">
        <v>1</v>
      </c>
      <c r="DF51" s="46">
        <v>1</v>
      </c>
      <c r="DG51" s="46">
        <v>1</v>
      </c>
      <c r="DH51" s="46">
        <v>1</v>
      </c>
      <c r="DI51" s="46">
        <v>2</v>
      </c>
      <c r="DJ51" s="46">
        <v>1</v>
      </c>
      <c r="DK51" s="46">
        <v>2</v>
      </c>
      <c r="DL51" s="46">
        <v>1</v>
      </c>
      <c r="DM51" s="46">
        <v>1</v>
      </c>
      <c r="DN51" s="46">
        <v>2</v>
      </c>
      <c r="DO51" s="46">
        <v>1</v>
      </c>
      <c r="DP51" s="46">
        <v>1</v>
      </c>
      <c r="DQ51" s="46">
        <v>1</v>
      </c>
      <c r="DR51" s="46">
        <v>1</v>
      </c>
      <c r="DS51" s="46">
        <v>1</v>
      </c>
      <c r="DT51" s="46">
        <v>2</v>
      </c>
      <c r="DU51" s="46">
        <v>2</v>
      </c>
      <c r="DV51" s="46">
        <v>2</v>
      </c>
      <c r="DW51" s="46">
        <v>1</v>
      </c>
      <c r="DX51" s="46">
        <v>1</v>
      </c>
      <c r="DY51" s="46">
        <v>1</v>
      </c>
      <c r="DZ51" s="46">
        <v>2</v>
      </c>
      <c r="EA51" s="46">
        <v>1</v>
      </c>
      <c r="EB51" s="46">
        <v>1</v>
      </c>
      <c r="EC51" s="46">
        <v>1</v>
      </c>
      <c r="ED51" s="46">
        <v>1</v>
      </c>
      <c r="EE51" s="46">
        <v>2</v>
      </c>
      <c r="EF51" s="46">
        <v>1</v>
      </c>
      <c r="EG51" s="46">
        <v>1</v>
      </c>
      <c r="EH51" s="46">
        <v>2</v>
      </c>
      <c r="EI51" s="46">
        <v>2</v>
      </c>
      <c r="EJ51" s="46">
        <v>2</v>
      </c>
      <c r="EK51" s="46">
        <v>1</v>
      </c>
      <c r="EL51" s="46">
        <v>2</v>
      </c>
      <c r="EM51" s="46">
        <v>2</v>
      </c>
      <c r="EN51" s="46">
        <v>2</v>
      </c>
      <c r="EO51" s="46">
        <v>1</v>
      </c>
      <c r="EP51" s="46">
        <v>1</v>
      </c>
      <c r="EQ51" s="46">
        <v>1</v>
      </c>
      <c r="ER51" s="46">
        <v>1</v>
      </c>
      <c r="ES51" s="46">
        <v>1</v>
      </c>
      <c r="ET51" s="46">
        <v>2</v>
      </c>
      <c r="EU51" s="46">
        <v>2</v>
      </c>
      <c r="EV51" s="46">
        <v>2</v>
      </c>
      <c r="EW51" s="46">
        <v>1</v>
      </c>
      <c r="EX51" s="46">
        <v>2</v>
      </c>
      <c r="EY51" s="46">
        <v>1</v>
      </c>
      <c r="EZ51" s="46">
        <v>2</v>
      </c>
      <c r="FA51" s="46">
        <v>0</v>
      </c>
      <c r="FB51" s="46">
        <v>1</v>
      </c>
      <c r="FC51" s="46">
        <v>2</v>
      </c>
      <c r="FD51" s="46">
        <v>2</v>
      </c>
      <c r="FE51" s="46">
        <v>2</v>
      </c>
      <c r="FF51" s="46">
        <v>1</v>
      </c>
      <c r="FG51" s="46">
        <v>1</v>
      </c>
      <c r="FH51" s="46">
        <v>2</v>
      </c>
    </row>
    <row r="52" spans="1:164" s="31" customFormat="1" x14ac:dyDescent="0.2">
      <c r="A52" s="44" t="s">
        <v>316</v>
      </c>
      <c r="B52" s="30" t="s">
        <v>265</v>
      </c>
      <c r="C52" s="30" t="s">
        <v>293</v>
      </c>
      <c r="D52" s="35" t="s">
        <v>253</v>
      </c>
      <c r="E52" s="46">
        <v>2</v>
      </c>
      <c r="F52" s="46">
        <v>1</v>
      </c>
      <c r="G52" s="46">
        <v>1</v>
      </c>
      <c r="H52" s="30">
        <v>1</v>
      </c>
      <c r="I52" s="30">
        <v>1</v>
      </c>
      <c r="J52" s="30">
        <v>2</v>
      </c>
      <c r="K52" s="46">
        <v>2</v>
      </c>
      <c r="L52" s="46">
        <v>2</v>
      </c>
      <c r="M52" s="46">
        <v>1</v>
      </c>
      <c r="N52" s="46">
        <v>1</v>
      </c>
      <c r="O52" s="46">
        <v>2</v>
      </c>
      <c r="P52" s="46">
        <v>1</v>
      </c>
      <c r="Q52" s="46">
        <v>1</v>
      </c>
      <c r="R52" s="46">
        <v>1</v>
      </c>
      <c r="S52" s="46">
        <v>2</v>
      </c>
      <c r="T52" s="46">
        <v>1</v>
      </c>
      <c r="U52" s="46">
        <v>1</v>
      </c>
      <c r="V52" s="46">
        <v>2</v>
      </c>
      <c r="W52" s="46">
        <v>2</v>
      </c>
      <c r="X52" s="46">
        <v>1</v>
      </c>
      <c r="Y52" s="46">
        <v>2</v>
      </c>
      <c r="Z52" s="46">
        <v>2</v>
      </c>
      <c r="AA52" s="46">
        <v>1</v>
      </c>
      <c r="AB52" s="46">
        <v>1</v>
      </c>
      <c r="AC52" s="46">
        <v>2</v>
      </c>
      <c r="AD52" s="46">
        <v>2</v>
      </c>
      <c r="AE52" s="46">
        <v>1</v>
      </c>
      <c r="AF52" s="46">
        <v>2</v>
      </c>
      <c r="AG52" s="46">
        <v>1</v>
      </c>
      <c r="AH52" s="46">
        <v>2</v>
      </c>
      <c r="AI52" s="46">
        <v>1</v>
      </c>
      <c r="AJ52" s="46">
        <v>1</v>
      </c>
      <c r="AK52" s="46">
        <v>1</v>
      </c>
      <c r="AL52" s="46">
        <v>2</v>
      </c>
      <c r="AM52" s="46">
        <v>2</v>
      </c>
      <c r="AN52" s="46">
        <v>1</v>
      </c>
      <c r="AO52" s="46">
        <v>1</v>
      </c>
      <c r="AP52" s="46">
        <v>2</v>
      </c>
      <c r="AQ52" s="46">
        <v>1</v>
      </c>
      <c r="AR52" s="46">
        <v>2</v>
      </c>
      <c r="AS52" s="46">
        <v>1</v>
      </c>
      <c r="AT52" s="46">
        <v>1</v>
      </c>
      <c r="AU52" s="46">
        <v>1</v>
      </c>
      <c r="AV52" s="46">
        <v>2</v>
      </c>
      <c r="AW52" s="46">
        <v>1</v>
      </c>
      <c r="AX52" s="46">
        <v>2</v>
      </c>
      <c r="AY52" s="46">
        <v>1</v>
      </c>
      <c r="AZ52" s="46">
        <v>1</v>
      </c>
      <c r="BA52" s="46">
        <v>1</v>
      </c>
      <c r="BB52" s="46">
        <v>2</v>
      </c>
      <c r="BC52" s="46">
        <v>2</v>
      </c>
      <c r="BD52" s="46">
        <v>2</v>
      </c>
      <c r="BE52" s="46">
        <v>2</v>
      </c>
      <c r="BF52" s="46">
        <v>2</v>
      </c>
      <c r="BG52" s="46">
        <v>1</v>
      </c>
      <c r="BH52" s="46">
        <v>2</v>
      </c>
      <c r="BI52" s="46">
        <v>2</v>
      </c>
      <c r="BJ52" s="46">
        <v>1</v>
      </c>
      <c r="BK52" s="46">
        <v>2</v>
      </c>
      <c r="BL52" s="46">
        <v>1</v>
      </c>
      <c r="BM52" s="46">
        <v>2</v>
      </c>
      <c r="BN52" s="46">
        <v>2</v>
      </c>
      <c r="BO52" s="46">
        <v>1</v>
      </c>
      <c r="BP52" s="46">
        <v>1</v>
      </c>
      <c r="BQ52" s="46">
        <v>2</v>
      </c>
      <c r="BR52" s="46">
        <v>2</v>
      </c>
      <c r="BS52" s="46">
        <v>1</v>
      </c>
      <c r="BT52" s="46">
        <v>2</v>
      </c>
      <c r="BU52" s="46">
        <v>1</v>
      </c>
      <c r="BV52" s="46">
        <v>2</v>
      </c>
      <c r="BW52" s="46">
        <v>1</v>
      </c>
      <c r="BX52" s="46">
        <v>1</v>
      </c>
      <c r="BY52" s="46">
        <v>2</v>
      </c>
      <c r="BZ52" s="46">
        <v>1</v>
      </c>
      <c r="CA52" s="46">
        <v>2</v>
      </c>
      <c r="CB52" s="46">
        <v>1</v>
      </c>
      <c r="CC52" s="46">
        <v>1</v>
      </c>
      <c r="CD52" s="46">
        <v>2</v>
      </c>
      <c r="CE52" s="46">
        <v>1</v>
      </c>
      <c r="CF52" s="46">
        <v>1</v>
      </c>
      <c r="CG52" s="46">
        <v>1</v>
      </c>
      <c r="CH52" s="46">
        <v>2</v>
      </c>
      <c r="CI52" s="46">
        <v>1</v>
      </c>
      <c r="CJ52" s="46">
        <v>1</v>
      </c>
      <c r="CK52" s="46">
        <v>1</v>
      </c>
      <c r="CL52" s="46">
        <v>2</v>
      </c>
      <c r="CM52" s="46">
        <v>2</v>
      </c>
      <c r="CN52" s="46">
        <v>1</v>
      </c>
      <c r="CO52" s="46">
        <v>2</v>
      </c>
      <c r="CP52" s="46">
        <v>2</v>
      </c>
      <c r="CQ52" s="46">
        <v>2</v>
      </c>
      <c r="CR52" s="46">
        <v>2</v>
      </c>
      <c r="CS52" s="46">
        <v>1</v>
      </c>
      <c r="CT52" s="46">
        <v>2</v>
      </c>
      <c r="CU52" s="46">
        <v>2</v>
      </c>
      <c r="CV52" s="46">
        <v>1</v>
      </c>
      <c r="CW52" s="46">
        <v>2</v>
      </c>
      <c r="CX52" s="46">
        <v>1</v>
      </c>
      <c r="CY52" s="46">
        <v>1</v>
      </c>
      <c r="CZ52" s="46">
        <v>1</v>
      </c>
      <c r="DA52" s="46">
        <v>2</v>
      </c>
      <c r="DB52" s="46">
        <v>2</v>
      </c>
      <c r="DC52" s="46">
        <v>1</v>
      </c>
      <c r="DD52" s="46">
        <v>2</v>
      </c>
      <c r="DE52" s="46">
        <v>2</v>
      </c>
      <c r="DF52" s="46">
        <v>2</v>
      </c>
      <c r="DG52" s="46">
        <v>1</v>
      </c>
      <c r="DH52" s="46">
        <v>2</v>
      </c>
      <c r="DI52" s="46">
        <v>1</v>
      </c>
      <c r="DJ52" s="46">
        <v>1</v>
      </c>
      <c r="DK52" s="46">
        <v>2</v>
      </c>
      <c r="DL52" s="46">
        <v>2</v>
      </c>
      <c r="DM52" s="46">
        <v>2</v>
      </c>
      <c r="DN52" s="46">
        <v>2</v>
      </c>
      <c r="DO52" s="46">
        <v>2</v>
      </c>
      <c r="DP52" s="46">
        <v>2</v>
      </c>
      <c r="DQ52" s="46">
        <v>2</v>
      </c>
      <c r="DR52" s="46">
        <v>2</v>
      </c>
      <c r="DS52" s="46">
        <v>2</v>
      </c>
      <c r="DT52" s="46">
        <v>2</v>
      </c>
      <c r="DU52" s="46">
        <v>2</v>
      </c>
      <c r="DV52" s="46">
        <v>2</v>
      </c>
      <c r="DW52" s="46">
        <v>1</v>
      </c>
      <c r="DX52" s="46">
        <v>2</v>
      </c>
      <c r="DY52" s="46">
        <v>2</v>
      </c>
      <c r="DZ52" s="46">
        <v>2</v>
      </c>
      <c r="EA52" s="46">
        <v>1</v>
      </c>
      <c r="EB52" s="46">
        <v>2</v>
      </c>
      <c r="EC52" s="46">
        <v>1</v>
      </c>
      <c r="ED52" s="46">
        <v>1</v>
      </c>
      <c r="EE52" s="46">
        <v>1</v>
      </c>
      <c r="EF52" s="46">
        <v>2</v>
      </c>
      <c r="EG52" s="46">
        <v>1</v>
      </c>
      <c r="EH52" s="46">
        <v>2</v>
      </c>
      <c r="EI52" s="46">
        <v>2</v>
      </c>
      <c r="EJ52" s="46">
        <v>1</v>
      </c>
      <c r="EK52" s="46">
        <v>1</v>
      </c>
      <c r="EL52" s="46">
        <v>2</v>
      </c>
      <c r="EM52" s="46">
        <v>2</v>
      </c>
      <c r="EN52" s="46">
        <v>1</v>
      </c>
      <c r="EO52" s="46">
        <v>2</v>
      </c>
      <c r="EP52" s="46">
        <v>1</v>
      </c>
      <c r="EQ52" s="46">
        <v>2</v>
      </c>
      <c r="ER52" s="46">
        <v>2</v>
      </c>
      <c r="ES52" s="46">
        <v>2</v>
      </c>
      <c r="ET52" s="46">
        <v>2</v>
      </c>
      <c r="EU52" s="46">
        <v>1</v>
      </c>
      <c r="EV52" s="46">
        <v>2</v>
      </c>
      <c r="EW52" s="46">
        <v>2</v>
      </c>
      <c r="EX52" s="46">
        <v>2</v>
      </c>
      <c r="EY52" s="46">
        <v>2</v>
      </c>
      <c r="EZ52" s="46">
        <v>2</v>
      </c>
      <c r="FA52" s="46">
        <v>1</v>
      </c>
      <c r="FB52" s="46">
        <v>2</v>
      </c>
      <c r="FC52" s="46">
        <v>2</v>
      </c>
      <c r="FD52" s="46">
        <v>1</v>
      </c>
      <c r="FE52" s="46">
        <v>2</v>
      </c>
      <c r="FF52" s="46">
        <v>1</v>
      </c>
      <c r="FG52" s="46">
        <v>2</v>
      </c>
      <c r="FH52" s="46">
        <v>2</v>
      </c>
    </row>
    <row r="53" spans="1:164" s="31" customFormat="1" x14ac:dyDescent="0.2">
      <c r="A53" s="44" t="s">
        <v>317</v>
      </c>
      <c r="B53" s="30" t="s">
        <v>270</v>
      </c>
      <c r="C53" s="30" t="s">
        <v>347</v>
      </c>
      <c r="D53" s="35" t="s">
        <v>252</v>
      </c>
      <c r="E53" s="46">
        <v>2</v>
      </c>
      <c r="F53" s="46">
        <v>1</v>
      </c>
      <c r="G53" s="46">
        <v>2</v>
      </c>
      <c r="H53" s="30">
        <v>1</v>
      </c>
      <c r="I53" s="30">
        <v>1</v>
      </c>
      <c r="J53" s="30">
        <v>1</v>
      </c>
      <c r="K53" s="46">
        <v>1</v>
      </c>
      <c r="L53" s="46">
        <v>1</v>
      </c>
      <c r="M53" s="46">
        <v>1</v>
      </c>
      <c r="N53" s="46">
        <v>1</v>
      </c>
      <c r="O53" s="46">
        <v>2</v>
      </c>
      <c r="P53" s="46">
        <v>2</v>
      </c>
      <c r="Q53" s="46">
        <v>2</v>
      </c>
      <c r="R53" s="46">
        <v>2</v>
      </c>
      <c r="S53" s="46">
        <v>1</v>
      </c>
      <c r="T53" s="46">
        <v>2</v>
      </c>
      <c r="U53" s="46">
        <v>2</v>
      </c>
      <c r="V53" s="46">
        <v>1</v>
      </c>
      <c r="W53" s="46">
        <v>2</v>
      </c>
      <c r="X53" s="46">
        <v>1</v>
      </c>
      <c r="Y53" s="46">
        <v>2</v>
      </c>
      <c r="Z53" s="46">
        <v>1</v>
      </c>
      <c r="AA53" s="46">
        <v>2</v>
      </c>
      <c r="AB53" s="46">
        <v>1</v>
      </c>
      <c r="AC53" s="46">
        <v>2</v>
      </c>
      <c r="AD53" s="46">
        <v>2</v>
      </c>
      <c r="AE53" s="46">
        <v>1</v>
      </c>
      <c r="AF53" s="46">
        <v>2</v>
      </c>
      <c r="AG53" s="46">
        <v>2</v>
      </c>
      <c r="AH53" s="46">
        <v>2</v>
      </c>
      <c r="AI53" s="46">
        <v>2</v>
      </c>
      <c r="AJ53" s="46">
        <v>2</v>
      </c>
      <c r="AK53" s="46">
        <v>2</v>
      </c>
      <c r="AL53" s="46">
        <v>2</v>
      </c>
      <c r="AM53" s="46">
        <v>2</v>
      </c>
      <c r="AN53" s="46">
        <v>1</v>
      </c>
      <c r="AO53" s="46">
        <v>2</v>
      </c>
      <c r="AP53" s="46">
        <v>2</v>
      </c>
      <c r="AQ53" s="46">
        <v>1</v>
      </c>
      <c r="AR53" s="46">
        <v>2</v>
      </c>
      <c r="AS53" s="46">
        <v>2</v>
      </c>
      <c r="AT53" s="46">
        <v>1</v>
      </c>
      <c r="AU53" s="46">
        <v>2</v>
      </c>
      <c r="AV53" s="46">
        <v>2</v>
      </c>
      <c r="AW53" s="46">
        <v>2</v>
      </c>
      <c r="AX53" s="46">
        <v>2</v>
      </c>
      <c r="AY53" s="46">
        <v>2</v>
      </c>
      <c r="AZ53" s="46">
        <v>2</v>
      </c>
      <c r="BA53" s="46">
        <v>2</v>
      </c>
      <c r="BB53" s="46">
        <v>1</v>
      </c>
      <c r="BC53" s="46">
        <v>2</v>
      </c>
      <c r="BD53" s="46">
        <v>2</v>
      </c>
      <c r="BE53" s="46">
        <v>2</v>
      </c>
      <c r="BF53" s="46">
        <v>2</v>
      </c>
      <c r="BG53" s="46">
        <v>1</v>
      </c>
      <c r="BH53" s="46">
        <v>2</v>
      </c>
      <c r="BI53" s="46">
        <v>2</v>
      </c>
      <c r="BJ53" s="46">
        <v>1</v>
      </c>
      <c r="BK53" s="46">
        <v>2</v>
      </c>
      <c r="BL53" s="46">
        <v>2</v>
      </c>
      <c r="BM53" s="46">
        <v>2</v>
      </c>
      <c r="BN53" s="46">
        <v>2</v>
      </c>
      <c r="BO53" s="46">
        <v>2</v>
      </c>
      <c r="BP53" s="46">
        <v>2</v>
      </c>
      <c r="BQ53" s="46">
        <v>2</v>
      </c>
      <c r="BR53" s="46">
        <v>2</v>
      </c>
      <c r="BS53" s="46">
        <v>1</v>
      </c>
      <c r="BT53" s="46">
        <v>1</v>
      </c>
      <c r="BU53" s="46">
        <v>2</v>
      </c>
      <c r="BV53" s="46">
        <v>2</v>
      </c>
      <c r="BW53" s="46">
        <v>2</v>
      </c>
      <c r="BX53" s="46">
        <v>2</v>
      </c>
      <c r="BY53" s="46">
        <v>1</v>
      </c>
      <c r="BZ53" s="46">
        <v>2</v>
      </c>
      <c r="CA53" s="46">
        <v>2</v>
      </c>
      <c r="CB53" s="46">
        <v>2</v>
      </c>
      <c r="CC53" s="46">
        <v>1</v>
      </c>
      <c r="CD53" s="46">
        <v>2</v>
      </c>
      <c r="CE53" s="46">
        <v>1</v>
      </c>
      <c r="CF53" s="46">
        <v>2</v>
      </c>
      <c r="CG53" s="46">
        <v>1</v>
      </c>
      <c r="CH53" s="46">
        <v>2</v>
      </c>
      <c r="CI53" s="46">
        <v>2</v>
      </c>
      <c r="CJ53" s="46">
        <v>2</v>
      </c>
      <c r="CK53" s="46">
        <v>2</v>
      </c>
      <c r="CL53" s="46">
        <v>2</v>
      </c>
      <c r="CM53" s="46">
        <v>2</v>
      </c>
      <c r="CN53" s="46">
        <v>2</v>
      </c>
      <c r="CO53" s="46">
        <v>2</v>
      </c>
      <c r="CP53" s="46">
        <v>2</v>
      </c>
      <c r="CQ53" s="46">
        <v>1</v>
      </c>
      <c r="CR53" s="46">
        <v>2</v>
      </c>
      <c r="CS53" s="46">
        <v>2</v>
      </c>
      <c r="CT53" s="46">
        <v>2</v>
      </c>
      <c r="CU53" s="46">
        <v>2</v>
      </c>
      <c r="CV53" s="46">
        <v>1</v>
      </c>
      <c r="CW53" s="46">
        <v>2</v>
      </c>
      <c r="CX53" s="46">
        <v>2</v>
      </c>
      <c r="CY53" s="46">
        <v>2</v>
      </c>
      <c r="CZ53" s="46">
        <v>2</v>
      </c>
      <c r="DA53" s="46">
        <v>2</v>
      </c>
      <c r="DB53" s="46">
        <v>2</v>
      </c>
      <c r="DC53" s="46">
        <v>2</v>
      </c>
      <c r="DD53" s="46">
        <v>2</v>
      </c>
      <c r="DE53" s="46">
        <v>2</v>
      </c>
      <c r="DF53" s="46">
        <v>2</v>
      </c>
      <c r="DG53" s="46">
        <v>2</v>
      </c>
      <c r="DH53" s="46">
        <v>2</v>
      </c>
      <c r="DI53" s="46">
        <v>1</v>
      </c>
      <c r="DJ53" s="46">
        <v>2</v>
      </c>
      <c r="DK53" s="46">
        <v>2</v>
      </c>
      <c r="DL53" s="46">
        <v>2</v>
      </c>
      <c r="DM53" s="46">
        <v>1</v>
      </c>
      <c r="DN53" s="46">
        <v>2</v>
      </c>
      <c r="DO53" s="46">
        <v>2</v>
      </c>
      <c r="DP53" s="46">
        <v>1</v>
      </c>
      <c r="DQ53" s="46">
        <v>2</v>
      </c>
      <c r="DR53" s="46">
        <v>2</v>
      </c>
      <c r="DS53" s="46">
        <v>2</v>
      </c>
      <c r="DT53" s="46">
        <v>2</v>
      </c>
      <c r="DU53" s="46">
        <v>2</v>
      </c>
      <c r="DV53" s="46">
        <v>2</v>
      </c>
      <c r="DW53" s="46">
        <v>2</v>
      </c>
      <c r="DX53" s="46">
        <v>2</v>
      </c>
      <c r="DY53" s="46">
        <v>2</v>
      </c>
      <c r="DZ53" s="46">
        <v>2</v>
      </c>
      <c r="EA53" s="46">
        <v>2</v>
      </c>
      <c r="EB53" s="46">
        <v>2</v>
      </c>
      <c r="EC53" s="46">
        <v>1</v>
      </c>
      <c r="ED53" s="46">
        <v>1</v>
      </c>
      <c r="EE53" s="46">
        <v>1</v>
      </c>
      <c r="EF53" s="46">
        <v>2</v>
      </c>
      <c r="EG53" s="46">
        <v>2</v>
      </c>
      <c r="EH53" s="46">
        <v>2</v>
      </c>
      <c r="EI53" s="46">
        <v>2</v>
      </c>
      <c r="EJ53" s="46">
        <v>2</v>
      </c>
      <c r="EK53" s="46">
        <v>2</v>
      </c>
      <c r="EL53" s="46">
        <v>2</v>
      </c>
      <c r="EM53" s="46">
        <v>2</v>
      </c>
      <c r="EN53" s="46">
        <v>2</v>
      </c>
      <c r="EO53" s="46">
        <v>2</v>
      </c>
      <c r="EP53" s="46">
        <v>2</v>
      </c>
      <c r="EQ53" s="46">
        <v>2</v>
      </c>
      <c r="ER53" s="46">
        <v>2</v>
      </c>
      <c r="ES53" s="46">
        <v>2</v>
      </c>
      <c r="ET53" s="46">
        <v>2</v>
      </c>
      <c r="EU53" s="46">
        <v>2</v>
      </c>
      <c r="EV53" s="46">
        <v>1</v>
      </c>
      <c r="EW53" s="46">
        <v>2</v>
      </c>
      <c r="EX53" s="46">
        <v>2</v>
      </c>
      <c r="EY53" s="46">
        <v>2</v>
      </c>
      <c r="EZ53" s="46">
        <v>2</v>
      </c>
      <c r="FA53" s="46">
        <v>2</v>
      </c>
      <c r="FB53" s="46">
        <v>2</v>
      </c>
      <c r="FC53" s="46">
        <v>2</v>
      </c>
      <c r="FD53" s="46">
        <v>2</v>
      </c>
      <c r="FE53" s="46">
        <v>2</v>
      </c>
      <c r="FF53" s="46">
        <v>2</v>
      </c>
      <c r="FG53" s="46">
        <v>1</v>
      </c>
      <c r="FH53" s="46">
        <v>2</v>
      </c>
    </row>
    <row r="54" spans="1:164" s="31" customFormat="1" x14ac:dyDescent="0.2">
      <c r="A54" s="44" t="s">
        <v>318</v>
      </c>
      <c r="B54" s="30" t="s">
        <v>266</v>
      </c>
      <c r="C54" s="30" t="s">
        <v>293</v>
      </c>
      <c r="D54" s="35" t="s">
        <v>253</v>
      </c>
      <c r="E54" s="46">
        <v>1</v>
      </c>
      <c r="F54" s="46">
        <v>2</v>
      </c>
      <c r="G54" s="46">
        <v>1</v>
      </c>
      <c r="H54" s="30">
        <v>2</v>
      </c>
      <c r="I54" s="30">
        <v>2</v>
      </c>
      <c r="J54" s="30">
        <v>2</v>
      </c>
      <c r="K54" s="46">
        <v>1</v>
      </c>
      <c r="L54" s="46">
        <v>1</v>
      </c>
      <c r="M54" s="46">
        <v>1</v>
      </c>
      <c r="N54" s="46">
        <v>2</v>
      </c>
      <c r="O54" s="46">
        <v>1</v>
      </c>
      <c r="P54" s="46">
        <v>2</v>
      </c>
      <c r="Q54" s="46">
        <v>1</v>
      </c>
      <c r="R54" s="46">
        <v>2</v>
      </c>
      <c r="S54" s="46">
        <v>1</v>
      </c>
      <c r="T54" s="46">
        <v>2</v>
      </c>
      <c r="U54" s="46">
        <v>1</v>
      </c>
      <c r="V54" s="46">
        <v>2</v>
      </c>
      <c r="W54" s="46">
        <v>2</v>
      </c>
      <c r="X54" s="46">
        <v>2</v>
      </c>
      <c r="Y54" s="46">
        <v>0</v>
      </c>
      <c r="Z54" s="46">
        <v>2</v>
      </c>
      <c r="AA54" s="46">
        <v>1</v>
      </c>
      <c r="AB54" s="46">
        <v>2</v>
      </c>
      <c r="AC54" s="46">
        <v>2</v>
      </c>
      <c r="AD54" s="46">
        <v>1</v>
      </c>
      <c r="AE54" s="46">
        <v>1</v>
      </c>
      <c r="AF54" s="46">
        <v>2</v>
      </c>
      <c r="AG54" s="46">
        <v>1</v>
      </c>
      <c r="AH54" s="46">
        <v>2</v>
      </c>
      <c r="AI54" s="46">
        <v>1</v>
      </c>
      <c r="AJ54" s="46">
        <v>1</v>
      </c>
      <c r="AK54" s="46">
        <v>2</v>
      </c>
      <c r="AL54" s="46">
        <v>1</v>
      </c>
      <c r="AM54" s="46">
        <v>2</v>
      </c>
      <c r="AN54" s="46">
        <v>2</v>
      </c>
      <c r="AO54" s="46">
        <v>1</v>
      </c>
      <c r="AP54" s="46">
        <v>1</v>
      </c>
      <c r="AQ54" s="46">
        <v>2</v>
      </c>
      <c r="AR54" s="46">
        <v>2</v>
      </c>
      <c r="AS54" s="46">
        <v>2</v>
      </c>
      <c r="AT54" s="46">
        <v>1</v>
      </c>
      <c r="AU54" s="46">
        <v>2</v>
      </c>
      <c r="AV54" s="46">
        <v>1</v>
      </c>
      <c r="AW54" s="46">
        <v>1</v>
      </c>
      <c r="AX54" s="46">
        <v>2</v>
      </c>
      <c r="AY54" s="46">
        <v>1</v>
      </c>
      <c r="AZ54" s="46">
        <v>2</v>
      </c>
      <c r="BA54" s="46">
        <v>1</v>
      </c>
      <c r="BB54" s="46">
        <v>2</v>
      </c>
      <c r="BC54" s="46">
        <v>2</v>
      </c>
      <c r="BD54" s="46">
        <v>2</v>
      </c>
      <c r="BE54" s="46">
        <v>2</v>
      </c>
      <c r="BF54" s="46">
        <v>1</v>
      </c>
      <c r="BG54" s="46">
        <v>2</v>
      </c>
      <c r="BH54" s="46">
        <v>1</v>
      </c>
      <c r="BI54" s="46">
        <v>2</v>
      </c>
      <c r="BJ54" s="46">
        <v>1</v>
      </c>
      <c r="BK54" s="46">
        <v>2</v>
      </c>
      <c r="BL54" s="46">
        <v>2</v>
      </c>
      <c r="BM54" s="46">
        <v>2</v>
      </c>
      <c r="BN54" s="46">
        <v>2</v>
      </c>
      <c r="BO54" s="46">
        <v>1</v>
      </c>
      <c r="BP54" s="46">
        <v>1</v>
      </c>
      <c r="BQ54" s="46">
        <v>2</v>
      </c>
      <c r="BR54" s="46">
        <v>1</v>
      </c>
      <c r="BS54" s="46">
        <v>1</v>
      </c>
      <c r="BT54" s="46">
        <v>2</v>
      </c>
      <c r="BU54" s="46">
        <v>2</v>
      </c>
      <c r="BV54" s="46">
        <v>2</v>
      </c>
      <c r="BW54" s="46">
        <v>1</v>
      </c>
      <c r="BX54" s="46">
        <v>2</v>
      </c>
      <c r="BY54" s="46">
        <v>2</v>
      </c>
      <c r="BZ54" s="46">
        <v>1</v>
      </c>
      <c r="CA54" s="46">
        <v>2</v>
      </c>
      <c r="CB54" s="46">
        <v>0</v>
      </c>
      <c r="CC54" s="46">
        <v>1</v>
      </c>
      <c r="CD54" s="46">
        <v>2</v>
      </c>
      <c r="CE54" s="46">
        <v>1</v>
      </c>
      <c r="CF54" s="46">
        <v>1</v>
      </c>
      <c r="CG54" s="46">
        <v>1</v>
      </c>
      <c r="CH54" s="46">
        <v>2</v>
      </c>
      <c r="CI54" s="46">
        <v>2</v>
      </c>
      <c r="CJ54" s="46">
        <v>1</v>
      </c>
      <c r="CK54" s="46">
        <v>1</v>
      </c>
      <c r="CL54" s="46">
        <v>2</v>
      </c>
      <c r="CM54" s="46">
        <v>2</v>
      </c>
      <c r="CN54" s="46">
        <v>1</v>
      </c>
      <c r="CO54" s="46">
        <v>1</v>
      </c>
      <c r="CP54" s="46">
        <v>2</v>
      </c>
      <c r="CQ54" s="46">
        <v>2</v>
      </c>
      <c r="CR54" s="46">
        <v>2</v>
      </c>
      <c r="CS54" s="46">
        <v>1</v>
      </c>
      <c r="CT54" s="46">
        <v>2</v>
      </c>
      <c r="CU54" s="46">
        <v>2</v>
      </c>
      <c r="CV54" s="46">
        <v>1</v>
      </c>
      <c r="CW54" s="46">
        <v>2</v>
      </c>
      <c r="CX54" s="46">
        <v>1</v>
      </c>
      <c r="CY54" s="46">
        <v>1</v>
      </c>
      <c r="CZ54" s="46">
        <v>2</v>
      </c>
      <c r="DA54" s="46">
        <v>2</v>
      </c>
      <c r="DB54" s="46">
        <v>2</v>
      </c>
      <c r="DC54" s="46">
        <v>1</v>
      </c>
      <c r="DD54" s="46">
        <v>2</v>
      </c>
      <c r="DE54" s="46">
        <v>2</v>
      </c>
      <c r="DF54" s="46">
        <v>2</v>
      </c>
      <c r="DG54" s="46">
        <v>2</v>
      </c>
      <c r="DH54" s="46">
        <v>1</v>
      </c>
      <c r="DI54" s="46">
        <v>1</v>
      </c>
      <c r="DJ54" s="46">
        <v>2</v>
      </c>
      <c r="DK54" s="46">
        <v>2</v>
      </c>
      <c r="DL54" s="46">
        <v>2</v>
      </c>
      <c r="DM54" s="46">
        <v>1</v>
      </c>
      <c r="DN54" s="46">
        <v>2</v>
      </c>
      <c r="DO54" s="46">
        <v>0</v>
      </c>
      <c r="DP54" s="46">
        <v>2</v>
      </c>
      <c r="DQ54" s="46">
        <v>2</v>
      </c>
      <c r="DR54" s="46">
        <v>2</v>
      </c>
      <c r="DS54" s="46">
        <v>2</v>
      </c>
      <c r="DT54" s="46">
        <v>2</v>
      </c>
      <c r="DU54" s="46">
        <v>2</v>
      </c>
      <c r="DV54" s="46">
        <v>2</v>
      </c>
      <c r="DW54" s="46">
        <v>1</v>
      </c>
      <c r="DX54" s="46">
        <v>2</v>
      </c>
      <c r="DY54" s="46">
        <v>2</v>
      </c>
      <c r="DZ54" s="46">
        <v>2</v>
      </c>
      <c r="EA54" s="46">
        <v>1</v>
      </c>
      <c r="EB54" s="46">
        <v>2</v>
      </c>
      <c r="EC54" s="46">
        <v>1</v>
      </c>
      <c r="ED54" s="46">
        <v>2</v>
      </c>
      <c r="EE54" s="46">
        <v>2</v>
      </c>
      <c r="EF54" s="46">
        <v>1</v>
      </c>
      <c r="EG54" s="46">
        <v>1</v>
      </c>
      <c r="EH54" s="46">
        <v>2</v>
      </c>
      <c r="EI54" s="46">
        <v>2</v>
      </c>
      <c r="EJ54" s="46">
        <v>2</v>
      </c>
      <c r="EK54" s="46">
        <v>1</v>
      </c>
      <c r="EL54" s="46">
        <v>2</v>
      </c>
      <c r="EM54" s="46">
        <v>2</v>
      </c>
      <c r="EN54" s="46">
        <v>1</v>
      </c>
      <c r="EO54" s="46">
        <v>2</v>
      </c>
      <c r="EP54" s="46">
        <v>1</v>
      </c>
      <c r="EQ54" s="46">
        <v>2</v>
      </c>
      <c r="ER54" s="46">
        <v>2</v>
      </c>
      <c r="ES54" s="46">
        <v>2</v>
      </c>
      <c r="ET54" s="46">
        <v>2</v>
      </c>
      <c r="EU54" s="46">
        <v>2</v>
      </c>
      <c r="EV54" s="46">
        <v>1</v>
      </c>
      <c r="EW54" s="46">
        <v>2</v>
      </c>
      <c r="EX54" s="46">
        <v>2</v>
      </c>
      <c r="EY54" s="46">
        <v>2</v>
      </c>
      <c r="EZ54" s="46">
        <v>2</v>
      </c>
      <c r="FA54" s="46">
        <v>1</v>
      </c>
      <c r="FB54" s="46">
        <v>2</v>
      </c>
      <c r="FC54" s="46">
        <v>2</v>
      </c>
      <c r="FD54" s="46">
        <v>1</v>
      </c>
      <c r="FE54" s="46">
        <v>2</v>
      </c>
      <c r="FF54" s="46">
        <v>2</v>
      </c>
      <c r="FG54" s="46">
        <v>1</v>
      </c>
      <c r="FH54" s="46">
        <v>1</v>
      </c>
    </row>
    <row r="55" spans="1:164" s="31" customFormat="1" x14ac:dyDescent="0.2">
      <c r="A55" s="44" t="s">
        <v>319</v>
      </c>
      <c r="B55" s="30" t="s">
        <v>261</v>
      </c>
      <c r="C55" s="30" t="s">
        <v>293</v>
      </c>
      <c r="D55" s="35" t="s">
        <v>253</v>
      </c>
      <c r="E55" s="46">
        <v>2</v>
      </c>
      <c r="F55" s="46">
        <v>1</v>
      </c>
      <c r="G55" s="46">
        <v>1</v>
      </c>
      <c r="H55" s="30">
        <v>1</v>
      </c>
      <c r="I55" s="30">
        <v>1</v>
      </c>
      <c r="J55" s="30">
        <v>1</v>
      </c>
      <c r="K55" s="46">
        <v>1</v>
      </c>
      <c r="L55" s="46">
        <v>1</v>
      </c>
      <c r="M55" s="46">
        <v>1</v>
      </c>
      <c r="N55" s="46">
        <v>1</v>
      </c>
      <c r="O55" s="46">
        <v>2</v>
      </c>
      <c r="P55" s="46">
        <v>1</v>
      </c>
      <c r="Q55" s="46">
        <v>1</v>
      </c>
      <c r="R55" s="46">
        <v>2</v>
      </c>
      <c r="S55" s="46">
        <v>1</v>
      </c>
      <c r="T55" s="46">
        <v>2</v>
      </c>
      <c r="U55" s="46">
        <v>2</v>
      </c>
      <c r="V55" s="46">
        <v>1</v>
      </c>
      <c r="W55" s="46">
        <v>0</v>
      </c>
      <c r="X55" s="46">
        <v>2</v>
      </c>
      <c r="Y55" s="46">
        <v>2</v>
      </c>
      <c r="Z55" s="46">
        <v>1</v>
      </c>
      <c r="AA55" s="46">
        <v>2</v>
      </c>
      <c r="AB55" s="46">
        <v>2</v>
      </c>
      <c r="AC55" s="46">
        <v>1</v>
      </c>
      <c r="AD55" s="46">
        <v>2</v>
      </c>
      <c r="AE55" s="46">
        <v>1</v>
      </c>
      <c r="AF55" s="46">
        <v>2</v>
      </c>
      <c r="AG55" s="46">
        <v>2</v>
      </c>
      <c r="AH55" s="46">
        <v>2</v>
      </c>
      <c r="AI55" s="46">
        <v>2</v>
      </c>
      <c r="AJ55" s="46">
        <v>2</v>
      </c>
      <c r="AK55" s="46">
        <v>2</v>
      </c>
      <c r="AL55" s="46">
        <v>2</v>
      </c>
      <c r="AM55" s="46">
        <v>1</v>
      </c>
      <c r="AN55" s="46">
        <v>1</v>
      </c>
      <c r="AO55" s="46">
        <v>1</v>
      </c>
      <c r="AP55" s="46">
        <v>2</v>
      </c>
      <c r="AQ55" s="46">
        <v>1</v>
      </c>
      <c r="AR55" s="46">
        <v>2</v>
      </c>
      <c r="AS55" s="46">
        <v>1</v>
      </c>
      <c r="AT55" s="46">
        <v>1</v>
      </c>
      <c r="AU55" s="46">
        <v>2</v>
      </c>
      <c r="AV55" s="46">
        <v>1</v>
      </c>
      <c r="AW55" s="46">
        <v>1</v>
      </c>
      <c r="AX55" s="46">
        <v>2</v>
      </c>
      <c r="AY55" s="46">
        <v>1</v>
      </c>
      <c r="AZ55" s="46">
        <v>2</v>
      </c>
      <c r="BA55" s="46">
        <v>1</v>
      </c>
      <c r="BB55" s="46">
        <v>1</v>
      </c>
      <c r="BC55" s="46">
        <v>1</v>
      </c>
      <c r="BD55" s="46">
        <v>2</v>
      </c>
      <c r="BE55" s="46">
        <v>2</v>
      </c>
      <c r="BF55" s="46">
        <v>2</v>
      </c>
      <c r="BG55" s="46">
        <v>1</v>
      </c>
      <c r="BH55" s="46">
        <v>2</v>
      </c>
      <c r="BI55" s="46">
        <v>2</v>
      </c>
      <c r="BJ55" s="46">
        <v>2</v>
      </c>
      <c r="BK55" s="46">
        <v>2</v>
      </c>
      <c r="BL55" s="46">
        <v>2</v>
      </c>
      <c r="BM55" s="46">
        <v>1</v>
      </c>
      <c r="BN55" s="46">
        <v>2</v>
      </c>
      <c r="BO55" s="46">
        <v>2</v>
      </c>
      <c r="BP55" s="46">
        <v>2</v>
      </c>
      <c r="BQ55" s="46">
        <v>2</v>
      </c>
      <c r="BR55" s="46">
        <v>2</v>
      </c>
      <c r="BS55" s="46">
        <v>2</v>
      </c>
      <c r="BT55" s="46">
        <v>1</v>
      </c>
      <c r="BU55" s="46">
        <v>1</v>
      </c>
      <c r="BV55" s="46">
        <v>2</v>
      </c>
      <c r="BW55" s="46">
        <v>2</v>
      </c>
      <c r="BX55" s="46">
        <v>2</v>
      </c>
      <c r="BY55" s="46">
        <v>2</v>
      </c>
      <c r="BZ55" s="46">
        <v>1</v>
      </c>
      <c r="CA55" s="46">
        <v>2</v>
      </c>
      <c r="CB55" s="46">
        <v>2</v>
      </c>
      <c r="CC55" s="46">
        <v>2</v>
      </c>
      <c r="CD55" s="46">
        <v>2</v>
      </c>
      <c r="CE55" s="46">
        <v>1</v>
      </c>
      <c r="CF55" s="46">
        <v>2</v>
      </c>
      <c r="CG55" s="46">
        <v>2</v>
      </c>
      <c r="CH55" s="46">
        <v>2</v>
      </c>
      <c r="CI55" s="46">
        <v>2</v>
      </c>
      <c r="CJ55" s="46">
        <v>2</v>
      </c>
      <c r="CK55" s="46">
        <v>2</v>
      </c>
      <c r="CL55" s="46">
        <v>2</v>
      </c>
      <c r="CM55" s="46">
        <v>2</v>
      </c>
      <c r="CN55" s="46">
        <v>2</v>
      </c>
      <c r="CO55" s="46">
        <v>2</v>
      </c>
      <c r="CP55" s="46">
        <v>2</v>
      </c>
      <c r="CQ55" s="46">
        <v>1</v>
      </c>
      <c r="CR55" s="46">
        <v>2</v>
      </c>
      <c r="CS55" s="46">
        <v>1</v>
      </c>
      <c r="CT55" s="46">
        <v>0</v>
      </c>
      <c r="CU55" s="46">
        <v>2</v>
      </c>
      <c r="CV55" s="46">
        <v>1</v>
      </c>
      <c r="CW55" s="46">
        <v>2</v>
      </c>
      <c r="CX55" s="46">
        <v>2</v>
      </c>
      <c r="CY55" s="46">
        <v>2</v>
      </c>
      <c r="CZ55" s="46">
        <v>1</v>
      </c>
      <c r="DA55" s="46">
        <v>1</v>
      </c>
      <c r="DB55" s="46">
        <v>2</v>
      </c>
      <c r="DC55" s="46">
        <v>2</v>
      </c>
      <c r="DD55" s="46">
        <v>2</v>
      </c>
      <c r="DE55" s="46">
        <v>2</v>
      </c>
      <c r="DF55" s="46">
        <v>2</v>
      </c>
      <c r="DG55" s="46">
        <v>2</v>
      </c>
      <c r="DH55" s="46">
        <v>2</v>
      </c>
      <c r="DI55" s="46">
        <v>2</v>
      </c>
      <c r="DJ55" s="46">
        <v>1</v>
      </c>
      <c r="DK55" s="46">
        <v>2</v>
      </c>
      <c r="DL55" s="46">
        <v>2</v>
      </c>
      <c r="DM55" s="46">
        <v>1</v>
      </c>
      <c r="DN55" s="46">
        <v>2</v>
      </c>
      <c r="DO55" s="46">
        <v>2</v>
      </c>
      <c r="DP55" s="46">
        <v>1</v>
      </c>
      <c r="DQ55" s="46">
        <v>2</v>
      </c>
      <c r="DR55" s="46">
        <v>2</v>
      </c>
      <c r="DS55" s="46">
        <v>2</v>
      </c>
      <c r="DT55" s="46">
        <v>2</v>
      </c>
      <c r="DU55" s="46">
        <v>2</v>
      </c>
      <c r="DV55" s="46">
        <v>2</v>
      </c>
      <c r="DW55" s="46">
        <v>2</v>
      </c>
      <c r="DX55" s="46">
        <v>2</v>
      </c>
      <c r="DY55" s="46">
        <v>2</v>
      </c>
      <c r="DZ55" s="46">
        <v>2</v>
      </c>
      <c r="EA55" s="46">
        <v>2</v>
      </c>
      <c r="EB55" s="46">
        <v>2</v>
      </c>
      <c r="EC55" s="46">
        <v>2</v>
      </c>
      <c r="ED55" s="46">
        <v>1</v>
      </c>
      <c r="EE55" s="46">
        <v>1</v>
      </c>
      <c r="EF55" s="46">
        <v>2</v>
      </c>
      <c r="EG55" s="46">
        <v>2</v>
      </c>
      <c r="EH55" s="46">
        <v>2</v>
      </c>
      <c r="EI55" s="46">
        <v>2</v>
      </c>
      <c r="EJ55" s="46">
        <v>2</v>
      </c>
      <c r="EK55" s="46">
        <v>2</v>
      </c>
      <c r="EL55" s="46">
        <v>2</v>
      </c>
      <c r="EM55" s="46">
        <v>2</v>
      </c>
      <c r="EN55" s="46">
        <v>2</v>
      </c>
      <c r="EO55" s="46">
        <v>2</v>
      </c>
      <c r="EP55" s="46">
        <v>2</v>
      </c>
      <c r="EQ55" s="46">
        <v>2</v>
      </c>
      <c r="ER55" s="46">
        <v>2</v>
      </c>
      <c r="ES55" s="46">
        <v>1</v>
      </c>
      <c r="ET55" s="46">
        <v>2</v>
      </c>
      <c r="EU55" s="46">
        <v>2</v>
      </c>
      <c r="EV55" s="46">
        <v>1</v>
      </c>
      <c r="EW55" s="46">
        <v>2</v>
      </c>
      <c r="EX55" s="46">
        <v>2</v>
      </c>
      <c r="EY55" s="46">
        <v>2</v>
      </c>
      <c r="EZ55" s="46">
        <v>2</v>
      </c>
      <c r="FA55" s="46">
        <v>2</v>
      </c>
      <c r="FB55" s="46">
        <v>2</v>
      </c>
      <c r="FC55" s="46">
        <v>2</v>
      </c>
      <c r="FD55" s="46">
        <v>2</v>
      </c>
      <c r="FE55" s="46">
        <v>2</v>
      </c>
      <c r="FF55" s="46">
        <v>2</v>
      </c>
      <c r="FG55" s="46">
        <v>1</v>
      </c>
      <c r="FH55" s="46">
        <v>2</v>
      </c>
    </row>
    <row r="56" spans="1:164" s="31" customFormat="1" x14ac:dyDescent="0.2">
      <c r="A56" s="44" t="s">
        <v>320</v>
      </c>
      <c r="B56" s="30" t="s">
        <v>265</v>
      </c>
      <c r="C56" s="30" t="s">
        <v>293</v>
      </c>
      <c r="D56" s="35" t="s">
        <v>253</v>
      </c>
      <c r="E56" s="46">
        <v>1</v>
      </c>
      <c r="F56" s="46">
        <v>2</v>
      </c>
      <c r="G56" s="46">
        <v>2</v>
      </c>
      <c r="H56" s="30">
        <v>2</v>
      </c>
      <c r="I56" s="30">
        <v>2</v>
      </c>
      <c r="J56" s="30">
        <v>1</v>
      </c>
      <c r="K56" s="46">
        <v>1</v>
      </c>
      <c r="L56" s="46">
        <v>1</v>
      </c>
      <c r="M56" s="46">
        <v>2</v>
      </c>
      <c r="N56" s="46">
        <v>1</v>
      </c>
      <c r="O56" s="46">
        <v>1</v>
      </c>
      <c r="P56" s="46">
        <v>1</v>
      </c>
      <c r="Q56" s="46">
        <v>1</v>
      </c>
      <c r="R56" s="46">
        <v>1</v>
      </c>
      <c r="S56" s="46">
        <v>2</v>
      </c>
      <c r="T56" s="46">
        <v>1</v>
      </c>
      <c r="U56" s="46">
        <v>1</v>
      </c>
      <c r="V56" s="46">
        <v>1</v>
      </c>
      <c r="W56" s="46">
        <v>1</v>
      </c>
      <c r="X56" s="46">
        <v>2</v>
      </c>
      <c r="Y56" s="46">
        <v>2</v>
      </c>
      <c r="Z56" s="46">
        <v>1</v>
      </c>
      <c r="AA56" s="46">
        <v>2</v>
      </c>
      <c r="AB56" s="46">
        <v>1</v>
      </c>
      <c r="AC56" s="46">
        <v>2</v>
      </c>
      <c r="AD56" s="46">
        <v>1</v>
      </c>
      <c r="AE56" s="46">
        <v>1</v>
      </c>
      <c r="AF56" s="46">
        <v>2</v>
      </c>
      <c r="AG56" s="46">
        <v>1</v>
      </c>
      <c r="AH56" s="46">
        <v>2</v>
      </c>
      <c r="AI56" s="46">
        <v>2</v>
      </c>
      <c r="AJ56" s="46">
        <v>2</v>
      </c>
      <c r="AK56" s="46">
        <v>1</v>
      </c>
      <c r="AL56" s="46">
        <v>2</v>
      </c>
      <c r="AM56" s="46">
        <v>2</v>
      </c>
      <c r="AN56" s="46">
        <v>1</v>
      </c>
      <c r="AO56" s="46">
        <v>2</v>
      </c>
      <c r="AP56" s="46">
        <v>1</v>
      </c>
      <c r="AQ56" s="46">
        <v>1</v>
      </c>
      <c r="AR56" s="46">
        <v>2</v>
      </c>
      <c r="AS56" s="46">
        <v>2</v>
      </c>
      <c r="AT56" s="46">
        <v>1</v>
      </c>
      <c r="AU56" s="46">
        <v>1</v>
      </c>
      <c r="AV56" s="46">
        <v>2</v>
      </c>
      <c r="AW56" s="46">
        <v>2</v>
      </c>
      <c r="AX56" s="46">
        <v>1</v>
      </c>
      <c r="AY56" s="46">
        <v>1</v>
      </c>
      <c r="AZ56" s="46">
        <v>1</v>
      </c>
      <c r="BA56" s="46">
        <v>1</v>
      </c>
      <c r="BB56" s="46">
        <v>1</v>
      </c>
      <c r="BC56" s="46">
        <v>1</v>
      </c>
      <c r="BD56" s="46">
        <v>2</v>
      </c>
      <c r="BE56" s="46">
        <v>1</v>
      </c>
      <c r="BF56" s="46">
        <v>0</v>
      </c>
      <c r="BG56" s="46">
        <v>0</v>
      </c>
      <c r="BH56" s="46">
        <v>1</v>
      </c>
      <c r="BI56" s="46">
        <v>2</v>
      </c>
      <c r="BJ56" s="46">
        <v>1</v>
      </c>
      <c r="BK56" s="46">
        <v>2</v>
      </c>
      <c r="BL56" s="46">
        <v>2</v>
      </c>
      <c r="BM56" s="46">
        <v>1</v>
      </c>
      <c r="BN56" s="46">
        <v>2</v>
      </c>
      <c r="BO56" s="46">
        <v>1</v>
      </c>
      <c r="BP56" s="46">
        <v>1</v>
      </c>
      <c r="BQ56" s="46">
        <v>2</v>
      </c>
      <c r="BR56" s="46">
        <v>2</v>
      </c>
      <c r="BS56" s="46">
        <v>1</v>
      </c>
      <c r="BT56" s="46">
        <v>1</v>
      </c>
      <c r="BU56" s="46">
        <v>1</v>
      </c>
      <c r="BV56" s="46">
        <v>1</v>
      </c>
      <c r="BW56" s="46">
        <v>2</v>
      </c>
      <c r="BX56" s="46">
        <v>1</v>
      </c>
      <c r="BY56" s="46">
        <v>2</v>
      </c>
      <c r="BZ56" s="46">
        <v>1</v>
      </c>
      <c r="CA56" s="46">
        <v>2</v>
      </c>
      <c r="CB56" s="46">
        <v>1</v>
      </c>
      <c r="CC56" s="46">
        <v>1</v>
      </c>
      <c r="CD56" s="46">
        <v>2</v>
      </c>
      <c r="CE56" s="46">
        <v>1</v>
      </c>
      <c r="CF56" s="46">
        <v>1</v>
      </c>
      <c r="CG56" s="46">
        <v>1</v>
      </c>
      <c r="CH56" s="46">
        <v>1</v>
      </c>
      <c r="CI56" s="46">
        <v>1</v>
      </c>
      <c r="CJ56" s="46">
        <v>1</v>
      </c>
      <c r="CK56" s="46">
        <v>2</v>
      </c>
      <c r="CL56" s="46">
        <v>1</v>
      </c>
      <c r="CM56" s="46">
        <v>1</v>
      </c>
      <c r="CN56" s="46">
        <v>2</v>
      </c>
      <c r="CO56" s="46">
        <v>1</v>
      </c>
      <c r="CP56" s="46">
        <v>2</v>
      </c>
      <c r="CQ56" s="46">
        <v>1</v>
      </c>
      <c r="CR56" s="46">
        <v>1</v>
      </c>
      <c r="CS56" s="46">
        <v>1</v>
      </c>
      <c r="CT56" s="46">
        <v>2</v>
      </c>
      <c r="CU56" s="46">
        <v>1</v>
      </c>
      <c r="CV56" s="46">
        <v>1</v>
      </c>
      <c r="CW56" s="46">
        <v>1</v>
      </c>
      <c r="CX56" s="46">
        <v>1</v>
      </c>
      <c r="CY56" s="46">
        <v>1</v>
      </c>
      <c r="CZ56" s="46">
        <v>1</v>
      </c>
      <c r="DA56" s="46">
        <v>1</v>
      </c>
      <c r="DB56" s="46">
        <v>1</v>
      </c>
      <c r="DC56" s="46">
        <v>2</v>
      </c>
      <c r="DD56" s="46">
        <v>1</v>
      </c>
      <c r="DE56" s="46">
        <v>1</v>
      </c>
      <c r="DF56" s="46">
        <v>2</v>
      </c>
      <c r="DG56" s="46">
        <v>2</v>
      </c>
      <c r="DH56" s="46">
        <v>1</v>
      </c>
      <c r="DI56" s="46">
        <v>1</v>
      </c>
      <c r="DJ56" s="46">
        <v>1</v>
      </c>
      <c r="DK56" s="46">
        <v>1</v>
      </c>
      <c r="DL56" s="46">
        <v>1</v>
      </c>
      <c r="DM56" s="46">
        <v>1</v>
      </c>
      <c r="DN56" s="46">
        <v>2</v>
      </c>
      <c r="DO56" s="46">
        <v>2</v>
      </c>
      <c r="DP56" s="46">
        <v>2</v>
      </c>
      <c r="DQ56" s="46">
        <v>1</v>
      </c>
      <c r="DR56" s="46">
        <v>1</v>
      </c>
      <c r="DS56" s="46">
        <v>1</v>
      </c>
      <c r="DT56" s="46">
        <v>2</v>
      </c>
      <c r="DU56" s="46">
        <v>1</v>
      </c>
      <c r="DV56" s="46">
        <v>1</v>
      </c>
      <c r="DW56" s="46">
        <v>1</v>
      </c>
      <c r="DX56" s="46">
        <v>1</v>
      </c>
      <c r="DY56" s="46">
        <v>2</v>
      </c>
      <c r="DZ56" s="46">
        <v>1</v>
      </c>
      <c r="EA56" s="46">
        <v>1</v>
      </c>
      <c r="EB56" s="46">
        <v>2</v>
      </c>
      <c r="EC56" s="46">
        <v>1</v>
      </c>
      <c r="ED56" s="46">
        <v>2</v>
      </c>
      <c r="EE56" s="46">
        <v>2</v>
      </c>
      <c r="EF56" s="46">
        <v>1</v>
      </c>
      <c r="EG56" s="46">
        <v>1</v>
      </c>
      <c r="EH56" s="46">
        <v>2</v>
      </c>
      <c r="EI56" s="46">
        <v>1</v>
      </c>
      <c r="EJ56" s="46">
        <v>1</v>
      </c>
      <c r="EK56" s="46">
        <v>1</v>
      </c>
      <c r="EL56" s="46">
        <v>1</v>
      </c>
      <c r="EM56" s="46">
        <v>1</v>
      </c>
      <c r="EN56" s="46">
        <v>2</v>
      </c>
      <c r="EO56" s="46">
        <v>1</v>
      </c>
      <c r="EP56" s="46">
        <v>1</v>
      </c>
      <c r="EQ56" s="46">
        <v>2</v>
      </c>
      <c r="ER56" s="46">
        <v>1</v>
      </c>
      <c r="ES56" s="46">
        <v>2</v>
      </c>
      <c r="ET56" s="46">
        <v>1</v>
      </c>
      <c r="EU56" s="46">
        <v>1</v>
      </c>
      <c r="EV56" s="46">
        <v>1</v>
      </c>
      <c r="EW56" s="46">
        <v>2</v>
      </c>
      <c r="EX56" s="46">
        <v>2</v>
      </c>
      <c r="EY56" s="46">
        <v>2</v>
      </c>
      <c r="EZ56" s="46">
        <v>2</v>
      </c>
      <c r="FA56" s="46">
        <v>1</v>
      </c>
      <c r="FB56" s="46">
        <v>1</v>
      </c>
      <c r="FC56" s="46">
        <v>2</v>
      </c>
      <c r="FD56" s="46">
        <v>2</v>
      </c>
      <c r="FE56" s="46">
        <v>2</v>
      </c>
      <c r="FF56" s="46">
        <v>1</v>
      </c>
      <c r="FG56" s="46">
        <v>1</v>
      </c>
      <c r="FH56" s="46">
        <v>1</v>
      </c>
    </row>
    <row r="57" spans="1:164" s="31" customFormat="1" x14ac:dyDescent="0.2">
      <c r="A57" s="44" t="s">
        <v>321</v>
      </c>
      <c r="B57" s="30" t="s">
        <v>266</v>
      </c>
      <c r="C57" s="30" t="s">
        <v>347</v>
      </c>
      <c r="D57" s="35" t="s">
        <v>251</v>
      </c>
      <c r="E57" s="46">
        <v>2</v>
      </c>
      <c r="F57" s="46">
        <v>1</v>
      </c>
      <c r="G57" s="46">
        <v>2</v>
      </c>
      <c r="H57" s="30">
        <v>1</v>
      </c>
      <c r="I57" s="30">
        <v>1</v>
      </c>
      <c r="J57" s="30">
        <v>2</v>
      </c>
      <c r="K57" s="46">
        <v>2</v>
      </c>
      <c r="L57" s="46">
        <v>1</v>
      </c>
      <c r="M57" s="46">
        <v>1</v>
      </c>
      <c r="N57" s="46">
        <v>1</v>
      </c>
      <c r="O57" s="46">
        <v>2</v>
      </c>
      <c r="P57" s="46">
        <v>2</v>
      </c>
      <c r="Q57" s="46">
        <v>1</v>
      </c>
      <c r="R57" s="46">
        <v>1</v>
      </c>
      <c r="S57" s="46">
        <v>2</v>
      </c>
      <c r="T57" s="46">
        <v>2</v>
      </c>
      <c r="U57" s="46">
        <v>1</v>
      </c>
      <c r="V57" s="46">
        <v>2</v>
      </c>
      <c r="W57" s="46">
        <v>2</v>
      </c>
      <c r="X57" s="46">
        <v>2</v>
      </c>
      <c r="Y57" s="46">
        <v>1</v>
      </c>
      <c r="Z57" s="46">
        <v>2</v>
      </c>
      <c r="AA57" s="46">
        <v>2</v>
      </c>
      <c r="AB57" s="46">
        <v>1</v>
      </c>
      <c r="AC57" s="46">
        <v>2</v>
      </c>
      <c r="AD57" s="46">
        <v>1</v>
      </c>
      <c r="AE57" s="46">
        <v>2</v>
      </c>
      <c r="AF57" s="46">
        <v>2</v>
      </c>
      <c r="AG57" s="46">
        <v>2</v>
      </c>
      <c r="AH57" s="46">
        <v>2</v>
      </c>
      <c r="AI57" s="46">
        <v>2</v>
      </c>
      <c r="AJ57" s="46">
        <v>2</v>
      </c>
      <c r="AK57" s="46">
        <v>2</v>
      </c>
      <c r="AL57" s="46">
        <v>2</v>
      </c>
      <c r="AM57" s="46">
        <v>2</v>
      </c>
      <c r="AN57" s="46">
        <v>1</v>
      </c>
      <c r="AO57" s="46">
        <v>1</v>
      </c>
      <c r="AP57" s="46">
        <v>2</v>
      </c>
      <c r="AQ57" s="46">
        <v>1</v>
      </c>
      <c r="AR57" s="46">
        <v>2</v>
      </c>
      <c r="AS57" s="46">
        <v>1</v>
      </c>
      <c r="AT57" s="46">
        <v>1</v>
      </c>
      <c r="AU57" s="46">
        <v>2</v>
      </c>
      <c r="AV57" s="46">
        <v>1</v>
      </c>
      <c r="AW57" s="46">
        <v>1</v>
      </c>
      <c r="AX57" s="46">
        <v>2</v>
      </c>
      <c r="AY57" s="46">
        <v>1</v>
      </c>
      <c r="AZ57" s="46">
        <v>2</v>
      </c>
      <c r="BA57" s="46">
        <v>1</v>
      </c>
      <c r="BB57" s="46">
        <v>1</v>
      </c>
      <c r="BC57" s="46">
        <v>2</v>
      </c>
      <c r="BD57" s="46">
        <v>2</v>
      </c>
      <c r="BE57" s="46">
        <v>1</v>
      </c>
      <c r="BF57" s="46">
        <v>2</v>
      </c>
      <c r="BG57" s="46">
        <v>2</v>
      </c>
      <c r="BH57" s="46">
        <v>1</v>
      </c>
      <c r="BI57" s="46">
        <v>2</v>
      </c>
      <c r="BJ57" s="46">
        <v>2</v>
      </c>
      <c r="BK57" s="46">
        <v>2</v>
      </c>
      <c r="BL57" s="46">
        <v>1</v>
      </c>
      <c r="BM57" s="46">
        <v>2</v>
      </c>
      <c r="BN57" s="46">
        <v>2</v>
      </c>
      <c r="BO57" s="46">
        <v>1</v>
      </c>
      <c r="BP57" s="46">
        <v>1</v>
      </c>
      <c r="BQ57" s="46">
        <v>2</v>
      </c>
      <c r="BR57" s="46">
        <v>1</v>
      </c>
      <c r="BS57" s="46">
        <v>2</v>
      </c>
      <c r="BT57" s="46">
        <v>1</v>
      </c>
      <c r="BU57" s="46">
        <v>1</v>
      </c>
      <c r="BV57" s="46">
        <v>1</v>
      </c>
      <c r="BW57" s="46">
        <v>2</v>
      </c>
      <c r="BX57" s="46">
        <v>1</v>
      </c>
      <c r="BY57" s="46">
        <v>2</v>
      </c>
      <c r="BZ57" s="46">
        <v>1</v>
      </c>
      <c r="CA57" s="46">
        <v>2</v>
      </c>
      <c r="CB57" s="46">
        <v>1</v>
      </c>
      <c r="CC57" s="46">
        <v>1</v>
      </c>
      <c r="CD57" s="46">
        <v>1</v>
      </c>
      <c r="CE57" s="46">
        <v>1</v>
      </c>
      <c r="CF57" s="46">
        <v>2</v>
      </c>
      <c r="CG57" s="46">
        <v>1</v>
      </c>
      <c r="CH57" s="46">
        <v>1</v>
      </c>
      <c r="CI57" s="46">
        <v>1</v>
      </c>
      <c r="CJ57" s="46">
        <v>1</v>
      </c>
      <c r="CK57" s="46">
        <v>1</v>
      </c>
      <c r="CL57" s="46">
        <v>2</v>
      </c>
      <c r="CM57" s="46">
        <v>1</v>
      </c>
      <c r="CN57" s="46">
        <v>2</v>
      </c>
      <c r="CO57" s="46">
        <v>1</v>
      </c>
      <c r="CP57" s="46">
        <v>2</v>
      </c>
      <c r="CQ57" s="46">
        <v>1</v>
      </c>
      <c r="CR57" s="46">
        <v>2</v>
      </c>
      <c r="CS57" s="46">
        <v>1</v>
      </c>
      <c r="CT57" s="46">
        <v>2</v>
      </c>
      <c r="CU57" s="46">
        <v>2</v>
      </c>
      <c r="CV57" s="46">
        <v>1</v>
      </c>
      <c r="CW57" s="46">
        <v>2</v>
      </c>
      <c r="CX57" s="46">
        <v>2</v>
      </c>
      <c r="CY57" s="46">
        <v>1</v>
      </c>
      <c r="CZ57" s="46">
        <v>2</v>
      </c>
      <c r="DA57" s="46">
        <v>1</v>
      </c>
      <c r="DB57" s="46">
        <v>1</v>
      </c>
      <c r="DC57" s="46">
        <v>1</v>
      </c>
      <c r="DD57" s="46">
        <v>1</v>
      </c>
      <c r="DE57" s="46">
        <v>2</v>
      </c>
      <c r="DF57" s="46">
        <v>1</v>
      </c>
      <c r="DG57" s="46">
        <v>2</v>
      </c>
      <c r="DH57" s="46">
        <v>2</v>
      </c>
      <c r="DI57" s="46">
        <v>2</v>
      </c>
      <c r="DJ57" s="46">
        <v>1</v>
      </c>
      <c r="DK57" s="46">
        <v>2</v>
      </c>
      <c r="DL57" s="46">
        <v>1</v>
      </c>
      <c r="DM57" s="46">
        <v>1</v>
      </c>
      <c r="DN57" s="46">
        <v>2</v>
      </c>
      <c r="DO57" s="46">
        <v>1</v>
      </c>
      <c r="DP57" s="46">
        <v>1</v>
      </c>
      <c r="DQ57" s="46">
        <v>2</v>
      </c>
      <c r="DR57" s="46">
        <v>1</v>
      </c>
      <c r="DS57" s="46">
        <v>2</v>
      </c>
      <c r="DT57" s="46">
        <v>1</v>
      </c>
      <c r="DU57" s="46">
        <v>2</v>
      </c>
      <c r="DV57" s="46">
        <v>1</v>
      </c>
      <c r="DW57" s="46">
        <v>2</v>
      </c>
      <c r="DX57" s="46">
        <v>2</v>
      </c>
      <c r="DY57" s="46">
        <v>2</v>
      </c>
      <c r="DZ57" s="46">
        <v>2</v>
      </c>
      <c r="EA57" s="46">
        <v>2</v>
      </c>
      <c r="EB57" s="46">
        <v>2</v>
      </c>
      <c r="EC57" s="46">
        <v>1</v>
      </c>
      <c r="ED57" s="46">
        <v>1</v>
      </c>
      <c r="EE57" s="46">
        <v>1</v>
      </c>
      <c r="EF57" s="46">
        <v>1</v>
      </c>
      <c r="EG57" s="46">
        <v>1</v>
      </c>
      <c r="EH57" s="46">
        <v>2</v>
      </c>
      <c r="EI57" s="46">
        <v>2</v>
      </c>
      <c r="EJ57" s="46">
        <v>2</v>
      </c>
      <c r="EK57" s="46">
        <v>2</v>
      </c>
      <c r="EL57" s="46">
        <v>2</v>
      </c>
      <c r="EM57" s="46">
        <v>2</v>
      </c>
      <c r="EN57" s="46">
        <v>2</v>
      </c>
      <c r="EO57" s="46">
        <v>2</v>
      </c>
      <c r="EP57" s="46">
        <v>2</v>
      </c>
      <c r="EQ57" s="46">
        <v>2</v>
      </c>
      <c r="ER57" s="46">
        <v>2</v>
      </c>
      <c r="ES57" s="46">
        <v>1</v>
      </c>
      <c r="ET57" s="46">
        <v>1</v>
      </c>
      <c r="EU57" s="46">
        <v>2</v>
      </c>
      <c r="EV57" s="46">
        <v>2</v>
      </c>
      <c r="EW57" s="46">
        <v>2</v>
      </c>
      <c r="EX57" s="46">
        <v>2</v>
      </c>
      <c r="EY57" s="46">
        <v>2</v>
      </c>
      <c r="EZ57" s="46">
        <v>2</v>
      </c>
      <c r="FA57" s="46">
        <v>2</v>
      </c>
      <c r="FB57" s="46">
        <v>2</v>
      </c>
      <c r="FC57" s="46">
        <v>1</v>
      </c>
      <c r="FD57" s="46">
        <v>2</v>
      </c>
      <c r="FE57" s="46">
        <v>2</v>
      </c>
      <c r="FF57" s="46">
        <v>2</v>
      </c>
      <c r="FG57" s="46">
        <v>1</v>
      </c>
      <c r="FH57" s="46">
        <v>1</v>
      </c>
    </row>
    <row r="58" spans="1:164" s="31" customFormat="1" x14ac:dyDescent="0.2">
      <c r="A58" s="44" t="s">
        <v>322</v>
      </c>
      <c r="B58" s="30" t="s">
        <v>266</v>
      </c>
      <c r="C58" s="30" t="s">
        <v>293</v>
      </c>
      <c r="D58" s="35" t="s">
        <v>253</v>
      </c>
      <c r="E58" s="46">
        <v>1</v>
      </c>
      <c r="F58" s="46">
        <v>1</v>
      </c>
      <c r="G58" s="46">
        <v>1</v>
      </c>
      <c r="H58" s="30">
        <v>1</v>
      </c>
      <c r="I58" s="30">
        <v>1</v>
      </c>
      <c r="J58" s="30">
        <v>2</v>
      </c>
      <c r="K58" s="46">
        <v>2</v>
      </c>
      <c r="L58" s="46">
        <v>1</v>
      </c>
      <c r="M58" s="46">
        <v>1</v>
      </c>
      <c r="N58" s="46">
        <v>1</v>
      </c>
      <c r="O58" s="46">
        <v>2</v>
      </c>
      <c r="P58" s="46">
        <v>2</v>
      </c>
      <c r="Q58" s="46">
        <v>2</v>
      </c>
      <c r="R58" s="46">
        <v>1</v>
      </c>
      <c r="S58" s="46">
        <v>1</v>
      </c>
      <c r="T58" s="46">
        <v>2</v>
      </c>
      <c r="U58" s="46">
        <v>2</v>
      </c>
      <c r="V58" s="46">
        <v>1</v>
      </c>
      <c r="W58" s="46">
        <v>2</v>
      </c>
      <c r="X58" s="46">
        <v>1</v>
      </c>
      <c r="Y58" s="46">
        <v>2</v>
      </c>
      <c r="Z58" s="46">
        <v>1</v>
      </c>
      <c r="AA58" s="46">
        <v>1</v>
      </c>
      <c r="AB58" s="46">
        <v>1</v>
      </c>
      <c r="AC58" s="46">
        <v>1</v>
      </c>
      <c r="AD58" s="46">
        <v>2</v>
      </c>
      <c r="AE58" s="46">
        <v>1</v>
      </c>
      <c r="AF58" s="46">
        <v>1</v>
      </c>
      <c r="AG58" s="46">
        <v>2</v>
      </c>
      <c r="AH58" s="46">
        <v>2</v>
      </c>
      <c r="AI58" s="46">
        <v>2</v>
      </c>
      <c r="AJ58" s="46">
        <v>1</v>
      </c>
      <c r="AK58" s="46">
        <v>2</v>
      </c>
      <c r="AL58" s="46">
        <v>2</v>
      </c>
      <c r="AM58" s="46">
        <v>2</v>
      </c>
      <c r="AN58" s="46">
        <v>1</v>
      </c>
      <c r="AO58" s="46">
        <v>2</v>
      </c>
      <c r="AP58" s="46">
        <v>1</v>
      </c>
      <c r="AQ58" s="46">
        <v>1</v>
      </c>
      <c r="AR58" s="46">
        <v>2</v>
      </c>
      <c r="AS58" s="46">
        <v>2</v>
      </c>
      <c r="AT58" s="46">
        <v>1</v>
      </c>
      <c r="AU58" s="46">
        <v>2</v>
      </c>
      <c r="AV58" s="46">
        <v>1</v>
      </c>
      <c r="AW58" s="46">
        <v>1</v>
      </c>
      <c r="AX58" s="46">
        <v>2</v>
      </c>
      <c r="AY58" s="46">
        <v>1</v>
      </c>
      <c r="AZ58" s="46">
        <v>2</v>
      </c>
      <c r="BA58" s="46">
        <v>2</v>
      </c>
      <c r="BB58" s="46">
        <v>1</v>
      </c>
      <c r="BC58" s="46">
        <v>1</v>
      </c>
      <c r="BD58" s="46">
        <v>2</v>
      </c>
      <c r="BE58" s="46">
        <v>2</v>
      </c>
      <c r="BF58" s="46">
        <v>1</v>
      </c>
      <c r="BG58" s="46">
        <v>2</v>
      </c>
      <c r="BH58" s="46">
        <v>2</v>
      </c>
      <c r="BI58" s="46">
        <v>1</v>
      </c>
      <c r="BJ58" s="46">
        <v>2</v>
      </c>
      <c r="BK58" s="46">
        <v>2</v>
      </c>
      <c r="BL58" s="46">
        <v>2</v>
      </c>
      <c r="BM58" s="46">
        <v>2</v>
      </c>
      <c r="BN58" s="46">
        <v>2</v>
      </c>
      <c r="BO58" s="46">
        <v>1</v>
      </c>
      <c r="BP58" s="46">
        <v>1</v>
      </c>
      <c r="BQ58" s="46">
        <v>2</v>
      </c>
      <c r="BR58" s="46">
        <v>2</v>
      </c>
      <c r="BS58" s="46">
        <v>2</v>
      </c>
      <c r="BT58" s="46">
        <v>1</v>
      </c>
      <c r="BU58" s="46">
        <v>1</v>
      </c>
      <c r="BV58" s="46">
        <v>1</v>
      </c>
      <c r="BW58" s="46">
        <v>1</v>
      </c>
      <c r="BX58" s="46">
        <v>1</v>
      </c>
      <c r="BY58" s="46">
        <v>2</v>
      </c>
      <c r="BZ58" s="46">
        <v>2</v>
      </c>
      <c r="CA58" s="46">
        <v>2</v>
      </c>
      <c r="CB58" s="46">
        <v>2</v>
      </c>
      <c r="CC58" s="46">
        <v>2</v>
      </c>
      <c r="CD58" s="46">
        <v>2</v>
      </c>
      <c r="CE58" s="46">
        <v>1</v>
      </c>
      <c r="CF58" s="46">
        <v>1</v>
      </c>
      <c r="CG58" s="46">
        <v>1</v>
      </c>
      <c r="CH58" s="46">
        <v>2</v>
      </c>
      <c r="CI58" s="46">
        <v>2</v>
      </c>
      <c r="CJ58" s="46">
        <v>2</v>
      </c>
      <c r="CK58" s="46">
        <v>2</v>
      </c>
      <c r="CL58" s="46">
        <v>2</v>
      </c>
      <c r="CM58" s="46">
        <v>1</v>
      </c>
      <c r="CN58" s="46">
        <v>2</v>
      </c>
      <c r="CO58" s="46">
        <v>1</v>
      </c>
      <c r="CP58" s="46">
        <v>2</v>
      </c>
      <c r="CQ58" s="46">
        <v>1</v>
      </c>
      <c r="CR58" s="46">
        <v>2</v>
      </c>
      <c r="CS58" s="46">
        <v>1</v>
      </c>
      <c r="CT58" s="46">
        <v>2</v>
      </c>
      <c r="CU58" s="46">
        <v>2</v>
      </c>
      <c r="CV58" s="46">
        <v>1</v>
      </c>
      <c r="CW58" s="46">
        <v>2</v>
      </c>
      <c r="CX58" s="46">
        <v>2</v>
      </c>
      <c r="CY58" s="46">
        <v>2</v>
      </c>
      <c r="CZ58" s="46">
        <v>2</v>
      </c>
      <c r="DA58" s="46">
        <v>2</v>
      </c>
      <c r="DB58" s="46">
        <v>2</v>
      </c>
      <c r="DC58" s="46">
        <v>2</v>
      </c>
      <c r="DD58" s="46">
        <v>1</v>
      </c>
      <c r="DE58" s="46">
        <v>2</v>
      </c>
      <c r="DF58" s="46">
        <v>2</v>
      </c>
      <c r="DG58" s="46">
        <v>2</v>
      </c>
      <c r="DH58" s="46">
        <v>1</v>
      </c>
      <c r="DI58" s="46">
        <v>1</v>
      </c>
      <c r="DJ58" s="46">
        <v>2</v>
      </c>
      <c r="DK58" s="46">
        <v>2</v>
      </c>
      <c r="DL58" s="46">
        <v>2</v>
      </c>
      <c r="DM58" s="46">
        <v>2</v>
      </c>
      <c r="DN58" s="46">
        <v>2</v>
      </c>
      <c r="DO58" s="46">
        <v>1</v>
      </c>
      <c r="DP58" s="46">
        <v>1</v>
      </c>
      <c r="DQ58" s="46">
        <v>2</v>
      </c>
      <c r="DR58" s="46">
        <v>2</v>
      </c>
      <c r="DS58" s="46">
        <v>2</v>
      </c>
      <c r="DT58" s="46">
        <v>2</v>
      </c>
      <c r="DU58" s="46">
        <v>2</v>
      </c>
      <c r="DV58" s="46">
        <v>2</v>
      </c>
      <c r="DW58" s="46">
        <v>2</v>
      </c>
      <c r="DX58" s="46">
        <v>2</v>
      </c>
      <c r="DY58" s="46">
        <v>2</v>
      </c>
      <c r="DZ58" s="46">
        <v>2</v>
      </c>
      <c r="EA58" s="46">
        <v>2</v>
      </c>
      <c r="EB58" s="46">
        <v>2</v>
      </c>
      <c r="EC58" s="46">
        <v>1</v>
      </c>
      <c r="ED58" s="46">
        <v>1</v>
      </c>
      <c r="EE58" s="46">
        <v>1</v>
      </c>
      <c r="EF58" s="46">
        <v>1</v>
      </c>
      <c r="EG58" s="46">
        <v>1</v>
      </c>
      <c r="EH58" s="46">
        <v>2</v>
      </c>
      <c r="EI58" s="46">
        <v>2</v>
      </c>
      <c r="EJ58" s="46">
        <v>1</v>
      </c>
      <c r="EK58" s="46">
        <v>1</v>
      </c>
      <c r="EL58" s="46">
        <v>2</v>
      </c>
      <c r="EM58" s="46">
        <v>2</v>
      </c>
      <c r="EN58" s="46">
        <v>2</v>
      </c>
      <c r="EO58" s="46">
        <v>2</v>
      </c>
      <c r="EP58" s="46">
        <v>2</v>
      </c>
      <c r="EQ58" s="46">
        <v>2</v>
      </c>
      <c r="ER58" s="46">
        <v>2</v>
      </c>
      <c r="ES58" s="46">
        <v>2</v>
      </c>
      <c r="ET58" s="46">
        <v>2</v>
      </c>
      <c r="EU58" s="46">
        <v>2</v>
      </c>
      <c r="EV58" s="46">
        <v>2</v>
      </c>
      <c r="EW58" s="46">
        <v>2</v>
      </c>
      <c r="EX58" s="46">
        <v>2</v>
      </c>
      <c r="EY58" s="46">
        <v>1</v>
      </c>
      <c r="EZ58" s="46">
        <v>2</v>
      </c>
      <c r="FA58" s="46">
        <v>1</v>
      </c>
      <c r="FB58" s="46">
        <v>2</v>
      </c>
      <c r="FC58" s="46">
        <v>2</v>
      </c>
      <c r="FD58" s="46">
        <v>2</v>
      </c>
      <c r="FE58" s="46">
        <v>2</v>
      </c>
      <c r="FF58" s="46">
        <v>2</v>
      </c>
      <c r="FG58" s="46">
        <v>1</v>
      </c>
      <c r="FH58" s="46">
        <v>2</v>
      </c>
    </row>
    <row r="59" spans="1:164" s="31" customFormat="1" x14ac:dyDescent="0.2">
      <c r="A59" s="44" t="s">
        <v>323</v>
      </c>
      <c r="B59" s="30" t="s">
        <v>266</v>
      </c>
      <c r="C59" s="30" t="s">
        <v>293</v>
      </c>
      <c r="D59" s="35" t="s">
        <v>251</v>
      </c>
      <c r="E59" s="46">
        <v>2</v>
      </c>
      <c r="F59" s="46">
        <v>2</v>
      </c>
      <c r="G59" s="46">
        <v>1</v>
      </c>
      <c r="H59" s="30">
        <v>1</v>
      </c>
      <c r="I59" s="30">
        <v>1</v>
      </c>
      <c r="J59" s="30">
        <v>1</v>
      </c>
      <c r="K59" s="46">
        <v>2</v>
      </c>
      <c r="L59" s="46">
        <v>1</v>
      </c>
      <c r="M59" s="46">
        <v>1</v>
      </c>
      <c r="N59" s="46">
        <v>1</v>
      </c>
      <c r="O59" s="46">
        <v>2</v>
      </c>
      <c r="P59" s="46">
        <v>1</v>
      </c>
      <c r="Q59" s="46">
        <v>2</v>
      </c>
      <c r="R59" s="46">
        <v>2</v>
      </c>
      <c r="S59" s="46">
        <v>1</v>
      </c>
      <c r="T59" s="46">
        <v>2</v>
      </c>
      <c r="U59" s="46">
        <v>2</v>
      </c>
      <c r="V59" s="46">
        <v>1</v>
      </c>
      <c r="W59" s="46">
        <v>2</v>
      </c>
      <c r="X59" s="46">
        <v>2</v>
      </c>
      <c r="Y59" s="46">
        <v>1</v>
      </c>
      <c r="Z59" s="46">
        <v>1</v>
      </c>
      <c r="AA59" s="46">
        <v>2</v>
      </c>
      <c r="AB59" s="46">
        <v>2</v>
      </c>
      <c r="AC59" s="46">
        <v>1</v>
      </c>
      <c r="AD59" s="46">
        <v>1</v>
      </c>
      <c r="AE59" s="46">
        <v>1</v>
      </c>
      <c r="AF59" s="46">
        <v>2</v>
      </c>
      <c r="AG59" s="46">
        <v>2</v>
      </c>
      <c r="AH59" s="46">
        <v>2</v>
      </c>
      <c r="AI59" s="46">
        <v>1</v>
      </c>
      <c r="AJ59" s="46">
        <v>2</v>
      </c>
      <c r="AK59" s="46">
        <v>2</v>
      </c>
      <c r="AL59" s="46">
        <v>2</v>
      </c>
      <c r="AM59" s="46">
        <v>1</v>
      </c>
      <c r="AN59" s="46">
        <v>1</v>
      </c>
      <c r="AO59" s="46">
        <v>1</v>
      </c>
      <c r="AP59" s="46">
        <v>1</v>
      </c>
      <c r="AQ59" s="46">
        <v>1</v>
      </c>
      <c r="AR59" s="46">
        <v>2</v>
      </c>
      <c r="AS59" s="46">
        <v>2</v>
      </c>
      <c r="AT59" s="46">
        <v>1</v>
      </c>
      <c r="AU59" s="46">
        <v>2</v>
      </c>
      <c r="AV59" s="46">
        <v>1</v>
      </c>
      <c r="AW59" s="46">
        <v>2</v>
      </c>
      <c r="AX59" s="46">
        <v>1</v>
      </c>
      <c r="AY59" s="46">
        <v>2</v>
      </c>
      <c r="AZ59" s="46">
        <v>2</v>
      </c>
      <c r="BA59" s="46">
        <v>2</v>
      </c>
      <c r="BB59" s="46">
        <v>1</v>
      </c>
      <c r="BC59" s="46">
        <v>2</v>
      </c>
      <c r="BD59" s="46">
        <v>2</v>
      </c>
      <c r="BE59" s="46">
        <v>2</v>
      </c>
      <c r="BF59" s="46">
        <v>2</v>
      </c>
      <c r="BG59" s="46">
        <v>1</v>
      </c>
      <c r="BH59" s="46">
        <v>2</v>
      </c>
      <c r="BI59" s="46">
        <v>2</v>
      </c>
      <c r="BJ59" s="46">
        <v>2</v>
      </c>
      <c r="BK59" s="46">
        <v>2</v>
      </c>
      <c r="BL59" s="46">
        <v>1</v>
      </c>
      <c r="BM59" s="46">
        <v>2</v>
      </c>
      <c r="BN59" s="46">
        <v>2</v>
      </c>
      <c r="BO59" s="46">
        <v>1</v>
      </c>
      <c r="BP59" s="46">
        <v>2</v>
      </c>
      <c r="BQ59" s="46">
        <v>2</v>
      </c>
      <c r="BR59" s="46">
        <v>1</v>
      </c>
      <c r="BS59" s="46">
        <v>1</v>
      </c>
      <c r="BT59" s="46">
        <v>1</v>
      </c>
      <c r="BU59" s="46">
        <v>2</v>
      </c>
      <c r="BV59" s="46">
        <v>2</v>
      </c>
      <c r="BW59" s="46">
        <v>2</v>
      </c>
      <c r="BX59" s="46">
        <v>2</v>
      </c>
      <c r="BY59" s="46">
        <v>2</v>
      </c>
      <c r="BZ59" s="46">
        <v>2</v>
      </c>
      <c r="CA59" s="46">
        <v>2</v>
      </c>
      <c r="CB59" s="46">
        <v>1</v>
      </c>
      <c r="CC59" s="46">
        <v>2</v>
      </c>
      <c r="CD59" s="46">
        <v>2</v>
      </c>
      <c r="CE59" s="46">
        <v>1</v>
      </c>
      <c r="CF59" s="46">
        <v>1</v>
      </c>
      <c r="CG59" s="46">
        <v>1</v>
      </c>
      <c r="CH59" s="46">
        <v>2</v>
      </c>
      <c r="CI59" s="46">
        <v>2</v>
      </c>
      <c r="CJ59" s="46">
        <v>2</v>
      </c>
      <c r="CK59" s="46">
        <v>2</v>
      </c>
      <c r="CL59" s="46">
        <v>2</v>
      </c>
      <c r="CM59" s="46">
        <v>2</v>
      </c>
      <c r="CN59" s="46">
        <v>2</v>
      </c>
      <c r="CO59" s="46">
        <v>2</v>
      </c>
      <c r="CP59" s="46">
        <v>2</v>
      </c>
      <c r="CQ59" s="46">
        <v>2</v>
      </c>
      <c r="CR59" s="46">
        <v>2</v>
      </c>
      <c r="CS59" s="46">
        <v>1</v>
      </c>
      <c r="CT59" s="46">
        <v>2</v>
      </c>
      <c r="CU59" s="46">
        <v>2</v>
      </c>
      <c r="CV59" s="46">
        <v>1</v>
      </c>
      <c r="CW59" s="46">
        <v>2</v>
      </c>
      <c r="CX59" s="46">
        <v>1</v>
      </c>
      <c r="CY59" s="46">
        <v>1</v>
      </c>
      <c r="CZ59" s="46">
        <v>2</v>
      </c>
      <c r="DA59" s="46">
        <v>2</v>
      </c>
      <c r="DB59" s="46">
        <v>2</v>
      </c>
      <c r="DC59" s="46">
        <v>2</v>
      </c>
      <c r="DD59" s="46">
        <v>2</v>
      </c>
      <c r="DE59" s="46">
        <v>2</v>
      </c>
      <c r="DF59" s="46">
        <v>2</v>
      </c>
      <c r="DG59" s="46">
        <v>2</v>
      </c>
      <c r="DH59" s="46">
        <v>1</v>
      </c>
      <c r="DI59" s="46">
        <v>2</v>
      </c>
      <c r="DJ59" s="46">
        <v>1</v>
      </c>
      <c r="DK59" s="46">
        <v>2</v>
      </c>
      <c r="DL59" s="46">
        <v>2</v>
      </c>
      <c r="DM59" s="46">
        <v>2</v>
      </c>
      <c r="DN59" s="46">
        <v>1</v>
      </c>
      <c r="DO59" s="46">
        <v>1</v>
      </c>
      <c r="DP59" s="46">
        <v>2</v>
      </c>
      <c r="DQ59" s="46">
        <v>2</v>
      </c>
      <c r="DR59" s="46">
        <v>1</v>
      </c>
      <c r="DS59" s="46">
        <v>1</v>
      </c>
      <c r="DT59" s="46">
        <v>1</v>
      </c>
      <c r="DU59" s="46">
        <v>2</v>
      </c>
      <c r="DV59" s="46">
        <v>1</v>
      </c>
      <c r="DW59" s="46">
        <v>2</v>
      </c>
      <c r="DX59" s="46">
        <v>2</v>
      </c>
      <c r="DY59" s="46">
        <v>2</v>
      </c>
      <c r="DZ59" s="46">
        <v>2</v>
      </c>
      <c r="EA59" s="46">
        <v>2</v>
      </c>
      <c r="EB59" s="46">
        <v>2</v>
      </c>
      <c r="EC59" s="46">
        <v>2</v>
      </c>
      <c r="ED59" s="46">
        <v>1</v>
      </c>
      <c r="EE59" s="46">
        <v>1</v>
      </c>
      <c r="EF59" s="46">
        <v>2</v>
      </c>
      <c r="EG59" s="46">
        <v>2</v>
      </c>
      <c r="EH59" s="46">
        <v>2</v>
      </c>
      <c r="EI59" s="46">
        <v>2</v>
      </c>
      <c r="EJ59" s="46">
        <v>2</v>
      </c>
      <c r="EK59" s="46">
        <v>2</v>
      </c>
      <c r="EL59" s="46">
        <v>2</v>
      </c>
      <c r="EM59" s="46">
        <v>2</v>
      </c>
      <c r="EN59" s="46">
        <v>2</v>
      </c>
      <c r="EO59" s="46">
        <v>1</v>
      </c>
      <c r="EP59" s="46">
        <v>2</v>
      </c>
      <c r="EQ59" s="46">
        <v>2</v>
      </c>
      <c r="ER59" s="46">
        <v>2</v>
      </c>
      <c r="ES59" s="46">
        <v>2</v>
      </c>
      <c r="ET59" s="46">
        <v>2</v>
      </c>
      <c r="EU59" s="46">
        <v>2</v>
      </c>
      <c r="EV59" s="46">
        <v>1</v>
      </c>
      <c r="EW59" s="46">
        <v>2</v>
      </c>
      <c r="EX59" s="46">
        <v>2</v>
      </c>
      <c r="EY59" s="46">
        <v>2</v>
      </c>
      <c r="EZ59" s="46">
        <v>2</v>
      </c>
      <c r="FA59" s="46">
        <v>2</v>
      </c>
      <c r="FB59" s="46">
        <v>2</v>
      </c>
      <c r="FC59" s="46">
        <v>2</v>
      </c>
      <c r="FD59" s="46">
        <v>2</v>
      </c>
      <c r="FE59" s="46">
        <v>2</v>
      </c>
      <c r="FF59" s="46">
        <v>2</v>
      </c>
      <c r="FG59" s="46">
        <v>1</v>
      </c>
      <c r="FH59" s="46">
        <v>1</v>
      </c>
    </row>
    <row r="60" spans="1:164" s="31" customFormat="1" x14ac:dyDescent="0.2">
      <c r="A60" s="44" t="s">
        <v>324</v>
      </c>
      <c r="B60" s="30" t="s">
        <v>270</v>
      </c>
      <c r="C60" s="30" t="s">
        <v>347</v>
      </c>
      <c r="D60" s="35" t="s">
        <v>252</v>
      </c>
      <c r="E60" s="46">
        <v>2</v>
      </c>
      <c r="F60" s="46">
        <v>1</v>
      </c>
      <c r="G60" s="46">
        <v>2</v>
      </c>
      <c r="H60" s="30">
        <v>1</v>
      </c>
      <c r="I60" s="30">
        <v>1</v>
      </c>
      <c r="J60" s="30">
        <v>1</v>
      </c>
      <c r="K60" s="46">
        <v>2</v>
      </c>
      <c r="L60" s="46">
        <v>2</v>
      </c>
      <c r="M60" s="46">
        <v>1</v>
      </c>
      <c r="N60" s="46">
        <v>1</v>
      </c>
      <c r="O60" s="46">
        <v>2</v>
      </c>
      <c r="P60" s="46">
        <v>1</v>
      </c>
      <c r="Q60" s="46">
        <v>2</v>
      </c>
      <c r="R60" s="46">
        <v>2</v>
      </c>
      <c r="S60" s="46">
        <v>2</v>
      </c>
      <c r="T60" s="46">
        <v>2</v>
      </c>
      <c r="U60" s="46">
        <v>2</v>
      </c>
      <c r="V60" s="46">
        <v>1</v>
      </c>
      <c r="W60" s="46">
        <v>2</v>
      </c>
      <c r="X60" s="46">
        <v>2</v>
      </c>
      <c r="Y60" s="46">
        <v>1</v>
      </c>
      <c r="Z60" s="46">
        <v>2</v>
      </c>
      <c r="AA60" s="46">
        <v>1</v>
      </c>
      <c r="AB60" s="46">
        <v>2</v>
      </c>
      <c r="AC60" s="46">
        <v>1</v>
      </c>
      <c r="AD60" s="46">
        <v>2</v>
      </c>
      <c r="AE60" s="46">
        <v>1</v>
      </c>
      <c r="AF60" s="46">
        <v>2</v>
      </c>
      <c r="AG60" s="46">
        <v>2</v>
      </c>
      <c r="AH60" s="46">
        <v>2</v>
      </c>
      <c r="AI60" s="46">
        <v>2</v>
      </c>
      <c r="AJ60" s="46">
        <v>2</v>
      </c>
      <c r="AK60" s="46">
        <v>2</v>
      </c>
      <c r="AL60" s="46">
        <v>2</v>
      </c>
      <c r="AM60" s="46">
        <v>1</v>
      </c>
      <c r="AN60" s="46">
        <v>1</v>
      </c>
      <c r="AO60" s="46">
        <v>1</v>
      </c>
      <c r="AP60" s="46">
        <v>2</v>
      </c>
      <c r="AQ60" s="46">
        <v>1</v>
      </c>
      <c r="AR60" s="46">
        <v>2</v>
      </c>
      <c r="AS60" s="46">
        <v>1</v>
      </c>
      <c r="AT60" s="46">
        <v>2</v>
      </c>
      <c r="AU60" s="46">
        <v>2</v>
      </c>
      <c r="AV60" s="46">
        <v>2</v>
      </c>
      <c r="AW60" s="46">
        <v>2</v>
      </c>
      <c r="AX60" s="46">
        <v>2</v>
      </c>
      <c r="AY60" s="46">
        <v>2</v>
      </c>
      <c r="AZ60" s="46">
        <v>2</v>
      </c>
      <c r="BA60" s="46">
        <v>2</v>
      </c>
      <c r="BB60" s="46">
        <v>1</v>
      </c>
      <c r="BC60" s="46">
        <v>2</v>
      </c>
      <c r="BD60" s="46">
        <v>1</v>
      </c>
      <c r="BE60" s="46">
        <v>2</v>
      </c>
      <c r="BF60" s="46">
        <v>2</v>
      </c>
      <c r="BG60" s="46">
        <v>2</v>
      </c>
      <c r="BH60" s="46">
        <v>2</v>
      </c>
      <c r="BI60" s="46">
        <v>2</v>
      </c>
      <c r="BJ60" s="46">
        <v>2</v>
      </c>
      <c r="BK60" s="46">
        <v>2</v>
      </c>
      <c r="BL60" s="46">
        <v>2</v>
      </c>
      <c r="BM60" s="46">
        <v>1</v>
      </c>
      <c r="BN60" s="46">
        <v>2</v>
      </c>
      <c r="BO60" s="46">
        <v>2</v>
      </c>
      <c r="BP60" s="46">
        <v>2</v>
      </c>
      <c r="BQ60" s="46">
        <v>2</v>
      </c>
      <c r="BR60" s="46">
        <v>2</v>
      </c>
      <c r="BS60" s="46">
        <v>2</v>
      </c>
      <c r="BT60" s="46">
        <v>1</v>
      </c>
      <c r="BU60" s="46">
        <v>2</v>
      </c>
      <c r="BV60" s="46">
        <v>1</v>
      </c>
      <c r="BW60" s="46">
        <v>2</v>
      </c>
      <c r="BX60" s="46">
        <v>2</v>
      </c>
      <c r="BY60" s="46">
        <v>2</v>
      </c>
      <c r="BZ60" s="46">
        <v>2</v>
      </c>
      <c r="CA60" s="46">
        <v>2</v>
      </c>
      <c r="CB60" s="46">
        <v>2</v>
      </c>
      <c r="CC60" s="46">
        <v>1</v>
      </c>
      <c r="CD60" s="46">
        <v>2</v>
      </c>
      <c r="CE60" s="46">
        <v>2</v>
      </c>
      <c r="CF60" s="46">
        <v>2</v>
      </c>
      <c r="CG60" s="46">
        <v>1</v>
      </c>
      <c r="CH60" s="46">
        <v>2</v>
      </c>
      <c r="CI60" s="46">
        <v>2</v>
      </c>
      <c r="CJ60" s="46">
        <v>2</v>
      </c>
      <c r="CK60" s="46">
        <v>2</v>
      </c>
      <c r="CL60" s="46">
        <v>1</v>
      </c>
      <c r="CM60" s="46">
        <v>2</v>
      </c>
      <c r="CN60" s="46">
        <v>2</v>
      </c>
      <c r="CO60" s="46">
        <v>2</v>
      </c>
      <c r="CP60" s="46">
        <v>2</v>
      </c>
      <c r="CQ60" s="46">
        <v>2</v>
      </c>
      <c r="CR60" s="46">
        <v>2</v>
      </c>
      <c r="CS60" s="46">
        <v>1</v>
      </c>
      <c r="CT60" s="46">
        <v>1</v>
      </c>
      <c r="CU60" s="46">
        <v>2</v>
      </c>
      <c r="CV60" s="46">
        <v>1</v>
      </c>
      <c r="CW60" s="46">
        <v>2</v>
      </c>
      <c r="CX60" s="46">
        <v>2</v>
      </c>
      <c r="CY60" s="46">
        <v>2</v>
      </c>
      <c r="CZ60" s="46">
        <v>2</v>
      </c>
      <c r="DA60" s="46">
        <v>2</v>
      </c>
      <c r="DB60" s="46">
        <v>1</v>
      </c>
      <c r="DC60" s="46">
        <v>2</v>
      </c>
      <c r="DD60" s="46">
        <v>2</v>
      </c>
      <c r="DE60" s="46">
        <v>2</v>
      </c>
      <c r="DF60" s="46">
        <v>2</v>
      </c>
      <c r="DG60" s="46">
        <v>2</v>
      </c>
      <c r="DH60" s="46">
        <v>1</v>
      </c>
      <c r="DI60" s="46">
        <v>2</v>
      </c>
      <c r="DJ60" s="46">
        <v>2</v>
      </c>
      <c r="DK60" s="46">
        <v>2</v>
      </c>
      <c r="DL60" s="46">
        <v>2</v>
      </c>
      <c r="DM60" s="46">
        <v>2</v>
      </c>
      <c r="DN60" s="46">
        <v>2</v>
      </c>
      <c r="DO60" s="46">
        <v>1</v>
      </c>
      <c r="DP60" s="46">
        <v>2</v>
      </c>
      <c r="DQ60" s="46">
        <v>2</v>
      </c>
      <c r="DR60" s="46">
        <v>2</v>
      </c>
      <c r="DS60" s="46">
        <v>2</v>
      </c>
      <c r="DT60" s="46">
        <v>2</v>
      </c>
      <c r="DU60" s="46">
        <v>2</v>
      </c>
      <c r="DV60" s="46">
        <v>2</v>
      </c>
      <c r="DW60" s="46">
        <v>2</v>
      </c>
      <c r="DX60" s="46">
        <v>2</v>
      </c>
      <c r="DY60" s="46">
        <v>2</v>
      </c>
      <c r="DZ60" s="46">
        <v>2</v>
      </c>
      <c r="EA60" s="46">
        <v>2</v>
      </c>
      <c r="EB60" s="46">
        <v>2</v>
      </c>
      <c r="EC60" s="46">
        <v>2</v>
      </c>
      <c r="ED60" s="46">
        <v>1</v>
      </c>
      <c r="EE60" s="46">
        <v>1</v>
      </c>
      <c r="EF60" s="46">
        <v>2</v>
      </c>
      <c r="EG60" s="46">
        <v>2</v>
      </c>
      <c r="EH60" s="46">
        <v>2</v>
      </c>
      <c r="EI60" s="46">
        <v>2</v>
      </c>
      <c r="EJ60" s="46">
        <v>2</v>
      </c>
      <c r="EK60" s="46">
        <v>2</v>
      </c>
      <c r="EL60" s="46">
        <v>2</v>
      </c>
      <c r="EM60" s="46">
        <v>2</v>
      </c>
      <c r="EN60" s="46">
        <v>2</v>
      </c>
      <c r="EO60" s="46">
        <v>1</v>
      </c>
      <c r="EP60" s="46">
        <v>2</v>
      </c>
      <c r="EQ60" s="46">
        <v>2</v>
      </c>
      <c r="ER60" s="46">
        <v>2</v>
      </c>
      <c r="ES60" s="46">
        <v>2</v>
      </c>
      <c r="ET60" s="46">
        <v>2</v>
      </c>
      <c r="EU60" s="46">
        <v>2</v>
      </c>
      <c r="EV60" s="46">
        <v>1</v>
      </c>
      <c r="EW60" s="46">
        <v>2</v>
      </c>
      <c r="EX60" s="46">
        <v>2</v>
      </c>
      <c r="EY60" s="46">
        <v>2</v>
      </c>
      <c r="EZ60" s="46">
        <v>2</v>
      </c>
      <c r="FA60" s="46">
        <v>2</v>
      </c>
      <c r="FB60" s="46">
        <v>2</v>
      </c>
      <c r="FC60" s="46">
        <v>2</v>
      </c>
      <c r="FD60" s="46">
        <v>2</v>
      </c>
      <c r="FE60" s="46">
        <v>2</v>
      </c>
      <c r="FF60" s="46">
        <v>2</v>
      </c>
      <c r="FG60" s="46">
        <v>1</v>
      </c>
      <c r="FH60" s="46">
        <v>2</v>
      </c>
    </row>
    <row r="61" spans="1:164" s="31" customFormat="1" x14ac:dyDescent="0.2">
      <c r="A61" s="44" t="s">
        <v>320</v>
      </c>
      <c r="B61" s="30" t="s">
        <v>265</v>
      </c>
      <c r="C61" s="30" t="s">
        <v>293</v>
      </c>
      <c r="D61" s="35" t="s">
        <v>253</v>
      </c>
      <c r="E61" s="46">
        <v>1</v>
      </c>
      <c r="F61" s="46">
        <v>2</v>
      </c>
      <c r="G61" s="46">
        <v>2</v>
      </c>
      <c r="H61" s="30">
        <v>1</v>
      </c>
      <c r="I61" s="30">
        <v>2</v>
      </c>
      <c r="J61" s="30">
        <v>2</v>
      </c>
      <c r="K61" s="46">
        <v>2</v>
      </c>
      <c r="L61" s="46">
        <v>1</v>
      </c>
      <c r="M61" s="46">
        <v>2</v>
      </c>
      <c r="N61" s="46">
        <v>1</v>
      </c>
      <c r="O61" s="46">
        <v>2</v>
      </c>
      <c r="P61" s="46">
        <v>2</v>
      </c>
      <c r="Q61" s="46">
        <v>2</v>
      </c>
      <c r="R61" s="46">
        <v>1</v>
      </c>
      <c r="S61" s="46">
        <v>2</v>
      </c>
      <c r="T61" s="46">
        <v>2</v>
      </c>
      <c r="U61" s="46">
        <v>2</v>
      </c>
      <c r="V61" s="46">
        <v>1</v>
      </c>
      <c r="W61" s="46">
        <v>1</v>
      </c>
      <c r="X61" s="46">
        <v>2</v>
      </c>
      <c r="Y61" s="46">
        <v>2</v>
      </c>
      <c r="Z61" s="46">
        <v>1</v>
      </c>
      <c r="AA61" s="46">
        <v>1</v>
      </c>
      <c r="AB61" s="46">
        <v>1</v>
      </c>
      <c r="AC61" s="46">
        <v>1</v>
      </c>
      <c r="AD61" s="46">
        <v>2</v>
      </c>
      <c r="AE61" s="46">
        <v>1</v>
      </c>
      <c r="AF61" s="46">
        <v>2</v>
      </c>
      <c r="AG61" s="46">
        <v>2</v>
      </c>
      <c r="AH61" s="46">
        <v>2</v>
      </c>
      <c r="AI61" s="46">
        <v>2</v>
      </c>
      <c r="AJ61" s="46">
        <v>2</v>
      </c>
      <c r="AK61" s="46">
        <v>2</v>
      </c>
      <c r="AL61" s="46">
        <v>2</v>
      </c>
      <c r="AM61" s="46">
        <v>2</v>
      </c>
      <c r="AN61" s="46">
        <v>1</v>
      </c>
      <c r="AO61" s="46">
        <v>1</v>
      </c>
      <c r="AP61" s="46">
        <v>1</v>
      </c>
      <c r="AQ61" s="46">
        <v>1</v>
      </c>
      <c r="AR61" s="46">
        <v>2</v>
      </c>
      <c r="AS61" s="46">
        <v>2</v>
      </c>
      <c r="AT61" s="46">
        <v>2</v>
      </c>
      <c r="AU61" s="46">
        <v>2</v>
      </c>
      <c r="AV61" s="46">
        <v>1</v>
      </c>
      <c r="AW61" s="46">
        <v>1</v>
      </c>
      <c r="AX61" s="46">
        <v>2</v>
      </c>
      <c r="AY61" s="46">
        <v>2</v>
      </c>
      <c r="AZ61" s="46">
        <v>2</v>
      </c>
      <c r="BA61" s="46">
        <v>2</v>
      </c>
      <c r="BB61" s="46">
        <v>1</v>
      </c>
      <c r="BC61" s="46">
        <v>1</v>
      </c>
      <c r="BD61" s="46">
        <v>2</v>
      </c>
      <c r="BE61" s="46">
        <v>1</v>
      </c>
      <c r="BF61" s="46">
        <v>2</v>
      </c>
      <c r="BG61" s="46">
        <v>2</v>
      </c>
      <c r="BH61" s="46">
        <v>2</v>
      </c>
      <c r="BI61" s="46">
        <v>2</v>
      </c>
      <c r="BJ61" s="46">
        <v>2</v>
      </c>
      <c r="BK61" s="46">
        <v>2</v>
      </c>
      <c r="BL61" s="46">
        <v>2</v>
      </c>
      <c r="BM61" s="46">
        <v>2</v>
      </c>
      <c r="BN61" s="46">
        <v>2</v>
      </c>
      <c r="BO61" s="46">
        <v>1</v>
      </c>
      <c r="BP61" s="46">
        <v>2</v>
      </c>
      <c r="BQ61" s="46">
        <v>2</v>
      </c>
      <c r="BR61" s="46">
        <v>2</v>
      </c>
      <c r="BS61" s="46">
        <v>2</v>
      </c>
      <c r="BT61" s="46">
        <v>1</v>
      </c>
      <c r="BU61" s="46">
        <v>2</v>
      </c>
      <c r="BV61" s="46">
        <v>2</v>
      </c>
      <c r="BW61" s="46">
        <v>2</v>
      </c>
      <c r="BX61" s="46">
        <v>1</v>
      </c>
      <c r="BY61" s="46">
        <v>2</v>
      </c>
      <c r="BZ61" s="46">
        <v>1</v>
      </c>
      <c r="CA61" s="46">
        <v>2</v>
      </c>
      <c r="CB61" s="46">
        <v>2</v>
      </c>
      <c r="CC61" s="46">
        <v>2</v>
      </c>
      <c r="CD61" s="46">
        <v>2</v>
      </c>
      <c r="CE61" s="46">
        <v>2</v>
      </c>
      <c r="CF61" s="46">
        <v>2</v>
      </c>
      <c r="CG61" s="46">
        <v>1</v>
      </c>
      <c r="CH61" s="46">
        <v>2</v>
      </c>
      <c r="CI61" s="46">
        <v>2</v>
      </c>
      <c r="CJ61" s="46">
        <v>2</v>
      </c>
      <c r="CK61" s="46">
        <v>2</v>
      </c>
      <c r="CL61" s="46">
        <v>2</v>
      </c>
      <c r="CM61" s="46">
        <v>2</v>
      </c>
      <c r="CN61" s="46">
        <v>2</v>
      </c>
      <c r="CO61" s="46">
        <v>2</v>
      </c>
      <c r="CP61" s="46">
        <v>2</v>
      </c>
      <c r="CQ61" s="46">
        <v>2</v>
      </c>
      <c r="CR61" s="46">
        <v>2</v>
      </c>
      <c r="CS61" s="46">
        <v>1</v>
      </c>
      <c r="CT61" s="46">
        <v>2</v>
      </c>
      <c r="CU61" s="46">
        <v>2</v>
      </c>
      <c r="CV61" s="46">
        <v>1</v>
      </c>
      <c r="CW61" s="46">
        <v>2</v>
      </c>
      <c r="CX61" s="46">
        <v>2</v>
      </c>
      <c r="CY61" s="46">
        <v>2</v>
      </c>
      <c r="CZ61" s="46">
        <v>2</v>
      </c>
      <c r="DA61" s="46">
        <v>2</v>
      </c>
      <c r="DB61" s="46">
        <v>1</v>
      </c>
      <c r="DC61" s="46">
        <v>2</v>
      </c>
      <c r="DD61" s="46">
        <v>2</v>
      </c>
      <c r="DE61" s="46">
        <v>2</v>
      </c>
      <c r="DF61" s="46">
        <v>2</v>
      </c>
      <c r="DG61" s="46">
        <v>2</v>
      </c>
      <c r="DH61" s="46">
        <v>2</v>
      </c>
      <c r="DI61" s="46">
        <v>2</v>
      </c>
      <c r="DJ61" s="46">
        <v>2</v>
      </c>
      <c r="DK61" s="46">
        <v>2</v>
      </c>
      <c r="DL61" s="46">
        <v>2</v>
      </c>
      <c r="DM61" s="46">
        <v>2</v>
      </c>
      <c r="DN61" s="46">
        <v>2</v>
      </c>
      <c r="DO61" s="46">
        <v>1</v>
      </c>
      <c r="DP61" s="46">
        <v>2</v>
      </c>
      <c r="DQ61" s="46">
        <v>2</v>
      </c>
      <c r="DR61" s="46">
        <v>2</v>
      </c>
      <c r="DS61" s="46">
        <v>2</v>
      </c>
      <c r="DT61" s="46">
        <v>2</v>
      </c>
      <c r="DU61" s="46">
        <v>2</v>
      </c>
      <c r="DV61" s="46">
        <v>2</v>
      </c>
      <c r="DW61" s="46">
        <v>2</v>
      </c>
      <c r="DX61" s="46">
        <v>2</v>
      </c>
      <c r="DY61" s="46">
        <v>2</v>
      </c>
      <c r="DZ61" s="46">
        <v>2</v>
      </c>
      <c r="EA61" s="46">
        <v>2</v>
      </c>
      <c r="EB61" s="46">
        <v>2</v>
      </c>
      <c r="EC61" s="46">
        <v>2</v>
      </c>
      <c r="ED61" s="46">
        <v>2</v>
      </c>
      <c r="EE61" s="46">
        <v>2</v>
      </c>
      <c r="EF61" s="46">
        <v>2</v>
      </c>
      <c r="EG61" s="46">
        <v>2</v>
      </c>
      <c r="EH61" s="46">
        <v>2</v>
      </c>
      <c r="EI61" s="46">
        <v>2</v>
      </c>
      <c r="EJ61" s="46">
        <v>2</v>
      </c>
      <c r="EK61" s="46">
        <v>2</v>
      </c>
      <c r="EL61" s="46">
        <v>2</v>
      </c>
      <c r="EM61" s="46">
        <v>2</v>
      </c>
      <c r="EN61" s="46">
        <v>1</v>
      </c>
      <c r="EO61" s="46">
        <v>2</v>
      </c>
      <c r="EP61" s="46">
        <v>2</v>
      </c>
      <c r="EQ61" s="46">
        <v>2</v>
      </c>
      <c r="ER61" s="46">
        <v>2</v>
      </c>
      <c r="ES61" s="46">
        <v>2</v>
      </c>
      <c r="ET61" s="46">
        <v>2</v>
      </c>
      <c r="EU61" s="46">
        <v>2</v>
      </c>
      <c r="EV61" s="46">
        <v>1</v>
      </c>
      <c r="EW61" s="46">
        <v>2</v>
      </c>
      <c r="EX61" s="46">
        <v>1</v>
      </c>
      <c r="EY61" s="46">
        <v>1</v>
      </c>
      <c r="EZ61" s="46">
        <v>2</v>
      </c>
      <c r="FA61" s="46">
        <v>2</v>
      </c>
      <c r="FB61" s="46">
        <v>2</v>
      </c>
      <c r="FC61" s="46">
        <v>2</v>
      </c>
      <c r="FD61" s="46">
        <v>2</v>
      </c>
      <c r="FE61" s="46">
        <v>2</v>
      </c>
      <c r="FF61" s="46">
        <v>2</v>
      </c>
      <c r="FG61" s="46">
        <v>2</v>
      </c>
      <c r="FH61" s="46">
        <v>2</v>
      </c>
    </row>
    <row r="62" spans="1:164" s="31" customFormat="1" x14ac:dyDescent="0.2">
      <c r="A62" s="44" t="s">
        <v>325</v>
      </c>
      <c r="B62" s="30" t="s">
        <v>267</v>
      </c>
      <c r="C62" s="30" t="s">
        <v>293</v>
      </c>
      <c r="D62" s="35" t="s">
        <v>254</v>
      </c>
      <c r="E62" s="46">
        <v>1</v>
      </c>
      <c r="F62" s="46">
        <v>1</v>
      </c>
      <c r="G62" s="46">
        <v>1</v>
      </c>
      <c r="H62" s="30">
        <v>1</v>
      </c>
      <c r="I62" s="30">
        <v>2</v>
      </c>
      <c r="J62" s="30">
        <v>0</v>
      </c>
      <c r="K62" s="46">
        <v>1</v>
      </c>
      <c r="L62" s="46">
        <v>1</v>
      </c>
      <c r="M62" s="46">
        <v>1</v>
      </c>
      <c r="N62" s="46">
        <v>1</v>
      </c>
      <c r="O62" s="46">
        <v>2</v>
      </c>
      <c r="P62" s="46">
        <v>2</v>
      </c>
      <c r="Q62" s="46">
        <v>2</v>
      </c>
      <c r="R62" s="46">
        <v>2</v>
      </c>
      <c r="S62" s="46">
        <v>1</v>
      </c>
      <c r="T62" s="46">
        <v>2</v>
      </c>
      <c r="U62" s="46">
        <v>1</v>
      </c>
      <c r="V62" s="46">
        <v>1</v>
      </c>
      <c r="W62" s="46">
        <v>2</v>
      </c>
      <c r="X62" s="46">
        <v>2</v>
      </c>
      <c r="Y62" s="46">
        <v>0</v>
      </c>
      <c r="Z62" s="46">
        <v>2</v>
      </c>
      <c r="AA62" s="46">
        <v>2</v>
      </c>
      <c r="AB62" s="46">
        <v>2</v>
      </c>
      <c r="AC62" s="46">
        <v>1</v>
      </c>
      <c r="AD62" s="46">
        <v>1</v>
      </c>
      <c r="AE62" s="46">
        <v>1</v>
      </c>
      <c r="AF62" s="46">
        <v>2</v>
      </c>
      <c r="AG62" s="46">
        <v>2</v>
      </c>
      <c r="AH62" s="46">
        <v>2</v>
      </c>
      <c r="AI62" s="46">
        <v>1</v>
      </c>
      <c r="AJ62" s="46">
        <v>2</v>
      </c>
      <c r="AK62" s="46">
        <v>2</v>
      </c>
      <c r="AL62" s="46">
        <v>2</v>
      </c>
      <c r="AM62" s="46">
        <v>2</v>
      </c>
      <c r="AN62" s="46">
        <v>1</v>
      </c>
      <c r="AO62" s="46">
        <v>1</v>
      </c>
      <c r="AP62" s="46">
        <v>2</v>
      </c>
      <c r="AQ62" s="46">
        <v>1</v>
      </c>
      <c r="AR62" s="46">
        <v>2</v>
      </c>
      <c r="AS62" s="46">
        <v>1</v>
      </c>
      <c r="AT62" s="46">
        <v>2</v>
      </c>
      <c r="AU62" s="46">
        <v>2</v>
      </c>
      <c r="AV62" s="46">
        <v>1</v>
      </c>
      <c r="AW62" s="46">
        <v>1</v>
      </c>
      <c r="AX62" s="46">
        <v>1</v>
      </c>
      <c r="AY62" s="46">
        <v>1</v>
      </c>
      <c r="AZ62" s="46">
        <v>2</v>
      </c>
      <c r="BA62" s="46">
        <v>1</v>
      </c>
      <c r="BB62" s="46">
        <v>1</v>
      </c>
      <c r="BC62" s="46">
        <v>1</v>
      </c>
      <c r="BD62" s="46">
        <v>1</v>
      </c>
      <c r="BE62" s="46">
        <v>2</v>
      </c>
      <c r="BF62" s="46">
        <v>2</v>
      </c>
      <c r="BG62" s="46">
        <v>1</v>
      </c>
      <c r="BH62" s="46">
        <v>2</v>
      </c>
      <c r="BI62" s="46">
        <v>2</v>
      </c>
      <c r="BJ62" s="46">
        <v>1</v>
      </c>
      <c r="BK62" s="46">
        <v>2</v>
      </c>
      <c r="BL62" s="46">
        <v>2</v>
      </c>
      <c r="BM62" s="46">
        <v>1</v>
      </c>
      <c r="BN62" s="46">
        <v>2</v>
      </c>
      <c r="BO62" s="46">
        <v>2</v>
      </c>
      <c r="BP62" s="46">
        <v>2</v>
      </c>
      <c r="BQ62" s="46">
        <v>2</v>
      </c>
      <c r="BR62" s="46">
        <v>2</v>
      </c>
      <c r="BS62" s="46">
        <v>1</v>
      </c>
      <c r="BT62" s="46">
        <v>2</v>
      </c>
      <c r="BU62" s="46">
        <v>2</v>
      </c>
      <c r="BV62" s="46">
        <v>1</v>
      </c>
      <c r="BW62" s="46">
        <v>1</v>
      </c>
      <c r="BX62" s="46">
        <v>2</v>
      </c>
      <c r="BY62" s="46">
        <v>1</v>
      </c>
      <c r="BZ62" s="46">
        <v>2</v>
      </c>
      <c r="CA62" s="46">
        <v>2</v>
      </c>
      <c r="CB62" s="46">
        <v>1</v>
      </c>
      <c r="CC62" s="46">
        <v>2</v>
      </c>
      <c r="CD62" s="46">
        <v>2</v>
      </c>
      <c r="CE62" s="46">
        <v>2</v>
      </c>
      <c r="CF62" s="46">
        <v>2</v>
      </c>
      <c r="CG62" s="46">
        <v>1</v>
      </c>
      <c r="CH62" s="46">
        <v>2</v>
      </c>
      <c r="CI62" s="46">
        <v>2</v>
      </c>
      <c r="CJ62" s="46">
        <v>2</v>
      </c>
      <c r="CK62" s="46">
        <v>1</v>
      </c>
      <c r="CL62" s="46">
        <v>1</v>
      </c>
      <c r="CM62" s="46">
        <v>1</v>
      </c>
      <c r="CN62" s="46">
        <v>1</v>
      </c>
      <c r="CO62" s="46">
        <v>2</v>
      </c>
      <c r="CP62" s="46">
        <v>2</v>
      </c>
      <c r="CQ62" s="46">
        <v>1</v>
      </c>
      <c r="CR62" s="46">
        <v>2</v>
      </c>
      <c r="CS62" s="46">
        <v>1</v>
      </c>
      <c r="CT62" s="46">
        <v>1</v>
      </c>
      <c r="CU62" s="46">
        <v>2</v>
      </c>
      <c r="CV62" s="46">
        <v>1</v>
      </c>
      <c r="CW62" s="46">
        <v>1</v>
      </c>
      <c r="CX62" s="46">
        <v>2</v>
      </c>
      <c r="CY62" s="46">
        <v>1</v>
      </c>
      <c r="CZ62" s="46">
        <v>1</v>
      </c>
      <c r="DA62" s="46">
        <v>2</v>
      </c>
      <c r="DB62" s="46">
        <v>2</v>
      </c>
      <c r="DC62" s="46">
        <v>2</v>
      </c>
      <c r="DD62" s="46">
        <v>2</v>
      </c>
      <c r="DE62" s="46">
        <v>2</v>
      </c>
      <c r="DF62" s="46">
        <v>2</v>
      </c>
      <c r="DG62" s="46">
        <v>2</v>
      </c>
      <c r="DH62" s="46">
        <v>2</v>
      </c>
      <c r="DI62" s="46">
        <v>2</v>
      </c>
      <c r="DJ62" s="46">
        <v>1</v>
      </c>
      <c r="DK62" s="46">
        <v>1</v>
      </c>
      <c r="DL62" s="46">
        <v>2</v>
      </c>
      <c r="DM62" s="46">
        <v>2</v>
      </c>
      <c r="DN62" s="46">
        <v>2</v>
      </c>
      <c r="DO62" s="46">
        <v>2</v>
      </c>
      <c r="DP62" s="46">
        <v>1</v>
      </c>
      <c r="DQ62" s="46">
        <v>2</v>
      </c>
      <c r="DR62" s="46">
        <v>2</v>
      </c>
      <c r="DS62" s="46">
        <v>2</v>
      </c>
      <c r="DT62" s="46">
        <v>2</v>
      </c>
      <c r="DU62" s="46">
        <v>2</v>
      </c>
      <c r="DV62" s="46">
        <v>1</v>
      </c>
      <c r="DW62" s="46">
        <v>2</v>
      </c>
      <c r="DX62" s="46">
        <v>2</v>
      </c>
      <c r="DY62" s="46">
        <v>2</v>
      </c>
      <c r="DZ62" s="46">
        <v>2</v>
      </c>
      <c r="EA62" s="46">
        <v>1</v>
      </c>
      <c r="EB62" s="46">
        <v>2</v>
      </c>
      <c r="EC62" s="46">
        <v>2</v>
      </c>
      <c r="ED62" s="46">
        <v>1</v>
      </c>
      <c r="EE62" s="46">
        <v>1</v>
      </c>
      <c r="EF62" s="46">
        <v>1</v>
      </c>
      <c r="EG62" s="46">
        <v>2</v>
      </c>
      <c r="EH62" s="46">
        <v>2</v>
      </c>
      <c r="EI62" s="46">
        <v>2</v>
      </c>
      <c r="EJ62" s="46">
        <v>2</v>
      </c>
      <c r="EK62" s="46">
        <v>2</v>
      </c>
      <c r="EL62" s="46">
        <v>2</v>
      </c>
      <c r="EM62" s="46">
        <v>2</v>
      </c>
      <c r="EN62" s="46">
        <v>2</v>
      </c>
      <c r="EO62" s="46">
        <v>2</v>
      </c>
      <c r="EP62" s="46">
        <v>2</v>
      </c>
      <c r="EQ62" s="46">
        <v>2</v>
      </c>
      <c r="ER62" s="46">
        <v>2</v>
      </c>
      <c r="ES62" s="46">
        <v>2</v>
      </c>
      <c r="ET62" s="46">
        <v>2</v>
      </c>
      <c r="EU62" s="46">
        <v>1</v>
      </c>
      <c r="EV62" s="46">
        <v>1</v>
      </c>
      <c r="EW62" s="46">
        <v>2</v>
      </c>
      <c r="EX62" s="46">
        <v>1</v>
      </c>
      <c r="EY62" s="46">
        <v>2</v>
      </c>
      <c r="EZ62" s="46">
        <v>2</v>
      </c>
      <c r="FA62" s="46">
        <v>2</v>
      </c>
      <c r="FB62" s="46">
        <v>1</v>
      </c>
      <c r="FC62" s="46">
        <v>2</v>
      </c>
      <c r="FD62" s="46">
        <v>2</v>
      </c>
      <c r="FE62" s="46">
        <v>2</v>
      </c>
      <c r="FF62" s="46">
        <v>2</v>
      </c>
      <c r="FG62" s="46">
        <v>1</v>
      </c>
      <c r="FH62" s="46">
        <v>2</v>
      </c>
    </row>
    <row r="63" spans="1:164" s="31" customFormat="1" x14ac:dyDescent="0.2">
      <c r="A63" s="44" t="s">
        <v>326</v>
      </c>
      <c r="B63" s="30" t="s">
        <v>266</v>
      </c>
      <c r="C63" s="30" t="s">
        <v>293</v>
      </c>
      <c r="D63" s="35" t="s">
        <v>253</v>
      </c>
      <c r="E63" s="46">
        <v>2</v>
      </c>
      <c r="F63" s="46">
        <v>1</v>
      </c>
      <c r="G63" s="46">
        <v>2</v>
      </c>
      <c r="H63" s="30">
        <v>1</v>
      </c>
      <c r="I63" s="30">
        <v>1</v>
      </c>
      <c r="J63" s="30">
        <v>1</v>
      </c>
      <c r="K63" s="46">
        <v>1</v>
      </c>
      <c r="L63" s="46">
        <v>1</v>
      </c>
      <c r="M63" s="46">
        <v>1</v>
      </c>
      <c r="N63" s="46">
        <v>1</v>
      </c>
      <c r="O63" s="46">
        <v>1</v>
      </c>
      <c r="P63" s="46">
        <v>2</v>
      </c>
      <c r="Q63" s="46">
        <v>2</v>
      </c>
      <c r="R63" s="46">
        <v>2</v>
      </c>
      <c r="S63" s="46">
        <v>1</v>
      </c>
      <c r="T63" s="46">
        <v>2</v>
      </c>
      <c r="U63" s="46">
        <v>2</v>
      </c>
      <c r="V63" s="46">
        <v>1</v>
      </c>
      <c r="W63" s="46">
        <v>2</v>
      </c>
      <c r="X63" s="46">
        <v>2</v>
      </c>
      <c r="Y63" s="46">
        <v>2</v>
      </c>
      <c r="Z63" s="46">
        <v>2</v>
      </c>
      <c r="AA63" s="46">
        <v>1</v>
      </c>
      <c r="AB63" s="46">
        <v>2</v>
      </c>
      <c r="AC63" s="46">
        <v>1</v>
      </c>
      <c r="AD63" s="46">
        <v>2</v>
      </c>
      <c r="AE63" s="46">
        <v>1</v>
      </c>
      <c r="AF63" s="46">
        <v>2</v>
      </c>
      <c r="AG63" s="46">
        <v>2</v>
      </c>
      <c r="AH63" s="46">
        <v>2</v>
      </c>
      <c r="AI63" s="46">
        <v>2</v>
      </c>
      <c r="AJ63" s="46">
        <v>1</v>
      </c>
      <c r="AK63" s="46">
        <v>2</v>
      </c>
      <c r="AL63" s="46">
        <v>2</v>
      </c>
      <c r="AM63" s="46">
        <v>2</v>
      </c>
      <c r="AN63" s="46">
        <v>2</v>
      </c>
      <c r="AO63" s="46">
        <v>2</v>
      </c>
      <c r="AP63" s="46">
        <v>2</v>
      </c>
      <c r="AQ63" s="46">
        <v>1</v>
      </c>
      <c r="AR63" s="46">
        <v>2</v>
      </c>
      <c r="AS63" s="46">
        <v>2</v>
      </c>
      <c r="AT63" s="46">
        <v>1</v>
      </c>
      <c r="AU63" s="46">
        <v>2</v>
      </c>
      <c r="AV63" s="46">
        <v>2</v>
      </c>
      <c r="AW63" s="46">
        <v>1</v>
      </c>
      <c r="AX63" s="46">
        <v>2</v>
      </c>
      <c r="AY63" s="46">
        <v>1</v>
      </c>
      <c r="AZ63" s="46">
        <v>2</v>
      </c>
      <c r="BA63" s="46">
        <v>1</v>
      </c>
      <c r="BB63" s="46">
        <v>1</v>
      </c>
      <c r="BC63" s="46">
        <v>1</v>
      </c>
      <c r="BD63" s="46">
        <v>2</v>
      </c>
      <c r="BE63" s="46">
        <v>2</v>
      </c>
      <c r="BF63" s="46">
        <v>2</v>
      </c>
      <c r="BG63" s="46">
        <v>2</v>
      </c>
      <c r="BH63" s="46">
        <v>2</v>
      </c>
      <c r="BI63" s="46">
        <v>2</v>
      </c>
      <c r="BJ63" s="46">
        <v>1</v>
      </c>
      <c r="BK63" s="46">
        <v>2</v>
      </c>
      <c r="BL63" s="46">
        <v>2</v>
      </c>
      <c r="BM63" s="46">
        <v>2</v>
      </c>
      <c r="BN63" s="46">
        <v>2</v>
      </c>
      <c r="BO63" s="46">
        <v>1</v>
      </c>
      <c r="BP63" s="46">
        <v>2</v>
      </c>
      <c r="BQ63" s="46">
        <v>2</v>
      </c>
      <c r="BR63" s="46">
        <v>1</v>
      </c>
      <c r="BS63" s="46">
        <v>2</v>
      </c>
      <c r="BT63" s="46">
        <v>1</v>
      </c>
      <c r="BU63" s="46">
        <v>1</v>
      </c>
      <c r="BV63" s="46">
        <v>0</v>
      </c>
      <c r="BW63" s="46">
        <v>2</v>
      </c>
      <c r="BX63" s="46">
        <v>2</v>
      </c>
      <c r="BY63" s="46">
        <v>2</v>
      </c>
      <c r="BZ63" s="46">
        <v>2</v>
      </c>
      <c r="CA63" s="46">
        <v>2</v>
      </c>
      <c r="CB63" s="46">
        <v>1</v>
      </c>
      <c r="CC63" s="46">
        <v>1</v>
      </c>
      <c r="CD63" s="46">
        <v>2</v>
      </c>
      <c r="CE63" s="46">
        <v>1</v>
      </c>
      <c r="CF63" s="46">
        <v>2</v>
      </c>
      <c r="CG63" s="46">
        <v>1</v>
      </c>
      <c r="CH63" s="46">
        <v>2</v>
      </c>
      <c r="CI63" s="46">
        <v>2</v>
      </c>
      <c r="CJ63" s="46">
        <v>2</v>
      </c>
      <c r="CK63" s="46">
        <v>2</v>
      </c>
      <c r="CL63" s="46">
        <v>1</v>
      </c>
      <c r="CM63" s="46">
        <v>1</v>
      </c>
      <c r="CN63" s="46">
        <v>2</v>
      </c>
      <c r="CO63" s="46">
        <v>2</v>
      </c>
      <c r="CP63" s="46">
        <v>2</v>
      </c>
      <c r="CQ63" s="46">
        <v>2</v>
      </c>
      <c r="CR63" s="46">
        <v>2</v>
      </c>
      <c r="CS63" s="46">
        <v>1</v>
      </c>
      <c r="CT63" s="46">
        <v>1</v>
      </c>
      <c r="CU63" s="46">
        <v>2</v>
      </c>
      <c r="CV63" s="46">
        <v>1</v>
      </c>
      <c r="CW63" s="46">
        <v>2</v>
      </c>
      <c r="CX63" s="46">
        <v>2</v>
      </c>
      <c r="CY63" s="46">
        <v>2</v>
      </c>
      <c r="CZ63" s="46">
        <v>2</v>
      </c>
      <c r="DA63" s="46">
        <v>1</v>
      </c>
      <c r="DB63" s="46">
        <v>2</v>
      </c>
      <c r="DC63" s="46">
        <v>2</v>
      </c>
      <c r="DD63" s="46">
        <v>2</v>
      </c>
      <c r="DE63" s="46">
        <v>2</v>
      </c>
      <c r="DF63" s="46">
        <v>2</v>
      </c>
      <c r="DG63" s="46">
        <v>2</v>
      </c>
      <c r="DH63" s="46">
        <v>1</v>
      </c>
      <c r="DI63" s="46">
        <v>2</v>
      </c>
      <c r="DJ63" s="46">
        <v>1</v>
      </c>
      <c r="DK63" s="46">
        <v>2</v>
      </c>
      <c r="DL63" s="46">
        <v>2</v>
      </c>
      <c r="DM63" s="46">
        <v>2</v>
      </c>
      <c r="DN63" s="46">
        <v>2</v>
      </c>
      <c r="DO63" s="46">
        <v>2</v>
      </c>
      <c r="DP63" s="46">
        <v>1</v>
      </c>
      <c r="DQ63" s="46">
        <v>2</v>
      </c>
      <c r="DR63" s="46">
        <v>2</v>
      </c>
      <c r="DS63" s="46">
        <v>1</v>
      </c>
      <c r="DT63" s="46">
        <v>2</v>
      </c>
      <c r="DU63" s="46">
        <v>2</v>
      </c>
      <c r="DV63" s="46">
        <v>2</v>
      </c>
      <c r="DW63" s="46">
        <v>2</v>
      </c>
      <c r="DX63" s="46">
        <v>2</v>
      </c>
      <c r="DY63" s="46">
        <v>1</v>
      </c>
      <c r="DZ63" s="46">
        <v>2</v>
      </c>
      <c r="EA63" s="46">
        <v>2</v>
      </c>
      <c r="EB63" s="46">
        <v>2</v>
      </c>
      <c r="EC63" s="46">
        <v>2</v>
      </c>
      <c r="ED63" s="46">
        <v>1</v>
      </c>
      <c r="EE63" s="46">
        <v>1</v>
      </c>
      <c r="EF63" s="46">
        <v>1</v>
      </c>
      <c r="EG63" s="46">
        <v>2</v>
      </c>
      <c r="EH63" s="46">
        <v>2</v>
      </c>
      <c r="EI63" s="46">
        <v>2</v>
      </c>
      <c r="EJ63" s="46">
        <v>1</v>
      </c>
      <c r="EK63" s="46">
        <v>2</v>
      </c>
      <c r="EL63" s="46">
        <v>2</v>
      </c>
      <c r="EM63" s="46">
        <v>2</v>
      </c>
      <c r="EN63" s="46">
        <v>2</v>
      </c>
      <c r="EO63" s="46">
        <v>1</v>
      </c>
      <c r="EP63" s="46">
        <v>2</v>
      </c>
      <c r="EQ63" s="46">
        <v>1</v>
      </c>
      <c r="ER63" s="46">
        <v>2</v>
      </c>
      <c r="ES63" s="46">
        <v>1</v>
      </c>
      <c r="ET63" s="46">
        <v>2</v>
      </c>
      <c r="EU63" s="46">
        <v>2</v>
      </c>
      <c r="EV63" s="46">
        <v>1</v>
      </c>
      <c r="EW63" s="46">
        <v>2</v>
      </c>
      <c r="EX63" s="46">
        <v>2</v>
      </c>
      <c r="EY63" s="46">
        <v>1</v>
      </c>
      <c r="EZ63" s="46">
        <v>2</v>
      </c>
      <c r="FA63" s="46">
        <v>2</v>
      </c>
      <c r="FB63" s="46">
        <v>2</v>
      </c>
      <c r="FC63" s="46">
        <v>2</v>
      </c>
      <c r="FD63" s="46">
        <v>2</v>
      </c>
      <c r="FE63" s="46">
        <v>2</v>
      </c>
      <c r="FF63" s="46">
        <v>1</v>
      </c>
      <c r="FG63" s="46">
        <v>1</v>
      </c>
      <c r="FH63" s="46">
        <v>2</v>
      </c>
    </row>
    <row r="64" spans="1:164" s="31" customFormat="1" x14ac:dyDescent="0.2">
      <c r="A64" s="44" t="s">
        <v>327</v>
      </c>
      <c r="B64" s="30" t="s">
        <v>264</v>
      </c>
      <c r="C64" s="30" t="s">
        <v>347</v>
      </c>
      <c r="D64" s="35" t="s">
        <v>269</v>
      </c>
      <c r="E64" s="46">
        <v>1</v>
      </c>
      <c r="F64" s="46">
        <v>1</v>
      </c>
      <c r="G64" s="46">
        <v>1</v>
      </c>
      <c r="H64" s="30">
        <v>1</v>
      </c>
      <c r="I64" s="30">
        <v>2</v>
      </c>
      <c r="J64" s="30">
        <v>2</v>
      </c>
      <c r="K64" s="46">
        <v>1</v>
      </c>
      <c r="L64" s="46">
        <v>1</v>
      </c>
      <c r="M64" s="46">
        <v>1</v>
      </c>
      <c r="N64" s="46">
        <v>1</v>
      </c>
      <c r="O64" s="46">
        <v>2</v>
      </c>
      <c r="P64" s="46">
        <v>2</v>
      </c>
      <c r="Q64" s="46">
        <v>1</v>
      </c>
      <c r="R64" s="46">
        <v>1</v>
      </c>
      <c r="S64" s="46">
        <v>2</v>
      </c>
      <c r="T64" s="46">
        <v>1</v>
      </c>
      <c r="U64" s="46">
        <v>1</v>
      </c>
      <c r="V64" s="46">
        <v>1</v>
      </c>
      <c r="W64" s="46">
        <v>2</v>
      </c>
      <c r="X64" s="46">
        <v>1</v>
      </c>
      <c r="Y64" s="46">
        <v>1</v>
      </c>
      <c r="Z64" s="46">
        <v>1</v>
      </c>
      <c r="AA64" s="46">
        <v>1</v>
      </c>
      <c r="AB64" s="46">
        <v>2</v>
      </c>
      <c r="AC64" s="46">
        <v>1</v>
      </c>
      <c r="AD64" s="46">
        <v>1</v>
      </c>
      <c r="AE64" s="46">
        <v>2</v>
      </c>
      <c r="AF64" s="46">
        <v>2</v>
      </c>
      <c r="AG64" s="46">
        <v>1</v>
      </c>
      <c r="AH64" s="46">
        <v>1</v>
      </c>
      <c r="AI64" s="46">
        <v>1</v>
      </c>
      <c r="AJ64" s="46">
        <v>1</v>
      </c>
      <c r="AK64" s="46">
        <v>2</v>
      </c>
      <c r="AL64" s="46">
        <v>1</v>
      </c>
      <c r="AM64" s="46">
        <v>2</v>
      </c>
      <c r="AN64" s="46">
        <v>1</v>
      </c>
      <c r="AO64" s="46">
        <v>1</v>
      </c>
      <c r="AP64" s="46">
        <v>1</v>
      </c>
      <c r="AQ64" s="46">
        <v>1</v>
      </c>
      <c r="AR64" s="46">
        <v>2</v>
      </c>
      <c r="AS64" s="46">
        <v>2</v>
      </c>
      <c r="AT64" s="46">
        <v>2</v>
      </c>
      <c r="AU64" s="46">
        <v>2</v>
      </c>
      <c r="AV64" s="46">
        <v>1</v>
      </c>
      <c r="AW64" s="46">
        <v>2</v>
      </c>
      <c r="AX64" s="46">
        <v>1</v>
      </c>
      <c r="AY64" s="46">
        <v>1</v>
      </c>
      <c r="AZ64" s="46">
        <v>1</v>
      </c>
      <c r="BA64" s="46">
        <v>1</v>
      </c>
      <c r="BB64" s="46">
        <v>1</v>
      </c>
      <c r="BC64" s="46">
        <v>1</v>
      </c>
      <c r="BD64" s="46">
        <v>2</v>
      </c>
      <c r="BE64" s="46">
        <v>1</v>
      </c>
      <c r="BF64" s="46">
        <v>1</v>
      </c>
      <c r="BG64" s="46">
        <v>1</v>
      </c>
      <c r="BH64" s="46">
        <v>1</v>
      </c>
      <c r="BI64" s="46">
        <v>2</v>
      </c>
      <c r="BJ64" s="46">
        <v>1</v>
      </c>
      <c r="BK64" s="46">
        <v>1</v>
      </c>
      <c r="BL64" s="46">
        <v>2</v>
      </c>
      <c r="BM64" s="46">
        <v>2</v>
      </c>
      <c r="BN64" s="46">
        <v>1</v>
      </c>
      <c r="BO64" s="46">
        <v>1</v>
      </c>
      <c r="BP64" s="46">
        <v>1</v>
      </c>
      <c r="BQ64" s="46">
        <v>1</v>
      </c>
      <c r="BR64" s="46">
        <v>1</v>
      </c>
      <c r="BS64" s="46">
        <v>2</v>
      </c>
      <c r="BT64" s="46">
        <v>2</v>
      </c>
      <c r="BU64" s="46">
        <v>1</v>
      </c>
      <c r="BV64" s="46">
        <v>1</v>
      </c>
      <c r="BW64" s="46">
        <v>1</v>
      </c>
      <c r="BX64" s="46">
        <v>1</v>
      </c>
      <c r="BY64" s="46">
        <v>2</v>
      </c>
      <c r="BZ64" s="46">
        <v>2</v>
      </c>
      <c r="CA64" s="46">
        <v>2</v>
      </c>
      <c r="CB64" s="46">
        <v>1</v>
      </c>
      <c r="CC64" s="46">
        <v>1</v>
      </c>
      <c r="CD64" s="46">
        <v>2</v>
      </c>
      <c r="CE64" s="46">
        <v>1</v>
      </c>
      <c r="CF64" s="46">
        <v>1</v>
      </c>
      <c r="CG64" s="46">
        <v>1</v>
      </c>
      <c r="CH64" s="46">
        <v>1</v>
      </c>
      <c r="CI64" s="46">
        <v>1</v>
      </c>
      <c r="CJ64" s="46">
        <v>1</v>
      </c>
      <c r="CK64" s="46">
        <v>1</v>
      </c>
      <c r="CL64" s="46">
        <v>1</v>
      </c>
      <c r="CM64" s="46">
        <v>1</v>
      </c>
      <c r="CN64" s="46">
        <v>2</v>
      </c>
      <c r="CO64" s="46">
        <v>1</v>
      </c>
      <c r="CP64" s="46">
        <v>1</v>
      </c>
      <c r="CQ64" s="46">
        <v>1</v>
      </c>
      <c r="CR64" s="46">
        <v>1</v>
      </c>
      <c r="CS64" s="46">
        <v>1</v>
      </c>
      <c r="CT64" s="46">
        <v>2</v>
      </c>
      <c r="CU64" s="46">
        <v>1</v>
      </c>
      <c r="CV64" s="46">
        <v>1</v>
      </c>
      <c r="CW64" s="46">
        <v>2</v>
      </c>
      <c r="CX64" s="46">
        <v>1</v>
      </c>
      <c r="CY64" s="46">
        <v>2</v>
      </c>
      <c r="CZ64" s="46">
        <v>1</v>
      </c>
      <c r="DA64" s="46">
        <v>1</v>
      </c>
      <c r="DB64" s="46">
        <v>1</v>
      </c>
      <c r="DC64" s="46">
        <v>1</v>
      </c>
      <c r="DD64" s="46">
        <v>1</v>
      </c>
      <c r="DE64" s="46">
        <v>1</v>
      </c>
      <c r="DF64" s="46">
        <v>1</v>
      </c>
      <c r="DG64" s="46">
        <v>1</v>
      </c>
      <c r="DH64" s="46">
        <v>1</v>
      </c>
      <c r="DI64" s="46">
        <v>1</v>
      </c>
      <c r="DJ64" s="46">
        <v>1</v>
      </c>
      <c r="DK64" s="46">
        <v>1</v>
      </c>
      <c r="DL64" s="46">
        <v>1</v>
      </c>
      <c r="DM64" s="46">
        <v>1</v>
      </c>
      <c r="DN64" s="46">
        <v>2</v>
      </c>
      <c r="DO64" s="46">
        <v>1</v>
      </c>
      <c r="DP64" s="46">
        <v>1</v>
      </c>
      <c r="DQ64" s="46">
        <v>1</v>
      </c>
      <c r="DR64" s="46">
        <v>2</v>
      </c>
      <c r="DS64" s="46">
        <v>1</v>
      </c>
      <c r="DT64" s="46">
        <v>1</v>
      </c>
      <c r="DU64" s="46">
        <v>1</v>
      </c>
      <c r="DV64" s="46">
        <v>1</v>
      </c>
      <c r="DW64" s="46">
        <v>1</v>
      </c>
      <c r="DX64" s="46">
        <v>2</v>
      </c>
      <c r="DY64" s="46">
        <v>1</v>
      </c>
      <c r="DZ64" s="46">
        <v>2</v>
      </c>
      <c r="EA64" s="46">
        <v>1</v>
      </c>
      <c r="EB64" s="46">
        <v>2</v>
      </c>
      <c r="EC64" s="46">
        <v>1</v>
      </c>
      <c r="ED64" s="46">
        <v>1</v>
      </c>
      <c r="EE64" s="46">
        <v>1</v>
      </c>
      <c r="EF64" s="46">
        <v>1</v>
      </c>
      <c r="EG64" s="46">
        <v>1</v>
      </c>
      <c r="EH64" s="46">
        <v>2</v>
      </c>
      <c r="EI64" s="46">
        <v>1</v>
      </c>
      <c r="EJ64" s="46">
        <v>1</v>
      </c>
      <c r="EK64" s="46">
        <v>2</v>
      </c>
      <c r="EL64" s="46">
        <v>1</v>
      </c>
      <c r="EM64" s="46">
        <v>2</v>
      </c>
      <c r="EN64" s="46">
        <v>2</v>
      </c>
      <c r="EO64" s="46">
        <v>1</v>
      </c>
      <c r="EP64" s="46">
        <v>2</v>
      </c>
      <c r="EQ64" s="46">
        <v>2</v>
      </c>
      <c r="ER64" s="46">
        <v>1</v>
      </c>
      <c r="ES64" s="46">
        <v>1</v>
      </c>
      <c r="ET64" s="46">
        <v>2</v>
      </c>
      <c r="EU64" s="46">
        <v>2</v>
      </c>
      <c r="EV64" s="46">
        <v>1</v>
      </c>
      <c r="EW64" s="46">
        <v>2</v>
      </c>
      <c r="EX64" s="46">
        <v>2</v>
      </c>
      <c r="EY64" s="46">
        <v>1</v>
      </c>
      <c r="EZ64" s="46">
        <v>2</v>
      </c>
      <c r="FA64" s="46">
        <v>1</v>
      </c>
      <c r="FB64" s="46">
        <v>1</v>
      </c>
      <c r="FC64" s="46">
        <v>2</v>
      </c>
      <c r="FD64" s="46">
        <v>1</v>
      </c>
      <c r="FE64" s="46">
        <v>2</v>
      </c>
      <c r="FF64" s="46">
        <v>1</v>
      </c>
      <c r="FG64" s="46">
        <v>1</v>
      </c>
      <c r="FH64" s="46">
        <v>1</v>
      </c>
    </row>
    <row r="65" spans="1:164" s="31" customFormat="1" x14ac:dyDescent="0.2">
      <c r="A65" s="44" t="s">
        <v>328</v>
      </c>
      <c r="B65" s="30" t="s">
        <v>261</v>
      </c>
      <c r="C65" s="30" t="s">
        <v>293</v>
      </c>
      <c r="D65" s="35" t="s">
        <v>253</v>
      </c>
      <c r="E65" s="46">
        <v>2</v>
      </c>
      <c r="F65" s="46">
        <v>1</v>
      </c>
      <c r="G65" s="46">
        <v>2</v>
      </c>
      <c r="H65" s="30">
        <v>2</v>
      </c>
      <c r="I65" s="30">
        <v>1</v>
      </c>
      <c r="J65" s="30">
        <v>1</v>
      </c>
      <c r="K65" s="46">
        <v>2</v>
      </c>
      <c r="L65" s="46">
        <v>2</v>
      </c>
      <c r="M65" s="46">
        <v>1</v>
      </c>
      <c r="N65" s="46">
        <v>1</v>
      </c>
      <c r="O65" s="46">
        <v>2</v>
      </c>
      <c r="P65" s="46">
        <v>1</v>
      </c>
      <c r="Q65" s="46">
        <v>1</v>
      </c>
      <c r="R65" s="46">
        <v>1</v>
      </c>
      <c r="S65" s="46">
        <v>2</v>
      </c>
      <c r="T65" s="46">
        <v>1</v>
      </c>
      <c r="U65" s="46">
        <v>1</v>
      </c>
      <c r="V65" s="46">
        <v>1</v>
      </c>
      <c r="W65" s="46">
        <v>1</v>
      </c>
      <c r="X65" s="46">
        <v>2</v>
      </c>
      <c r="Y65" s="46">
        <v>1</v>
      </c>
      <c r="Z65" s="46">
        <v>1</v>
      </c>
      <c r="AA65" s="46">
        <v>2</v>
      </c>
      <c r="AB65" s="46">
        <v>2</v>
      </c>
      <c r="AC65" s="46">
        <v>2</v>
      </c>
      <c r="AD65" s="46">
        <v>1</v>
      </c>
      <c r="AE65" s="46">
        <v>1</v>
      </c>
      <c r="AF65" s="46">
        <v>2</v>
      </c>
      <c r="AG65" s="46">
        <v>2</v>
      </c>
      <c r="AH65" s="46">
        <v>2</v>
      </c>
      <c r="AI65" s="46">
        <v>2</v>
      </c>
      <c r="AJ65" s="46">
        <v>1</v>
      </c>
      <c r="AK65" s="46">
        <v>2</v>
      </c>
      <c r="AL65" s="46">
        <v>1</v>
      </c>
      <c r="AM65" s="46">
        <v>2</v>
      </c>
      <c r="AN65" s="46">
        <v>1</v>
      </c>
      <c r="AO65" s="46">
        <v>1</v>
      </c>
      <c r="AP65" s="46">
        <v>2</v>
      </c>
      <c r="AQ65" s="46">
        <v>1</v>
      </c>
      <c r="AR65" s="46">
        <v>2</v>
      </c>
      <c r="AS65" s="46">
        <v>2</v>
      </c>
      <c r="AT65" s="46">
        <v>1</v>
      </c>
      <c r="AU65" s="46">
        <v>1</v>
      </c>
      <c r="AV65" s="46">
        <v>2</v>
      </c>
      <c r="AW65" s="46">
        <v>2</v>
      </c>
      <c r="AX65" s="46">
        <v>1</v>
      </c>
      <c r="AY65" s="46">
        <v>2</v>
      </c>
      <c r="AZ65" s="46">
        <v>1</v>
      </c>
      <c r="BA65" s="46">
        <v>1</v>
      </c>
      <c r="BB65" s="46">
        <v>2</v>
      </c>
      <c r="BC65" s="46">
        <v>2</v>
      </c>
      <c r="BD65" s="46">
        <v>2</v>
      </c>
      <c r="BE65" s="46">
        <v>1</v>
      </c>
      <c r="BF65" s="46">
        <v>1</v>
      </c>
      <c r="BG65" s="46">
        <v>2</v>
      </c>
      <c r="BH65" s="46">
        <v>1</v>
      </c>
      <c r="BI65" s="46">
        <v>2</v>
      </c>
      <c r="BJ65" s="46">
        <v>1</v>
      </c>
      <c r="BK65" s="46">
        <v>2</v>
      </c>
      <c r="BL65" s="46">
        <v>1</v>
      </c>
      <c r="BM65" s="46">
        <v>1</v>
      </c>
      <c r="BN65" s="46">
        <v>1</v>
      </c>
      <c r="BO65" s="46">
        <v>1</v>
      </c>
      <c r="BP65" s="46">
        <v>2</v>
      </c>
      <c r="BQ65" s="46">
        <v>2</v>
      </c>
      <c r="BR65" s="46">
        <v>1</v>
      </c>
      <c r="BS65" s="46">
        <v>2</v>
      </c>
      <c r="BT65" s="46">
        <v>2</v>
      </c>
      <c r="BU65" s="46">
        <v>1</v>
      </c>
      <c r="BV65" s="46">
        <v>2</v>
      </c>
      <c r="BW65" s="46">
        <v>2</v>
      </c>
      <c r="BX65" s="46">
        <v>1</v>
      </c>
      <c r="BY65" s="46">
        <v>2</v>
      </c>
      <c r="BZ65" s="46">
        <v>1</v>
      </c>
      <c r="CA65" s="46">
        <v>2</v>
      </c>
      <c r="CB65" s="46">
        <v>2</v>
      </c>
      <c r="CC65" s="46">
        <v>0</v>
      </c>
      <c r="CD65" s="46">
        <v>2</v>
      </c>
      <c r="CE65" s="46">
        <v>1</v>
      </c>
      <c r="CF65" s="46">
        <v>1</v>
      </c>
      <c r="CG65" s="46">
        <v>1</v>
      </c>
      <c r="CH65" s="46">
        <v>2</v>
      </c>
      <c r="CI65" s="46">
        <v>1</v>
      </c>
      <c r="CJ65" s="46">
        <v>1</v>
      </c>
      <c r="CK65" s="46">
        <v>2</v>
      </c>
      <c r="CL65" s="46">
        <v>2</v>
      </c>
      <c r="CM65" s="46">
        <v>1</v>
      </c>
      <c r="CN65" s="46">
        <v>1</v>
      </c>
      <c r="CO65" s="46">
        <v>1</v>
      </c>
      <c r="CP65" s="46">
        <v>1</v>
      </c>
      <c r="CQ65" s="46">
        <v>2</v>
      </c>
      <c r="CR65" s="46">
        <v>1</v>
      </c>
      <c r="CS65" s="46">
        <v>1</v>
      </c>
      <c r="CT65" s="46">
        <v>2</v>
      </c>
      <c r="CU65" s="46">
        <v>2</v>
      </c>
      <c r="CV65" s="46">
        <v>1</v>
      </c>
      <c r="CW65" s="46">
        <v>2</v>
      </c>
      <c r="CX65" s="46">
        <v>1</v>
      </c>
      <c r="CY65" s="46">
        <v>2</v>
      </c>
      <c r="CZ65" s="46">
        <v>1</v>
      </c>
      <c r="DA65" s="46">
        <v>2</v>
      </c>
      <c r="DB65" s="46">
        <v>2</v>
      </c>
      <c r="DC65" s="46">
        <v>2</v>
      </c>
      <c r="DD65" s="46">
        <v>1</v>
      </c>
      <c r="DE65" s="46">
        <v>2</v>
      </c>
      <c r="DF65" s="46">
        <v>2</v>
      </c>
      <c r="DG65" s="46">
        <v>1</v>
      </c>
      <c r="DH65" s="46">
        <v>0</v>
      </c>
      <c r="DI65" s="46">
        <v>2</v>
      </c>
      <c r="DJ65" s="46">
        <v>1</v>
      </c>
      <c r="DK65" s="46">
        <v>1</v>
      </c>
      <c r="DL65" s="46">
        <v>1</v>
      </c>
      <c r="DM65" s="46">
        <v>2</v>
      </c>
      <c r="DN65" s="46">
        <v>1</v>
      </c>
      <c r="DO65" s="46">
        <v>2</v>
      </c>
      <c r="DP65" s="46">
        <v>2</v>
      </c>
      <c r="DQ65" s="46">
        <v>2</v>
      </c>
      <c r="DR65" s="46">
        <v>1</v>
      </c>
      <c r="DS65" s="46">
        <v>2</v>
      </c>
      <c r="DT65" s="46">
        <v>2</v>
      </c>
      <c r="DU65" s="46">
        <v>1</v>
      </c>
      <c r="DV65" s="46">
        <v>2</v>
      </c>
      <c r="DW65" s="46">
        <v>1</v>
      </c>
      <c r="DX65" s="46">
        <v>2</v>
      </c>
      <c r="DY65" s="46">
        <v>1</v>
      </c>
      <c r="DZ65" s="46">
        <v>1</v>
      </c>
      <c r="EA65" s="46">
        <v>2</v>
      </c>
      <c r="EB65" s="46">
        <v>2</v>
      </c>
      <c r="EC65" s="46">
        <v>1</v>
      </c>
      <c r="ED65" s="46">
        <v>1</v>
      </c>
      <c r="EE65" s="46">
        <v>2</v>
      </c>
      <c r="EF65" s="46">
        <v>1</v>
      </c>
      <c r="EG65" s="46">
        <v>2</v>
      </c>
      <c r="EH65" s="46">
        <v>2</v>
      </c>
      <c r="EI65" s="46">
        <v>1</v>
      </c>
      <c r="EJ65" s="46">
        <v>2</v>
      </c>
      <c r="EK65" s="46">
        <v>1</v>
      </c>
      <c r="EL65" s="46">
        <v>1</v>
      </c>
      <c r="EM65" s="46">
        <v>2</v>
      </c>
      <c r="EN65" s="46">
        <v>2</v>
      </c>
      <c r="EO65" s="46">
        <v>2</v>
      </c>
      <c r="EP65" s="46">
        <v>2</v>
      </c>
      <c r="EQ65" s="46">
        <v>1</v>
      </c>
      <c r="ER65" s="46">
        <v>1</v>
      </c>
      <c r="ES65" s="46">
        <v>2</v>
      </c>
      <c r="ET65" s="46">
        <v>1</v>
      </c>
      <c r="EU65" s="46">
        <v>1</v>
      </c>
      <c r="EV65" s="46">
        <v>1</v>
      </c>
      <c r="EW65" s="46">
        <v>1</v>
      </c>
      <c r="EX65" s="46">
        <v>2</v>
      </c>
      <c r="EY65" s="46">
        <v>1</v>
      </c>
      <c r="EZ65" s="46">
        <v>1</v>
      </c>
      <c r="FA65" s="46">
        <v>2</v>
      </c>
      <c r="FB65" s="46">
        <v>0</v>
      </c>
      <c r="FC65" s="46">
        <v>2</v>
      </c>
      <c r="FD65" s="46">
        <v>1</v>
      </c>
      <c r="FE65" s="46">
        <v>1</v>
      </c>
      <c r="FF65" s="46">
        <v>2</v>
      </c>
      <c r="FG65" s="46">
        <v>1</v>
      </c>
      <c r="FH65" s="46">
        <v>2</v>
      </c>
    </row>
    <row r="66" spans="1:164" s="31" customFormat="1" x14ac:dyDescent="0.2">
      <c r="A66" s="44" t="s">
        <v>329</v>
      </c>
      <c r="B66" s="30" t="s">
        <v>266</v>
      </c>
      <c r="C66" s="30" t="s">
        <v>293</v>
      </c>
      <c r="D66" s="35" t="s">
        <v>253</v>
      </c>
      <c r="E66" s="46">
        <v>1</v>
      </c>
      <c r="F66" s="46">
        <v>1</v>
      </c>
      <c r="G66" s="46">
        <v>1</v>
      </c>
      <c r="H66" s="30">
        <v>1</v>
      </c>
      <c r="I66" s="30">
        <v>1</v>
      </c>
      <c r="J66" s="30">
        <v>1</v>
      </c>
      <c r="K66" s="46">
        <v>2</v>
      </c>
      <c r="L66" s="46">
        <v>1</v>
      </c>
      <c r="M66" s="46">
        <v>1</v>
      </c>
      <c r="N66" s="46">
        <v>2</v>
      </c>
      <c r="O66" s="46">
        <v>1</v>
      </c>
      <c r="P66" s="46">
        <v>1</v>
      </c>
      <c r="Q66" s="46">
        <v>2</v>
      </c>
      <c r="R66" s="46">
        <v>1</v>
      </c>
      <c r="S66" s="46">
        <v>1</v>
      </c>
      <c r="T66" s="46">
        <v>2</v>
      </c>
      <c r="U66" s="46">
        <v>1</v>
      </c>
      <c r="V66" s="46">
        <v>2</v>
      </c>
      <c r="W66" s="46">
        <v>2</v>
      </c>
      <c r="X66" s="46">
        <v>2</v>
      </c>
      <c r="Y66" s="46">
        <v>2</v>
      </c>
      <c r="Z66" s="46">
        <v>1</v>
      </c>
      <c r="AA66" s="46">
        <v>2</v>
      </c>
      <c r="AB66" s="46">
        <v>1</v>
      </c>
      <c r="AC66" s="46">
        <v>1</v>
      </c>
      <c r="AD66" s="46">
        <v>1</v>
      </c>
      <c r="AE66" s="46">
        <v>1</v>
      </c>
      <c r="AF66" s="46">
        <v>2</v>
      </c>
      <c r="AG66" s="46">
        <v>1</v>
      </c>
      <c r="AH66" s="46">
        <v>2</v>
      </c>
      <c r="AI66" s="46">
        <v>1</v>
      </c>
      <c r="AJ66" s="46">
        <v>2</v>
      </c>
      <c r="AK66" s="46">
        <v>2</v>
      </c>
      <c r="AL66" s="46">
        <v>2</v>
      </c>
      <c r="AM66" s="46">
        <v>2</v>
      </c>
      <c r="AN66" s="46">
        <v>1</v>
      </c>
      <c r="AO66" s="46">
        <v>2</v>
      </c>
      <c r="AP66" s="46">
        <v>2</v>
      </c>
      <c r="AQ66" s="46">
        <v>1</v>
      </c>
      <c r="AR66" s="46">
        <v>2</v>
      </c>
      <c r="AS66" s="46">
        <v>2</v>
      </c>
      <c r="AT66" s="46">
        <v>1</v>
      </c>
      <c r="AU66" s="46">
        <v>2</v>
      </c>
      <c r="AV66" s="46">
        <v>2</v>
      </c>
      <c r="AW66" s="46">
        <v>1</v>
      </c>
      <c r="AX66" s="46">
        <v>1</v>
      </c>
      <c r="AY66" s="46">
        <v>1</v>
      </c>
      <c r="AZ66" s="46">
        <v>2</v>
      </c>
      <c r="BA66" s="46">
        <v>2</v>
      </c>
      <c r="BB66" s="46">
        <v>1</v>
      </c>
      <c r="BC66" s="46">
        <v>1</v>
      </c>
      <c r="BD66" s="46">
        <v>2</v>
      </c>
      <c r="BE66" s="46">
        <v>2</v>
      </c>
      <c r="BF66" s="46">
        <v>2</v>
      </c>
      <c r="BG66" s="46">
        <v>2</v>
      </c>
      <c r="BH66" s="46">
        <v>2</v>
      </c>
      <c r="BI66" s="46">
        <v>2</v>
      </c>
      <c r="BJ66" s="46">
        <v>2</v>
      </c>
      <c r="BK66" s="46">
        <v>2</v>
      </c>
      <c r="BL66" s="46">
        <v>1</v>
      </c>
      <c r="BM66" s="46">
        <v>2</v>
      </c>
      <c r="BN66" s="46">
        <v>1</v>
      </c>
      <c r="BO66" s="46">
        <v>2</v>
      </c>
      <c r="BP66" s="46">
        <v>1</v>
      </c>
      <c r="BQ66" s="46">
        <v>2</v>
      </c>
      <c r="BR66" s="46">
        <v>1</v>
      </c>
      <c r="BS66" s="46">
        <v>2</v>
      </c>
      <c r="BT66" s="46">
        <v>2</v>
      </c>
      <c r="BU66" s="46">
        <v>1</v>
      </c>
      <c r="BV66" s="46">
        <v>1</v>
      </c>
      <c r="BW66" s="46">
        <v>1</v>
      </c>
      <c r="BX66" s="46">
        <v>1</v>
      </c>
      <c r="BY66" s="46">
        <v>1</v>
      </c>
      <c r="BZ66" s="46">
        <v>2</v>
      </c>
      <c r="CA66" s="46">
        <v>2</v>
      </c>
      <c r="CB66" s="46">
        <v>2</v>
      </c>
      <c r="CC66" s="46">
        <v>1</v>
      </c>
      <c r="CD66" s="46">
        <v>2</v>
      </c>
      <c r="CE66" s="46">
        <v>1</v>
      </c>
      <c r="CF66" s="46">
        <v>2</v>
      </c>
      <c r="CG66" s="46">
        <v>1</v>
      </c>
      <c r="CH66" s="46">
        <v>2</v>
      </c>
      <c r="CI66" s="46">
        <v>2</v>
      </c>
      <c r="CJ66" s="46">
        <v>2</v>
      </c>
      <c r="CK66" s="46">
        <v>2</v>
      </c>
      <c r="CL66" s="46">
        <v>2</v>
      </c>
      <c r="CM66" s="46">
        <v>2</v>
      </c>
      <c r="CN66" s="46">
        <v>2</v>
      </c>
      <c r="CO66" s="46">
        <v>2</v>
      </c>
      <c r="CP66" s="46">
        <v>2</v>
      </c>
      <c r="CQ66" s="46">
        <v>1</v>
      </c>
      <c r="CR66" s="46">
        <v>2</v>
      </c>
      <c r="CS66" s="46">
        <v>1</v>
      </c>
      <c r="CT66" s="46">
        <v>2</v>
      </c>
      <c r="CU66" s="46">
        <v>2</v>
      </c>
      <c r="CV66" s="46">
        <v>1</v>
      </c>
      <c r="CW66" s="46">
        <v>2</v>
      </c>
      <c r="CX66" s="46">
        <v>1</v>
      </c>
      <c r="CY66" s="46">
        <v>1</v>
      </c>
      <c r="CZ66" s="46">
        <v>2</v>
      </c>
      <c r="DA66" s="46">
        <v>2</v>
      </c>
      <c r="DB66" s="46">
        <v>2</v>
      </c>
      <c r="DC66" s="46">
        <v>2</v>
      </c>
      <c r="DD66" s="46">
        <v>2</v>
      </c>
      <c r="DE66" s="46">
        <v>1</v>
      </c>
      <c r="DF66" s="46">
        <v>2</v>
      </c>
      <c r="DG66" s="46">
        <v>2</v>
      </c>
      <c r="DH66" s="46">
        <v>2</v>
      </c>
      <c r="DI66" s="46">
        <v>1</v>
      </c>
      <c r="DJ66" s="46">
        <v>1</v>
      </c>
      <c r="DK66" s="46">
        <v>2</v>
      </c>
      <c r="DL66" s="46">
        <v>1</v>
      </c>
      <c r="DM66" s="46">
        <v>2</v>
      </c>
      <c r="DN66" s="46">
        <v>2</v>
      </c>
      <c r="DO66" s="46">
        <v>1</v>
      </c>
      <c r="DP66" s="46">
        <v>1</v>
      </c>
      <c r="DQ66" s="46">
        <v>2</v>
      </c>
      <c r="DR66" s="46">
        <v>1</v>
      </c>
      <c r="DS66" s="46">
        <v>2</v>
      </c>
      <c r="DT66" s="46">
        <v>2</v>
      </c>
      <c r="DU66" s="46">
        <v>2</v>
      </c>
      <c r="DV66" s="46">
        <v>2</v>
      </c>
      <c r="DW66" s="46">
        <v>2</v>
      </c>
      <c r="DX66" s="46">
        <v>2</v>
      </c>
      <c r="DY66" s="46">
        <v>1</v>
      </c>
      <c r="DZ66" s="46">
        <v>2</v>
      </c>
      <c r="EA66" s="46">
        <v>1</v>
      </c>
      <c r="EB66" s="46">
        <v>2</v>
      </c>
      <c r="EC66" s="46">
        <v>1</v>
      </c>
      <c r="ED66" s="46">
        <v>1</v>
      </c>
      <c r="EE66" s="46">
        <v>1</v>
      </c>
      <c r="EF66" s="46">
        <v>2</v>
      </c>
      <c r="EG66" s="46">
        <v>2</v>
      </c>
      <c r="EH66" s="46">
        <v>2</v>
      </c>
      <c r="EI66" s="46">
        <v>2</v>
      </c>
      <c r="EJ66" s="46">
        <v>2</v>
      </c>
      <c r="EK66" s="46">
        <v>1</v>
      </c>
      <c r="EL66" s="46">
        <v>2</v>
      </c>
      <c r="EM66" s="46">
        <v>2</v>
      </c>
      <c r="EN66" s="46">
        <v>1</v>
      </c>
      <c r="EO66" s="46">
        <v>2</v>
      </c>
      <c r="EP66" s="46">
        <v>2</v>
      </c>
      <c r="EQ66" s="46">
        <v>2</v>
      </c>
      <c r="ER66" s="46">
        <v>1</v>
      </c>
      <c r="ES66" s="46">
        <v>1</v>
      </c>
      <c r="ET66" s="46">
        <v>2</v>
      </c>
      <c r="EU66" s="46">
        <v>2</v>
      </c>
      <c r="EV66" s="46">
        <v>1</v>
      </c>
      <c r="EW66" s="46">
        <v>2</v>
      </c>
      <c r="EX66" s="46">
        <v>2</v>
      </c>
      <c r="EY66" s="46">
        <v>2</v>
      </c>
      <c r="EZ66" s="46">
        <v>2</v>
      </c>
      <c r="FA66" s="46">
        <v>2</v>
      </c>
      <c r="FB66" s="46">
        <v>2</v>
      </c>
      <c r="FC66" s="46">
        <v>2</v>
      </c>
      <c r="FD66" s="46">
        <v>2</v>
      </c>
      <c r="FE66" s="46">
        <v>2</v>
      </c>
      <c r="FF66" s="46">
        <v>2</v>
      </c>
      <c r="FG66" s="46">
        <v>1</v>
      </c>
      <c r="FH66" s="46">
        <v>2</v>
      </c>
    </row>
    <row r="67" spans="1:164" s="31" customFormat="1" x14ac:dyDescent="0.2">
      <c r="A67" s="44" t="s">
        <v>330</v>
      </c>
      <c r="B67" s="30" t="s">
        <v>265</v>
      </c>
      <c r="C67" s="30" t="s">
        <v>347</v>
      </c>
      <c r="D67" s="35" t="s">
        <v>251</v>
      </c>
      <c r="E67" s="46">
        <v>1</v>
      </c>
      <c r="F67" s="46">
        <v>1</v>
      </c>
      <c r="G67" s="46">
        <v>1</v>
      </c>
      <c r="H67" s="30">
        <v>1</v>
      </c>
      <c r="I67" s="30">
        <v>2</v>
      </c>
      <c r="J67" s="30">
        <v>2</v>
      </c>
      <c r="K67" s="46">
        <v>1</v>
      </c>
      <c r="L67" s="46">
        <v>1</v>
      </c>
      <c r="M67" s="46">
        <v>2</v>
      </c>
      <c r="N67" s="46">
        <v>1</v>
      </c>
      <c r="O67" s="46">
        <v>2</v>
      </c>
      <c r="P67" s="46">
        <v>2</v>
      </c>
      <c r="Q67" s="46">
        <v>1</v>
      </c>
      <c r="R67" s="46">
        <v>2</v>
      </c>
      <c r="S67" s="46">
        <v>1</v>
      </c>
      <c r="T67" s="46">
        <v>2</v>
      </c>
      <c r="U67" s="46">
        <v>2</v>
      </c>
      <c r="V67" s="46">
        <v>2</v>
      </c>
      <c r="W67" s="46">
        <v>1</v>
      </c>
      <c r="X67" s="46">
        <v>2</v>
      </c>
      <c r="Y67" s="46">
        <v>2</v>
      </c>
      <c r="Z67" s="46">
        <v>1</v>
      </c>
      <c r="AA67" s="46">
        <v>1</v>
      </c>
      <c r="AB67" s="46">
        <v>2</v>
      </c>
      <c r="AC67" s="46">
        <v>1</v>
      </c>
      <c r="AD67" s="46">
        <v>1</v>
      </c>
      <c r="AE67" s="46">
        <v>1</v>
      </c>
      <c r="AF67" s="46">
        <v>2</v>
      </c>
      <c r="AG67" s="46">
        <v>1</v>
      </c>
      <c r="AH67" s="46">
        <v>2</v>
      </c>
      <c r="AI67" s="46">
        <v>1</v>
      </c>
      <c r="AJ67" s="46">
        <v>2</v>
      </c>
      <c r="AK67" s="46">
        <v>2</v>
      </c>
      <c r="AL67" s="46">
        <v>2</v>
      </c>
      <c r="AM67" s="46">
        <v>2</v>
      </c>
      <c r="AN67" s="46">
        <v>1</v>
      </c>
      <c r="AO67" s="46">
        <v>1</v>
      </c>
      <c r="AP67" s="46">
        <v>1</v>
      </c>
      <c r="AQ67" s="46">
        <v>1</v>
      </c>
      <c r="AR67" s="46">
        <v>2</v>
      </c>
      <c r="AS67" s="46">
        <v>2</v>
      </c>
      <c r="AT67" s="46">
        <v>1</v>
      </c>
      <c r="AU67" s="46">
        <v>2</v>
      </c>
      <c r="AV67" s="46">
        <v>2</v>
      </c>
      <c r="AW67" s="46">
        <v>1</v>
      </c>
      <c r="AX67" s="46">
        <v>2</v>
      </c>
      <c r="AY67" s="46">
        <v>1</v>
      </c>
      <c r="AZ67" s="46">
        <v>2</v>
      </c>
      <c r="BA67" s="46">
        <v>1</v>
      </c>
      <c r="BB67" s="46">
        <v>1</v>
      </c>
      <c r="BC67" s="46">
        <v>1</v>
      </c>
      <c r="BD67" s="46">
        <v>2</v>
      </c>
      <c r="BE67" s="46">
        <v>1</v>
      </c>
      <c r="BF67" s="46">
        <v>2</v>
      </c>
      <c r="BG67" s="46">
        <v>1</v>
      </c>
      <c r="BH67" s="46">
        <v>2</v>
      </c>
      <c r="BI67" s="46">
        <v>2</v>
      </c>
      <c r="BJ67" s="46">
        <v>1</v>
      </c>
      <c r="BK67" s="46">
        <v>2</v>
      </c>
      <c r="BL67" s="46">
        <v>2</v>
      </c>
      <c r="BM67" s="46">
        <v>2</v>
      </c>
      <c r="BN67" s="46">
        <v>2</v>
      </c>
      <c r="BO67" s="46">
        <v>2</v>
      </c>
      <c r="BP67" s="46">
        <v>1</v>
      </c>
      <c r="BQ67" s="46">
        <v>2</v>
      </c>
      <c r="BR67" s="46">
        <v>2</v>
      </c>
      <c r="BS67" s="46">
        <v>1</v>
      </c>
      <c r="BT67" s="46">
        <v>1</v>
      </c>
      <c r="BU67" s="46">
        <v>2</v>
      </c>
      <c r="BV67" s="46">
        <v>2</v>
      </c>
      <c r="BW67" s="46">
        <v>1</v>
      </c>
      <c r="BX67" s="46">
        <v>2</v>
      </c>
      <c r="BY67" s="46">
        <v>1</v>
      </c>
      <c r="BZ67" s="46">
        <v>2</v>
      </c>
      <c r="CA67" s="46">
        <v>2</v>
      </c>
      <c r="CB67" s="46">
        <v>1</v>
      </c>
      <c r="CC67" s="46">
        <v>1</v>
      </c>
      <c r="CD67" s="46">
        <v>2</v>
      </c>
      <c r="CE67" s="46">
        <v>1</v>
      </c>
      <c r="CF67" s="46">
        <v>2</v>
      </c>
      <c r="CG67" s="46">
        <v>1</v>
      </c>
      <c r="CH67" s="46">
        <v>2</v>
      </c>
      <c r="CI67" s="46">
        <v>1</v>
      </c>
      <c r="CJ67" s="46">
        <v>2</v>
      </c>
      <c r="CK67" s="46">
        <v>1</v>
      </c>
      <c r="CL67" s="46">
        <v>1</v>
      </c>
      <c r="CM67" s="46">
        <v>1</v>
      </c>
      <c r="CN67" s="46">
        <v>2</v>
      </c>
      <c r="CO67" s="46">
        <v>1</v>
      </c>
      <c r="CP67" s="46">
        <v>2</v>
      </c>
      <c r="CQ67" s="46">
        <v>1</v>
      </c>
      <c r="CR67" s="46">
        <v>2</v>
      </c>
      <c r="CS67" s="46">
        <v>1</v>
      </c>
      <c r="CT67" s="46">
        <v>2</v>
      </c>
      <c r="CU67" s="46">
        <v>1</v>
      </c>
      <c r="CV67" s="46">
        <v>1</v>
      </c>
      <c r="CW67" s="46">
        <v>2</v>
      </c>
      <c r="CX67" s="46">
        <v>1</v>
      </c>
      <c r="CY67" s="46">
        <v>2</v>
      </c>
      <c r="CZ67" s="46">
        <v>1</v>
      </c>
      <c r="DA67" s="46">
        <v>1</v>
      </c>
      <c r="DB67" s="46">
        <v>2</v>
      </c>
      <c r="DC67" s="46">
        <v>1</v>
      </c>
      <c r="DD67" s="46">
        <v>1</v>
      </c>
      <c r="DE67" s="46">
        <v>2</v>
      </c>
      <c r="DF67" s="46">
        <v>2</v>
      </c>
      <c r="DG67" s="46">
        <v>2</v>
      </c>
      <c r="DH67" s="46">
        <v>2</v>
      </c>
      <c r="DI67" s="46">
        <v>1</v>
      </c>
      <c r="DJ67" s="46">
        <v>1</v>
      </c>
      <c r="DK67" s="46">
        <v>1</v>
      </c>
      <c r="DL67" s="46">
        <v>2</v>
      </c>
      <c r="DM67" s="46">
        <v>2</v>
      </c>
      <c r="DN67" s="46">
        <v>2</v>
      </c>
      <c r="DO67" s="46">
        <v>1</v>
      </c>
      <c r="DP67" s="46">
        <v>2</v>
      </c>
      <c r="DQ67" s="46">
        <v>1</v>
      </c>
      <c r="DR67" s="46">
        <v>2</v>
      </c>
      <c r="DS67" s="46">
        <v>1</v>
      </c>
      <c r="DT67" s="46">
        <v>1</v>
      </c>
      <c r="DU67" s="46">
        <v>2</v>
      </c>
      <c r="DV67" s="46">
        <v>2</v>
      </c>
      <c r="DW67" s="46">
        <v>1</v>
      </c>
      <c r="DX67" s="46">
        <v>2</v>
      </c>
      <c r="DY67" s="46">
        <v>1</v>
      </c>
      <c r="DZ67" s="46">
        <v>2</v>
      </c>
      <c r="EA67" s="46">
        <v>2</v>
      </c>
      <c r="EB67" s="46">
        <v>1</v>
      </c>
      <c r="EC67" s="46">
        <v>2</v>
      </c>
      <c r="ED67" s="46">
        <v>1</v>
      </c>
      <c r="EE67" s="46">
        <v>1</v>
      </c>
      <c r="EF67" s="46">
        <v>2</v>
      </c>
      <c r="EG67" s="46">
        <v>1</v>
      </c>
      <c r="EH67" s="46">
        <v>2</v>
      </c>
      <c r="EI67" s="46">
        <v>2</v>
      </c>
      <c r="EJ67" s="46">
        <v>1</v>
      </c>
      <c r="EK67" s="46">
        <v>2</v>
      </c>
      <c r="EL67" s="46">
        <v>2</v>
      </c>
      <c r="EM67" s="46">
        <v>1</v>
      </c>
      <c r="EN67" s="46">
        <v>2</v>
      </c>
      <c r="EO67" s="46">
        <v>1</v>
      </c>
      <c r="EP67" s="46">
        <v>2</v>
      </c>
      <c r="EQ67" s="46">
        <v>2</v>
      </c>
      <c r="ER67" s="46">
        <v>1</v>
      </c>
      <c r="ES67" s="46">
        <v>2</v>
      </c>
      <c r="ET67" s="46">
        <v>2</v>
      </c>
      <c r="EU67" s="46">
        <v>2</v>
      </c>
      <c r="EV67" s="46">
        <v>1</v>
      </c>
      <c r="EW67" s="46">
        <v>2</v>
      </c>
      <c r="EX67" s="46">
        <v>1</v>
      </c>
      <c r="EY67" s="46">
        <v>1</v>
      </c>
      <c r="EZ67" s="46">
        <v>2</v>
      </c>
      <c r="FA67" s="46">
        <v>1</v>
      </c>
      <c r="FB67" s="46">
        <v>2</v>
      </c>
      <c r="FC67" s="46">
        <v>2</v>
      </c>
      <c r="FD67" s="46">
        <v>2</v>
      </c>
      <c r="FE67" s="46">
        <v>1</v>
      </c>
      <c r="FF67" s="46">
        <v>1</v>
      </c>
      <c r="FG67" s="46">
        <v>2</v>
      </c>
      <c r="FH67" s="46">
        <v>1</v>
      </c>
    </row>
    <row r="68" spans="1:164" s="31" customFormat="1" x14ac:dyDescent="0.2">
      <c r="A68" s="44" t="s">
        <v>331</v>
      </c>
      <c r="B68" s="30" t="s">
        <v>268</v>
      </c>
      <c r="C68" s="30" t="s">
        <v>293</v>
      </c>
      <c r="D68" s="35" t="s">
        <v>253</v>
      </c>
      <c r="E68" s="46">
        <v>1</v>
      </c>
      <c r="F68" s="46">
        <v>1</v>
      </c>
      <c r="G68" s="46">
        <v>2</v>
      </c>
      <c r="H68" s="30">
        <v>2</v>
      </c>
      <c r="I68" s="30">
        <v>1</v>
      </c>
      <c r="J68" s="30">
        <v>1</v>
      </c>
      <c r="K68" s="46">
        <v>2</v>
      </c>
      <c r="L68" s="46">
        <v>1</v>
      </c>
      <c r="M68" s="46">
        <v>1</v>
      </c>
      <c r="N68" s="46">
        <v>1</v>
      </c>
      <c r="O68" s="46">
        <v>2</v>
      </c>
      <c r="P68" s="46">
        <v>2</v>
      </c>
      <c r="Q68" s="46">
        <v>2</v>
      </c>
      <c r="R68" s="46">
        <v>1</v>
      </c>
      <c r="S68" s="46">
        <v>2</v>
      </c>
      <c r="T68" s="46">
        <v>2</v>
      </c>
      <c r="U68" s="46">
        <v>2</v>
      </c>
      <c r="V68" s="46">
        <v>1</v>
      </c>
      <c r="W68" s="46">
        <v>2</v>
      </c>
      <c r="X68" s="46">
        <v>2</v>
      </c>
      <c r="Y68" s="46">
        <v>2</v>
      </c>
      <c r="Z68" s="46">
        <v>1</v>
      </c>
      <c r="AA68" s="46">
        <v>1</v>
      </c>
      <c r="AB68" s="46">
        <v>2</v>
      </c>
      <c r="AC68" s="46">
        <v>2</v>
      </c>
      <c r="AD68" s="46">
        <v>2</v>
      </c>
      <c r="AE68" s="46">
        <v>1</v>
      </c>
      <c r="AF68" s="46">
        <v>2</v>
      </c>
      <c r="AG68" s="46">
        <v>2</v>
      </c>
      <c r="AH68" s="46">
        <v>2</v>
      </c>
      <c r="AI68" s="46">
        <v>2</v>
      </c>
      <c r="AJ68" s="46">
        <v>2</v>
      </c>
      <c r="AK68" s="46">
        <v>2</v>
      </c>
      <c r="AL68" s="46">
        <v>2</v>
      </c>
      <c r="AM68" s="46">
        <v>2</v>
      </c>
      <c r="AN68" s="46">
        <v>1</v>
      </c>
      <c r="AO68" s="46">
        <v>2</v>
      </c>
      <c r="AP68" s="46">
        <v>2</v>
      </c>
      <c r="AQ68" s="46">
        <v>2</v>
      </c>
      <c r="AR68" s="46">
        <v>2</v>
      </c>
      <c r="AS68" s="46">
        <v>2</v>
      </c>
      <c r="AT68" s="46">
        <v>2</v>
      </c>
      <c r="AU68" s="46">
        <v>1</v>
      </c>
      <c r="AV68" s="46">
        <v>2</v>
      </c>
      <c r="AW68" s="46">
        <v>2</v>
      </c>
      <c r="AX68" s="46">
        <v>1</v>
      </c>
      <c r="AY68" s="46">
        <v>2</v>
      </c>
      <c r="AZ68" s="46">
        <v>2</v>
      </c>
      <c r="BA68" s="46">
        <v>2</v>
      </c>
      <c r="BB68" s="46">
        <v>2</v>
      </c>
      <c r="BC68" s="46">
        <v>1</v>
      </c>
      <c r="BD68" s="46">
        <v>2</v>
      </c>
      <c r="BE68" s="46">
        <v>2</v>
      </c>
      <c r="BF68" s="46">
        <v>2</v>
      </c>
      <c r="BG68" s="46">
        <v>2</v>
      </c>
      <c r="BH68" s="46">
        <v>2</v>
      </c>
      <c r="BI68" s="46">
        <v>2</v>
      </c>
      <c r="BJ68" s="46">
        <v>1</v>
      </c>
      <c r="BK68" s="46">
        <v>2</v>
      </c>
      <c r="BL68" s="46">
        <v>2</v>
      </c>
      <c r="BM68" s="46">
        <v>2</v>
      </c>
      <c r="BN68" s="46">
        <v>2</v>
      </c>
      <c r="BO68" s="46">
        <v>2</v>
      </c>
      <c r="BP68" s="46">
        <v>2</v>
      </c>
      <c r="BQ68" s="46">
        <v>2</v>
      </c>
      <c r="BR68" s="46">
        <v>2</v>
      </c>
      <c r="BS68" s="46">
        <v>2</v>
      </c>
      <c r="BT68" s="46">
        <v>2</v>
      </c>
      <c r="BU68" s="46">
        <v>2</v>
      </c>
      <c r="BV68" s="46">
        <v>2</v>
      </c>
      <c r="BW68" s="46">
        <v>2</v>
      </c>
      <c r="BX68" s="46">
        <v>1</v>
      </c>
      <c r="BY68" s="46">
        <v>2</v>
      </c>
      <c r="BZ68" s="46">
        <v>2</v>
      </c>
      <c r="CA68" s="46">
        <v>2</v>
      </c>
      <c r="CB68" s="46">
        <v>2</v>
      </c>
      <c r="CC68" s="46">
        <v>2</v>
      </c>
      <c r="CD68" s="46">
        <v>2</v>
      </c>
      <c r="CE68" s="46">
        <v>2</v>
      </c>
      <c r="CF68" s="46">
        <v>2</v>
      </c>
      <c r="CG68" s="46">
        <v>1</v>
      </c>
      <c r="CH68" s="46">
        <v>2</v>
      </c>
      <c r="CI68" s="46">
        <v>2</v>
      </c>
      <c r="CJ68" s="46">
        <v>1</v>
      </c>
      <c r="CK68" s="46">
        <v>2</v>
      </c>
      <c r="CL68" s="46">
        <v>2</v>
      </c>
      <c r="CM68" s="46">
        <v>2</v>
      </c>
      <c r="CN68" s="46">
        <v>2</v>
      </c>
      <c r="CO68" s="46">
        <v>2</v>
      </c>
      <c r="CP68" s="46">
        <v>2</v>
      </c>
      <c r="CQ68" s="46">
        <v>2</v>
      </c>
      <c r="CR68" s="46">
        <v>2</v>
      </c>
      <c r="CS68" s="46">
        <v>1</v>
      </c>
      <c r="CT68" s="46">
        <v>2</v>
      </c>
      <c r="CU68" s="46">
        <v>2</v>
      </c>
      <c r="CV68" s="46">
        <v>1</v>
      </c>
      <c r="CW68" s="46">
        <v>2</v>
      </c>
      <c r="CX68" s="46">
        <v>2</v>
      </c>
      <c r="CY68" s="46">
        <v>2</v>
      </c>
      <c r="CZ68" s="46">
        <v>2</v>
      </c>
      <c r="DA68" s="46">
        <v>2</v>
      </c>
      <c r="DB68" s="46">
        <v>2</v>
      </c>
      <c r="DC68" s="46">
        <v>2</v>
      </c>
      <c r="DD68" s="46">
        <v>2</v>
      </c>
      <c r="DE68" s="46">
        <v>2</v>
      </c>
      <c r="DF68" s="46">
        <v>2</v>
      </c>
      <c r="DG68" s="46">
        <v>2</v>
      </c>
      <c r="DH68" s="46">
        <v>2</v>
      </c>
      <c r="DI68" s="46">
        <v>2</v>
      </c>
      <c r="DJ68" s="46">
        <v>2</v>
      </c>
      <c r="DK68" s="46">
        <v>2</v>
      </c>
      <c r="DL68" s="46">
        <v>2</v>
      </c>
      <c r="DM68" s="46">
        <v>2</v>
      </c>
      <c r="DN68" s="46">
        <v>2</v>
      </c>
      <c r="DO68" s="46">
        <v>2</v>
      </c>
      <c r="DP68" s="46">
        <v>1</v>
      </c>
      <c r="DQ68" s="46">
        <v>1</v>
      </c>
      <c r="DR68" s="46">
        <v>2</v>
      </c>
      <c r="DS68" s="46">
        <v>2</v>
      </c>
      <c r="DT68" s="46">
        <v>1</v>
      </c>
      <c r="DU68" s="46">
        <v>2</v>
      </c>
      <c r="DV68" s="46">
        <v>2</v>
      </c>
      <c r="DW68" s="46">
        <v>1</v>
      </c>
      <c r="DX68" s="46">
        <v>2</v>
      </c>
      <c r="DY68" s="46">
        <v>2</v>
      </c>
      <c r="DZ68" s="46">
        <v>2</v>
      </c>
      <c r="EA68" s="46">
        <v>2</v>
      </c>
      <c r="EB68" s="46">
        <v>2</v>
      </c>
      <c r="EC68" s="46">
        <v>1</v>
      </c>
      <c r="ED68" s="46">
        <v>1</v>
      </c>
      <c r="EE68" s="46">
        <v>1</v>
      </c>
      <c r="EF68" s="46">
        <v>1</v>
      </c>
      <c r="EG68" s="46">
        <v>2</v>
      </c>
      <c r="EH68" s="46">
        <v>2</v>
      </c>
      <c r="EI68" s="46">
        <v>2</v>
      </c>
      <c r="EJ68" s="46">
        <v>1</v>
      </c>
      <c r="EK68" s="46">
        <v>1</v>
      </c>
      <c r="EL68" s="46">
        <v>2</v>
      </c>
      <c r="EM68" s="46">
        <v>2</v>
      </c>
      <c r="EN68" s="46">
        <v>2</v>
      </c>
      <c r="EO68" s="46">
        <v>1</v>
      </c>
      <c r="EP68" s="46">
        <v>2</v>
      </c>
      <c r="EQ68" s="46">
        <v>2</v>
      </c>
      <c r="ER68" s="46">
        <v>2</v>
      </c>
      <c r="ES68" s="46">
        <v>2</v>
      </c>
      <c r="ET68" s="46">
        <v>2</v>
      </c>
      <c r="EU68" s="46">
        <v>2</v>
      </c>
      <c r="EV68" s="46">
        <v>1</v>
      </c>
      <c r="EW68" s="46">
        <v>2</v>
      </c>
      <c r="EX68" s="46">
        <v>2</v>
      </c>
      <c r="EY68" s="46">
        <v>2</v>
      </c>
      <c r="EZ68" s="46">
        <v>2</v>
      </c>
      <c r="FA68" s="46">
        <v>2</v>
      </c>
      <c r="FB68" s="46">
        <v>2</v>
      </c>
      <c r="FC68" s="46">
        <v>2</v>
      </c>
      <c r="FD68" s="46">
        <v>2</v>
      </c>
      <c r="FE68" s="46">
        <v>2</v>
      </c>
      <c r="FF68" s="46">
        <v>2</v>
      </c>
      <c r="FG68" s="46">
        <v>2</v>
      </c>
      <c r="FH68" s="46">
        <v>1</v>
      </c>
    </row>
    <row r="69" spans="1:164" s="31" customFormat="1" x14ac:dyDescent="0.2">
      <c r="A69" s="44" t="s">
        <v>332</v>
      </c>
      <c r="B69" s="30" t="s">
        <v>265</v>
      </c>
      <c r="C69" s="30" t="s">
        <v>293</v>
      </c>
      <c r="D69" s="35" t="s">
        <v>253</v>
      </c>
      <c r="E69" s="46">
        <v>2</v>
      </c>
      <c r="F69" s="46">
        <v>1</v>
      </c>
      <c r="G69" s="46">
        <v>2</v>
      </c>
      <c r="H69" s="30">
        <v>1</v>
      </c>
      <c r="I69" s="30">
        <v>1</v>
      </c>
      <c r="J69" s="30">
        <v>1</v>
      </c>
      <c r="K69" s="46">
        <v>1</v>
      </c>
      <c r="L69" s="46">
        <v>2</v>
      </c>
      <c r="M69" s="46">
        <v>1</v>
      </c>
      <c r="N69" s="46">
        <v>2</v>
      </c>
      <c r="O69" s="46">
        <v>1</v>
      </c>
      <c r="P69" s="46">
        <v>1</v>
      </c>
      <c r="Q69" s="46">
        <v>2</v>
      </c>
      <c r="R69" s="46">
        <v>1</v>
      </c>
      <c r="S69" s="46">
        <v>2</v>
      </c>
      <c r="T69" s="46">
        <v>2</v>
      </c>
      <c r="U69" s="46">
        <v>2</v>
      </c>
      <c r="V69" s="46">
        <v>1</v>
      </c>
      <c r="W69" s="46">
        <v>1</v>
      </c>
      <c r="X69" s="46">
        <v>1</v>
      </c>
      <c r="Y69" s="46">
        <v>2</v>
      </c>
      <c r="Z69" s="46">
        <v>2</v>
      </c>
      <c r="AA69" s="46">
        <v>2</v>
      </c>
      <c r="AB69" s="46">
        <v>1</v>
      </c>
      <c r="AC69" s="46">
        <v>1</v>
      </c>
      <c r="AD69" s="46">
        <v>1</v>
      </c>
      <c r="AE69" s="46">
        <v>1</v>
      </c>
      <c r="AF69" s="46">
        <v>2</v>
      </c>
      <c r="AG69" s="46">
        <v>1</v>
      </c>
      <c r="AH69" s="46">
        <v>2</v>
      </c>
      <c r="AI69" s="46">
        <v>2</v>
      </c>
      <c r="AJ69" s="46">
        <v>2</v>
      </c>
      <c r="AK69" s="46">
        <v>2</v>
      </c>
      <c r="AL69" s="46">
        <v>1</v>
      </c>
      <c r="AM69" s="46">
        <v>2</v>
      </c>
      <c r="AN69" s="46">
        <v>1</v>
      </c>
      <c r="AO69" s="46">
        <v>2</v>
      </c>
      <c r="AP69" s="46">
        <v>1</v>
      </c>
      <c r="AQ69" s="46">
        <v>1</v>
      </c>
      <c r="AR69" s="46">
        <v>2</v>
      </c>
      <c r="AS69" s="46">
        <v>2</v>
      </c>
      <c r="AT69" s="46">
        <v>2</v>
      </c>
      <c r="AU69" s="46">
        <v>1</v>
      </c>
      <c r="AV69" s="46">
        <v>2</v>
      </c>
      <c r="AW69" s="46">
        <v>2</v>
      </c>
      <c r="AX69" s="46">
        <v>1</v>
      </c>
      <c r="AY69" s="46">
        <v>2</v>
      </c>
      <c r="AZ69" s="46">
        <v>2</v>
      </c>
      <c r="BA69" s="46">
        <v>2</v>
      </c>
      <c r="BB69" s="46">
        <v>1</v>
      </c>
      <c r="BC69" s="46">
        <v>2</v>
      </c>
      <c r="BD69" s="46">
        <v>2</v>
      </c>
      <c r="BE69" s="46">
        <v>2</v>
      </c>
      <c r="BF69" s="46">
        <v>2</v>
      </c>
      <c r="BG69" s="46">
        <v>1</v>
      </c>
      <c r="BH69" s="46">
        <v>2</v>
      </c>
      <c r="BI69" s="46">
        <v>2</v>
      </c>
      <c r="BJ69" s="46">
        <v>2</v>
      </c>
      <c r="BK69" s="46">
        <v>2</v>
      </c>
      <c r="BL69" s="46">
        <v>2</v>
      </c>
      <c r="BM69" s="46">
        <v>2</v>
      </c>
      <c r="BN69" s="46">
        <v>2</v>
      </c>
      <c r="BO69" s="46">
        <v>2</v>
      </c>
      <c r="BP69" s="46">
        <v>2</v>
      </c>
      <c r="BQ69" s="46">
        <v>2</v>
      </c>
      <c r="BR69" s="46">
        <v>1</v>
      </c>
      <c r="BS69" s="46">
        <v>1</v>
      </c>
      <c r="BT69" s="46">
        <v>2</v>
      </c>
      <c r="BU69" s="46">
        <v>1</v>
      </c>
      <c r="BV69" s="46">
        <v>2</v>
      </c>
      <c r="BW69" s="46">
        <v>1</v>
      </c>
      <c r="BX69" s="46">
        <v>1</v>
      </c>
      <c r="BY69" s="46">
        <v>2</v>
      </c>
      <c r="BZ69" s="46">
        <v>2</v>
      </c>
      <c r="CA69" s="46">
        <v>2</v>
      </c>
      <c r="CB69" s="46">
        <v>2</v>
      </c>
      <c r="CC69" s="46">
        <v>1</v>
      </c>
      <c r="CD69" s="46">
        <v>2</v>
      </c>
      <c r="CE69" s="46">
        <v>1</v>
      </c>
      <c r="CF69" s="46">
        <v>1</v>
      </c>
      <c r="CG69" s="46">
        <v>1</v>
      </c>
      <c r="CH69" s="46">
        <v>2</v>
      </c>
      <c r="CI69" s="46">
        <v>2</v>
      </c>
      <c r="CJ69" s="46">
        <v>1</v>
      </c>
      <c r="CK69" s="46">
        <v>2</v>
      </c>
      <c r="CL69" s="46">
        <v>2</v>
      </c>
      <c r="CM69" s="46">
        <v>1</v>
      </c>
      <c r="CN69" s="46">
        <v>2</v>
      </c>
      <c r="CO69" s="46">
        <v>2</v>
      </c>
      <c r="CP69" s="46">
        <v>2</v>
      </c>
      <c r="CQ69" s="46">
        <v>1</v>
      </c>
      <c r="CR69" s="46">
        <v>2</v>
      </c>
      <c r="CS69" s="46">
        <v>1</v>
      </c>
      <c r="CT69" s="46">
        <v>2</v>
      </c>
      <c r="CU69" s="46">
        <v>2</v>
      </c>
      <c r="CV69" s="46">
        <v>1</v>
      </c>
      <c r="CW69" s="46">
        <v>2</v>
      </c>
      <c r="CX69" s="46">
        <v>2</v>
      </c>
      <c r="CY69" s="46">
        <v>1</v>
      </c>
      <c r="CZ69" s="46">
        <v>2</v>
      </c>
      <c r="DA69" s="46">
        <v>1</v>
      </c>
      <c r="DB69" s="46">
        <v>2</v>
      </c>
      <c r="DC69" s="46">
        <v>2</v>
      </c>
      <c r="DD69" s="46">
        <v>2</v>
      </c>
      <c r="DE69" s="46">
        <v>2</v>
      </c>
      <c r="DF69" s="46">
        <v>1</v>
      </c>
      <c r="DG69" s="46">
        <v>2</v>
      </c>
      <c r="DH69" s="46">
        <v>1</v>
      </c>
      <c r="DI69" s="46">
        <v>2</v>
      </c>
      <c r="DJ69" s="46">
        <v>2</v>
      </c>
      <c r="DK69" s="46">
        <v>1</v>
      </c>
      <c r="DL69" s="46">
        <v>1</v>
      </c>
      <c r="DM69" s="46">
        <v>1</v>
      </c>
      <c r="DN69" s="46">
        <v>2</v>
      </c>
      <c r="DO69" s="46">
        <v>1</v>
      </c>
      <c r="DP69" s="46">
        <v>2</v>
      </c>
      <c r="DQ69" s="46">
        <v>2</v>
      </c>
      <c r="DR69" s="46">
        <v>1</v>
      </c>
      <c r="DS69" s="46">
        <v>2</v>
      </c>
      <c r="DT69" s="46">
        <v>2</v>
      </c>
      <c r="DU69" s="46">
        <v>2</v>
      </c>
      <c r="DV69" s="46">
        <v>2</v>
      </c>
      <c r="DW69" s="46">
        <v>2</v>
      </c>
      <c r="DX69" s="46">
        <v>2</v>
      </c>
      <c r="DY69" s="46">
        <v>1</v>
      </c>
      <c r="DZ69" s="46">
        <v>2</v>
      </c>
      <c r="EA69" s="46">
        <v>1</v>
      </c>
      <c r="EB69" s="46">
        <v>2</v>
      </c>
      <c r="EC69" s="46">
        <v>1</v>
      </c>
      <c r="ED69" s="46">
        <v>1</v>
      </c>
      <c r="EE69" s="46">
        <v>1</v>
      </c>
      <c r="EF69" s="46">
        <v>1</v>
      </c>
      <c r="EG69" s="46">
        <v>1</v>
      </c>
      <c r="EH69" s="46">
        <v>2</v>
      </c>
      <c r="EI69" s="46">
        <v>2</v>
      </c>
      <c r="EJ69" s="46">
        <v>1</v>
      </c>
      <c r="EK69" s="46">
        <v>1</v>
      </c>
      <c r="EL69" s="46">
        <v>2</v>
      </c>
      <c r="EM69" s="46">
        <v>2</v>
      </c>
      <c r="EN69" s="46">
        <v>1</v>
      </c>
      <c r="EO69" s="46">
        <v>1</v>
      </c>
      <c r="EP69" s="46">
        <v>2</v>
      </c>
      <c r="EQ69" s="46">
        <v>2</v>
      </c>
      <c r="ER69" s="46">
        <v>1</v>
      </c>
      <c r="ES69" s="46">
        <v>2</v>
      </c>
      <c r="ET69" s="46">
        <v>2</v>
      </c>
      <c r="EU69" s="46">
        <v>2</v>
      </c>
      <c r="EV69" s="46">
        <v>2</v>
      </c>
      <c r="EW69" s="46">
        <v>2</v>
      </c>
      <c r="EX69" s="46">
        <v>2</v>
      </c>
      <c r="EY69" s="46">
        <v>2</v>
      </c>
      <c r="EZ69" s="46">
        <v>2</v>
      </c>
      <c r="FA69" s="46">
        <v>2</v>
      </c>
      <c r="FB69" s="46">
        <v>2</v>
      </c>
      <c r="FC69" s="46">
        <v>2</v>
      </c>
      <c r="FD69" s="46">
        <v>2</v>
      </c>
      <c r="FE69" s="46">
        <v>2</v>
      </c>
      <c r="FF69" s="46">
        <v>1</v>
      </c>
      <c r="FG69" s="46">
        <v>1</v>
      </c>
      <c r="FH69" s="46">
        <v>2</v>
      </c>
    </row>
    <row r="70" spans="1:164" s="31" customFormat="1" x14ac:dyDescent="0.2">
      <c r="A70" s="44" t="s">
        <v>333</v>
      </c>
      <c r="B70" s="30" t="s">
        <v>267</v>
      </c>
      <c r="C70" s="30" t="s">
        <v>293</v>
      </c>
      <c r="D70" s="35" t="s">
        <v>254</v>
      </c>
      <c r="E70" s="46">
        <v>1</v>
      </c>
      <c r="F70" s="46">
        <v>2</v>
      </c>
      <c r="G70" s="46">
        <v>2</v>
      </c>
      <c r="H70" s="30">
        <v>1</v>
      </c>
      <c r="I70" s="30">
        <v>1</v>
      </c>
      <c r="J70" s="30">
        <v>1</v>
      </c>
      <c r="K70" s="46">
        <v>2</v>
      </c>
      <c r="L70" s="46">
        <v>2</v>
      </c>
      <c r="M70" s="46">
        <v>1</v>
      </c>
      <c r="N70" s="46">
        <v>1</v>
      </c>
      <c r="O70" s="46">
        <v>2</v>
      </c>
      <c r="P70" s="46">
        <v>1</v>
      </c>
      <c r="Q70" s="46">
        <v>2</v>
      </c>
      <c r="R70" s="46">
        <v>2</v>
      </c>
      <c r="S70" s="46">
        <v>2</v>
      </c>
      <c r="T70" s="46">
        <v>2</v>
      </c>
      <c r="U70" s="46">
        <v>1</v>
      </c>
      <c r="V70" s="46">
        <v>1</v>
      </c>
      <c r="W70" s="46">
        <v>1</v>
      </c>
      <c r="X70" s="46">
        <v>1</v>
      </c>
      <c r="Y70" s="46">
        <v>2</v>
      </c>
      <c r="Z70" s="46">
        <v>1</v>
      </c>
      <c r="AA70" s="46">
        <v>2</v>
      </c>
      <c r="AB70" s="46">
        <v>2</v>
      </c>
      <c r="AC70" s="46">
        <v>1</v>
      </c>
      <c r="AD70" s="46">
        <v>1</v>
      </c>
      <c r="AE70" s="46">
        <v>1</v>
      </c>
      <c r="AF70" s="46">
        <v>1</v>
      </c>
      <c r="AG70" s="46">
        <v>2</v>
      </c>
      <c r="AH70" s="46">
        <v>2</v>
      </c>
      <c r="AI70" s="46">
        <v>1</v>
      </c>
      <c r="AJ70" s="46">
        <v>2</v>
      </c>
      <c r="AK70" s="46">
        <v>2</v>
      </c>
      <c r="AL70" s="46">
        <v>2</v>
      </c>
      <c r="AM70" s="46">
        <v>1</v>
      </c>
      <c r="AN70" s="46">
        <v>2</v>
      </c>
      <c r="AO70" s="46">
        <v>1</v>
      </c>
      <c r="AP70" s="46">
        <v>1</v>
      </c>
      <c r="AQ70" s="46">
        <v>1</v>
      </c>
      <c r="AR70" s="46">
        <v>2</v>
      </c>
      <c r="AS70" s="46">
        <v>1</v>
      </c>
      <c r="AT70" s="46">
        <v>2</v>
      </c>
      <c r="AU70" s="46">
        <v>1</v>
      </c>
      <c r="AV70" s="46">
        <v>1</v>
      </c>
      <c r="AW70" s="46">
        <v>1</v>
      </c>
      <c r="AX70" s="46">
        <v>2</v>
      </c>
      <c r="AY70" s="46">
        <v>1</v>
      </c>
      <c r="AZ70" s="46">
        <v>2</v>
      </c>
      <c r="BA70" s="46">
        <v>1</v>
      </c>
      <c r="BB70" s="46">
        <v>1</v>
      </c>
      <c r="BC70" s="46">
        <v>2</v>
      </c>
      <c r="BD70" s="46">
        <v>2</v>
      </c>
      <c r="BE70" s="46">
        <v>2</v>
      </c>
      <c r="BF70" s="46">
        <v>2</v>
      </c>
      <c r="BG70" s="46">
        <v>1</v>
      </c>
      <c r="BH70" s="46">
        <v>2</v>
      </c>
      <c r="BI70" s="46">
        <v>2</v>
      </c>
      <c r="BJ70" s="46">
        <v>1</v>
      </c>
      <c r="BK70" s="46">
        <v>2</v>
      </c>
      <c r="BL70" s="46">
        <v>1</v>
      </c>
      <c r="BM70" s="46">
        <v>1</v>
      </c>
      <c r="BN70" s="46">
        <v>2</v>
      </c>
      <c r="BO70" s="46">
        <v>1</v>
      </c>
      <c r="BP70" s="46">
        <v>1</v>
      </c>
      <c r="BQ70" s="46">
        <v>2</v>
      </c>
      <c r="BR70" s="46">
        <v>2</v>
      </c>
      <c r="BS70" s="46">
        <v>1</v>
      </c>
      <c r="BT70" s="46">
        <v>2</v>
      </c>
      <c r="BU70" s="46">
        <v>1</v>
      </c>
      <c r="BV70" s="46">
        <v>1</v>
      </c>
      <c r="BW70" s="46">
        <v>2</v>
      </c>
      <c r="BX70" s="46">
        <v>1</v>
      </c>
      <c r="BY70" s="46">
        <v>1</v>
      </c>
      <c r="BZ70" s="46">
        <v>1</v>
      </c>
      <c r="CA70" s="46">
        <v>1</v>
      </c>
      <c r="CB70" s="46">
        <v>1</v>
      </c>
      <c r="CC70" s="46">
        <v>1</v>
      </c>
      <c r="CD70" s="46">
        <v>2</v>
      </c>
      <c r="CE70" s="46">
        <v>1</v>
      </c>
      <c r="CF70" s="46">
        <v>2</v>
      </c>
      <c r="CG70" s="46">
        <v>1</v>
      </c>
      <c r="CH70" s="46">
        <v>1</v>
      </c>
      <c r="CI70" s="46">
        <v>2</v>
      </c>
      <c r="CJ70" s="46">
        <v>2</v>
      </c>
      <c r="CK70" s="46">
        <v>1</v>
      </c>
      <c r="CL70" s="46">
        <v>1</v>
      </c>
      <c r="CM70" s="46">
        <v>1</v>
      </c>
      <c r="CN70" s="46">
        <v>2</v>
      </c>
      <c r="CO70" s="46">
        <v>1</v>
      </c>
      <c r="CP70" s="46">
        <v>1</v>
      </c>
      <c r="CQ70" s="46">
        <v>1</v>
      </c>
      <c r="CR70" s="46">
        <v>2</v>
      </c>
      <c r="CS70" s="46">
        <v>1</v>
      </c>
      <c r="CT70" s="46">
        <v>2</v>
      </c>
      <c r="CU70" s="46">
        <v>1</v>
      </c>
      <c r="CV70" s="46">
        <v>1</v>
      </c>
      <c r="CW70" s="46">
        <v>2</v>
      </c>
      <c r="CX70" s="46">
        <v>1</v>
      </c>
      <c r="CY70" s="46">
        <v>1</v>
      </c>
      <c r="CZ70" s="46">
        <v>1</v>
      </c>
      <c r="DA70" s="46">
        <v>2</v>
      </c>
      <c r="DB70" s="46">
        <v>1</v>
      </c>
      <c r="DC70" s="46">
        <v>2</v>
      </c>
      <c r="DD70" s="46">
        <v>2</v>
      </c>
      <c r="DE70" s="46">
        <v>2</v>
      </c>
      <c r="DF70" s="46">
        <v>2</v>
      </c>
      <c r="DG70" s="46">
        <v>2</v>
      </c>
      <c r="DH70" s="46">
        <v>2</v>
      </c>
      <c r="DI70" s="46">
        <v>1</v>
      </c>
      <c r="DJ70" s="46">
        <v>1</v>
      </c>
      <c r="DK70" s="46">
        <v>1</v>
      </c>
      <c r="DL70" s="46">
        <v>2</v>
      </c>
      <c r="DM70" s="46">
        <v>2</v>
      </c>
      <c r="DN70" s="46">
        <v>2</v>
      </c>
      <c r="DO70" s="46">
        <v>1</v>
      </c>
      <c r="DP70" s="46">
        <v>2</v>
      </c>
      <c r="DQ70" s="46">
        <v>1</v>
      </c>
      <c r="DR70" s="46">
        <v>1</v>
      </c>
      <c r="DS70" s="46">
        <v>1</v>
      </c>
      <c r="DT70" s="46">
        <v>1</v>
      </c>
      <c r="DU70" s="46">
        <v>2</v>
      </c>
      <c r="DV70" s="46">
        <v>1</v>
      </c>
      <c r="DW70" s="46">
        <v>2</v>
      </c>
      <c r="DX70" s="46">
        <v>2</v>
      </c>
      <c r="DY70" s="46">
        <v>2</v>
      </c>
      <c r="DZ70" s="46">
        <v>2</v>
      </c>
      <c r="EA70" s="46">
        <v>1</v>
      </c>
      <c r="EB70" s="46">
        <v>2</v>
      </c>
      <c r="EC70" s="46">
        <v>1</v>
      </c>
      <c r="ED70" s="46">
        <v>1</v>
      </c>
      <c r="EE70" s="46">
        <v>1</v>
      </c>
      <c r="EF70" s="46">
        <v>1</v>
      </c>
      <c r="EG70" s="46">
        <v>2</v>
      </c>
      <c r="EH70" s="46">
        <v>1</v>
      </c>
      <c r="EI70" s="46">
        <v>2</v>
      </c>
      <c r="EJ70" s="46">
        <v>1</v>
      </c>
      <c r="EK70" s="46">
        <v>1</v>
      </c>
      <c r="EL70" s="46">
        <v>2</v>
      </c>
      <c r="EM70" s="46">
        <v>2</v>
      </c>
      <c r="EN70" s="46">
        <v>1</v>
      </c>
      <c r="EO70" s="46">
        <v>1</v>
      </c>
      <c r="EP70" s="46">
        <v>1</v>
      </c>
      <c r="EQ70" s="46">
        <v>2</v>
      </c>
      <c r="ER70" s="46">
        <v>2</v>
      </c>
      <c r="ES70" s="46">
        <v>2</v>
      </c>
      <c r="ET70" s="46">
        <v>1</v>
      </c>
      <c r="EU70" s="46">
        <v>2</v>
      </c>
      <c r="EV70" s="46">
        <v>1</v>
      </c>
      <c r="EW70" s="46">
        <v>2</v>
      </c>
      <c r="EX70" s="46">
        <v>1</v>
      </c>
      <c r="EY70" s="46">
        <v>1</v>
      </c>
      <c r="EZ70" s="46">
        <v>2</v>
      </c>
      <c r="FA70" s="46">
        <v>1</v>
      </c>
      <c r="FB70" s="46">
        <v>1</v>
      </c>
      <c r="FC70" s="46">
        <v>1</v>
      </c>
      <c r="FD70" s="46">
        <v>2</v>
      </c>
      <c r="FE70" s="46">
        <v>2</v>
      </c>
      <c r="FF70" s="46">
        <v>2</v>
      </c>
      <c r="FG70" s="46">
        <v>1</v>
      </c>
      <c r="FH70" s="46">
        <v>2</v>
      </c>
    </row>
    <row r="71" spans="1:164" s="31" customFormat="1" x14ac:dyDescent="0.2">
      <c r="A71" s="44" t="s">
        <v>334</v>
      </c>
      <c r="B71" s="30" t="s">
        <v>266</v>
      </c>
      <c r="C71" s="30" t="s">
        <v>347</v>
      </c>
      <c r="D71" s="35" t="s">
        <v>251</v>
      </c>
      <c r="E71" s="46">
        <v>1</v>
      </c>
      <c r="F71" s="46">
        <v>2</v>
      </c>
      <c r="G71" s="46">
        <v>2</v>
      </c>
      <c r="H71" s="30">
        <v>1</v>
      </c>
      <c r="I71" s="30">
        <v>1</v>
      </c>
      <c r="J71" s="30">
        <v>1</v>
      </c>
      <c r="K71" s="46">
        <v>2</v>
      </c>
      <c r="L71" s="46">
        <v>1</v>
      </c>
      <c r="M71" s="46">
        <v>1</v>
      </c>
      <c r="N71" s="46">
        <v>2</v>
      </c>
      <c r="O71" s="46">
        <v>1</v>
      </c>
      <c r="P71" s="46">
        <v>2</v>
      </c>
      <c r="Q71" s="46">
        <v>2</v>
      </c>
      <c r="R71" s="46">
        <v>1</v>
      </c>
      <c r="S71" s="46">
        <v>1</v>
      </c>
      <c r="T71" s="46">
        <v>1</v>
      </c>
      <c r="U71" s="46">
        <v>1</v>
      </c>
      <c r="V71" s="46">
        <v>2</v>
      </c>
      <c r="W71" s="46">
        <v>2</v>
      </c>
      <c r="X71" s="46">
        <v>1</v>
      </c>
      <c r="Y71" s="46">
        <v>2</v>
      </c>
      <c r="Z71" s="46">
        <v>1</v>
      </c>
      <c r="AA71" s="46">
        <v>1</v>
      </c>
      <c r="AB71" s="46">
        <v>1</v>
      </c>
      <c r="AC71" s="46">
        <v>1</v>
      </c>
      <c r="AD71" s="46">
        <v>1</v>
      </c>
      <c r="AE71" s="46">
        <v>2</v>
      </c>
      <c r="AF71" s="46">
        <v>2</v>
      </c>
      <c r="AG71" s="46">
        <v>2</v>
      </c>
      <c r="AH71" s="46">
        <v>2</v>
      </c>
      <c r="AI71" s="46">
        <v>1</v>
      </c>
      <c r="AJ71" s="46">
        <v>1</v>
      </c>
      <c r="AK71" s="46">
        <v>2</v>
      </c>
      <c r="AL71" s="46">
        <v>1</v>
      </c>
      <c r="AM71" s="46">
        <v>1</v>
      </c>
      <c r="AN71" s="46">
        <v>2</v>
      </c>
      <c r="AO71" s="46">
        <v>1</v>
      </c>
      <c r="AP71" s="46">
        <v>1</v>
      </c>
      <c r="AQ71" s="46">
        <v>2</v>
      </c>
      <c r="AR71" s="46">
        <v>2</v>
      </c>
      <c r="AS71" s="46">
        <v>2</v>
      </c>
      <c r="AT71" s="46">
        <v>1</v>
      </c>
      <c r="AU71" s="46">
        <v>1</v>
      </c>
      <c r="AV71" s="46">
        <v>1</v>
      </c>
      <c r="AW71" s="46">
        <v>2</v>
      </c>
      <c r="AX71" s="46">
        <v>1</v>
      </c>
      <c r="AY71" s="46">
        <v>1</v>
      </c>
      <c r="AZ71" s="46">
        <v>2</v>
      </c>
      <c r="BA71" s="46">
        <v>2</v>
      </c>
      <c r="BB71" s="46">
        <v>1</v>
      </c>
      <c r="BC71" s="46">
        <v>1</v>
      </c>
      <c r="BD71" s="46">
        <v>2</v>
      </c>
      <c r="BE71" s="46">
        <v>1</v>
      </c>
      <c r="BF71" s="46">
        <v>1</v>
      </c>
      <c r="BG71" s="46">
        <v>1</v>
      </c>
      <c r="BH71" s="46">
        <v>2</v>
      </c>
      <c r="BI71" s="46">
        <v>2</v>
      </c>
      <c r="BJ71" s="46">
        <v>2</v>
      </c>
      <c r="BK71" s="46">
        <v>2</v>
      </c>
      <c r="BL71" s="46">
        <v>2</v>
      </c>
      <c r="BM71" s="46">
        <v>2</v>
      </c>
      <c r="BN71" s="46">
        <v>1</v>
      </c>
      <c r="BO71" s="46">
        <v>2</v>
      </c>
      <c r="BP71" s="46">
        <v>1</v>
      </c>
      <c r="BQ71" s="46">
        <v>2</v>
      </c>
      <c r="BR71" s="46">
        <v>1</v>
      </c>
      <c r="BS71" s="46">
        <v>1</v>
      </c>
      <c r="BT71" s="46">
        <v>2</v>
      </c>
      <c r="BU71" s="46">
        <v>2</v>
      </c>
      <c r="BV71" s="46">
        <v>1</v>
      </c>
      <c r="BW71" s="46">
        <v>2</v>
      </c>
      <c r="BX71" s="46">
        <v>1</v>
      </c>
      <c r="BY71" s="46">
        <v>2</v>
      </c>
      <c r="BZ71" s="46">
        <v>2</v>
      </c>
      <c r="CA71" s="46">
        <v>2</v>
      </c>
      <c r="CB71" s="46">
        <v>2</v>
      </c>
      <c r="CC71" s="46">
        <v>2</v>
      </c>
      <c r="CD71" s="46">
        <v>2</v>
      </c>
      <c r="CE71" s="46">
        <v>1</v>
      </c>
      <c r="CF71" s="46">
        <v>2</v>
      </c>
      <c r="CG71" s="46">
        <v>1</v>
      </c>
      <c r="CH71" s="46">
        <v>1</v>
      </c>
      <c r="CI71" s="46">
        <v>1</v>
      </c>
      <c r="CJ71" s="46">
        <v>1</v>
      </c>
      <c r="CK71" s="46">
        <v>1</v>
      </c>
      <c r="CL71" s="46">
        <v>2</v>
      </c>
      <c r="CM71" s="46">
        <v>1</v>
      </c>
      <c r="CN71" s="46">
        <v>1</v>
      </c>
      <c r="CO71" s="46">
        <v>2</v>
      </c>
      <c r="CP71" s="46">
        <v>2</v>
      </c>
      <c r="CQ71" s="46">
        <v>2</v>
      </c>
      <c r="CR71" s="46">
        <v>2</v>
      </c>
      <c r="CS71" s="46">
        <v>1</v>
      </c>
      <c r="CT71" s="46">
        <v>2</v>
      </c>
      <c r="CU71" s="46">
        <v>1</v>
      </c>
      <c r="CV71" s="46">
        <v>1</v>
      </c>
      <c r="CW71" s="46">
        <v>2</v>
      </c>
      <c r="CX71" s="46">
        <v>1</v>
      </c>
      <c r="CY71" s="46">
        <v>1</v>
      </c>
      <c r="CZ71" s="46">
        <v>1</v>
      </c>
      <c r="DA71" s="46">
        <v>2</v>
      </c>
      <c r="DB71" s="46">
        <v>2</v>
      </c>
      <c r="DC71" s="46">
        <v>2</v>
      </c>
      <c r="DD71" s="46">
        <v>2</v>
      </c>
      <c r="DE71" s="46">
        <v>2</v>
      </c>
      <c r="DF71" s="46">
        <v>1</v>
      </c>
      <c r="DG71" s="46">
        <v>1</v>
      </c>
      <c r="DH71" s="46">
        <v>1</v>
      </c>
      <c r="DI71" s="46">
        <v>2</v>
      </c>
      <c r="DJ71" s="46">
        <v>1</v>
      </c>
      <c r="DK71" s="46">
        <v>2</v>
      </c>
      <c r="DL71" s="46">
        <v>1</v>
      </c>
      <c r="DM71" s="46">
        <v>2</v>
      </c>
      <c r="DN71" s="46">
        <v>2</v>
      </c>
      <c r="DO71" s="46">
        <v>1</v>
      </c>
      <c r="DP71" s="46">
        <v>0</v>
      </c>
      <c r="DQ71" s="46">
        <v>2</v>
      </c>
      <c r="DR71" s="46">
        <v>1</v>
      </c>
      <c r="DS71" s="46">
        <v>1</v>
      </c>
      <c r="DT71" s="46">
        <v>2</v>
      </c>
      <c r="DU71" s="46">
        <v>1</v>
      </c>
      <c r="DV71" s="46">
        <v>1</v>
      </c>
      <c r="DW71" s="46">
        <v>1</v>
      </c>
      <c r="DX71" s="46">
        <v>2</v>
      </c>
      <c r="DY71" s="46">
        <v>2</v>
      </c>
      <c r="DZ71" s="46">
        <v>2</v>
      </c>
      <c r="EA71" s="46">
        <v>1</v>
      </c>
      <c r="EB71" s="46">
        <v>2</v>
      </c>
      <c r="EC71" s="46">
        <v>1</v>
      </c>
      <c r="ED71" s="46">
        <v>1</v>
      </c>
      <c r="EE71" s="46">
        <v>2</v>
      </c>
      <c r="EF71" s="46">
        <v>2</v>
      </c>
      <c r="EG71" s="46">
        <v>2</v>
      </c>
      <c r="EH71" s="46">
        <v>2</v>
      </c>
      <c r="EI71" s="46">
        <v>2</v>
      </c>
      <c r="EJ71" s="46">
        <v>2</v>
      </c>
      <c r="EK71" s="46">
        <v>2</v>
      </c>
      <c r="EL71" s="46">
        <v>2</v>
      </c>
      <c r="EM71" s="46">
        <v>2</v>
      </c>
      <c r="EN71" s="46">
        <v>2</v>
      </c>
      <c r="EO71" s="46">
        <v>1</v>
      </c>
      <c r="EP71" s="46">
        <v>1</v>
      </c>
      <c r="EQ71" s="46">
        <v>2</v>
      </c>
      <c r="ER71" s="46">
        <v>2</v>
      </c>
      <c r="ES71" s="46">
        <v>2</v>
      </c>
      <c r="ET71" s="46">
        <v>2</v>
      </c>
      <c r="EU71" s="46">
        <v>1</v>
      </c>
      <c r="EV71" s="46">
        <v>1</v>
      </c>
      <c r="EW71" s="46">
        <v>2</v>
      </c>
      <c r="EX71" s="46">
        <v>2</v>
      </c>
      <c r="EY71" s="46">
        <v>2</v>
      </c>
      <c r="EZ71" s="46">
        <v>2</v>
      </c>
      <c r="FA71" s="46">
        <v>1</v>
      </c>
      <c r="FB71" s="46">
        <v>1</v>
      </c>
      <c r="FC71" s="46">
        <v>2</v>
      </c>
      <c r="FD71" s="46">
        <v>2</v>
      </c>
      <c r="FE71" s="46">
        <v>2</v>
      </c>
      <c r="FF71" s="46">
        <v>1</v>
      </c>
      <c r="FG71" s="46">
        <v>1</v>
      </c>
      <c r="FH71" s="46">
        <v>2</v>
      </c>
    </row>
    <row r="72" spans="1:164" s="31" customFormat="1" x14ac:dyDescent="0.2">
      <c r="A72" s="44" t="s">
        <v>335</v>
      </c>
      <c r="B72" s="30" t="s">
        <v>264</v>
      </c>
      <c r="C72" s="30" t="s">
        <v>293</v>
      </c>
      <c r="D72" s="35" t="s">
        <v>254</v>
      </c>
      <c r="E72" s="46">
        <v>1</v>
      </c>
      <c r="F72" s="46">
        <v>2</v>
      </c>
      <c r="G72" s="46">
        <v>1</v>
      </c>
      <c r="H72" s="30">
        <v>1</v>
      </c>
      <c r="I72" s="30">
        <v>1</v>
      </c>
      <c r="J72" s="30">
        <v>1</v>
      </c>
      <c r="K72" s="46">
        <v>1</v>
      </c>
      <c r="L72" s="46">
        <v>1</v>
      </c>
      <c r="M72" s="46">
        <v>1</v>
      </c>
      <c r="N72" s="46">
        <v>1</v>
      </c>
      <c r="O72" s="46">
        <v>2</v>
      </c>
      <c r="P72" s="46">
        <v>1</v>
      </c>
      <c r="Q72" s="46">
        <v>1</v>
      </c>
      <c r="R72" s="46">
        <v>1</v>
      </c>
      <c r="S72" s="46">
        <v>2</v>
      </c>
      <c r="T72" s="46">
        <v>1</v>
      </c>
      <c r="U72" s="46">
        <v>1</v>
      </c>
      <c r="V72" s="46">
        <v>1</v>
      </c>
      <c r="W72" s="46">
        <v>1</v>
      </c>
      <c r="X72" s="46">
        <v>1</v>
      </c>
      <c r="Y72" s="46">
        <v>2</v>
      </c>
      <c r="Z72" s="46">
        <v>1</v>
      </c>
      <c r="AA72" s="46">
        <v>1</v>
      </c>
      <c r="AB72" s="46">
        <v>2</v>
      </c>
      <c r="AC72" s="46">
        <v>1</v>
      </c>
      <c r="AD72" s="46">
        <v>1</v>
      </c>
      <c r="AE72" s="46">
        <v>1</v>
      </c>
      <c r="AF72" s="46">
        <v>2</v>
      </c>
      <c r="AG72" s="46">
        <v>2</v>
      </c>
      <c r="AH72" s="46">
        <v>2</v>
      </c>
      <c r="AI72" s="46">
        <v>1</v>
      </c>
      <c r="AJ72" s="46">
        <v>1</v>
      </c>
      <c r="AK72" s="46">
        <v>2</v>
      </c>
      <c r="AL72" s="46">
        <v>1</v>
      </c>
      <c r="AM72" s="46">
        <v>1</v>
      </c>
      <c r="AN72" s="46">
        <v>2</v>
      </c>
      <c r="AO72" s="46">
        <v>2</v>
      </c>
      <c r="AP72" s="46">
        <v>1</v>
      </c>
      <c r="AQ72" s="46">
        <v>1</v>
      </c>
      <c r="AR72" s="46">
        <v>2</v>
      </c>
      <c r="AS72" s="46">
        <v>2</v>
      </c>
      <c r="AT72" s="46">
        <v>1</v>
      </c>
      <c r="AU72" s="46">
        <v>1</v>
      </c>
      <c r="AV72" s="46">
        <v>1</v>
      </c>
      <c r="AW72" s="46">
        <v>1</v>
      </c>
      <c r="AX72" s="46">
        <v>2</v>
      </c>
      <c r="AY72" s="46">
        <v>1</v>
      </c>
      <c r="AZ72" s="46">
        <v>2</v>
      </c>
      <c r="BA72" s="46">
        <v>1</v>
      </c>
      <c r="BB72" s="46">
        <v>1</v>
      </c>
      <c r="BC72" s="46">
        <v>1</v>
      </c>
      <c r="BD72" s="46">
        <v>2</v>
      </c>
      <c r="BE72" s="46">
        <v>2</v>
      </c>
      <c r="BF72" s="46">
        <v>1</v>
      </c>
      <c r="BG72" s="46">
        <v>2</v>
      </c>
      <c r="BH72" s="46">
        <v>2</v>
      </c>
      <c r="BI72" s="46">
        <v>2</v>
      </c>
      <c r="BJ72" s="46">
        <v>1</v>
      </c>
      <c r="BK72" s="46">
        <v>2</v>
      </c>
      <c r="BL72" s="46">
        <v>2</v>
      </c>
      <c r="BM72" s="46">
        <v>1</v>
      </c>
      <c r="BN72" s="46">
        <v>2</v>
      </c>
      <c r="BO72" s="46">
        <v>1</v>
      </c>
      <c r="BP72" s="46">
        <v>2</v>
      </c>
      <c r="BQ72" s="46">
        <v>2</v>
      </c>
      <c r="BR72" s="46">
        <v>2</v>
      </c>
      <c r="BS72" s="46">
        <v>1</v>
      </c>
      <c r="BT72" s="46">
        <v>1</v>
      </c>
      <c r="BU72" s="46">
        <v>1</v>
      </c>
      <c r="BV72" s="46">
        <v>2</v>
      </c>
      <c r="BW72" s="46">
        <v>1</v>
      </c>
      <c r="BX72" s="46">
        <v>1</v>
      </c>
      <c r="BY72" s="46">
        <v>2</v>
      </c>
      <c r="BZ72" s="46">
        <v>1</v>
      </c>
      <c r="CA72" s="46">
        <v>2</v>
      </c>
      <c r="CB72" s="46">
        <v>1</v>
      </c>
      <c r="CC72" s="46">
        <v>1</v>
      </c>
      <c r="CD72" s="46">
        <v>2</v>
      </c>
      <c r="CE72" s="46">
        <v>1</v>
      </c>
      <c r="CF72" s="46">
        <v>1</v>
      </c>
      <c r="CG72" s="46">
        <v>1</v>
      </c>
      <c r="CH72" s="46">
        <v>2</v>
      </c>
      <c r="CI72" s="46">
        <v>2</v>
      </c>
      <c r="CJ72" s="46">
        <v>1</v>
      </c>
      <c r="CK72" s="46">
        <v>1</v>
      </c>
      <c r="CL72" s="46">
        <v>1</v>
      </c>
      <c r="CM72" s="46">
        <v>1</v>
      </c>
      <c r="CN72" s="46">
        <v>1</v>
      </c>
      <c r="CO72" s="46">
        <v>2</v>
      </c>
      <c r="CP72" s="46">
        <v>2</v>
      </c>
      <c r="CQ72" s="46">
        <v>2</v>
      </c>
      <c r="CR72" s="46">
        <v>1</v>
      </c>
      <c r="CS72" s="46">
        <v>1</v>
      </c>
      <c r="CT72" s="46">
        <v>1</v>
      </c>
      <c r="CU72" s="46">
        <v>2</v>
      </c>
      <c r="CV72" s="46">
        <v>1</v>
      </c>
      <c r="CW72" s="46">
        <v>2</v>
      </c>
      <c r="CX72" s="46">
        <v>1</v>
      </c>
      <c r="CY72" s="46">
        <v>1</v>
      </c>
      <c r="CZ72" s="46">
        <v>1</v>
      </c>
      <c r="DA72" s="46">
        <v>1</v>
      </c>
      <c r="DB72" s="46">
        <v>1</v>
      </c>
      <c r="DC72" s="46">
        <v>2</v>
      </c>
      <c r="DD72" s="46">
        <v>1</v>
      </c>
      <c r="DE72" s="46">
        <v>2</v>
      </c>
      <c r="DF72" s="46">
        <v>1</v>
      </c>
      <c r="DG72" s="46">
        <v>1</v>
      </c>
      <c r="DH72" s="46">
        <v>1</v>
      </c>
      <c r="DI72" s="46">
        <v>1</v>
      </c>
      <c r="DJ72" s="46">
        <v>1</v>
      </c>
      <c r="DK72" s="46">
        <v>1</v>
      </c>
      <c r="DL72" s="46">
        <v>1</v>
      </c>
      <c r="DM72" s="46">
        <v>1</v>
      </c>
      <c r="DN72" s="46">
        <v>2</v>
      </c>
      <c r="DO72" s="46">
        <v>1</v>
      </c>
      <c r="DP72" s="46">
        <v>1</v>
      </c>
      <c r="DQ72" s="46">
        <v>2</v>
      </c>
      <c r="DR72" s="46">
        <v>1</v>
      </c>
      <c r="DS72" s="46">
        <v>1</v>
      </c>
      <c r="DT72" s="46">
        <v>2</v>
      </c>
      <c r="DU72" s="46">
        <v>2</v>
      </c>
      <c r="DV72" s="46">
        <v>1</v>
      </c>
      <c r="DW72" s="46">
        <v>2</v>
      </c>
      <c r="DX72" s="46">
        <v>1</v>
      </c>
      <c r="DY72" s="46">
        <v>1</v>
      </c>
      <c r="DZ72" s="46">
        <v>2</v>
      </c>
      <c r="EA72" s="46">
        <v>1</v>
      </c>
      <c r="EB72" s="46">
        <v>2</v>
      </c>
      <c r="EC72" s="46">
        <v>1</v>
      </c>
      <c r="ED72" s="46">
        <v>1</v>
      </c>
      <c r="EE72" s="46">
        <v>1</v>
      </c>
      <c r="EF72" s="46">
        <v>1</v>
      </c>
      <c r="EG72" s="46">
        <v>1</v>
      </c>
      <c r="EH72" s="46">
        <v>2</v>
      </c>
      <c r="EI72" s="46">
        <v>2</v>
      </c>
      <c r="EJ72" s="46">
        <v>1</v>
      </c>
      <c r="EK72" s="46">
        <v>1</v>
      </c>
      <c r="EL72" s="46">
        <v>1</v>
      </c>
      <c r="EM72" s="46">
        <v>2</v>
      </c>
      <c r="EN72" s="46">
        <v>1</v>
      </c>
      <c r="EO72" s="46">
        <v>1</v>
      </c>
      <c r="EP72" s="46">
        <v>2</v>
      </c>
      <c r="EQ72" s="46">
        <v>2</v>
      </c>
      <c r="ER72" s="46">
        <v>2</v>
      </c>
      <c r="ES72" s="46">
        <v>2</v>
      </c>
      <c r="ET72" s="46">
        <v>2</v>
      </c>
      <c r="EU72" s="46">
        <v>1</v>
      </c>
      <c r="EV72" s="46">
        <v>1</v>
      </c>
      <c r="EW72" s="46">
        <v>2</v>
      </c>
      <c r="EX72" s="46">
        <v>2</v>
      </c>
      <c r="EY72" s="46">
        <v>1</v>
      </c>
      <c r="EZ72" s="46">
        <v>2</v>
      </c>
      <c r="FA72" s="46">
        <v>1</v>
      </c>
      <c r="FB72" s="46">
        <v>2</v>
      </c>
      <c r="FC72" s="46">
        <v>1</v>
      </c>
      <c r="FD72" s="46">
        <v>1</v>
      </c>
      <c r="FE72" s="46">
        <v>2</v>
      </c>
      <c r="FF72" s="46">
        <v>2</v>
      </c>
      <c r="FG72" s="46">
        <v>1</v>
      </c>
      <c r="FH72" s="46">
        <v>1</v>
      </c>
    </row>
    <row r="73" spans="1:164" s="31" customFormat="1" x14ac:dyDescent="0.2">
      <c r="A73" s="44" t="s">
        <v>336</v>
      </c>
      <c r="B73" s="30" t="s">
        <v>267</v>
      </c>
      <c r="C73" s="30" t="s">
        <v>293</v>
      </c>
      <c r="D73" s="35" t="s">
        <v>254</v>
      </c>
      <c r="E73" s="46">
        <v>2</v>
      </c>
      <c r="F73" s="46">
        <v>1</v>
      </c>
      <c r="G73" s="46">
        <v>2</v>
      </c>
      <c r="H73" s="30">
        <v>2</v>
      </c>
      <c r="I73" s="30">
        <v>1</v>
      </c>
      <c r="J73" s="30">
        <v>1</v>
      </c>
      <c r="K73" s="46">
        <v>2</v>
      </c>
      <c r="L73" s="46">
        <v>1</v>
      </c>
      <c r="M73" s="46">
        <v>1</v>
      </c>
      <c r="N73" s="46">
        <v>1</v>
      </c>
      <c r="O73" s="46">
        <v>2</v>
      </c>
      <c r="P73" s="46">
        <v>2</v>
      </c>
      <c r="Q73" s="46">
        <v>1</v>
      </c>
      <c r="R73" s="46">
        <v>1</v>
      </c>
      <c r="S73" s="46">
        <v>1</v>
      </c>
      <c r="T73" s="46">
        <v>2</v>
      </c>
      <c r="U73" s="46">
        <v>1</v>
      </c>
      <c r="V73" s="46">
        <v>2</v>
      </c>
      <c r="W73" s="46">
        <v>2</v>
      </c>
      <c r="X73" s="46">
        <v>2</v>
      </c>
      <c r="Y73" s="46">
        <v>2</v>
      </c>
      <c r="Z73" s="46">
        <v>1</v>
      </c>
      <c r="AA73" s="46">
        <v>1</v>
      </c>
      <c r="AB73" s="46">
        <v>2</v>
      </c>
      <c r="AC73" s="46">
        <v>1</v>
      </c>
      <c r="AD73" s="46">
        <v>2</v>
      </c>
      <c r="AE73" s="46">
        <v>1</v>
      </c>
      <c r="AF73" s="46">
        <v>2</v>
      </c>
      <c r="AG73" s="46">
        <v>1</v>
      </c>
      <c r="AH73" s="46">
        <v>2</v>
      </c>
      <c r="AI73" s="46">
        <v>2</v>
      </c>
      <c r="AJ73" s="46">
        <v>2</v>
      </c>
      <c r="AK73" s="46">
        <v>2</v>
      </c>
      <c r="AL73" s="46">
        <v>2</v>
      </c>
      <c r="AM73" s="46">
        <v>2</v>
      </c>
      <c r="AN73" s="46">
        <v>1</v>
      </c>
      <c r="AO73" s="46">
        <v>2</v>
      </c>
      <c r="AP73" s="46">
        <v>2</v>
      </c>
      <c r="AQ73" s="46">
        <v>1</v>
      </c>
      <c r="AR73" s="46">
        <v>2</v>
      </c>
      <c r="AS73" s="46">
        <v>1</v>
      </c>
      <c r="AT73" s="46">
        <v>2</v>
      </c>
      <c r="AU73" s="46">
        <v>2</v>
      </c>
      <c r="AV73" s="46">
        <v>1</v>
      </c>
      <c r="AW73" s="46">
        <v>1</v>
      </c>
      <c r="AX73" s="46">
        <v>2</v>
      </c>
      <c r="AY73" s="46">
        <v>2</v>
      </c>
      <c r="AZ73" s="46">
        <v>2</v>
      </c>
      <c r="BA73" s="46">
        <v>2</v>
      </c>
      <c r="BB73" s="46">
        <v>2</v>
      </c>
      <c r="BC73" s="46">
        <v>1</v>
      </c>
      <c r="BD73" s="46">
        <v>2</v>
      </c>
      <c r="BE73" s="46">
        <v>1</v>
      </c>
      <c r="BF73" s="46">
        <v>2</v>
      </c>
      <c r="BG73" s="46">
        <v>1</v>
      </c>
      <c r="BH73" s="46">
        <v>2</v>
      </c>
      <c r="BI73" s="46">
        <v>2</v>
      </c>
      <c r="BJ73" s="46">
        <v>1</v>
      </c>
      <c r="BK73" s="46">
        <v>2</v>
      </c>
      <c r="BL73" s="46">
        <v>2</v>
      </c>
      <c r="BM73" s="46">
        <v>2</v>
      </c>
      <c r="BN73" s="46">
        <v>2</v>
      </c>
      <c r="BO73" s="46">
        <v>2</v>
      </c>
      <c r="BP73" s="46">
        <v>2</v>
      </c>
      <c r="BQ73" s="46">
        <v>2</v>
      </c>
      <c r="BR73" s="46">
        <v>2</v>
      </c>
      <c r="BS73" s="46">
        <v>1</v>
      </c>
      <c r="BT73" s="46">
        <v>2</v>
      </c>
      <c r="BU73" s="46">
        <v>2</v>
      </c>
      <c r="BV73" s="46">
        <v>1</v>
      </c>
      <c r="BW73" s="46">
        <v>2</v>
      </c>
      <c r="BX73" s="46">
        <v>1</v>
      </c>
      <c r="BY73" s="46">
        <v>2</v>
      </c>
      <c r="BZ73" s="46">
        <v>1</v>
      </c>
      <c r="CA73" s="46">
        <v>2</v>
      </c>
      <c r="CB73" s="46">
        <v>2</v>
      </c>
      <c r="CC73" s="46">
        <v>1</v>
      </c>
      <c r="CD73" s="46">
        <v>2</v>
      </c>
      <c r="CE73" s="46">
        <v>1</v>
      </c>
      <c r="CF73" s="46">
        <v>2</v>
      </c>
      <c r="CG73" s="46">
        <v>1</v>
      </c>
      <c r="CH73" s="46">
        <v>2</v>
      </c>
      <c r="CI73" s="46">
        <v>2</v>
      </c>
      <c r="CJ73" s="46">
        <v>2</v>
      </c>
      <c r="CK73" s="46">
        <v>1</v>
      </c>
      <c r="CL73" s="46">
        <v>2</v>
      </c>
      <c r="CM73" s="46">
        <v>1</v>
      </c>
      <c r="CN73" s="46">
        <v>2</v>
      </c>
      <c r="CO73" s="46">
        <v>2</v>
      </c>
      <c r="CP73" s="46">
        <v>2</v>
      </c>
      <c r="CQ73" s="46">
        <v>1</v>
      </c>
      <c r="CR73" s="46">
        <v>2</v>
      </c>
      <c r="CS73" s="46">
        <v>1</v>
      </c>
      <c r="CT73" s="46">
        <v>2</v>
      </c>
      <c r="CU73" s="46">
        <v>2</v>
      </c>
      <c r="CV73" s="46">
        <v>1</v>
      </c>
      <c r="CW73" s="46">
        <v>2</v>
      </c>
      <c r="CX73" s="46">
        <v>2</v>
      </c>
      <c r="CY73" s="46">
        <v>1</v>
      </c>
      <c r="CZ73" s="46">
        <v>1</v>
      </c>
      <c r="DA73" s="46">
        <v>2</v>
      </c>
      <c r="DB73" s="46">
        <v>2</v>
      </c>
      <c r="DC73" s="46">
        <v>2</v>
      </c>
      <c r="DD73" s="46">
        <v>2</v>
      </c>
      <c r="DE73" s="46">
        <v>2</v>
      </c>
      <c r="DF73" s="46">
        <v>1</v>
      </c>
      <c r="DG73" s="46">
        <v>2</v>
      </c>
      <c r="DH73" s="46">
        <v>1</v>
      </c>
      <c r="DI73" s="46">
        <v>1</v>
      </c>
      <c r="DJ73" s="46">
        <v>1</v>
      </c>
      <c r="DK73" s="46">
        <v>2</v>
      </c>
      <c r="DL73" s="46">
        <v>2</v>
      </c>
      <c r="DM73" s="46">
        <v>2</v>
      </c>
      <c r="DN73" s="46">
        <v>1</v>
      </c>
      <c r="DO73" s="46">
        <v>2</v>
      </c>
      <c r="DP73" s="46">
        <v>2</v>
      </c>
      <c r="DQ73" s="46">
        <v>2</v>
      </c>
      <c r="DR73" s="46">
        <v>1</v>
      </c>
      <c r="DS73" s="46">
        <v>2</v>
      </c>
      <c r="DT73" s="46">
        <v>2</v>
      </c>
      <c r="DU73" s="46">
        <v>2</v>
      </c>
      <c r="DV73" s="46">
        <v>2</v>
      </c>
      <c r="DW73" s="46">
        <v>2</v>
      </c>
      <c r="DX73" s="46">
        <v>2</v>
      </c>
      <c r="DY73" s="46">
        <v>1</v>
      </c>
      <c r="DZ73" s="46">
        <v>2</v>
      </c>
      <c r="EA73" s="46">
        <v>2</v>
      </c>
      <c r="EB73" s="46">
        <v>2</v>
      </c>
      <c r="EC73" s="46">
        <v>2</v>
      </c>
      <c r="ED73" s="46">
        <v>1</v>
      </c>
      <c r="EE73" s="46">
        <v>1</v>
      </c>
      <c r="EF73" s="46">
        <v>1</v>
      </c>
      <c r="EG73" s="46">
        <v>2</v>
      </c>
      <c r="EH73" s="46">
        <v>2</v>
      </c>
      <c r="EI73" s="46">
        <v>2</v>
      </c>
      <c r="EJ73" s="46">
        <v>2</v>
      </c>
      <c r="EK73" s="46">
        <v>2</v>
      </c>
      <c r="EL73" s="46">
        <v>2</v>
      </c>
      <c r="EM73" s="46">
        <v>1</v>
      </c>
      <c r="EN73" s="46">
        <v>2</v>
      </c>
      <c r="EO73" s="46">
        <v>2</v>
      </c>
      <c r="EP73" s="46">
        <v>2</v>
      </c>
      <c r="EQ73" s="46">
        <v>2</v>
      </c>
      <c r="ER73" s="46">
        <v>2</v>
      </c>
      <c r="ES73" s="46">
        <v>2</v>
      </c>
      <c r="ET73" s="46">
        <v>2</v>
      </c>
      <c r="EU73" s="46">
        <v>2</v>
      </c>
      <c r="EV73" s="46">
        <v>2</v>
      </c>
      <c r="EW73" s="46">
        <v>2</v>
      </c>
      <c r="EX73" s="46">
        <v>2</v>
      </c>
      <c r="EY73" s="46">
        <v>2</v>
      </c>
      <c r="EZ73" s="46">
        <v>2</v>
      </c>
      <c r="FA73" s="46">
        <v>2</v>
      </c>
      <c r="FB73" s="46">
        <v>2</v>
      </c>
      <c r="FC73" s="46">
        <v>2</v>
      </c>
      <c r="FD73" s="46">
        <v>2</v>
      </c>
      <c r="FE73" s="46">
        <v>2</v>
      </c>
      <c r="FF73" s="46">
        <v>2</v>
      </c>
      <c r="FG73" s="46">
        <v>1</v>
      </c>
      <c r="FH73" s="46">
        <v>2</v>
      </c>
    </row>
    <row r="74" spans="1:164" s="31" customFormat="1" x14ac:dyDescent="0.2">
      <c r="A74" s="44" t="s">
        <v>337</v>
      </c>
      <c r="B74" s="30" t="s">
        <v>261</v>
      </c>
      <c r="C74" s="30" t="s">
        <v>293</v>
      </c>
      <c r="D74" s="35" t="s">
        <v>253</v>
      </c>
      <c r="E74" s="46">
        <v>2</v>
      </c>
      <c r="F74" s="46">
        <v>2</v>
      </c>
      <c r="G74" s="46">
        <v>1</v>
      </c>
      <c r="H74" s="30">
        <v>1</v>
      </c>
      <c r="I74" s="30">
        <v>2</v>
      </c>
      <c r="J74" s="30">
        <v>2</v>
      </c>
      <c r="K74" s="46">
        <v>2</v>
      </c>
      <c r="L74" s="46">
        <v>1</v>
      </c>
      <c r="M74" s="46">
        <v>1</v>
      </c>
      <c r="N74" s="46">
        <v>2</v>
      </c>
      <c r="O74" s="46">
        <v>2</v>
      </c>
      <c r="P74" s="46">
        <v>1</v>
      </c>
      <c r="Q74" s="46">
        <v>2</v>
      </c>
      <c r="R74" s="46">
        <v>1</v>
      </c>
      <c r="S74" s="46">
        <v>2</v>
      </c>
      <c r="T74" s="46">
        <v>2</v>
      </c>
      <c r="U74" s="46">
        <v>2</v>
      </c>
      <c r="V74" s="46">
        <v>1</v>
      </c>
      <c r="W74" s="46">
        <v>2</v>
      </c>
      <c r="X74" s="46">
        <v>1</v>
      </c>
      <c r="Y74" s="46">
        <v>1</v>
      </c>
      <c r="Z74" s="46">
        <v>1</v>
      </c>
      <c r="AA74" s="46">
        <v>2</v>
      </c>
      <c r="AB74" s="46">
        <v>2</v>
      </c>
      <c r="AC74" s="46">
        <v>1</v>
      </c>
      <c r="AD74" s="46">
        <v>1</v>
      </c>
      <c r="AE74" s="46">
        <v>2</v>
      </c>
      <c r="AF74" s="46">
        <v>1</v>
      </c>
      <c r="AG74" s="46">
        <v>2</v>
      </c>
      <c r="AH74" s="46">
        <v>2</v>
      </c>
      <c r="AI74" s="46">
        <v>1</v>
      </c>
      <c r="AJ74" s="46">
        <v>2</v>
      </c>
      <c r="AK74" s="46">
        <v>2</v>
      </c>
      <c r="AL74" s="46">
        <v>2</v>
      </c>
      <c r="AM74" s="46">
        <v>1</v>
      </c>
      <c r="AN74" s="46">
        <v>1</v>
      </c>
      <c r="AO74" s="46">
        <v>1</v>
      </c>
      <c r="AP74" s="46">
        <v>1</v>
      </c>
      <c r="AQ74" s="46">
        <v>1</v>
      </c>
      <c r="AR74" s="46">
        <v>2</v>
      </c>
      <c r="AS74" s="46">
        <v>2</v>
      </c>
      <c r="AT74" s="46">
        <v>1</v>
      </c>
      <c r="AU74" s="46">
        <v>1</v>
      </c>
      <c r="AV74" s="46">
        <v>2</v>
      </c>
      <c r="AW74" s="46">
        <v>1</v>
      </c>
      <c r="AX74" s="46">
        <v>2</v>
      </c>
      <c r="AY74" s="46">
        <v>2</v>
      </c>
      <c r="AZ74" s="46">
        <v>2</v>
      </c>
      <c r="BA74" s="46">
        <v>1</v>
      </c>
      <c r="BB74" s="46">
        <v>1</v>
      </c>
      <c r="BC74" s="46">
        <v>1</v>
      </c>
      <c r="BD74" s="46">
        <v>1</v>
      </c>
      <c r="BE74" s="46">
        <v>2</v>
      </c>
      <c r="BF74" s="46">
        <v>1</v>
      </c>
      <c r="BG74" s="46">
        <v>1</v>
      </c>
      <c r="BH74" s="46">
        <v>2</v>
      </c>
      <c r="BI74" s="46">
        <v>2</v>
      </c>
      <c r="BJ74" s="46">
        <v>2</v>
      </c>
      <c r="BK74" s="46">
        <v>2</v>
      </c>
      <c r="BL74" s="46">
        <v>2</v>
      </c>
      <c r="BM74" s="46">
        <v>1</v>
      </c>
      <c r="BN74" s="46">
        <v>2</v>
      </c>
      <c r="BO74" s="46">
        <v>2</v>
      </c>
      <c r="BP74" s="46">
        <v>2</v>
      </c>
      <c r="BQ74" s="46">
        <v>2</v>
      </c>
      <c r="BR74" s="46">
        <v>2</v>
      </c>
      <c r="BS74" s="46">
        <v>1</v>
      </c>
      <c r="BT74" s="46">
        <v>1</v>
      </c>
      <c r="BU74" s="46">
        <v>1</v>
      </c>
      <c r="BV74" s="46">
        <v>1</v>
      </c>
      <c r="BW74" s="46">
        <v>2</v>
      </c>
      <c r="BX74" s="46">
        <v>1</v>
      </c>
      <c r="BY74" s="46">
        <v>2</v>
      </c>
      <c r="BZ74" s="46">
        <v>1</v>
      </c>
      <c r="CA74" s="46">
        <v>2</v>
      </c>
      <c r="CB74" s="46">
        <v>1</v>
      </c>
      <c r="CC74" s="46">
        <v>2</v>
      </c>
      <c r="CD74" s="46">
        <v>1</v>
      </c>
      <c r="CE74" s="46">
        <v>1</v>
      </c>
      <c r="CF74" s="46">
        <v>2</v>
      </c>
      <c r="CG74" s="46">
        <v>2</v>
      </c>
      <c r="CH74" s="46">
        <v>2</v>
      </c>
      <c r="CI74" s="46">
        <v>1</v>
      </c>
      <c r="CJ74" s="46">
        <v>2</v>
      </c>
      <c r="CK74" s="46">
        <v>1</v>
      </c>
      <c r="CL74" s="46">
        <v>2</v>
      </c>
      <c r="CM74" s="46">
        <v>2</v>
      </c>
      <c r="CN74" s="46">
        <v>2</v>
      </c>
      <c r="CO74" s="46">
        <v>1</v>
      </c>
      <c r="CP74" s="46">
        <v>2</v>
      </c>
      <c r="CQ74" s="46">
        <v>1</v>
      </c>
      <c r="CR74" s="46">
        <v>2</v>
      </c>
      <c r="CS74" s="46">
        <v>1</v>
      </c>
      <c r="CT74" s="46">
        <v>2</v>
      </c>
      <c r="CU74" s="46">
        <v>2</v>
      </c>
      <c r="CV74" s="46">
        <v>1</v>
      </c>
      <c r="CW74" s="46">
        <v>1</v>
      </c>
      <c r="CX74" s="46">
        <v>2</v>
      </c>
      <c r="CY74" s="46">
        <v>1</v>
      </c>
      <c r="CZ74" s="46">
        <v>2</v>
      </c>
      <c r="DA74" s="46">
        <v>2</v>
      </c>
      <c r="DB74" s="46">
        <v>2</v>
      </c>
      <c r="DC74" s="46">
        <v>2</v>
      </c>
      <c r="DD74" s="46">
        <v>1</v>
      </c>
      <c r="DE74" s="46">
        <v>2</v>
      </c>
      <c r="DF74" s="46">
        <v>2</v>
      </c>
      <c r="DG74" s="46">
        <v>2</v>
      </c>
      <c r="DH74" s="46">
        <v>2</v>
      </c>
      <c r="DI74" s="46">
        <v>2</v>
      </c>
      <c r="DJ74" s="46">
        <v>1</v>
      </c>
      <c r="DK74" s="46">
        <v>2</v>
      </c>
      <c r="DL74" s="46">
        <v>1</v>
      </c>
      <c r="DM74" s="46">
        <v>2</v>
      </c>
      <c r="DN74" s="46">
        <v>2</v>
      </c>
      <c r="DO74" s="46">
        <v>1</v>
      </c>
      <c r="DP74" s="46">
        <v>1</v>
      </c>
      <c r="DQ74" s="46">
        <v>1</v>
      </c>
      <c r="DR74" s="46">
        <v>1</v>
      </c>
      <c r="DS74" s="46">
        <v>2</v>
      </c>
      <c r="DT74" s="46">
        <v>2</v>
      </c>
      <c r="DU74" s="46">
        <v>2</v>
      </c>
      <c r="DV74" s="46">
        <v>2</v>
      </c>
      <c r="DW74" s="46">
        <v>2</v>
      </c>
      <c r="DX74" s="46">
        <v>2</v>
      </c>
      <c r="DY74" s="46">
        <v>2</v>
      </c>
      <c r="DZ74" s="46">
        <v>2</v>
      </c>
      <c r="EA74" s="46">
        <v>1</v>
      </c>
      <c r="EB74" s="46">
        <v>2</v>
      </c>
      <c r="EC74" s="46">
        <v>1</v>
      </c>
      <c r="ED74" s="46">
        <v>1</v>
      </c>
      <c r="EE74" s="46">
        <v>2</v>
      </c>
      <c r="EF74" s="46">
        <v>1</v>
      </c>
      <c r="EG74" s="46">
        <v>2</v>
      </c>
      <c r="EH74" s="46">
        <v>2</v>
      </c>
      <c r="EI74" s="46">
        <v>2</v>
      </c>
      <c r="EJ74" s="46">
        <v>1</v>
      </c>
      <c r="EK74" s="46">
        <v>1</v>
      </c>
      <c r="EL74" s="46">
        <v>2</v>
      </c>
      <c r="EM74" s="46">
        <v>2</v>
      </c>
      <c r="EN74" s="46">
        <v>2</v>
      </c>
      <c r="EO74" s="46">
        <v>2</v>
      </c>
      <c r="EP74" s="46">
        <v>2</v>
      </c>
      <c r="EQ74" s="46">
        <v>2</v>
      </c>
      <c r="ER74" s="46">
        <v>2</v>
      </c>
      <c r="ES74" s="46">
        <v>2</v>
      </c>
      <c r="ET74" s="46">
        <v>2</v>
      </c>
      <c r="EU74" s="46">
        <v>2</v>
      </c>
      <c r="EV74" s="46">
        <v>1</v>
      </c>
      <c r="EW74" s="46">
        <v>2</v>
      </c>
      <c r="EX74" s="46">
        <v>2</v>
      </c>
      <c r="EY74" s="46">
        <v>2</v>
      </c>
      <c r="EZ74" s="46">
        <v>2</v>
      </c>
      <c r="FA74" s="46">
        <v>2</v>
      </c>
      <c r="FB74" s="46">
        <v>2</v>
      </c>
      <c r="FC74" s="46">
        <v>2</v>
      </c>
      <c r="FD74" s="46">
        <v>2</v>
      </c>
      <c r="FE74" s="46">
        <v>2</v>
      </c>
      <c r="FF74" s="46">
        <v>2</v>
      </c>
      <c r="FG74" s="46">
        <v>1</v>
      </c>
      <c r="FH74" s="46">
        <v>1</v>
      </c>
    </row>
    <row r="75" spans="1:164" s="31" customFormat="1" x14ac:dyDescent="0.2">
      <c r="A75" s="44" t="s">
        <v>338</v>
      </c>
      <c r="B75" s="30" t="s">
        <v>267</v>
      </c>
      <c r="C75" s="30" t="s">
        <v>293</v>
      </c>
      <c r="D75" s="35" t="s">
        <v>254</v>
      </c>
      <c r="E75" s="46">
        <v>2</v>
      </c>
      <c r="F75" s="46">
        <v>1</v>
      </c>
      <c r="G75" s="46">
        <v>1</v>
      </c>
      <c r="H75" s="30">
        <v>1</v>
      </c>
      <c r="I75" s="30">
        <v>1</v>
      </c>
      <c r="J75" s="30">
        <v>1</v>
      </c>
      <c r="K75" s="46">
        <v>1</v>
      </c>
      <c r="L75" s="46">
        <v>1</v>
      </c>
      <c r="M75" s="46">
        <v>1</v>
      </c>
      <c r="N75" s="46">
        <v>1</v>
      </c>
      <c r="O75" s="46">
        <v>1</v>
      </c>
      <c r="P75" s="46">
        <v>1</v>
      </c>
      <c r="Q75" s="46">
        <v>1</v>
      </c>
      <c r="R75" s="46">
        <v>1</v>
      </c>
      <c r="S75" s="46">
        <v>1</v>
      </c>
      <c r="T75" s="46">
        <v>1</v>
      </c>
      <c r="U75" s="46">
        <v>1</v>
      </c>
      <c r="V75" s="46">
        <v>1</v>
      </c>
      <c r="W75" s="46">
        <v>1</v>
      </c>
      <c r="X75" s="46">
        <v>1</v>
      </c>
      <c r="Y75" s="46">
        <v>1</v>
      </c>
      <c r="Z75" s="46">
        <v>2</v>
      </c>
      <c r="AA75" s="46">
        <v>2</v>
      </c>
      <c r="AB75" s="46">
        <v>1</v>
      </c>
      <c r="AC75" s="46">
        <v>1</v>
      </c>
      <c r="AD75" s="46">
        <v>1</v>
      </c>
      <c r="AE75" s="46">
        <v>1</v>
      </c>
      <c r="AF75" s="46">
        <v>1</v>
      </c>
      <c r="AG75" s="46">
        <v>1</v>
      </c>
      <c r="AH75" s="46">
        <v>2</v>
      </c>
      <c r="AI75" s="46">
        <v>1</v>
      </c>
      <c r="AJ75" s="46">
        <v>2</v>
      </c>
      <c r="AK75" s="46">
        <v>2</v>
      </c>
      <c r="AL75" s="46">
        <v>1</v>
      </c>
      <c r="AM75" s="46">
        <v>1</v>
      </c>
      <c r="AN75" s="46">
        <v>1</v>
      </c>
      <c r="AO75" s="46">
        <v>1</v>
      </c>
      <c r="AP75" s="46">
        <v>1</v>
      </c>
      <c r="AQ75" s="46">
        <v>1</v>
      </c>
      <c r="AR75" s="46">
        <v>2</v>
      </c>
      <c r="AS75" s="46">
        <v>1</v>
      </c>
      <c r="AT75" s="46">
        <v>1</v>
      </c>
      <c r="AU75" s="46">
        <v>1</v>
      </c>
      <c r="AV75" s="46">
        <v>1</v>
      </c>
      <c r="AW75" s="46">
        <v>1</v>
      </c>
      <c r="AX75" s="46">
        <v>1</v>
      </c>
      <c r="AY75" s="46">
        <v>2</v>
      </c>
      <c r="AZ75" s="46">
        <v>1</v>
      </c>
      <c r="BA75" s="46">
        <v>1</v>
      </c>
      <c r="BB75" s="46">
        <v>2</v>
      </c>
      <c r="BC75" s="46">
        <v>1</v>
      </c>
      <c r="BD75" s="46">
        <v>2</v>
      </c>
      <c r="BE75" s="46">
        <v>2</v>
      </c>
      <c r="BF75" s="46">
        <v>1</v>
      </c>
      <c r="BG75" s="46">
        <v>2</v>
      </c>
      <c r="BH75" s="46">
        <v>2</v>
      </c>
      <c r="BI75" s="46">
        <v>2</v>
      </c>
      <c r="BJ75" s="46">
        <v>2</v>
      </c>
      <c r="BK75" s="46">
        <v>2</v>
      </c>
      <c r="BL75" s="46">
        <v>1</v>
      </c>
      <c r="BM75" s="46">
        <v>2</v>
      </c>
      <c r="BN75" s="46">
        <v>1</v>
      </c>
      <c r="BO75" s="46">
        <v>1</v>
      </c>
      <c r="BP75" s="46">
        <v>2</v>
      </c>
      <c r="BQ75" s="46">
        <v>1</v>
      </c>
      <c r="BR75" s="46">
        <v>2</v>
      </c>
      <c r="BS75" s="46">
        <v>2</v>
      </c>
      <c r="BT75" s="46">
        <v>1</v>
      </c>
      <c r="BU75" s="46">
        <v>1</v>
      </c>
      <c r="BV75" s="46">
        <v>2</v>
      </c>
      <c r="BW75" s="46">
        <v>2</v>
      </c>
      <c r="BX75" s="46">
        <v>1</v>
      </c>
      <c r="BY75" s="46">
        <v>2</v>
      </c>
      <c r="BZ75" s="46">
        <v>1</v>
      </c>
      <c r="CA75" s="46">
        <v>2</v>
      </c>
      <c r="CB75" s="46">
        <v>1</v>
      </c>
      <c r="CC75" s="46">
        <v>1</v>
      </c>
      <c r="CD75" s="46">
        <v>2</v>
      </c>
      <c r="CE75" s="46">
        <v>1</v>
      </c>
      <c r="CF75" s="46">
        <v>1</v>
      </c>
      <c r="CG75" s="46">
        <v>2</v>
      </c>
      <c r="CH75" s="46">
        <v>2</v>
      </c>
      <c r="CI75" s="46">
        <v>2</v>
      </c>
      <c r="CJ75" s="46">
        <v>1</v>
      </c>
      <c r="CK75" s="46">
        <v>1</v>
      </c>
      <c r="CL75" s="46">
        <v>1</v>
      </c>
      <c r="CM75" s="46">
        <v>1</v>
      </c>
      <c r="CN75" s="46">
        <v>1</v>
      </c>
      <c r="CO75" s="46">
        <v>1</v>
      </c>
      <c r="CP75" s="46">
        <v>2</v>
      </c>
      <c r="CQ75" s="46">
        <v>1</v>
      </c>
      <c r="CR75" s="46">
        <v>1</v>
      </c>
      <c r="CS75" s="46">
        <v>1</v>
      </c>
      <c r="CT75" s="46">
        <v>1</v>
      </c>
      <c r="CU75" s="46">
        <v>1</v>
      </c>
      <c r="CV75" s="46">
        <v>1</v>
      </c>
      <c r="CW75" s="46">
        <v>2</v>
      </c>
      <c r="CX75" s="46">
        <v>1</v>
      </c>
      <c r="CY75" s="46">
        <v>1</v>
      </c>
      <c r="CZ75" s="46">
        <v>1</v>
      </c>
      <c r="DA75" s="46">
        <v>1</v>
      </c>
      <c r="DB75" s="46">
        <v>1</v>
      </c>
      <c r="DC75" s="46">
        <v>2</v>
      </c>
      <c r="DD75" s="46">
        <v>1</v>
      </c>
      <c r="DE75" s="46">
        <v>1</v>
      </c>
      <c r="DF75" s="46">
        <v>1</v>
      </c>
      <c r="DG75" s="46">
        <v>1</v>
      </c>
      <c r="DH75" s="46">
        <v>1</v>
      </c>
      <c r="DI75" s="46">
        <v>1</v>
      </c>
      <c r="DJ75" s="46">
        <v>1</v>
      </c>
      <c r="DK75" s="46">
        <v>2</v>
      </c>
      <c r="DL75" s="46">
        <v>1</v>
      </c>
      <c r="DM75" s="46">
        <v>2</v>
      </c>
      <c r="DN75" s="46">
        <v>2</v>
      </c>
      <c r="DO75" s="46">
        <v>1</v>
      </c>
      <c r="DP75" s="46">
        <v>2</v>
      </c>
      <c r="DQ75" s="46">
        <v>1</v>
      </c>
      <c r="DR75" s="46">
        <v>1</v>
      </c>
      <c r="DS75" s="46">
        <v>1</v>
      </c>
      <c r="DT75" s="46">
        <v>2</v>
      </c>
      <c r="DU75" s="46">
        <v>1</v>
      </c>
      <c r="DV75" s="46">
        <v>2</v>
      </c>
      <c r="DW75" s="46">
        <v>1</v>
      </c>
      <c r="DX75" s="46">
        <v>1</v>
      </c>
      <c r="DY75" s="46">
        <v>1</v>
      </c>
      <c r="DZ75" s="46">
        <v>2</v>
      </c>
      <c r="EA75" s="46">
        <v>1</v>
      </c>
      <c r="EB75" s="46">
        <v>2</v>
      </c>
      <c r="EC75" s="46">
        <v>1</v>
      </c>
      <c r="ED75" s="46">
        <v>1</v>
      </c>
      <c r="EE75" s="46">
        <v>2</v>
      </c>
      <c r="EF75" s="46">
        <v>2</v>
      </c>
      <c r="EG75" s="46">
        <v>2</v>
      </c>
      <c r="EH75" s="46">
        <v>2</v>
      </c>
      <c r="EI75" s="46">
        <v>2</v>
      </c>
      <c r="EJ75" s="46">
        <v>1</v>
      </c>
      <c r="EK75" s="46">
        <v>1</v>
      </c>
      <c r="EL75" s="46">
        <v>2</v>
      </c>
      <c r="EM75" s="46">
        <v>2</v>
      </c>
      <c r="EN75" s="46">
        <v>1</v>
      </c>
      <c r="EO75" s="46">
        <v>1</v>
      </c>
      <c r="EP75" s="46">
        <v>1</v>
      </c>
      <c r="EQ75" s="46">
        <v>2</v>
      </c>
      <c r="ER75" s="46">
        <v>1</v>
      </c>
      <c r="ES75" s="46">
        <v>1</v>
      </c>
      <c r="ET75" s="46">
        <v>2</v>
      </c>
      <c r="EU75" s="46">
        <v>1</v>
      </c>
      <c r="EV75" s="46">
        <v>2</v>
      </c>
      <c r="EW75" s="46">
        <v>1</v>
      </c>
      <c r="EX75" s="46">
        <v>2</v>
      </c>
      <c r="EY75" s="46">
        <v>2</v>
      </c>
      <c r="EZ75" s="46">
        <v>2</v>
      </c>
      <c r="FA75" s="46">
        <v>1</v>
      </c>
      <c r="FB75" s="46">
        <v>1</v>
      </c>
      <c r="FC75" s="46">
        <v>2</v>
      </c>
      <c r="FD75" s="46">
        <v>1</v>
      </c>
      <c r="FE75" s="46">
        <v>2</v>
      </c>
      <c r="FF75" s="46">
        <v>1</v>
      </c>
      <c r="FG75" s="46">
        <v>1</v>
      </c>
      <c r="FH75" s="46">
        <v>1</v>
      </c>
    </row>
    <row r="76" spans="1:164" s="31" customFormat="1" x14ac:dyDescent="0.2">
      <c r="A76" s="44" t="s">
        <v>339</v>
      </c>
      <c r="B76" s="30" t="s">
        <v>265</v>
      </c>
      <c r="C76" s="30" t="s">
        <v>293</v>
      </c>
      <c r="D76" s="35" t="s">
        <v>253</v>
      </c>
      <c r="E76" s="46">
        <v>1</v>
      </c>
      <c r="F76" s="46">
        <v>1</v>
      </c>
      <c r="G76" s="46">
        <v>2</v>
      </c>
      <c r="H76" s="30">
        <v>2</v>
      </c>
      <c r="I76" s="30">
        <v>1</v>
      </c>
      <c r="J76" s="30">
        <v>2</v>
      </c>
      <c r="K76" s="46">
        <v>2</v>
      </c>
      <c r="L76" s="46">
        <v>1</v>
      </c>
      <c r="M76" s="46">
        <v>1</v>
      </c>
      <c r="N76" s="46">
        <v>1</v>
      </c>
      <c r="O76" s="46">
        <v>2</v>
      </c>
      <c r="P76" s="46">
        <v>2</v>
      </c>
      <c r="Q76" s="46">
        <v>1</v>
      </c>
      <c r="R76" s="46">
        <v>1</v>
      </c>
      <c r="S76" s="46">
        <v>1</v>
      </c>
      <c r="T76" s="46">
        <v>1</v>
      </c>
      <c r="U76" s="46">
        <v>1</v>
      </c>
      <c r="V76" s="46">
        <v>2</v>
      </c>
      <c r="W76" s="46">
        <v>2</v>
      </c>
      <c r="X76" s="46">
        <v>2</v>
      </c>
      <c r="Y76" s="46">
        <v>2</v>
      </c>
      <c r="Z76" s="46">
        <v>1</v>
      </c>
      <c r="AA76" s="46">
        <v>1</v>
      </c>
      <c r="AB76" s="46">
        <v>2</v>
      </c>
      <c r="AC76" s="46">
        <v>1</v>
      </c>
      <c r="AD76" s="46">
        <v>2</v>
      </c>
      <c r="AE76" s="46">
        <v>1</v>
      </c>
      <c r="AF76" s="46">
        <v>2</v>
      </c>
      <c r="AG76" s="46">
        <v>2</v>
      </c>
      <c r="AH76" s="46">
        <v>2</v>
      </c>
      <c r="AI76" s="46">
        <v>2</v>
      </c>
      <c r="AJ76" s="46">
        <v>2</v>
      </c>
      <c r="AK76" s="46">
        <v>2</v>
      </c>
      <c r="AL76" s="46">
        <v>2</v>
      </c>
      <c r="AM76" s="46">
        <v>2</v>
      </c>
      <c r="AN76" s="46">
        <v>2</v>
      </c>
      <c r="AO76" s="46">
        <v>2</v>
      </c>
      <c r="AP76" s="46">
        <v>2</v>
      </c>
      <c r="AQ76" s="46">
        <v>1</v>
      </c>
      <c r="AR76" s="46">
        <v>1</v>
      </c>
      <c r="AS76" s="46">
        <v>2</v>
      </c>
      <c r="AT76" s="46">
        <v>1</v>
      </c>
      <c r="AU76" s="46">
        <v>1</v>
      </c>
      <c r="AV76" s="46">
        <v>2</v>
      </c>
      <c r="AW76" s="46">
        <v>1</v>
      </c>
      <c r="AX76" s="46">
        <v>1</v>
      </c>
      <c r="AY76" s="46">
        <v>2</v>
      </c>
      <c r="AZ76" s="46">
        <v>2</v>
      </c>
      <c r="BA76" s="46">
        <v>1</v>
      </c>
      <c r="BB76" s="46">
        <v>2</v>
      </c>
      <c r="BC76" s="46">
        <v>1</v>
      </c>
      <c r="BD76" s="46">
        <v>2</v>
      </c>
      <c r="BE76" s="46">
        <v>2</v>
      </c>
      <c r="BF76" s="46">
        <v>1</v>
      </c>
      <c r="BG76" s="46">
        <v>1</v>
      </c>
      <c r="BH76" s="46">
        <v>2</v>
      </c>
      <c r="BI76" s="46">
        <v>2</v>
      </c>
      <c r="BJ76" s="46">
        <v>1</v>
      </c>
      <c r="BK76" s="46">
        <v>2</v>
      </c>
      <c r="BL76" s="46">
        <v>2</v>
      </c>
      <c r="BM76" s="46">
        <v>2</v>
      </c>
      <c r="BN76" s="46">
        <v>2</v>
      </c>
      <c r="BO76" s="46">
        <v>1</v>
      </c>
      <c r="BP76" s="46">
        <v>1</v>
      </c>
      <c r="BQ76" s="46">
        <v>2</v>
      </c>
      <c r="BR76" s="46">
        <v>1</v>
      </c>
      <c r="BS76" s="46">
        <v>1</v>
      </c>
      <c r="BT76" s="46">
        <v>2</v>
      </c>
      <c r="BU76" s="46">
        <v>1</v>
      </c>
      <c r="BV76" s="46">
        <v>1</v>
      </c>
      <c r="BW76" s="46">
        <v>1</v>
      </c>
      <c r="BX76" s="46">
        <v>2</v>
      </c>
      <c r="BY76" s="46">
        <v>2</v>
      </c>
      <c r="BZ76" s="46">
        <v>2</v>
      </c>
      <c r="CA76" s="46">
        <v>2</v>
      </c>
      <c r="CB76" s="46">
        <v>1</v>
      </c>
      <c r="CC76" s="46">
        <v>1</v>
      </c>
      <c r="CD76" s="46">
        <v>2</v>
      </c>
      <c r="CE76" s="46">
        <v>1</v>
      </c>
      <c r="CF76" s="46">
        <v>2</v>
      </c>
      <c r="CG76" s="46">
        <v>1</v>
      </c>
      <c r="CH76" s="46">
        <v>1</v>
      </c>
      <c r="CI76" s="46">
        <v>2</v>
      </c>
      <c r="CJ76" s="46">
        <v>2</v>
      </c>
      <c r="CK76" s="46">
        <v>2</v>
      </c>
      <c r="CL76" s="46">
        <v>2</v>
      </c>
      <c r="CM76" s="46">
        <v>1</v>
      </c>
      <c r="CN76" s="46">
        <v>1</v>
      </c>
      <c r="CO76" s="46">
        <v>2</v>
      </c>
      <c r="CP76" s="46">
        <v>2</v>
      </c>
      <c r="CQ76" s="46">
        <v>2</v>
      </c>
      <c r="CR76" s="46">
        <v>2</v>
      </c>
      <c r="CS76" s="46">
        <v>1</v>
      </c>
      <c r="CT76" s="46">
        <v>2</v>
      </c>
      <c r="CU76" s="46">
        <v>1</v>
      </c>
      <c r="CV76" s="46">
        <v>1</v>
      </c>
      <c r="CW76" s="46">
        <v>2</v>
      </c>
      <c r="CX76" s="46">
        <v>2</v>
      </c>
      <c r="CY76" s="46">
        <v>2</v>
      </c>
      <c r="CZ76" s="46">
        <v>2</v>
      </c>
      <c r="DA76" s="46">
        <v>1</v>
      </c>
      <c r="DB76" s="46">
        <v>2</v>
      </c>
      <c r="DC76" s="46">
        <v>2</v>
      </c>
      <c r="DD76" s="46">
        <v>2</v>
      </c>
      <c r="DE76" s="46">
        <v>2</v>
      </c>
      <c r="DF76" s="46">
        <v>2</v>
      </c>
      <c r="DG76" s="46">
        <v>2</v>
      </c>
      <c r="DH76" s="46">
        <v>1</v>
      </c>
      <c r="DI76" s="46">
        <v>2</v>
      </c>
      <c r="DJ76" s="46">
        <v>2</v>
      </c>
      <c r="DK76" s="46">
        <v>2</v>
      </c>
      <c r="DL76" s="46">
        <v>2</v>
      </c>
      <c r="DM76" s="46">
        <v>2</v>
      </c>
      <c r="DN76" s="46">
        <v>2</v>
      </c>
      <c r="DO76" s="46">
        <v>1</v>
      </c>
      <c r="DP76" s="46">
        <v>2</v>
      </c>
      <c r="DQ76" s="46">
        <v>2</v>
      </c>
      <c r="DR76" s="46">
        <v>2</v>
      </c>
      <c r="DS76" s="46">
        <v>2</v>
      </c>
      <c r="DT76" s="46">
        <v>2</v>
      </c>
      <c r="DU76" s="46">
        <v>2</v>
      </c>
      <c r="DV76" s="46">
        <v>1</v>
      </c>
      <c r="DW76" s="46">
        <v>2</v>
      </c>
      <c r="DX76" s="46">
        <v>2</v>
      </c>
      <c r="DY76" s="46">
        <v>2</v>
      </c>
      <c r="DZ76" s="46">
        <v>2</v>
      </c>
      <c r="EA76" s="46">
        <v>1</v>
      </c>
      <c r="EB76" s="46">
        <v>2</v>
      </c>
      <c r="EC76" s="46">
        <v>2</v>
      </c>
      <c r="ED76" s="46">
        <v>1</v>
      </c>
      <c r="EE76" s="46">
        <v>1</v>
      </c>
      <c r="EF76" s="46">
        <v>1</v>
      </c>
      <c r="EG76" s="46">
        <v>2</v>
      </c>
      <c r="EH76" s="46">
        <v>2</v>
      </c>
      <c r="EI76" s="46">
        <v>2</v>
      </c>
      <c r="EJ76" s="46">
        <v>2</v>
      </c>
      <c r="EK76" s="46">
        <v>2</v>
      </c>
      <c r="EL76" s="46">
        <v>2</v>
      </c>
      <c r="EM76" s="46">
        <v>2</v>
      </c>
      <c r="EN76" s="46">
        <v>2</v>
      </c>
      <c r="EO76" s="46">
        <v>2</v>
      </c>
      <c r="EP76" s="46">
        <v>2</v>
      </c>
      <c r="EQ76" s="46">
        <v>2</v>
      </c>
      <c r="ER76" s="46">
        <v>2</v>
      </c>
      <c r="ES76" s="46">
        <v>2</v>
      </c>
      <c r="ET76" s="46">
        <v>2</v>
      </c>
      <c r="EU76" s="46">
        <v>2</v>
      </c>
      <c r="EV76" s="46">
        <v>1</v>
      </c>
      <c r="EW76" s="46">
        <v>2</v>
      </c>
      <c r="EX76" s="46">
        <v>2</v>
      </c>
      <c r="EY76" s="46">
        <v>1</v>
      </c>
      <c r="EZ76" s="46">
        <v>2</v>
      </c>
      <c r="FA76" s="46">
        <v>2</v>
      </c>
      <c r="FB76" s="46">
        <v>2</v>
      </c>
      <c r="FC76" s="46">
        <v>2</v>
      </c>
      <c r="FD76" s="46">
        <v>2</v>
      </c>
      <c r="FE76" s="46">
        <v>2</v>
      </c>
      <c r="FF76" s="46">
        <v>2</v>
      </c>
      <c r="FG76" s="46">
        <v>2</v>
      </c>
      <c r="FH76" s="46">
        <v>2</v>
      </c>
    </row>
    <row r="77" spans="1:164" s="31" customFormat="1" x14ac:dyDescent="0.2">
      <c r="A77" s="44" t="s">
        <v>340</v>
      </c>
      <c r="B77" s="30" t="s">
        <v>268</v>
      </c>
      <c r="C77" s="30" t="s">
        <v>347</v>
      </c>
      <c r="D77" s="35" t="s">
        <v>269</v>
      </c>
      <c r="E77" s="46">
        <v>1</v>
      </c>
      <c r="F77" s="46">
        <v>1</v>
      </c>
      <c r="G77" s="46">
        <v>1</v>
      </c>
      <c r="H77" s="30">
        <v>1</v>
      </c>
      <c r="I77" s="30">
        <v>1</v>
      </c>
      <c r="J77" s="30">
        <v>1</v>
      </c>
      <c r="K77" s="46">
        <v>2</v>
      </c>
      <c r="L77" s="46">
        <v>1</v>
      </c>
      <c r="M77" s="46">
        <v>1</v>
      </c>
      <c r="N77" s="46">
        <v>1</v>
      </c>
      <c r="O77" s="46">
        <v>1</v>
      </c>
      <c r="P77" s="46">
        <v>2</v>
      </c>
      <c r="Q77" s="46">
        <v>2</v>
      </c>
      <c r="R77" s="46">
        <v>1</v>
      </c>
      <c r="S77" s="46">
        <v>2</v>
      </c>
      <c r="T77" s="46">
        <v>2</v>
      </c>
      <c r="U77" s="46">
        <v>1</v>
      </c>
      <c r="V77" s="46">
        <v>1</v>
      </c>
      <c r="W77" s="46">
        <v>2</v>
      </c>
      <c r="X77" s="46">
        <v>2</v>
      </c>
      <c r="Y77" s="46">
        <v>2</v>
      </c>
      <c r="Z77" s="46">
        <v>1</v>
      </c>
      <c r="AA77" s="46">
        <v>1</v>
      </c>
      <c r="AB77" s="46">
        <v>2</v>
      </c>
      <c r="AC77" s="46">
        <v>2</v>
      </c>
      <c r="AD77" s="46">
        <v>1</v>
      </c>
      <c r="AE77" s="46">
        <v>1</v>
      </c>
      <c r="AF77" s="46">
        <v>2</v>
      </c>
      <c r="AG77" s="46">
        <v>2</v>
      </c>
      <c r="AH77" s="46">
        <v>2</v>
      </c>
      <c r="AI77" s="46">
        <v>1</v>
      </c>
      <c r="AJ77" s="46">
        <v>1</v>
      </c>
      <c r="AK77" s="46">
        <v>2</v>
      </c>
      <c r="AL77" s="46">
        <v>2</v>
      </c>
      <c r="AM77" s="46">
        <v>2</v>
      </c>
      <c r="AN77" s="46">
        <v>2</v>
      </c>
      <c r="AO77" s="46">
        <v>1</v>
      </c>
      <c r="AP77" s="46">
        <v>2</v>
      </c>
      <c r="AQ77" s="46">
        <v>1</v>
      </c>
      <c r="AR77" s="46">
        <v>2</v>
      </c>
      <c r="AS77" s="46">
        <v>2</v>
      </c>
      <c r="AT77" s="46">
        <v>1</v>
      </c>
      <c r="AU77" s="46">
        <v>1</v>
      </c>
      <c r="AV77" s="46">
        <v>1</v>
      </c>
      <c r="AW77" s="46">
        <v>2</v>
      </c>
      <c r="AX77" s="46">
        <v>2</v>
      </c>
      <c r="AY77" s="46">
        <v>1</v>
      </c>
      <c r="AZ77" s="46">
        <v>1</v>
      </c>
      <c r="BA77" s="46">
        <v>1</v>
      </c>
      <c r="BB77" s="46">
        <v>1</v>
      </c>
      <c r="BC77" s="46">
        <v>1</v>
      </c>
      <c r="BD77" s="46">
        <v>2</v>
      </c>
      <c r="BE77" s="46">
        <v>2</v>
      </c>
      <c r="BF77" s="46">
        <v>2</v>
      </c>
      <c r="BG77" s="46">
        <v>2</v>
      </c>
      <c r="BH77" s="46">
        <v>2</v>
      </c>
      <c r="BI77" s="46">
        <v>2</v>
      </c>
      <c r="BJ77" s="46">
        <v>1</v>
      </c>
      <c r="BK77" s="46">
        <v>2</v>
      </c>
      <c r="BL77" s="46">
        <v>1</v>
      </c>
      <c r="BM77" s="46">
        <v>2</v>
      </c>
      <c r="BN77" s="46">
        <v>2</v>
      </c>
      <c r="BO77" s="46">
        <v>1</v>
      </c>
      <c r="BP77" s="46">
        <v>2</v>
      </c>
      <c r="BQ77" s="46">
        <v>2</v>
      </c>
      <c r="BR77" s="46">
        <v>2</v>
      </c>
      <c r="BS77" s="46">
        <v>2</v>
      </c>
      <c r="BT77" s="46">
        <v>1</v>
      </c>
      <c r="BU77" s="46">
        <v>2</v>
      </c>
      <c r="BV77" s="46">
        <v>1</v>
      </c>
      <c r="BW77" s="46">
        <v>1</v>
      </c>
      <c r="BX77" s="46">
        <v>1</v>
      </c>
      <c r="BY77" s="46">
        <v>2</v>
      </c>
      <c r="BZ77" s="46">
        <v>2</v>
      </c>
      <c r="CA77" s="46">
        <v>2</v>
      </c>
      <c r="CB77" s="46">
        <v>1</v>
      </c>
      <c r="CC77" s="46">
        <v>1</v>
      </c>
      <c r="CD77" s="46">
        <v>2</v>
      </c>
      <c r="CE77" s="46">
        <v>1</v>
      </c>
      <c r="CF77" s="46">
        <v>2</v>
      </c>
      <c r="CG77" s="46">
        <v>1</v>
      </c>
      <c r="CH77" s="46">
        <v>2</v>
      </c>
      <c r="CI77" s="46">
        <v>2</v>
      </c>
      <c r="CJ77" s="46">
        <v>2</v>
      </c>
      <c r="CK77" s="46">
        <v>2</v>
      </c>
      <c r="CL77" s="46">
        <v>2</v>
      </c>
      <c r="CM77" s="46">
        <v>2</v>
      </c>
      <c r="CN77" s="46">
        <v>2</v>
      </c>
      <c r="CO77" s="46">
        <v>1</v>
      </c>
      <c r="CP77" s="46">
        <v>2</v>
      </c>
      <c r="CQ77" s="46">
        <v>2</v>
      </c>
      <c r="CR77" s="46">
        <v>2</v>
      </c>
      <c r="CS77" s="46">
        <v>1</v>
      </c>
      <c r="CT77" s="46">
        <v>1</v>
      </c>
      <c r="CU77" s="46">
        <v>2</v>
      </c>
      <c r="CV77" s="46">
        <v>1</v>
      </c>
      <c r="CW77" s="46">
        <v>2</v>
      </c>
      <c r="CX77" s="46">
        <v>2</v>
      </c>
      <c r="CY77" s="46">
        <v>1</v>
      </c>
      <c r="CZ77" s="46">
        <v>2</v>
      </c>
      <c r="DA77" s="46">
        <v>2</v>
      </c>
      <c r="DB77" s="46">
        <v>1</v>
      </c>
      <c r="DC77" s="46">
        <v>2</v>
      </c>
      <c r="DD77" s="46">
        <v>1</v>
      </c>
      <c r="DE77" s="46">
        <v>1</v>
      </c>
      <c r="DF77" s="46">
        <v>1</v>
      </c>
      <c r="DG77" s="46">
        <v>2</v>
      </c>
      <c r="DH77" s="46">
        <v>1</v>
      </c>
      <c r="DI77" s="46">
        <v>1</v>
      </c>
      <c r="DJ77" s="46">
        <v>2</v>
      </c>
      <c r="DK77" s="46">
        <v>1</v>
      </c>
      <c r="DL77" s="46">
        <v>2</v>
      </c>
      <c r="DM77" s="46">
        <v>1</v>
      </c>
      <c r="DN77" s="46">
        <v>2</v>
      </c>
      <c r="DO77" s="46">
        <v>2</v>
      </c>
      <c r="DP77" s="46">
        <v>2</v>
      </c>
      <c r="DQ77" s="46">
        <v>1</v>
      </c>
      <c r="DR77" s="46">
        <v>1</v>
      </c>
      <c r="DS77" s="46">
        <v>1</v>
      </c>
      <c r="DT77" s="46">
        <v>1</v>
      </c>
      <c r="DU77" s="46">
        <v>2</v>
      </c>
      <c r="DV77" s="46">
        <v>2</v>
      </c>
      <c r="DW77" s="46">
        <v>2</v>
      </c>
      <c r="DX77" s="46">
        <v>2</v>
      </c>
      <c r="DY77" s="46">
        <v>1</v>
      </c>
      <c r="DZ77" s="46">
        <v>2</v>
      </c>
      <c r="EA77" s="46">
        <v>2</v>
      </c>
      <c r="EB77" s="46">
        <v>2</v>
      </c>
      <c r="EC77" s="46">
        <v>1</v>
      </c>
      <c r="ED77" s="46">
        <v>2</v>
      </c>
      <c r="EE77" s="46">
        <v>1</v>
      </c>
      <c r="EF77" s="46">
        <v>1</v>
      </c>
      <c r="EG77" s="46">
        <v>2</v>
      </c>
      <c r="EH77" s="46">
        <v>2</v>
      </c>
      <c r="EI77" s="46">
        <v>2</v>
      </c>
      <c r="EJ77" s="46">
        <v>1</v>
      </c>
      <c r="EK77" s="46">
        <v>2</v>
      </c>
      <c r="EL77" s="46">
        <v>2</v>
      </c>
      <c r="EM77" s="46">
        <v>2</v>
      </c>
      <c r="EN77" s="46">
        <v>2</v>
      </c>
      <c r="EO77" s="46">
        <v>2</v>
      </c>
      <c r="EP77" s="46">
        <v>2</v>
      </c>
      <c r="EQ77" s="46">
        <v>2</v>
      </c>
      <c r="ER77" s="46">
        <v>2</v>
      </c>
      <c r="ES77" s="46">
        <v>1</v>
      </c>
      <c r="ET77" s="46">
        <v>2</v>
      </c>
      <c r="EU77" s="46">
        <v>2</v>
      </c>
      <c r="EV77" s="46">
        <v>1</v>
      </c>
      <c r="EW77" s="46">
        <v>2</v>
      </c>
      <c r="EX77" s="46">
        <v>2</v>
      </c>
      <c r="EY77" s="46">
        <v>1</v>
      </c>
      <c r="EZ77" s="46">
        <v>2</v>
      </c>
      <c r="FA77" s="46">
        <v>2</v>
      </c>
      <c r="FB77" s="46">
        <v>2</v>
      </c>
      <c r="FC77" s="46">
        <v>1</v>
      </c>
      <c r="FD77" s="46">
        <v>2</v>
      </c>
      <c r="FE77" s="46">
        <v>2</v>
      </c>
      <c r="FF77" s="46">
        <v>2</v>
      </c>
      <c r="FG77" s="46">
        <v>1</v>
      </c>
      <c r="FH77" s="46">
        <v>2</v>
      </c>
    </row>
    <row r="78" spans="1:164" s="31" customFormat="1" x14ac:dyDescent="0.2">
      <c r="A78" s="44" t="s">
        <v>341</v>
      </c>
      <c r="B78" s="30" t="s">
        <v>265</v>
      </c>
      <c r="C78" s="30" t="s">
        <v>293</v>
      </c>
      <c r="D78" s="35" t="s">
        <v>253</v>
      </c>
      <c r="E78" s="46">
        <v>1</v>
      </c>
      <c r="F78" s="46">
        <v>1</v>
      </c>
      <c r="G78" s="46">
        <v>1</v>
      </c>
      <c r="H78" s="30">
        <v>1</v>
      </c>
      <c r="I78" s="30">
        <v>1</v>
      </c>
      <c r="J78" s="30">
        <v>1</v>
      </c>
      <c r="K78" s="46">
        <v>1</v>
      </c>
      <c r="L78" s="46">
        <v>1</v>
      </c>
      <c r="M78" s="46">
        <v>1</v>
      </c>
      <c r="N78" s="46">
        <v>1</v>
      </c>
      <c r="O78" s="46">
        <v>2</v>
      </c>
      <c r="P78" s="46">
        <v>2</v>
      </c>
      <c r="Q78" s="46">
        <v>1</v>
      </c>
      <c r="R78" s="46">
        <v>2</v>
      </c>
      <c r="S78" s="46">
        <v>1</v>
      </c>
      <c r="T78" s="46">
        <v>2</v>
      </c>
      <c r="U78" s="46">
        <v>1</v>
      </c>
      <c r="V78" s="46">
        <v>1</v>
      </c>
      <c r="W78" s="46">
        <v>1</v>
      </c>
      <c r="X78" s="46">
        <v>1</v>
      </c>
      <c r="Y78" s="46">
        <v>2</v>
      </c>
      <c r="Z78" s="46">
        <v>2</v>
      </c>
      <c r="AA78" s="46">
        <v>2</v>
      </c>
      <c r="AB78" s="46">
        <v>1</v>
      </c>
      <c r="AC78" s="46">
        <v>1</v>
      </c>
      <c r="AD78" s="46">
        <v>1</v>
      </c>
      <c r="AE78" s="46">
        <v>1</v>
      </c>
      <c r="AF78" s="46">
        <v>1</v>
      </c>
      <c r="AG78" s="46">
        <v>2</v>
      </c>
      <c r="AH78" s="46">
        <v>2</v>
      </c>
      <c r="AI78" s="46">
        <v>1</v>
      </c>
      <c r="AJ78" s="46">
        <v>2</v>
      </c>
      <c r="AK78" s="46">
        <v>2</v>
      </c>
      <c r="AL78" s="46">
        <v>2</v>
      </c>
      <c r="AM78" s="46">
        <v>1</v>
      </c>
      <c r="AN78" s="46">
        <v>1</v>
      </c>
      <c r="AO78" s="46">
        <v>1</v>
      </c>
      <c r="AP78" s="46">
        <v>1</v>
      </c>
      <c r="AQ78" s="46">
        <v>1</v>
      </c>
      <c r="AR78" s="46">
        <v>2</v>
      </c>
      <c r="AS78" s="46">
        <v>1</v>
      </c>
      <c r="AT78" s="46">
        <v>1</v>
      </c>
      <c r="AU78" s="46">
        <v>2</v>
      </c>
      <c r="AV78" s="46">
        <v>2</v>
      </c>
      <c r="AW78" s="46">
        <v>2</v>
      </c>
      <c r="AX78" s="46">
        <v>2</v>
      </c>
      <c r="AY78" s="46">
        <v>2</v>
      </c>
      <c r="AZ78" s="46">
        <v>2</v>
      </c>
      <c r="BA78" s="46">
        <v>1</v>
      </c>
      <c r="BB78" s="46">
        <v>1</v>
      </c>
      <c r="BC78" s="46">
        <v>1</v>
      </c>
      <c r="BD78" s="46">
        <v>2</v>
      </c>
      <c r="BE78" s="46">
        <v>2</v>
      </c>
      <c r="BF78" s="46">
        <v>2</v>
      </c>
      <c r="BG78" s="46">
        <v>1</v>
      </c>
      <c r="BH78" s="46">
        <v>2</v>
      </c>
      <c r="BI78" s="46">
        <v>2</v>
      </c>
      <c r="BJ78" s="46">
        <v>1</v>
      </c>
      <c r="BK78" s="46">
        <v>2</v>
      </c>
      <c r="BL78" s="46">
        <v>2</v>
      </c>
      <c r="BM78" s="46">
        <v>1</v>
      </c>
      <c r="BN78" s="46">
        <v>2</v>
      </c>
      <c r="BO78" s="46">
        <v>1</v>
      </c>
      <c r="BP78" s="46">
        <v>2</v>
      </c>
      <c r="BQ78" s="46">
        <v>2</v>
      </c>
      <c r="BR78" s="46">
        <v>2</v>
      </c>
      <c r="BS78" s="46">
        <v>1</v>
      </c>
      <c r="BT78" s="46">
        <v>1</v>
      </c>
      <c r="BU78" s="46">
        <v>1</v>
      </c>
      <c r="BV78" s="46">
        <v>2</v>
      </c>
      <c r="BW78" s="46">
        <v>2</v>
      </c>
      <c r="BX78" s="46">
        <v>2</v>
      </c>
      <c r="BY78" s="46">
        <v>2</v>
      </c>
      <c r="BZ78" s="46">
        <v>2</v>
      </c>
      <c r="CA78" s="46">
        <v>2</v>
      </c>
      <c r="CB78" s="46">
        <v>1</v>
      </c>
      <c r="CC78" s="46">
        <v>1</v>
      </c>
      <c r="CD78" s="46">
        <v>2</v>
      </c>
      <c r="CE78" s="46">
        <v>1</v>
      </c>
      <c r="CF78" s="46">
        <v>1</v>
      </c>
      <c r="CG78" s="46">
        <v>1</v>
      </c>
      <c r="CH78" s="46">
        <v>2</v>
      </c>
      <c r="CI78" s="46">
        <v>2</v>
      </c>
      <c r="CJ78" s="46">
        <v>2</v>
      </c>
      <c r="CK78" s="46">
        <v>1</v>
      </c>
      <c r="CL78" s="46">
        <v>1</v>
      </c>
      <c r="CM78" s="46">
        <v>1</v>
      </c>
      <c r="CN78" s="46">
        <v>2</v>
      </c>
      <c r="CO78" s="46">
        <v>1</v>
      </c>
      <c r="CP78" s="46">
        <v>2</v>
      </c>
      <c r="CQ78" s="46">
        <v>1</v>
      </c>
      <c r="CR78" s="46">
        <v>1</v>
      </c>
      <c r="CS78" s="46">
        <v>1</v>
      </c>
      <c r="CT78" s="46">
        <v>2</v>
      </c>
      <c r="CU78" s="46">
        <v>2</v>
      </c>
      <c r="CV78" s="46">
        <v>2</v>
      </c>
      <c r="CW78" s="46">
        <v>2</v>
      </c>
      <c r="CX78" s="46">
        <v>2</v>
      </c>
      <c r="CY78" s="46">
        <v>1</v>
      </c>
      <c r="CZ78" s="46">
        <v>1</v>
      </c>
      <c r="DA78" s="46">
        <v>1</v>
      </c>
      <c r="DB78" s="46">
        <v>2</v>
      </c>
      <c r="DC78" s="46">
        <v>2</v>
      </c>
      <c r="DD78" s="46">
        <v>1</v>
      </c>
      <c r="DE78" s="46">
        <v>2</v>
      </c>
      <c r="DF78" s="46">
        <v>2</v>
      </c>
      <c r="DG78" s="46">
        <v>2</v>
      </c>
      <c r="DH78" s="46">
        <v>1</v>
      </c>
      <c r="DI78" s="46">
        <v>1</v>
      </c>
      <c r="DJ78" s="46">
        <v>2</v>
      </c>
      <c r="DK78" s="46">
        <v>2</v>
      </c>
      <c r="DL78" s="46">
        <v>2</v>
      </c>
      <c r="DM78" s="46">
        <v>2</v>
      </c>
      <c r="DN78" s="46">
        <v>2</v>
      </c>
      <c r="DO78" s="46">
        <v>2</v>
      </c>
      <c r="DP78" s="46">
        <v>1</v>
      </c>
      <c r="DQ78" s="46">
        <v>2</v>
      </c>
      <c r="DR78" s="46">
        <v>2</v>
      </c>
      <c r="DS78" s="46">
        <v>2</v>
      </c>
      <c r="DT78" s="46">
        <v>2</v>
      </c>
      <c r="DU78" s="46">
        <v>2</v>
      </c>
      <c r="DV78" s="46">
        <v>2</v>
      </c>
      <c r="DW78" s="46">
        <v>2</v>
      </c>
      <c r="DX78" s="46">
        <v>2</v>
      </c>
      <c r="DY78" s="46">
        <v>2</v>
      </c>
      <c r="DZ78" s="46">
        <v>2</v>
      </c>
      <c r="EA78" s="46">
        <v>1</v>
      </c>
      <c r="EB78" s="46">
        <v>2</v>
      </c>
      <c r="EC78" s="46">
        <v>2</v>
      </c>
      <c r="ED78" s="46">
        <v>1</v>
      </c>
      <c r="EE78" s="46">
        <v>1</v>
      </c>
      <c r="EF78" s="46">
        <v>2</v>
      </c>
      <c r="EG78" s="46">
        <v>2</v>
      </c>
      <c r="EH78" s="46">
        <v>2</v>
      </c>
      <c r="EI78" s="46">
        <v>1</v>
      </c>
      <c r="EJ78" s="46">
        <v>1</v>
      </c>
      <c r="EK78" s="46">
        <v>2</v>
      </c>
      <c r="EL78" s="46">
        <v>2</v>
      </c>
      <c r="EM78" s="46">
        <v>2</v>
      </c>
      <c r="EN78" s="46">
        <v>2</v>
      </c>
      <c r="EO78" s="46">
        <v>2</v>
      </c>
      <c r="EP78" s="46">
        <v>1</v>
      </c>
      <c r="EQ78" s="46">
        <v>2</v>
      </c>
      <c r="ER78" s="46">
        <v>2</v>
      </c>
      <c r="ES78" s="46">
        <v>1</v>
      </c>
      <c r="ET78" s="46">
        <v>2</v>
      </c>
      <c r="EU78" s="46">
        <v>2</v>
      </c>
      <c r="EV78" s="46">
        <v>1</v>
      </c>
      <c r="EW78" s="46">
        <v>2</v>
      </c>
      <c r="EX78" s="46">
        <v>2</v>
      </c>
      <c r="EY78" s="46">
        <v>1</v>
      </c>
      <c r="EZ78" s="46">
        <v>2</v>
      </c>
      <c r="FA78" s="46">
        <v>2</v>
      </c>
      <c r="FB78" s="46">
        <v>2</v>
      </c>
      <c r="FC78" s="46">
        <v>2</v>
      </c>
      <c r="FD78" s="46">
        <v>2</v>
      </c>
      <c r="FE78" s="46">
        <v>2</v>
      </c>
      <c r="FF78" s="46">
        <v>2</v>
      </c>
      <c r="FG78" s="46">
        <v>1</v>
      </c>
      <c r="FH78" s="46">
        <v>2</v>
      </c>
    </row>
    <row r="79" spans="1:164" s="31" customFormat="1" x14ac:dyDescent="0.2">
      <c r="A79" s="44" t="s">
        <v>342</v>
      </c>
      <c r="B79" s="30" t="s">
        <v>267</v>
      </c>
      <c r="C79" s="30" t="s">
        <v>293</v>
      </c>
      <c r="D79" s="35" t="s">
        <v>254</v>
      </c>
      <c r="E79" s="46">
        <v>1</v>
      </c>
      <c r="F79" s="46">
        <v>1</v>
      </c>
      <c r="G79" s="46">
        <v>2</v>
      </c>
      <c r="H79" s="30">
        <v>1</v>
      </c>
      <c r="I79" s="30">
        <v>1</v>
      </c>
      <c r="J79" s="30">
        <v>2</v>
      </c>
      <c r="K79" s="46">
        <v>2</v>
      </c>
      <c r="L79" s="46">
        <v>1</v>
      </c>
      <c r="M79" s="46">
        <v>1</v>
      </c>
      <c r="N79" s="46">
        <v>2</v>
      </c>
      <c r="O79" s="46">
        <v>1</v>
      </c>
      <c r="P79" s="46">
        <v>2</v>
      </c>
      <c r="Q79" s="46">
        <v>1</v>
      </c>
      <c r="R79" s="46">
        <v>1</v>
      </c>
      <c r="S79" s="46">
        <v>2</v>
      </c>
      <c r="T79" s="46">
        <v>1</v>
      </c>
      <c r="U79" s="46">
        <v>1</v>
      </c>
      <c r="V79" s="46">
        <v>1</v>
      </c>
      <c r="W79" s="46">
        <v>1</v>
      </c>
      <c r="X79" s="46">
        <v>2</v>
      </c>
      <c r="Y79" s="46">
        <v>1</v>
      </c>
      <c r="Z79" s="46">
        <v>2</v>
      </c>
      <c r="AA79" s="46">
        <v>2</v>
      </c>
      <c r="AB79" s="46">
        <v>2</v>
      </c>
      <c r="AC79" s="46">
        <v>1</v>
      </c>
      <c r="AD79" s="46">
        <v>2</v>
      </c>
      <c r="AE79" s="46">
        <v>2</v>
      </c>
      <c r="AF79" s="46">
        <v>2</v>
      </c>
      <c r="AG79" s="46">
        <v>2</v>
      </c>
      <c r="AH79" s="46">
        <v>2</v>
      </c>
      <c r="AI79" s="46">
        <v>1</v>
      </c>
      <c r="AJ79" s="46">
        <v>1</v>
      </c>
      <c r="AK79" s="46">
        <v>2</v>
      </c>
      <c r="AL79" s="46">
        <v>1</v>
      </c>
      <c r="AM79" s="46">
        <v>2</v>
      </c>
      <c r="AN79" s="46">
        <v>1</v>
      </c>
      <c r="AO79" s="46">
        <v>1</v>
      </c>
      <c r="AP79" s="46">
        <v>1</v>
      </c>
      <c r="AQ79" s="46">
        <v>1</v>
      </c>
      <c r="AR79" s="46">
        <v>2</v>
      </c>
      <c r="AS79" s="46">
        <v>2</v>
      </c>
      <c r="AT79" s="46">
        <v>1</v>
      </c>
      <c r="AU79" s="46">
        <v>1</v>
      </c>
      <c r="AV79" s="46">
        <v>2</v>
      </c>
      <c r="AW79" s="46">
        <v>1</v>
      </c>
      <c r="AX79" s="46">
        <v>2</v>
      </c>
      <c r="AY79" s="46">
        <v>1</v>
      </c>
      <c r="AZ79" s="46">
        <v>2</v>
      </c>
      <c r="BA79" s="46">
        <v>2</v>
      </c>
      <c r="BB79" s="46">
        <v>1</v>
      </c>
      <c r="BC79" s="46">
        <v>1</v>
      </c>
      <c r="BD79" s="46">
        <v>2</v>
      </c>
      <c r="BE79" s="46">
        <v>1</v>
      </c>
      <c r="BF79" s="46">
        <v>1</v>
      </c>
      <c r="BG79" s="46">
        <v>2</v>
      </c>
      <c r="BH79" s="46">
        <v>2</v>
      </c>
      <c r="BI79" s="46">
        <v>2</v>
      </c>
      <c r="BJ79" s="46">
        <v>1</v>
      </c>
      <c r="BK79" s="46">
        <v>2</v>
      </c>
      <c r="BL79" s="46">
        <v>1</v>
      </c>
      <c r="BM79" s="46">
        <v>2</v>
      </c>
      <c r="BN79" s="46">
        <v>2</v>
      </c>
      <c r="BO79" s="46">
        <v>1</v>
      </c>
      <c r="BP79" s="46">
        <v>1</v>
      </c>
      <c r="BQ79" s="46">
        <v>2</v>
      </c>
      <c r="BR79" s="46">
        <v>1</v>
      </c>
      <c r="BS79" s="46">
        <v>1</v>
      </c>
      <c r="BT79" s="46">
        <v>2</v>
      </c>
      <c r="BU79" s="46">
        <v>1</v>
      </c>
      <c r="BV79" s="46">
        <v>2</v>
      </c>
      <c r="BW79" s="46">
        <v>1</v>
      </c>
      <c r="BX79" s="46">
        <v>1</v>
      </c>
      <c r="BY79" s="46">
        <v>1</v>
      </c>
      <c r="BZ79" s="46">
        <v>2</v>
      </c>
      <c r="CA79" s="46">
        <v>2</v>
      </c>
      <c r="CB79" s="46">
        <v>1</v>
      </c>
      <c r="CC79" s="46">
        <v>1</v>
      </c>
      <c r="CD79" s="46">
        <v>2</v>
      </c>
      <c r="CE79" s="46">
        <v>1</v>
      </c>
      <c r="CF79" s="46">
        <v>1</v>
      </c>
      <c r="CG79" s="46">
        <v>1</v>
      </c>
      <c r="CH79" s="46">
        <v>2</v>
      </c>
      <c r="CI79" s="46">
        <v>2</v>
      </c>
      <c r="CJ79" s="46">
        <v>1</v>
      </c>
      <c r="CK79" s="46">
        <v>1</v>
      </c>
      <c r="CL79" s="46">
        <v>2</v>
      </c>
      <c r="CM79" s="46">
        <v>1</v>
      </c>
      <c r="CN79" s="46">
        <v>1</v>
      </c>
      <c r="CO79" s="46">
        <v>1</v>
      </c>
      <c r="CP79" s="46">
        <v>2</v>
      </c>
      <c r="CQ79" s="46">
        <v>2</v>
      </c>
      <c r="CR79" s="46">
        <v>2</v>
      </c>
      <c r="CS79" s="46">
        <v>1</v>
      </c>
      <c r="CT79" s="46">
        <v>1</v>
      </c>
      <c r="CU79" s="46">
        <v>2</v>
      </c>
      <c r="CV79" s="46">
        <v>2</v>
      </c>
      <c r="CW79" s="46">
        <v>1</v>
      </c>
      <c r="CX79" s="46">
        <v>1</v>
      </c>
      <c r="CY79" s="46">
        <v>1</v>
      </c>
      <c r="CZ79" s="46">
        <v>1</v>
      </c>
      <c r="DA79" s="46">
        <v>2</v>
      </c>
      <c r="DB79" s="46">
        <v>2</v>
      </c>
      <c r="DC79" s="46">
        <v>2</v>
      </c>
      <c r="DD79" s="46">
        <v>0</v>
      </c>
      <c r="DE79" s="46">
        <v>1</v>
      </c>
      <c r="DF79" s="46">
        <v>1</v>
      </c>
      <c r="DG79" s="46">
        <v>1</v>
      </c>
      <c r="DH79" s="46">
        <v>1</v>
      </c>
      <c r="DI79" s="46">
        <v>1</v>
      </c>
      <c r="DJ79" s="46">
        <v>1</v>
      </c>
      <c r="DK79" s="46">
        <v>2</v>
      </c>
      <c r="DL79" s="46">
        <v>2</v>
      </c>
      <c r="DM79" s="46">
        <v>1</v>
      </c>
      <c r="DN79" s="46">
        <v>2</v>
      </c>
      <c r="DO79" s="46">
        <v>1</v>
      </c>
      <c r="DP79" s="46">
        <v>2</v>
      </c>
      <c r="DQ79" s="46">
        <v>2</v>
      </c>
      <c r="DR79" s="46">
        <v>1</v>
      </c>
      <c r="DS79" s="46">
        <v>1</v>
      </c>
      <c r="DT79" s="46">
        <v>2</v>
      </c>
      <c r="DU79" s="46">
        <v>1</v>
      </c>
      <c r="DV79" s="46">
        <v>1</v>
      </c>
      <c r="DW79" s="46">
        <v>2</v>
      </c>
      <c r="DX79" s="46">
        <v>2</v>
      </c>
      <c r="DY79" s="46">
        <v>1</v>
      </c>
      <c r="DZ79" s="46">
        <v>2</v>
      </c>
      <c r="EA79" s="46">
        <v>2</v>
      </c>
      <c r="EB79" s="46">
        <v>2</v>
      </c>
      <c r="EC79" s="46">
        <v>1</v>
      </c>
      <c r="ED79" s="46">
        <v>1</v>
      </c>
      <c r="EE79" s="46">
        <v>0</v>
      </c>
      <c r="EF79" s="46">
        <v>2</v>
      </c>
      <c r="EG79" s="46">
        <v>1</v>
      </c>
      <c r="EH79" s="46">
        <v>1</v>
      </c>
      <c r="EI79" s="46">
        <v>2</v>
      </c>
      <c r="EJ79" s="46">
        <v>1</v>
      </c>
      <c r="EK79" s="46">
        <v>2</v>
      </c>
      <c r="EL79" s="46">
        <v>2</v>
      </c>
      <c r="EM79" s="46">
        <v>2</v>
      </c>
      <c r="EN79" s="46">
        <v>2</v>
      </c>
      <c r="EO79" s="46">
        <v>1</v>
      </c>
      <c r="EP79" s="46">
        <v>2</v>
      </c>
      <c r="EQ79" s="46">
        <v>1</v>
      </c>
      <c r="ER79" s="46">
        <v>1</v>
      </c>
      <c r="ES79" s="46">
        <v>2</v>
      </c>
      <c r="ET79" s="46">
        <v>2</v>
      </c>
      <c r="EU79" s="46">
        <v>1</v>
      </c>
      <c r="EV79" s="46">
        <v>1</v>
      </c>
      <c r="EW79" s="46">
        <v>1</v>
      </c>
      <c r="EX79" s="46">
        <v>2</v>
      </c>
      <c r="EY79" s="46">
        <v>1</v>
      </c>
      <c r="EZ79" s="46">
        <v>2</v>
      </c>
      <c r="FA79" s="46">
        <v>1</v>
      </c>
      <c r="FB79" s="46">
        <v>1</v>
      </c>
      <c r="FC79" s="46">
        <v>1</v>
      </c>
      <c r="FD79" s="46">
        <v>2</v>
      </c>
      <c r="FE79" s="46">
        <v>2</v>
      </c>
      <c r="FF79" s="46">
        <v>1</v>
      </c>
      <c r="FG79" s="46">
        <v>1</v>
      </c>
      <c r="FH79" s="46">
        <v>2</v>
      </c>
    </row>
    <row r="80" spans="1:164" s="31" customFormat="1" x14ac:dyDescent="0.2">
      <c r="A80" s="44" t="s">
        <v>343</v>
      </c>
      <c r="B80" s="30" t="s">
        <v>266</v>
      </c>
      <c r="C80" s="30" t="s">
        <v>293</v>
      </c>
      <c r="D80" s="35" t="s">
        <v>238</v>
      </c>
      <c r="E80" s="46">
        <v>2</v>
      </c>
      <c r="F80" s="46">
        <v>1</v>
      </c>
      <c r="G80" s="46">
        <v>2</v>
      </c>
      <c r="H80" s="30">
        <v>2</v>
      </c>
      <c r="I80" s="30">
        <v>1</v>
      </c>
      <c r="J80" s="30">
        <v>1</v>
      </c>
      <c r="K80" s="46">
        <v>1</v>
      </c>
      <c r="L80" s="46">
        <v>1</v>
      </c>
      <c r="M80" s="46">
        <v>1</v>
      </c>
      <c r="N80" s="46">
        <v>1</v>
      </c>
      <c r="O80" s="46">
        <v>1</v>
      </c>
      <c r="P80" s="46">
        <v>1</v>
      </c>
      <c r="Q80" s="46">
        <v>1</v>
      </c>
      <c r="R80" s="46">
        <v>1</v>
      </c>
      <c r="S80" s="46">
        <v>2</v>
      </c>
      <c r="T80" s="46">
        <v>2</v>
      </c>
      <c r="U80" s="46">
        <v>1</v>
      </c>
      <c r="V80" s="46">
        <v>1</v>
      </c>
      <c r="W80" s="46">
        <v>1</v>
      </c>
      <c r="X80" s="46">
        <v>1</v>
      </c>
      <c r="Y80" s="46">
        <v>2</v>
      </c>
      <c r="Z80" s="46">
        <v>1</v>
      </c>
      <c r="AA80" s="46">
        <v>2</v>
      </c>
      <c r="AB80" s="46">
        <v>2</v>
      </c>
      <c r="AC80" s="46">
        <v>2</v>
      </c>
      <c r="AD80" s="46">
        <v>1</v>
      </c>
      <c r="AE80" s="46">
        <v>1</v>
      </c>
      <c r="AF80" s="46">
        <v>1</v>
      </c>
      <c r="AG80" s="46">
        <v>1</v>
      </c>
      <c r="AH80" s="46">
        <v>2</v>
      </c>
      <c r="AI80" s="46">
        <v>2</v>
      </c>
      <c r="AJ80" s="46">
        <v>2</v>
      </c>
      <c r="AK80" s="46">
        <v>2</v>
      </c>
      <c r="AL80" s="46">
        <v>2</v>
      </c>
      <c r="AM80" s="46">
        <v>2</v>
      </c>
      <c r="AN80" s="46">
        <v>1</v>
      </c>
      <c r="AO80" s="46">
        <v>1</v>
      </c>
      <c r="AP80" s="46">
        <v>2</v>
      </c>
      <c r="AQ80" s="46">
        <v>1</v>
      </c>
      <c r="AR80" s="46">
        <v>1</v>
      </c>
      <c r="AS80" s="46">
        <v>2</v>
      </c>
      <c r="AT80" s="46">
        <v>1</v>
      </c>
      <c r="AU80" s="46">
        <v>1</v>
      </c>
      <c r="AV80" s="46">
        <v>2</v>
      </c>
      <c r="AW80" s="46">
        <v>1</v>
      </c>
      <c r="AX80" s="46">
        <v>2</v>
      </c>
      <c r="AY80" s="46">
        <v>2</v>
      </c>
      <c r="AZ80" s="46">
        <v>1</v>
      </c>
      <c r="BA80" s="46">
        <v>1</v>
      </c>
      <c r="BB80" s="46">
        <v>2</v>
      </c>
      <c r="BC80" s="46">
        <v>1</v>
      </c>
      <c r="BD80" s="46">
        <v>2</v>
      </c>
      <c r="BE80" s="46">
        <v>2</v>
      </c>
      <c r="BF80" s="46">
        <v>2</v>
      </c>
      <c r="BG80" s="46">
        <v>2</v>
      </c>
      <c r="BH80" s="46">
        <v>1</v>
      </c>
      <c r="BI80" s="46">
        <v>2</v>
      </c>
      <c r="BJ80" s="46">
        <v>1</v>
      </c>
      <c r="BK80" s="46">
        <v>2</v>
      </c>
      <c r="BL80" s="46">
        <v>1</v>
      </c>
      <c r="BM80" s="46">
        <v>1</v>
      </c>
      <c r="BN80" s="46">
        <v>2</v>
      </c>
      <c r="BO80" s="46">
        <v>1</v>
      </c>
      <c r="BP80" s="46">
        <v>1</v>
      </c>
      <c r="BQ80" s="46">
        <v>1</v>
      </c>
      <c r="BR80" s="46">
        <v>2</v>
      </c>
      <c r="BS80" s="46">
        <v>1</v>
      </c>
      <c r="BT80" s="46">
        <v>1</v>
      </c>
      <c r="BU80" s="46">
        <v>2</v>
      </c>
      <c r="BV80" s="46">
        <v>1</v>
      </c>
      <c r="BW80" s="46">
        <v>1</v>
      </c>
      <c r="BX80" s="46">
        <v>2</v>
      </c>
      <c r="BY80" s="46">
        <v>2</v>
      </c>
      <c r="BZ80" s="46">
        <v>2</v>
      </c>
      <c r="CA80" s="46">
        <v>2</v>
      </c>
      <c r="CB80" s="46">
        <v>1</v>
      </c>
      <c r="CC80" s="46">
        <v>2</v>
      </c>
      <c r="CD80" s="46">
        <v>2</v>
      </c>
      <c r="CE80" s="46">
        <v>2</v>
      </c>
      <c r="CF80" s="46">
        <v>1</v>
      </c>
      <c r="CG80" s="46">
        <v>1</v>
      </c>
      <c r="CH80" s="46">
        <v>2</v>
      </c>
      <c r="CI80" s="46">
        <v>2</v>
      </c>
      <c r="CJ80" s="46">
        <v>1</v>
      </c>
      <c r="CK80" s="46">
        <v>1</v>
      </c>
      <c r="CL80" s="46">
        <v>2</v>
      </c>
      <c r="CM80" s="46">
        <v>1</v>
      </c>
      <c r="CN80" s="46">
        <v>1</v>
      </c>
      <c r="CO80" s="46">
        <v>2</v>
      </c>
      <c r="CP80" s="46">
        <v>2</v>
      </c>
      <c r="CQ80" s="46">
        <v>2</v>
      </c>
      <c r="CR80" s="46">
        <v>2</v>
      </c>
      <c r="CS80" s="46">
        <v>1</v>
      </c>
      <c r="CT80" s="46">
        <v>1</v>
      </c>
      <c r="CU80" s="46">
        <v>2</v>
      </c>
      <c r="CV80" s="46">
        <v>1</v>
      </c>
      <c r="CW80" s="46">
        <v>1</v>
      </c>
      <c r="CX80" s="46">
        <v>2</v>
      </c>
      <c r="CY80" s="46">
        <v>1</v>
      </c>
      <c r="CZ80" s="46">
        <v>2</v>
      </c>
      <c r="DA80" s="46">
        <v>2</v>
      </c>
      <c r="DB80" s="46">
        <v>1</v>
      </c>
      <c r="DC80" s="46">
        <v>1</v>
      </c>
      <c r="DD80" s="46">
        <v>2</v>
      </c>
      <c r="DE80" s="46">
        <v>1</v>
      </c>
      <c r="DF80" s="46">
        <v>1</v>
      </c>
      <c r="DG80" s="46">
        <v>1</v>
      </c>
      <c r="DH80" s="46">
        <v>1</v>
      </c>
      <c r="DI80" s="46">
        <v>1</v>
      </c>
      <c r="DJ80" s="46">
        <v>2</v>
      </c>
      <c r="DK80" s="46">
        <v>1</v>
      </c>
      <c r="DL80" s="46">
        <v>1</v>
      </c>
      <c r="DM80" s="46">
        <v>1</v>
      </c>
      <c r="DN80" s="46">
        <v>2</v>
      </c>
      <c r="DO80" s="46">
        <v>1</v>
      </c>
      <c r="DP80" s="46">
        <v>1</v>
      </c>
      <c r="DQ80" s="46">
        <v>2</v>
      </c>
      <c r="DR80" s="46">
        <v>1</v>
      </c>
      <c r="DS80" s="46">
        <v>2</v>
      </c>
      <c r="DT80" s="46">
        <v>2</v>
      </c>
      <c r="DU80" s="46">
        <v>2</v>
      </c>
      <c r="DV80" s="46">
        <v>1</v>
      </c>
      <c r="DW80" s="46">
        <v>2</v>
      </c>
      <c r="DX80" s="46">
        <v>2</v>
      </c>
      <c r="DY80" s="46">
        <v>1</v>
      </c>
      <c r="DZ80" s="46">
        <v>2</v>
      </c>
      <c r="EA80" s="46">
        <v>1</v>
      </c>
      <c r="EB80" s="46">
        <v>2</v>
      </c>
      <c r="EC80" s="46">
        <v>2</v>
      </c>
      <c r="ED80" s="46">
        <v>2</v>
      </c>
      <c r="EE80" s="46">
        <v>1</v>
      </c>
      <c r="EF80" s="46">
        <v>1</v>
      </c>
      <c r="EG80" s="46">
        <v>1</v>
      </c>
      <c r="EH80" s="46">
        <v>2</v>
      </c>
      <c r="EI80" s="46">
        <v>2</v>
      </c>
      <c r="EJ80" s="46">
        <v>1</v>
      </c>
      <c r="EK80" s="46">
        <v>1</v>
      </c>
      <c r="EL80" s="46">
        <v>1</v>
      </c>
      <c r="EM80" s="46">
        <v>2</v>
      </c>
      <c r="EN80" s="46">
        <v>1</v>
      </c>
      <c r="EO80" s="46">
        <v>1</v>
      </c>
      <c r="EP80" s="46">
        <v>1</v>
      </c>
      <c r="EQ80" s="46">
        <v>2</v>
      </c>
      <c r="ER80" s="46">
        <v>1</v>
      </c>
      <c r="ES80" s="46">
        <v>2</v>
      </c>
      <c r="ET80" s="46">
        <v>2</v>
      </c>
      <c r="EU80" s="46">
        <v>1</v>
      </c>
      <c r="EV80" s="46">
        <v>1</v>
      </c>
      <c r="EW80" s="46">
        <v>1</v>
      </c>
      <c r="EX80" s="46">
        <v>1</v>
      </c>
      <c r="EY80" s="46">
        <v>1</v>
      </c>
      <c r="EZ80" s="46">
        <v>2</v>
      </c>
      <c r="FA80" s="46">
        <v>1</v>
      </c>
      <c r="FB80" s="46">
        <v>1</v>
      </c>
      <c r="FC80" s="46">
        <v>2</v>
      </c>
      <c r="FD80" s="46">
        <v>1</v>
      </c>
      <c r="FE80" s="46">
        <v>2</v>
      </c>
      <c r="FF80" s="46">
        <v>1</v>
      </c>
      <c r="FG80" s="46">
        <v>1</v>
      </c>
      <c r="FH80" s="46">
        <v>1</v>
      </c>
    </row>
    <row r="81" spans="1:164" s="31" customFormat="1" x14ac:dyDescent="0.2">
      <c r="A81" s="44" t="s">
        <v>344</v>
      </c>
      <c r="B81" s="30" t="s">
        <v>265</v>
      </c>
      <c r="C81" s="30" t="s">
        <v>293</v>
      </c>
      <c r="D81" s="35" t="s">
        <v>253</v>
      </c>
      <c r="E81" s="46">
        <v>2</v>
      </c>
      <c r="F81" s="46">
        <v>1</v>
      </c>
      <c r="G81" s="46">
        <v>2</v>
      </c>
      <c r="H81" s="30">
        <v>1</v>
      </c>
      <c r="I81" s="30">
        <v>1</v>
      </c>
      <c r="J81" s="30">
        <v>2</v>
      </c>
      <c r="K81" s="46">
        <v>1</v>
      </c>
      <c r="L81" s="46">
        <v>1</v>
      </c>
      <c r="M81" s="46">
        <v>1</v>
      </c>
      <c r="N81" s="46">
        <v>2</v>
      </c>
      <c r="O81" s="46">
        <v>1</v>
      </c>
      <c r="P81" s="46">
        <v>2</v>
      </c>
      <c r="Q81" s="46">
        <v>1</v>
      </c>
      <c r="R81" s="46">
        <v>1</v>
      </c>
      <c r="S81" s="46">
        <v>1</v>
      </c>
      <c r="T81" s="46">
        <v>1</v>
      </c>
      <c r="U81" s="46">
        <v>2</v>
      </c>
      <c r="V81" s="46">
        <v>1</v>
      </c>
      <c r="W81" s="46">
        <v>2</v>
      </c>
      <c r="X81" s="46">
        <v>2</v>
      </c>
      <c r="Y81" s="46">
        <v>1</v>
      </c>
      <c r="Z81" s="46">
        <v>2</v>
      </c>
      <c r="AA81" s="46">
        <v>2</v>
      </c>
      <c r="AB81" s="46">
        <v>2</v>
      </c>
      <c r="AC81" s="46">
        <v>1</v>
      </c>
      <c r="AD81" s="46">
        <v>1</v>
      </c>
      <c r="AE81" s="46">
        <v>2</v>
      </c>
      <c r="AF81" s="46">
        <v>2</v>
      </c>
      <c r="AG81" s="46">
        <v>2</v>
      </c>
      <c r="AH81" s="46">
        <v>2</v>
      </c>
      <c r="AI81" s="46">
        <v>1</v>
      </c>
      <c r="AJ81" s="46">
        <v>2</v>
      </c>
      <c r="AK81" s="46">
        <v>1</v>
      </c>
      <c r="AL81" s="46">
        <v>1</v>
      </c>
      <c r="AM81" s="46">
        <v>1</v>
      </c>
      <c r="AN81" s="46">
        <v>1</v>
      </c>
      <c r="AO81" s="46">
        <v>1</v>
      </c>
      <c r="AP81" s="46">
        <v>1</v>
      </c>
      <c r="AQ81" s="46">
        <v>2</v>
      </c>
      <c r="AR81" s="46">
        <v>2</v>
      </c>
      <c r="AS81" s="46">
        <v>2</v>
      </c>
      <c r="AT81" s="46">
        <v>1</v>
      </c>
      <c r="AU81" s="46">
        <v>1</v>
      </c>
      <c r="AV81" s="46">
        <v>1</v>
      </c>
      <c r="AW81" s="46">
        <v>2</v>
      </c>
      <c r="AX81" s="46">
        <v>1</v>
      </c>
      <c r="AY81" s="46">
        <v>2</v>
      </c>
      <c r="AZ81" s="46">
        <v>1</v>
      </c>
      <c r="BA81" s="46">
        <v>2</v>
      </c>
      <c r="BB81" s="46">
        <v>2</v>
      </c>
      <c r="BC81" s="46">
        <v>2</v>
      </c>
      <c r="BD81" s="46">
        <v>2</v>
      </c>
      <c r="BE81" s="46">
        <v>1</v>
      </c>
      <c r="BF81" s="46">
        <v>2</v>
      </c>
      <c r="BG81" s="46">
        <v>2</v>
      </c>
      <c r="BH81" s="46">
        <v>2</v>
      </c>
      <c r="BI81" s="46">
        <v>2</v>
      </c>
      <c r="BJ81" s="46">
        <v>1</v>
      </c>
      <c r="BK81" s="46">
        <v>2</v>
      </c>
      <c r="BL81" s="46">
        <v>1</v>
      </c>
      <c r="BM81" s="46">
        <v>1</v>
      </c>
      <c r="BN81" s="46">
        <v>2</v>
      </c>
      <c r="BO81" s="46">
        <v>2</v>
      </c>
      <c r="BP81" s="46">
        <v>1</v>
      </c>
      <c r="BQ81" s="46">
        <v>2</v>
      </c>
      <c r="BR81" s="46">
        <v>2</v>
      </c>
      <c r="BS81" s="46">
        <v>1</v>
      </c>
      <c r="BT81" s="46">
        <v>2</v>
      </c>
      <c r="BU81" s="46">
        <v>1</v>
      </c>
      <c r="BV81" s="46">
        <v>1</v>
      </c>
      <c r="BW81" s="46">
        <v>1</v>
      </c>
      <c r="BX81" s="46">
        <v>2</v>
      </c>
      <c r="BY81" s="46">
        <v>1</v>
      </c>
      <c r="BZ81" s="46">
        <v>1</v>
      </c>
      <c r="CA81" s="46">
        <v>2</v>
      </c>
      <c r="CB81" s="46">
        <v>2</v>
      </c>
      <c r="CC81" s="46">
        <v>2</v>
      </c>
      <c r="CD81" s="46">
        <v>2</v>
      </c>
      <c r="CE81" s="46">
        <v>1</v>
      </c>
      <c r="CF81" s="46">
        <v>1</v>
      </c>
      <c r="CG81" s="46">
        <v>1</v>
      </c>
      <c r="CH81" s="46">
        <v>2</v>
      </c>
      <c r="CI81" s="46">
        <v>1</v>
      </c>
      <c r="CJ81" s="46">
        <v>1</v>
      </c>
      <c r="CK81" s="46">
        <v>1</v>
      </c>
      <c r="CL81" s="46">
        <v>2</v>
      </c>
      <c r="CM81" s="46">
        <v>2</v>
      </c>
      <c r="CN81" s="46">
        <v>1</v>
      </c>
      <c r="CO81" s="46">
        <v>2</v>
      </c>
      <c r="CP81" s="46">
        <v>2</v>
      </c>
      <c r="CQ81" s="46">
        <v>2</v>
      </c>
      <c r="CR81" s="46">
        <v>1</v>
      </c>
      <c r="CS81" s="46">
        <v>1</v>
      </c>
      <c r="CT81" s="46">
        <v>2</v>
      </c>
      <c r="CU81" s="46">
        <v>1</v>
      </c>
      <c r="CV81" s="46">
        <v>1</v>
      </c>
      <c r="CW81" s="46">
        <v>2</v>
      </c>
      <c r="CX81" s="46">
        <v>1</v>
      </c>
      <c r="CY81" s="46">
        <v>2</v>
      </c>
      <c r="CZ81" s="46">
        <v>1</v>
      </c>
      <c r="DA81" s="46">
        <v>2</v>
      </c>
      <c r="DB81" s="46">
        <v>1</v>
      </c>
      <c r="DC81" s="46">
        <v>2</v>
      </c>
      <c r="DD81" s="46">
        <v>1</v>
      </c>
      <c r="DE81" s="46">
        <v>1</v>
      </c>
      <c r="DF81" s="46">
        <v>2</v>
      </c>
      <c r="DG81" s="46">
        <v>1</v>
      </c>
      <c r="DH81" s="46">
        <v>1</v>
      </c>
      <c r="DI81" s="46">
        <v>2</v>
      </c>
      <c r="DJ81" s="46">
        <v>1</v>
      </c>
      <c r="DK81" s="46">
        <v>2</v>
      </c>
      <c r="DL81" s="46">
        <v>1</v>
      </c>
      <c r="DM81" s="46">
        <v>1</v>
      </c>
      <c r="DN81" s="46">
        <v>2</v>
      </c>
      <c r="DO81" s="46">
        <v>1</v>
      </c>
      <c r="DP81" s="46">
        <v>2</v>
      </c>
      <c r="DQ81" s="46">
        <v>1</v>
      </c>
      <c r="DR81" s="46">
        <v>1</v>
      </c>
      <c r="DS81" s="46">
        <v>1</v>
      </c>
      <c r="DT81" s="46">
        <v>2</v>
      </c>
      <c r="DU81" s="46">
        <v>2</v>
      </c>
      <c r="DV81" s="46">
        <v>2</v>
      </c>
      <c r="DW81" s="46">
        <v>1</v>
      </c>
      <c r="DX81" s="46">
        <v>2</v>
      </c>
      <c r="DY81" s="46">
        <v>1</v>
      </c>
      <c r="DZ81" s="46">
        <v>2</v>
      </c>
      <c r="EA81" s="46">
        <v>1</v>
      </c>
      <c r="EB81" s="46">
        <v>2</v>
      </c>
      <c r="EC81" s="46">
        <v>2</v>
      </c>
      <c r="ED81" s="46">
        <v>2</v>
      </c>
      <c r="EE81" s="46">
        <v>2</v>
      </c>
      <c r="EF81" s="46">
        <v>2</v>
      </c>
      <c r="EG81" s="46">
        <v>2</v>
      </c>
      <c r="EH81" s="46">
        <v>2</v>
      </c>
      <c r="EI81" s="46">
        <v>2</v>
      </c>
      <c r="EJ81" s="46">
        <v>1</v>
      </c>
      <c r="EK81" s="46">
        <v>2</v>
      </c>
      <c r="EL81" s="46">
        <v>2</v>
      </c>
      <c r="EM81" s="46">
        <v>2</v>
      </c>
      <c r="EN81" s="46">
        <v>2</v>
      </c>
      <c r="EO81" s="46">
        <v>1</v>
      </c>
      <c r="EP81" s="46">
        <v>2</v>
      </c>
      <c r="EQ81" s="46">
        <v>2</v>
      </c>
      <c r="ER81" s="46">
        <v>1</v>
      </c>
      <c r="ES81" s="46">
        <v>2</v>
      </c>
      <c r="ET81" s="46">
        <v>2</v>
      </c>
      <c r="EU81" s="46">
        <v>1</v>
      </c>
      <c r="EV81" s="46">
        <v>2</v>
      </c>
      <c r="EW81" s="46">
        <v>2</v>
      </c>
      <c r="EX81" s="46">
        <v>2</v>
      </c>
      <c r="EY81" s="46">
        <v>2</v>
      </c>
      <c r="EZ81" s="46">
        <v>2</v>
      </c>
      <c r="FA81" s="46">
        <v>1</v>
      </c>
      <c r="FB81" s="46">
        <v>1</v>
      </c>
      <c r="FC81" s="46">
        <v>2</v>
      </c>
      <c r="FD81" s="46">
        <v>1</v>
      </c>
      <c r="FE81" s="46">
        <v>1</v>
      </c>
      <c r="FF81" s="46">
        <v>1</v>
      </c>
      <c r="FG81" s="46">
        <v>1</v>
      </c>
      <c r="FH81" s="46">
        <v>1</v>
      </c>
    </row>
    <row r="82" spans="1:164" s="31" customFormat="1" x14ac:dyDescent="0.2">
      <c r="A82" s="44"/>
      <c r="B82" s="30"/>
      <c r="C82" s="30"/>
      <c r="D82" s="35"/>
      <c r="E82" s="46"/>
      <c r="F82" s="46"/>
      <c r="G82" s="46"/>
      <c r="H82" s="30"/>
      <c r="I82" s="30"/>
      <c r="J82" s="30"/>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c r="BF82" s="46"/>
      <c r="BG82" s="46"/>
      <c r="BH82" s="46"/>
      <c r="BI82" s="46"/>
      <c r="BJ82" s="46"/>
      <c r="BK82" s="46"/>
      <c r="BL82" s="46"/>
      <c r="BM82" s="46"/>
      <c r="BN82" s="46"/>
      <c r="BO82" s="46"/>
      <c r="BP82" s="46"/>
      <c r="BQ82" s="46"/>
      <c r="BR82" s="46"/>
      <c r="BS82" s="46"/>
      <c r="BT82" s="46"/>
      <c r="BU82" s="46"/>
      <c r="BV82" s="46"/>
      <c r="BW82" s="46"/>
      <c r="BX82" s="46"/>
      <c r="BY82" s="46"/>
      <c r="BZ82" s="46"/>
      <c r="CA82" s="46"/>
      <c r="CB82" s="46"/>
      <c r="CC82" s="46"/>
      <c r="CD82" s="46"/>
      <c r="CE82" s="46"/>
      <c r="CF82" s="46"/>
      <c r="CG82" s="46"/>
      <c r="CH82" s="46"/>
      <c r="CI82" s="46"/>
      <c r="CJ82" s="46"/>
      <c r="CK82" s="46"/>
      <c r="CL82" s="46"/>
      <c r="CM82" s="46"/>
      <c r="CN82" s="46"/>
      <c r="CO82" s="46"/>
      <c r="CP82" s="46"/>
      <c r="CQ82" s="46"/>
      <c r="CR82" s="46"/>
      <c r="CS82" s="46"/>
      <c r="CT82" s="46"/>
      <c r="CU82" s="46"/>
      <c r="CV82" s="46"/>
      <c r="CW82" s="46"/>
      <c r="CX82" s="46"/>
      <c r="CY82" s="46"/>
      <c r="CZ82" s="46"/>
      <c r="DA82" s="46"/>
      <c r="DB82" s="46"/>
      <c r="DC82" s="46"/>
      <c r="DD82" s="46"/>
      <c r="DE82" s="46"/>
      <c r="DF82" s="46"/>
      <c r="DG82" s="46"/>
      <c r="DH82" s="46"/>
      <c r="DI82" s="46"/>
      <c r="DJ82" s="46"/>
      <c r="DK82" s="46"/>
      <c r="DL82" s="46"/>
      <c r="DM82" s="46"/>
      <c r="DN82" s="46"/>
      <c r="DO82" s="46"/>
      <c r="DP82" s="46"/>
      <c r="DQ82" s="46"/>
      <c r="DR82" s="46"/>
      <c r="DS82" s="46"/>
      <c r="DT82" s="46"/>
      <c r="DU82" s="46"/>
      <c r="DV82" s="46"/>
      <c r="DW82" s="46"/>
      <c r="DX82" s="46"/>
      <c r="DY82" s="46"/>
      <c r="DZ82" s="46"/>
      <c r="EA82" s="46"/>
      <c r="EB82" s="46"/>
      <c r="EC82" s="46"/>
      <c r="ED82" s="46"/>
      <c r="EE82" s="46"/>
      <c r="EF82" s="46"/>
      <c r="EG82" s="46"/>
      <c r="EH82" s="46"/>
      <c r="EI82" s="46"/>
      <c r="EJ82" s="46"/>
      <c r="EK82" s="46"/>
      <c r="EL82" s="46"/>
      <c r="EM82" s="46"/>
      <c r="EN82" s="46"/>
      <c r="EO82" s="46"/>
      <c r="EP82" s="46"/>
      <c r="EQ82" s="46"/>
      <c r="ER82" s="46"/>
      <c r="ES82" s="46"/>
      <c r="ET82" s="46"/>
      <c r="EU82" s="46"/>
      <c r="EV82" s="46"/>
      <c r="EW82" s="46"/>
      <c r="EX82" s="46"/>
      <c r="EY82" s="46"/>
      <c r="EZ82" s="46"/>
      <c r="FA82" s="46"/>
      <c r="FB82" s="46"/>
      <c r="FC82" s="46"/>
      <c r="FD82" s="46"/>
      <c r="FE82" s="46"/>
      <c r="FF82" s="46"/>
      <c r="FG82" s="46"/>
      <c r="FH82" s="46"/>
    </row>
    <row r="83" spans="1:164" s="31" customFormat="1" x14ac:dyDescent="0.2">
      <c r="A83" s="44"/>
      <c r="B83" s="30"/>
      <c r="C83" s="30"/>
      <c r="D83" s="35"/>
      <c r="E83" s="46"/>
      <c r="F83" s="46"/>
      <c r="G83" s="46"/>
      <c r="H83" s="30"/>
      <c r="I83" s="30"/>
      <c r="J83" s="30"/>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c r="BF83" s="46"/>
      <c r="BG83" s="46"/>
      <c r="BH83" s="46"/>
      <c r="BI83" s="46"/>
      <c r="BJ83" s="46"/>
      <c r="BK83" s="46"/>
      <c r="BL83" s="46"/>
      <c r="BM83" s="46"/>
      <c r="BN83" s="46"/>
      <c r="BO83" s="46"/>
      <c r="BP83" s="46"/>
      <c r="BQ83" s="46"/>
      <c r="BR83" s="46"/>
      <c r="BS83" s="46"/>
      <c r="BT83" s="46"/>
      <c r="BU83" s="46"/>
      <c r="BV83" s="46"/>
      <c r="BW83" s="46"/>
      <c r="BX83" s="46"/>
      <c r="BY83" s="46"/>
      <c r="BZ83" s="46"/>
      <c r="CA83" s="46"/>
      <c r="CB83" s="46"/>
      <c r="CC83" s="46"/>
      <c r="CD83" s="46"/>
      <c r="CE83" s="46"/>
      <c r="CF83" s="46"/>
      <c r="CG83" s="46"/>
      <c r="CH83" s="46"/>
      <c r="CI83" s="46"/>
      <c r="CJ83" s="46"/>
      <c r="CK83" s="46"/>
      <c r="CL83" s="46"/>
      <c r="CM83" s="46"/>
      <c r="CN83" s="46"/>
      <c r="CO83" s="46"/>
      <c r="CP83" s="46"/>
      <c r="CQ83" s="46"/>
      <c r="CR83" s="46"/>
      <c r="CS83" s="46"/>
      <c r="CT83" s="46"/>
      <c r="CU83" s="46"/>
      <c r="CV83" s="46"/>
      <c r="CW83" s="46"/>
      <c r="CX83" s="46"/>
      <c r="CY83" s="46"/>
      <c r="CZ83" s="46"/>
      <c r="DA83" s="46"/>
      <c r="DB83" s="46"/>
      <c r="DC83" s="46"/>
      <c r="DD83" s="46"/>
      <c r="DE83" s="46"/>
      <c r="DF83" s="46"/>
      <c r="DG83" s="46"/>
      <c r="DH83" s="46"/>
      <c r="DI83" s="46"/>
      <c r="DJ83" s="46"/>
      <c r="DK83" s="46"/>
      <c r="DL83" s="46"/>
      <c r="DM83" s="46"/>
      <c r="DN83" s="46"/>
      <c r="DO83" s="46"/>
      <c r="DP83" s="46"/>
      <c r="DQ83" s="46"/>
      <c r="DR83" s="46"/>
      <c r="DS83" s="46"/>
      <c r="DT83" s="46"/>
      <c r="DU83" s="46"/>
      <c r="DV83" s="46"/>
      <c r="DW83" s="46"/>
      <c r="DX83" s="46"/>
      <c r="DY83" s="46"/>
      <c r="DZ83" s="46"/>
      <c r="EA83" s="46"/>
      <c r="EB83" s="46"/>
      <c r="EC83" s="46"/>
      <c r="ED83" s="46"/>
      <c r="EE83" s="46"/>
      <c r="EF83" s="46"/>
      <c r="EG83" s="46"/>
      <c r="EH83" s="46"/>
      <c r="EI83" s="46"/>
      <c r="EJ83" s="46"/>
      <c r="EK83" s="46"/>
      <c r="EL83" s="46"/>
      <c r="EM83" s="46"/>
      <c r="EN83" s="46"/>
      <c r="EO83" s="46"/>
      <c r="EP83" s="46"/>
      <c r="EQ83" s="46"/>
      <c r="ER83" s="46"/>
      <c r="ES83" s="46"/>
      <c r="ET83" s="46"/>
      <c r="EU83" s="46"/>
      <c r="EV83" s="46"/>
      <c r="EW83" s="46"/>
      <c r="EX83" s="46"/>
      <c r="EY83" s="46"/>
      <c r="EZ83" s="46"/>
      <c r="FA83" s="46"/>
      <c r="FB83" s="46"/>
      <c r="FC83" s="46"/>
      <c r="FD83" s="46"/>
      <c r="FE83" s="46"/>
      <c r="FF83" s="46"/>
      <c r="FG83" s="46"/>
      <c r="FH83" s="46"/>
    </row>
    <row r="84" spans="1:164" s="31" customFormat="1" x14ac:dyDescent="0.2">
      <c r="A84" s="44"/>
      <c r="B84" s="30"/>
      <c r="C84" s="30"/>
      <c r="D84" s="35"/>
      <c r="E84" s="46"/>
      <c r="F84" s="46"/>
      <c r="G84" s="46"/>
      <c r="H84" s="30"/>
      <c r="I84" s="30"/>
      <c r="J84" s="30"/>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c r="BF84" s="46"/>
      <c r="BG84" s="46"/>
      <c r="BH84" s="46"/>
      <c r="BI84" s="46"/>
      <c r="BJ84" s="46"/>
      <c r="BK84" s="46"/>
      <c r="BL84" s="46"/>
      <c r="BM84" s="46"/>
      <c r="BN84" s="46"/>
      <c r="BO84" s="46"/>
      <c r="BP84" s="46"/>
      <c r="BQ84" s="46"/>
      <c r="BR84" s="46"/>
      <c r="BS84" s="46"/>
      <c r="BT84" s="46"/>
      <c r="BU84" s="46"/>
      <c r="BV84" s="46"/>
      <c r="BW84" s="46"/>
      <c r="BX84" s="46"/>
      <c r="BY84" s="46"/>
      <c r="BZ84" s="46"/>
      <c r="CA84" s="46"/>
      <c r="CB84" s="46"/>
      <c r="CC84" s="46"/>
      <c r="CD84" s="46"/>
      <c r="CE84" s="46"/>
      <c r="CF84" s="46"/>
      <c r="CG84" s="46"/>
      <c r="CH84" s="46"/>
      <c r="CI84" s="46"/>
      <c r="CJ84" s="46"/>
      <c r="CK84" s="46"/>
      <c r="CL84" s="46"/>
      <c r="CM84" s="46"/>
      <c r="CN84" s="46"/>
      <c r="CO84" s="46"/>
      <c r="CP84" s="46"/>
      <c r="CQ84" s="46"/>
      <c r="CR84" s="46"/>
      <c r="CS84" s="46"/>
      <c r="CT84" s="46"/>
      <c r="CU84" s="46"/>
      <c r="CV84" s="46"/>
      <c r="CW84" s="46"/>
      <c r="CX84" s="46"/>
      <c r="CY84" s="46"/>
      <c r="CZ84" s="46"/>
      <c r="DA84" s="46"/>
      <c r="DB84" s="46"/>
      <c r="DC84" s="46"/>
      <c r="DD84" s="46"/>
      <c r="DE84" s="46"/>
      <c r="DF84" s="46"/>
      <c r="DG84" s="46"/>
      <c r="DH84" s="46"/>
      <c r="DI84" s="46"/>
      <c r="DJ84" s="46"/>
      <c r="DK84" s="46"/>
      <c r="DL84" s="46"/>
      <c r="DM84" s="46"/>
      <c r="DN84" s="46"/>
      <c r="DO84" s="46"/>
      <c r="DP84" s="46"/>
      <c r="DQ84" s="46"/>
      <c r="DR84" s="46"/>
      <c r="DS84" s="46"/>
      <c r="DT84" s="46"/>
      <c r="DU84" s="46"/>
      <c r="DV84" s="46"/>
      <c r="DW84" s="46"/>
      <c r="DX84" s="46"/>
      <c r="DY84" s="46"/>
      <c r="DZ84" s="46"/>
      <c r="EA84" s="46"/>
      <c r="EB84" s="46"/>
      <c r="EC84" s="46"/>
      <c r="ED84" s="46"/>
      <c r="EE84" s="46"/>
      <c r="EF84" s="46"/>
      <c r="EG84" s="46"/>
      <c r="EH84" s="46"/>
      <c r="EI84" s="46"/>
      <c r="EJ84" s="46"/>
      <c r="EK84" s="46"/>
      <c r="EL84" s="46"/>
      <c r="EM84" s="46"/>
      <c r="EN84" s="46"/>
      <c r="EO84" s="46"/>
      <c r="EP84" s="46"/>
      <c r="EQ84" s="46"/>
      <c r="ER84" s="46"/>
      <c r="ES84" s="46"/>
      <c r="ET84" s="46"/>
      <c r="EU84" s="46"/>
      <c r="EV84" s="46"/>
      <c r="EW84" s="46"/>
      <c r="EX84" s="46"/>
      <c r="EY84" s="46"/>
      <c r="EZ84" s="46"/>
      <c r="FA84" s="46"/>
      <c r="FB84" s="46"/>
      <c r="FC84" s="46"/>
      <c r="FD84" s="46"/>
      <c r="FE84" s="46"/>
      <c r="FF84" s="46"/>
      <c r="FG84" s="46"/>
      <c r="FH84" s="46"/>
    </row>
    <row r="85" spans="1:164" s="25" customFormat="1" x14ac:dyDescent="0.2">
      <c r="A85" s="34"/>
      <c r="B85" s="21"/>
      <c r="C85" s="21"/>
      <c r="D85" s="36"/>
      <c r="E85" s="47"/>
      <c r="F85" s="47"/>
      <c r="G85" s="47"/>
      <c r="H85" s="21"/>
      <c r="I85" s="21"/>
      <c r="J85" s="21"/>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7"/>
      <c r="DB85" s="47"/>
      <c r="DC85" s="47"/>
      <c r="DD85" s="47"/>
      <c r="DE85" s="47"/>
      <c r="DF85" s="47"/>
      <c r="DG85" s="47"/>
      <c r="DH85" s="47"/>
      <c r="DI85" s="47"/>
      <c r="DJ85" s="47"/>
      <c r="DK85" s="47"/>
      <c r="DL85" s="47"/>
      <c r="DM85" s="47"/>
      <c r="DN85" s="47"/>
      <c r="DO85" s="47"/>
      <c r="DP85" s="47"/>
      <c r="DQ85" s="47"/>
      <c r="DR85" s="47"/>
      <c r="DS85" s="47"/>
      <c r="DT85" s="47"/>
      <c r="DU85" s="47"/>
      <c r="DV85" s="47"/>
      <c r="DW85" s="47"/>
      <c r="DX85" s="47"/>
      <c r="DY85" s="47"/>
      <c r="DZ85" s="47"/>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row>
    <row r="86" spans="1:164" s="31" customFormat="1" x14ac:dyDescent="0.2">
      <c r="A86" s="44"/>
      <c r="B86" s="30"/>
      <c r="C86" s="30"/>
      <c r="D86" s="35"/>
      <c r="E86" s="46"/>
      <c r="F86" s="46"/>
      <c r="G86" s="46"/>
      <c r="H86" s="30"/>
      <c r="I86" s="30"/>
      <c r="J86" s="30"/>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c r="BF86" s="46"/>
      <c r="BG86" s="46"/>
      <c r="BH86" s="46"/>
      <c r="BI86" s="46"/>
      <c r="BJ86" s="46"/>
      <c r="BK86" s="46"/>
      <c r="BL86" s="46"/>
      <c r="BM86" s="46"/>
      <c r="BN86" s="46"/>
      <c r="BO86" s="46"/>
      <c r="BP86" s="46"/>
      <c r="BQ86" s="46"/>
      <c r="BR86" s="46"/>
      <c r="BS86" s="46"/>
      <c r="BT86" s="46"/>
      <c r="BU86" s="46"/>
      <c r="BV86" s="46"/>
      <c r="BW86" s="46"/>
      <c r="BX86" s="46"/>
      <c r="BY86" s="46"/>
      <c r="BZ86" s="46"/>
      <c r="CA86" s="46"/>
      <c r="CB86" s="46"/>
      <c r="CC86" s="46"/>
      <c r="CD86" s="46"/>
      <c r="CE86" s="46"/>
      <c r="CF86" s="46"/>
      <c r="CG86" s="46"/>
      <c r="CH86" s="46"/>
      <c r="CI86" s="46"/>
      <c r="CJ86" s="46"/>
      <c r="CK86" s="46"/>
      <c r="CL86" s="46"/>
      <c r="CM86" s="46"/>
      <c r="CN86" s="46"/>
      <c r="CO86" s="46"/>
      <c r="CP86" s="46"/>
      <c r="CQ86" s="46"/>
      <c r="CR86" s="46"/>
      <c r="CS86" s="46"/>
      <c r="CT86" s="46"/>
      <c r="CU86" s="46"/>
      <c r="CV86" s="46"/>
      <c r="CW86" s="46"/>
      <c r="CX86" s="46"/>
      <c r="CY86" s="46"/>
      <c r="CZ86" s="46"/>
      <c r="DA86" s="46"/>
      <c r="DB86" s="46"/>
      <c r="DC86" s="46"/>
      <c r="DD86" s="46"/>
      <c r="DE86" s="46"/>
      <c r="DF86" s="46"/>
      <c r="DG86" s="46"/>
      <c r="DH86" s="46"/>
      <c r="DI86" s="46"/>
      <c r="DJ86" s="46"/>
      <c r="DK86" s="46"/>
      <c r="DL86" s="46"/>
      <c r="DM86" s="46"/>
      <c r="DN86" s="46"/>
      <c r="DO86" s="46"/>
      <c r="DP86" s="46"/>
      <c r="DQ86" s="46"/>
      <c r="DR86" s="46"/>
      <c r="DS86" s="46"/>
      <c r="DT86" s="46"/>
      <c r="DU86" s="46"/>
      <c r="DV86" s="46"/>
      <c r="DW86" s="46"/>
      <c r="DX86" s="46"/>
      <c r="DY86" s="46"/>
      <c r="DZ86" s="46"/>
      <c r="EA86" s="46"/>
      <c r="EB86" s="46"/>
      <c r="EC86" s="46"/>
      <c r="ED86" s="46"/>
      <c r="EE86" s="46"/>
      <c r="EF86" s="46"/>
      <c r="EG86" s="46"/>
      <c r="EH86" s="46"/>
      <c r="EI86" s="46"/>
      <c r="EJ86" s="46"/>
      <c r="EK86" s="46"/>
      <c r="EL86" s="46"/>
      <c r="EM86" s="46"/>
      <c r="EN86" s="46"/>
      <c r="EO86" s="46"/>
      <c r="EP86" s="46"/>
      <c r="EQ86" s="46"/>
      <c r="ER86" s="46"/>
      <c r="ES86" s="46"/>
      <c r="ET86" s="46"/>
      <c r="EU86" s="46"/>
      <c r="EV86" s="46"/>
      <c r="EW86" s="46"/>
      <c r="EX86" s="46"/>
      <c r="EY86" s="46"/>
      <c r="EZ86" s="46"/>
      <c r="FA86" s="46"/>
      <c r="FB86" s="46"/>
      <c r="FC86" s="46"/>
      <c r="FD86" s="46"/>
      <c r="FE86" s="46"/>
      <c r="FF86" s="46"/>
      <c r="FG86" s="46"/>
      <c r="FH86" s="46"/>
    </row>
    <row r="87" spans="1:164" s="31" customFormat="1" x14ac:dyDescent="0.2">
      <c r="A87" s="44"/>
      <c r="B87" s="30"/>
      <c r="C87" s="30"/>
      <c r="D87" s="35"/>
      <c r="E87" s="46"/>
      <c r="F87" s="46"/>
      <c r="G87" s="46"/>
      <c r="H87" s="30"/>
      <c r="I87" s="30"/>
      <c r="J87" s="30"/>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c r="BF87" s="46"/>
      <c r="BG87" s="46"/>
      <c r="BH87" s="46"/>
      <c r="BI87" s="46"/>
      <c r="BJ87" s="46"/>
      <c r="BK87" s="46"/>
      <c r="BL87" s="46"/>
      <c r="BM87" s="46"/>
      <c r="BN87" s="46"/>
      <c r="BO87" s="46"/>
      <c r="BP87" s="46"/>
      <c r="BQ87" s="46"/>
      <c r="BR87" s="46"/>
      <c r="BS87" s="46"/>
      <c r="BT87" s="46"/>
      <c r="BU87" s="46"/>
      <c r="BV87" s="46"/>
      <c r="BW87" s="46"/>
      <c r="BX87" s="46"/>
      <c r="BY87" s="46"/>
      <c r="BZ87" s="46"/>
      <c r="CA87" s="46"/>
      <c r="CB87" s="46"/>
      <c r="CC87" s="46"/>
      <c r="CD87" s="46"/>
      <c r="CE87" s="46"/>
      <c r="CF87" s="46"/>
      <c r="CG87" s="46"/>
      <c r="CH87" s="46"/>
      <c r="CI87" s="46"/>
      <c r="CJ87" s="46"/>
      <c r="CK87" s="46"/>
      <c r="CL87" s="46"/>
      <c r="CM87" s="46"/>
      <c r="CN87" s="46"/>
      <c r="CO87" s="46"/>
      <c r="CP87" s="46"/>
      <c r="CQ87" s="46"/>
      <c r="CR87" s="46"/>
      <c r="CS87" s="46"/>
      <c r="CT87" s="46"/>
      <c r="CU87" s="46"/>
      <c r="CV87" s="46"/>
      <c r="CW87" s="46"/>
      <c r="CX87" s="46"/>
      <c r="CY87" s="46"/>
      <c r="CZ87" s="46"/>
      <c r="DA87" s="46"/>
      <c r="DB87" s="46"/>
      <c r="DC87" s="46"/>
      <c r="DD87" s="46"/>
      <c r="DE87" s="46"/>
      <c r="DF87" s="46"/>
      <c r="DG87" s="46"/>
      <c r="DH87" s="46"/>
      <c r="DI87" s="46"/>
      <c r="DJ87" s="46"/>
      <c r="DK87" s="46"/>
      <c r="DL87" s="46"/>
      <c r="DM87" s="46"/>
      <c r="DN87" s="46"/>
      <c r="DO87" s="46"/>
      <c r="DP87" s="46"/>
      <c r="DQ87" s="46"/>
      <c r="DR87" s="46"/>
      <c r="DS87" s="46"/>
      <c r="DT87" s="46"/>
      <c r="DU87" s="46"/>
      <c r="DV87" s="46"/>
      <c r="DW87" s="46"/>
      <c r="DX87" s="46"/>
      <c r="DY87" s="46"/>
      <c r="DZ87" s="46"/>
      <c r="EA87" s="46"/>
      <c r="EB87" s="46"/>
      <c r="EC87" s="46"/>
      <c r="ED87" s="46"/>
      <c r="EE87" s="46"/>
      <c r="EF87" s="46"/>
      <c r="EG87" s="46"/>
      <c r="EH87" s="46"/>
      <c r="EI87" s="46"/>
      <c r="EJ87" s="46"/>
      <c r="EK87" s="46"/>
      <c r="EL87" s="46"/>
      <c r="EM87" s="46"/>
      <c r="EN87" s="46"/>
      <c r="EO87" s="46"/>
      <c r="EP87" s="46"/>
      <c r="EQ87" s="46"/>
      <c r="ER87" s="46"/>
      <c r="ES87" s="46"/>
      <c r="ET87" s="46"/>
      <c r="EU87" s="46"/>
      <c r="EV87" s="46"/>
      <c r="EW87" s="46"/>
      <c r="EX87" s="46"/>
      <c r="EY87" s="46"/>
      <c r="EZ87" s="46"/>
      <c r="FA87" s="46"/>
      <c r="FB87" s="46"/>
      <c r="FC87" s="46"/>
      <c r="FD87" s="46"/>
      <c r="FE87" s="46"/>
      <c r="FF87" s="46"/>
      <c r="FG87" s="46"/>
      <c r="FH87" s="46"/>
    </row>
    <row r="88" spans="1:164" s="25" customFormat="1" x14ac:dyDescent="0.2">
      <c r="A88" s="34"/>
      <c r="B88" s="21"/>
      <c r="C88" s="21"/>
      <c r="D88" s="36"/>
      <c r="E88" s="47"/>
      <c r="F88" s="47"/>
      <c r="G88" s="47"/>
      <c r="H88" s="21"/>
      <c r="I88" s="21"/>
      <c r="J88" s="21"/>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7"/>
      <c r="DF88" s="47"/>
      <c r="DG88" s="47"/>
      <c r="DH88" s="47"/>
      <c r="DI88" s="47"/>
      <c r="DJ88" s="47"/>
      <c r="DK88" s="47"/>
      <c r="DL88" s="47"/>
      <c r="DM88" s="47"/>
      <c r="DN88" s="47"/>
      <c r="DO88" s="47"/>
      <c r="DP88" s="47"/>
      <c r="DQ88" s="47"/>
      <c r="DR88" s="47"/>
      <c r="DS88" s="47"/>
      <c r="DT88" s="47"/>
      <c r="DU88" s="47"/>
      <c r="DV88" s="47"/>
      <c r="DW88" s="47"/>
      <c r="DX88" s="47"/>
      <c r="DY88" s="47"/>
      <c r="DZ88" s="47"/>
      <c r="EA88" s="47"/>
      <c r="EB88" s="47"/>
      <c r="EC88" s="47"/>
      <c r="ED88" s="47"/>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row>
    <row r="99" spans="4:4" x14ac:dyDescent="0.2">
      <c r="D99" s="34"/>
    </row>
  </sheetData>
  <mergeCells count="1">
    <mergeCell ref="B1:U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7E71D-D190-457A-8758-E09A99AF4EB6}">
  <sheetPr codeName="Hoja7">
    <tabColor rgb="FF9AA0C9"/>
  </sheetPr>
  <dimension ref="A1:AI39"/>
  <sheetViews>
    <sheetView showGridLines="0" workbookViewId="0">
      <selection activeCell="D10" sqref="D10"/>
    </sheetView>
  </sheetViews>
  <sheetFormatPr baseColWidth="10" defaultRowHeight="15" x14ac:dyDescent="0.25"/>
  <cols>
    <col min="1" max="1" width="29.140625" customWidth="1"/>
    <col min="2" max="2" width="10.7109375" customWidth="1"/>
    <col min="3" max="3" width="9.140625" customWidth="1"/>
    <col min="4" max="4" width="38.85546875" bestFit="1" customWidth="1"/>
    <col min="5" max="35" width="4.7109375" style="42" customWidth="1"/>
  </cols>
  <sheetData>
    <row r="1" spans="1:35" x14ac:dyDescent="0.25">
      <c r="A1" s="228" t="s">
        <v>294</v>
      </c>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row>
    <row r="2" spans="1:35" x14ac:dyDescent="0.25">
      <c r="A2" s="228"/>
      <c r="B2" s="228"/>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row>
    <row r="3" spans="1:35" x14ac:dyDescent="0.25">
      <c r="A3" s="48" t="s">
        <v>292</v>
      </c>
      <c r="B3" s="43" t="s">
        <v>260</v>
      </c>
      <c r="C3" s="43" t="s">
        <v>272</v>
      </c>
      <c r="D3" s="43" t="s">
        <v>262</v>
      </c>
      <c r="E3" s="43" t="s">
        <v>274</v>
      </c>
      <c r="F3" s="43" t="s">
        <v>275</v>
      </c>
      <c r="G3" s="43" t="s">
        <v>276</v>
      </c>
      <c r="H3" s="43" t="s">
        <v>277</v>
      </c>
      <c r="I3" s="43" t="s">
        <v>278</v>
      </c>
      <c r="J3" s="43" t="s">
        <v>152</v>
      </c>
      <c r="K3" s="43" t="s">
        <v>153</v>
      </c>
      <c r="L3" s="43" t="s">
        <v>279</v>
      </c>
      <c r="M3" s="43" t="s">
        <v>280</v>
      </c>
      <c r="N3" s="43" t="s">
        <v>281</v>
      </c>
      <c r="O3" s="43" t="s">
        <v>154</v>
      </c>
      <c r="P3" s="43" t="s">
        <v>155</v>
      </c>
      <c r="Q3" s="43" t="s">
        <v>282</v>
      </c>
      <c r="R3" s="43" t="s">
        <v>156</v>
      </c>
      <c r="S3" s="43" t="s">
        <v>157</v>
      </c>
      <c r="T3" s="43" t="s">
        <v>283</v>
      </c>
      <c r="U3" s="43" t="s">
        <v>284</v>
      </c>
      <c r="V3" s="43" t="s">
        <v>285</v>
      </c>
      <c r="W3" s="43" t="s">
        <v>286</v>
      </c>
      <c r="X3" s="43" t="s">
        <v>287</v>
      </c>
      <c r="Y3" s="43" t="s">
        <v>288</v>
      </c>
      <c r="Z3" s="43" t="s">
        <v>289</v>
      </c>
      <c r="AA3" s="43" t="s">
        <v>290</v>
      </c>
      <c r="AB3" s="43" t="s">
        <v>291</v>
      </c>
      <c r="AC3" s="43" t="s">
        <v>166</v>
      </c>
      <c r="AD3" s="43" t="s">
        <v>167</v>
      </c>
      <c r="AE3" s="43" t="s">
        <v>168</v>
      </c>
      <c r="AF3" s="43" t="s">
        <v>169</v>
      </c>
      <c r="AG3" s="43" t="s">
        <v>170</v>
      </c>
      <c r="AH3" s="43" t="s">
        <v>171</v>
      </c>
      <c r="AI3" s="43" t="s">
        <v>172</v>
      </c>
    </row>
    <row r="4" spans="1:35" s="38" customFormat="1" x14ac:dyDescent="0.25">
      <c r="A4" s="41" t="s">
        <v>461</v>
      </c>
      <c r="B4" s="38" t="s">
        <v>266</v>
      </c>
      <c r="C4" s="41" t="s">
        <v>347</v>
      </c>
      <c r="D4" s="38" t="s">
        <v>240</v>
      </c>
      <c r="E4" s="38">
        <v>2</v>
      </c>
      <c r="F4" s="38">
        <v>85</v>
      </c>
      <c r="G4" s="38">
        <v>35</v>
      </c>
      <c r="H4" s="38">
        <v>80</v>
      </c>
      <c r="I4" s="38">
        <v>76</v>
      </c>
      <c r="J4" s="38">
        <v>79</v>
      </c>
      <c r="K4" s="38">
        <v>75</v>
      </c>
      <c r="L4" s="38">
        <v>43</v>
      </c>
      <c r="M4" s="38">
        <v>10</v>
      </c>
      <c r="N4" s="38">
        <v>28</v>
      </c>
      <c r="O4" s="38">
        <v>50</v>
      </c>
      <c r="P4" s="38">
        <v>76</v>
      </c>
      <c r="Q4" s="38">
        <v>14</v>
      </c>
      <c r="R4" s="38">
        <v>61</v>
      </c>
      <c r="S4" s="38">
        <v>75</v>
      </c>
      <c r="T4" s="38">
        <v>61</v>
      </c>
      <c r="U4" s="38">
        <v>66</v>
      </c>
      <c r="V4" s="38">
        <v>75</v>
      </c>
      <c r="W4" s="38">
        <v>82</v>
      </c>
      <c r="X4" s="38">
        <v>51</v>
      </c>
      <c r="Y4" s="38">
        <v>80</v>
      </c>
      <c r="Z4" s="38">
        <v>51</v>
      </c>
      <c r="AA4" s="38">
        <v>80</v>
      </c>
      <c r="AB4" s="38">
        <v>86</v>
      </c>
      <c r="AC4" s="38">
        <v>70</v>
      </c>
      <c r="AD4" s="38">
        <v>84</v>
      </c>
      <c r="AE4" s="38">
        <v>57</v>
      </c>
      <c r="AF4" s="38">
        <v>48</v>
      </c>
      <c r="AG4" s="38">
        <v>50</v>
      </c>
      <c r="AH4" s="38">
        <v>89</v>
      </c>
      <c r="AI4" s="38">
        <v>87</v>
      </c>
    </row>
    <row r="5" spans="1:35" s="38" customFormat="1" x14ac:dyDescent="0.25">
      <c r="A5" s="41" t="s">
        <v>432</v>
      </c>
      <c r="B5" s="38" t="s">
        <v>266</v>
      </c>
      <c r="C5" s="41" t="s">
        <v>347</v>
      </c>
      <c r="D5" s="38" t="s">
        <v>251</v>
      </c>
      <c r="E5" s="38">
        <v>1</v>
      </c>
      <c r="F5" s="38">
        <v>62</v>
      </c>
      <c r="G5" s="38">
        <v>43</v>
      </c>
      <c r="H5" s="38">
        <v>72</v>
      </c>
      <c r="I5" s="38">
        <v>59</v>
      </c>
      <c r="J5" s="38">
        <v>52</v>
      </c>
      <c r="K5" s="38">
        <v>65</v>
      </c>
      <c r="L5" s="38">
        <v>54</v>
      </c>
      <c r="M5" s="38">
        <v>46</v>
      </c>
      <c r="N5" s="38">
        <v>34</v>
      </c>
      <c r="O5" s="38">
        <v>60</v>
      </c>
      <c r="P5" s="38">
        <v>55</v>
      </c>
      <c r="Q5" s="38">
        <v>38</v>
      </c>
      <c r="R5" s="38">
        <v>69</v>
      </c>
      <c r="S5" s="38">
        <v>49</v>
      </c>
      <c r="T5" s="38">
        <v>50</v>
      </c>
      <c r="U5" s="38">
        <v>65</v>
      </c>
      <c r="V5" s="38">
        <v>52</v>
      </c>
      <c r="W5" s="38">
        <v>57</v>
      </c>
      <c r="X5" s="38">
        <v>51</v>
      </c>
      <c r="Y5" s="38">
        <v>64</v>
      </c>
      <c r="Z5" s="38">
        <v>37</v>
      </c>
      <c r="AA5" s="38">
        <v>59</v>
      </c>
      <c r="AB5" s="38">
        <v>76</v>
      </c>
      <c r="AC5" s="38">
        <v>57</v>
      </c>
      <c r="AD5" s="38">
        <v>74</v>
      </c>
      <c r="AE5" s="38">
        <v>57</v>
      </c>
      <c r="AF5" s="38">
        <v>43</v>
      </c>
      <c r="AG5" s="38">
        <v>21</v>
      </c>
      <c r="AH5" s="38">
        <v>47</v>
      </c>
      <c r="AI5" s="38">
        <v>61</v>
      </c>
    </row>
    <row r="6" spans="1:35" s="38" customFormat="1" x14ac:dyDescent="0.25">
      <c r="A6" s="41" t="s">
        <v>431</v>
      </c>
      <c r="B6" s="38" t="s">
        <v>266</v>
      </c>
      <c r="C6" s="41" t="s">
        <v>293</v>
      </c>
      <c r="D6" s="38" t="s">
        <v>253</v>
      </c>
      <c r="E6" s="38">
        <v>0</v>
      </c>
      <c r="F6" s="38">
        <v>47</v>
      </c>
      <c r="G6" s="38">
        <v>21</v>
      </c>
      <c r="H6" s="38">
        <v>34</v>
      </c>
      <c r="I6" s="38">
        <v>64</v>
      </c>
      <c r="J6" s="38">
        <v>40</v>
      </c>
      <c r="K6" s="38">
        <v>31</v>
      </c>
      <c r="L6" s="38">
        <v>15</v>
      </c>
      <c r="M6" s="38">
        <v>43</v>
      </c>
      <c r="N6" s="38">
        <v>64</v>
      </c>
      <c r="O6" s="38">
        <v>49</v>
      </c>
      <c r="P6" s="38">
        <v>66</v>
      </c>
      <c r="Q6" s="38">
        <v>37</v>
      </c>
      <c r="R6" s="38">
        <v>48</v>
      </c>
      <c r="S6" s="38">
        <v>16</v>
      </c>
      <c r="T6" s="38">
        <v>40</v>
      </c>
      <c r="U6" s="38">
        <v>47</v>
      </c>
      <c r="V6" s="38">
        <v>20</v>
      </c>
      <c r="W6" s="38">
        <v>40</v>
      </c>
      <c r="X6" s="38">
        <v>47</v>
      </c>
      <c r="Y6" s="38">
        <v>46</v>
      </c>
      <c r="Z6" s="38">
        <v>82</v>
      </c>
      <c r="AA6" s="38">
        <v>39</v>
      </c>
      <c r="AB6" s="38">
        <v>55</v>
      </c>
      <c r="AC6" s="38">
        <v>45</v>
      </c>
      <c r="AD6" s="38">
        <v>64</v>
      </c>
      <c r="AE6" s="38">
        <v>59</v>
      </c>
      <c r="AF6" s="38">
        <v>53</v>
      </c>
      <c r="AG6" s="38">
        <v>18</v>
      </c>
      <c r="AH6" s="38">
        <v>37</v>
      </c>
      <c r="AI6" s="38">
        <v>27</v>
      </c>
    </row>
    <row r="7" spans="1:35" s="38" customFormat="1" x14ac:dyDescent="0.25">
      <c r="A7" s="41" t="s">
        <v>430</v>
      </c>
      <c r="B7" s="38" t="s">
        <v>261</v>
      </c>
      <c r="C7" s="41" t="s">
        <v>293</v>
      </c>
      <c r="D7" s="38" t="s">
        <v>253</v>
      </c>
      <c r="E7" s="38">
        <v>1</v>
      </c>
      <c r="F7" s="38">
        <v>53</v>
      </c>
      <c r="G7" s="38">
        <v>6</v>
      </c>
      <c r="H7" s="38">
        <v>34</v>
      </c>
      <c r="I7" s="38">
        <v>48</v>
      </c>
      <c r="J7" s="38">
        <v>44</v>
      </c>
      <c r="K7" s="38">
        <v>31</v>
      </c>
      <c r="L7" s="38">
        <v>37</v>
      </c>
      <c r="M7" s="38">
        <v>61</v>
      </c>
      <c r="N7" s="38">
        <v>56</v>
      </c>
      <c r="O7" s="38">
        <v>59</v>
      </c>
      <c r="P7" s="38">
        <v>70</v>
      </c>
      <c r="Q7" s="38">
        <v>40</v>
      </c>
      <c r="R7" s="38">
        <v>31</v>
      </c>
      <c r="S7" s="38">
        <v>43</v>
      </c>
      <c r="T7" s="38">
        <v>40</v>
      </c>
      <c r="U7" s="38">
        <v>47</v>
      </c>
      <c r="V7" s="38">
        <v>38</v>
      </c>
      <c r="W7" s="38">
        <v>45</v>
      </c>
      <c r="X7" s="38">
        <v>72</v>
      </c>
      <c r="Y7" s="38">
        <v>52</v>
      </c>
      <c r="Z7" s="38">
        <v>93</v>
      </c>
      <c r="AA7" s="38">
        <v>41</v>
      </c>
      <c r="AB7" s="38">
        <v>63</v>
      </c>
      <c r="AC7" s="38">
        <v>43</v>
      </c>
      <c r="AD7" s="38">
        <v>75</v>
      </c>
      <c r="AE7" s="38">
        <v>99</v>
      </c>
      <c r="AF7" s="38">
        <v>53</v>
      </c>
      <c r="AG7" s="38">
        <v>7</v>
      </c>
      <c r="AH7" s="38">
        <v>37</v>
      </c>
      <c r="AI7" s="38">
        <v>44</v>
      </c>
    </row>
    <row r="8" spans="1:35" s="38" customFormat="1" x14ac:dyDescent="0.25">
      <c r="A8" s="41" t="s">
        <v>429</v>
      </c>
      <c r="B8" s="38" t="s">
        <v>267</v>
      </c>
      <c r="C8" s="41" t="s">
        <v>293</v>
      </c>
      <c r="D8" s="38" t="s">
        <v>239</v>
      </c>
      <c r="E8" s="38">
        <v>0</v>
      </c>
      <c r="F8" s="38">
        <v>91</v>
      </c>
      <c r="G8" s="38">
        <v>60</v>
      </c>
      <c r="H8" s="38">
        <v>95</v>
      </c>
      <c r="I8" s="38">
        <v>73</v>
      </c>
      <c r="J8" s="38">
        <v>78</v>
      </c>
      <c r="K8" s="38">
        <v>85</v>
      </c>
      <c r="L8" s="38">
        <v>46</v>
      </c>
      <c r="M8" s="38">
        <v>16</v>
      </c>
      <c r="N8" s="38">
        <v>21</v>
      </c>
      <c r="O8" s="38">
        <v>41</v>
      </c>
      <c r="P8" s="38">
        <v>35</v>
      </c>
      <c r="Q8" s="38">
        <v>25</v>
      </c>
      <c r="R8" s="38">
        <v>70</v>
      </c>
      <c r="S8" s="38">
        <v>85</v>
      </c>
      <c r="T8" s="38">
        <v>79</v>
      </c>
      <c r="U8" s="38">
        <v>87</v>
      </c>
      <c r="V8" s="38">
        <v>100</v>
      </c>
      <c r="W8" s="38">
        <v>110</v>
      </c>
      <c r="X8" s="38">
        <v>52</v>
      </c>
      <c r="Y8" s="38">
        <v>76</v>
      </c>
      <c r="Z8" s="38">
        <v>37</v>
      </c>
      <c r="AA8" s="38">
        <v>94</v>
      </c>
      <c r="AB8" s="38">
        <v>90</v>
      </c>
      <c r="AC8" s="38">
        <v>93</v>
      </c>
      <c r="AD8" s="38">
        <v>63</v>
      </c>
      <c r="AE8" s="38">
        <v>28</v>
      </c>
      <c r="AF8" s="38">
        <v>66</v>
      </c>
      <c r="AG8" s="38">
        <v>79</v>
      </c>
      <c r="AH8" s="38">
        <v>107</v>
      </c>
      <c r="AI8" s="38">
        <v>107</v>
      </c>
    </row>
    <row r="9" spans="1:35" s="38" customFormat="1" x14ac:dyDescent="0.25">
      <c r="A9" s="41" t="s">
        <v>427</v>
      </c>
      <c r="B9" s="38" t="s">
        <v>266</v>
      </c>
      <c r="C9" s="41" t="s">
        <v>347</v>
      </c>
      <c r="D9" s="38" t="s">
        <v>251</v>
      </c>
      <c r="E9" s="38">
        <v>0</v>
      </c>
      <c r="F9" s="38">
        <v>26</v>
      </c>
      <c r="G9" s="38">
        <v>84</v>
      </c>
      <c r="H9" s="38">
        <v>46</v>
      </c>
      <c r="I9" s="38">
        <v>52</v>
      </c>
      <c r="J9" s="38">
        <v>51</v>
      </c>
      <c r="K9" s="38">
        <v>40</v>
      </c>
      <c r="L9" s="38">
        <v>90</v>
      </c>
      <c r="M9" s="38">
        <v>67</v>
      </c>
      <c r="N9" s="38">
        <v>56</v>
      </c>
      <c r="O9" s="38">
        <v>40</v>
      </c>
      <c r="P9" s="38">
        <v>29</v>
      </c>
      <c r="Q9" s="38">
        <v>90</v>
      </c>
      <c r="R9" s="38">
        <v>29</v>
      </c>
      <c r="S9" s="38">
        <v>34</v>
      </c>
      <c r="T9" s="38">
        <v>52</v>
      </c>
      <c r="U9" s="38">
        <v>48</v>
      </c>
      <c r="V9" s="38">
        <v>51</v>
      </c>
      <c r="W9" s="38">
        <v>71</v>
      </c>
      <c r="X9" s="38">
        <v>97</v>
      </c>
      <c r="Y9" s="38">
        <v>44</v>
      </c>
      <c r="Z9" s="38">
        <v>40</v>
      </c>
      <c r="AA9" s="38">
        <v>20</v>
      </c>
      <c r="AB9" s="38">
        <v>58</v>
      </c>
      <c r="AC9" s="38">
        <v>65</v>
      </c>
      <c r="AD9" s="38">
        <v>25</v>
      </c>
      <c r="AE9" s="38">
        <v>43</v>
      </c>
      <c r="AF9" s="38">
        <v>35</v>
      </c>
      <c r="AG9" s="38">
        <v>66</v>
      </c>
      <c r="AH9" s="38">
        <v>54</v>
      </c>
      <c r="AI9" s="38">
        <v>58</v>
      </c>
    </row>
    <row r="10" spans="1:35" s="38" customFormat="1" x14ac:dyDescent="0.25">
      <c r="A10" s="41" t="s">
        <v>427</v>
      </c>
      <c r="B10" s="38" t="s">
        <v>266</v>
      </c>
      <c r="C10" s="41" t="s">
        <v>347</v>
      </c>
      <c r="D10" s="38" t="s">
        <v>251</v>
      </c>
      <c r="E10" s="38">
        <v>0</v>
      </c>
      <c r="F10" s="38">
        <v>73</v>
      </c>
      <c r="G10" s="38">
        <v>84</v>
      </c>
      <c r="H10" s="38">
        <v>82</v>
      </c>
      <c r="I10" s="38">
        <v>69</v>
      </c>
      <c r="J10" s="38">
        <v>75</v>
      </c>
      <c r="K10" s="38">
        <v>75</v>
      </c>
      <c r="L10" s="38">
        <v>94</v>
      </c>
      <c r="M10" s="38">
        <v>24</v>
      </c>
      <c r="N10" s="38">
        <v>43</v>
      </c>
      <c r="O10" s="38">
        <v>50</v>
      </c>
      <c r="P10" s="38">
        <v>48</v>
      </c>
      <c r="Q10" s="38">
        <v>46</v>
      </c>
      <c r="R10" s="38">
        <v>72</v>
      </c>
      <c r="S10" s="38">
        <v>64</v>
      </c>
      <c r="T10" s="38">
        <v>68</v>
      </c>
      <c r="U10" s="38">
        <v>72</v>
      </c>
      <c r="V10" s="38">
        <v>91</v>
      </c>
      <c r="W10" s="38">
        <v>66</v>
      </c>
      <c r="X10" s="38">
        <v>60</v>
      </c>
      <c r="Y10" s="38">
        <v>73</v>
      </c>
      <c r="Z10" s="38">
        <v>43</v>
      </c>
      <c r="AA10" s="38">
        <v>42</v>
      </c>
      <c r="AB10" s="38">
        <v>97</v>
      </c>
      <c r="AC10" s="38">
        <v>70</v>
      </c>
      <c r="AD10" s="38">
        <v>67</v>
      </c>
      <c r="AE10" s="38">
        <v>40</v>
      </c>
      <c r="AF10" s="38">
        <v>61</v>
      </c>
      <c r="AG10" s="38">
        <v>72</v>
      </c>
      <c r="AH10" s="38">
        <v>82</v>
      </c>
      <c r="AI10" s="38">
        <v>68</v>
      </c>
    </row>
    <row r="11" spans="1:35" s="38" customFormat="1" x14ac:dyDescent="0.25">
      <c r="A11" s="41" t="s">
        <v>418</v>
      </c>
      <c r="B11" s="38" t="s">
        <v>264</v>
      </c>
      <c r="C11" s="41" t="s">
        <v>293</v>
      </c>
      <c r="D11" s="38" t="s">
        <v>254</v>
      </c>
      <c r="E11" s="38">
        <v>1</v>
      </c>
      <c r="F11" s="38">
        <v>75</v>
      </c>
      <c r="G11" s="38">
        <v>84</v>
      </c>
      <c r="H11" s="38">
        <v>39</v>
      </c>
      <c r="I11" s="38">
        <v>55</v>
      </c>
      <c r="J11" s="38">
        <v>38</v>
      </c>
      <c r="K11" s="38">
        <v>47</v>
      </c>
      <c r="L11" s="38">
        <v>44</v>
      </c>
      <c r="M11" s="38">
        <v>61</v>
      </c>
      <c r="N11" s="38">
        <v>69</v>
      </c>
      <c r="O11" s="38">
        <v>63</v>
      </c>
      <c r="P11" s="38">
        <v>97</v>
      </c>
      <c r="Q11" s="38">
        <v>64</v>
      </c>
      <c r="R11" s="38">
        <v>47</v>
      </c>
      <c r="S11" s="38">
        <v>32</v>
      </c>
      <c r="T11" s="38">
        <v>31</v>
      </c>
      <c r="U11" s="38">
        <v>54</v>
      </c>
      <c r="V11" s="38">
        <v>39</v>
      </c>
      <c r="W11" s="38">
        <v>33</v>
      </c>
      <c r="X11" s="38">
        <v>67</v>
      </c>
      <c r="Y11" s="38">
        <v>30</v>
      </c>
      <c r="Z11" s="38">
        <v>114</v>
      </c>
      <c r="AA11" s="38">
        <v>35</v>
      </c>
      <c r="AB11" s="38">
        <v>48</v>
      </c>
      <c r="AC11" s="38">
        <v>43</v>
      </c>
      <c r="AD11" s="38">
        <v>60</v>
      </c>
      <c r="AE11" s="38">
        <v>107</v>
      </c>
      <c r="AF11" s="38">
        <v>57</v>
      </c>
      <c r="AG11" s="38">
        <v>29</v>
      </c>
      <c r="AH11" s="38">
        <v>21</v>
      </c>
      <c r="AI11" s="38">
        <v>40</v>
      </c>
    </row>
    <row r="12" spans="1:35" s="38" customFormat="1" x14ac:dyDescent="0.25">
      <c r="A12" s="41" t="s">
        <v>417</v>
      </c>
      <c r="B12" s="38" t="s">
        <v>261</v>
      </c>
      <c r="C12" s="41" t="s">
        <v>347</v>
      </c>
      <c r="D12" s="38" t="s">
        <v>251</v>
      </c>
      <c r="E12" s="38">
        <v>0</v>
      </c>
      <c r="F12" s="38">
        <v>95</v>
      </c>
      <c r="G12" s="38">
        <v>67</v>
      </c>
      <c r="H12" s="38">
        <v>97</v>
      </c>
      <c r="I12" s="38">
        <v>84</v>
      </c>
      <c r="J12" s="38">
        <v>64</v>
      </c>
      <c r="K12" s="38">
        <v>86</v>
      </c>
      <c r="L12" s="38">
        <v>78</v>
      </c>
      <c r="M12" s="38">
        <v>5</v>
      </c>
      <c r="N12" s="38">
        <v>18</v>
      </c>
      <c r="O12" s="38">
        <v>38</v>
      </c>
      <c r="P12" s="38">
        <v>53</v>
      </c>
      <c r="Q12" s="38">
        <v>29</v>
      </c>
      <c r="R12" s="38">
        <v>74</v>
      </c>
      <c r="S12" s="38">
        <v>64</v>
      </c>
      <c r="T12" s="38">
        <v>61</v>
      </c>
      <c r="U12" s="38">
        <v>105</v>
      </c>
      <c r="V12" s="38">
        <v>106</v>
      </c>
      <c r="W12" s="38">
        <v>110</v>
      </c>
      <c r="X12" s="38">
        <v>51</v>
      </c>
      <c r="Y12" s="38">
        <v>68</v>
      </c>
      <c r="Z12" s="38">
        <v>58</v>
      </c>
      <c r="AA12" s="38">
        <v>59</v>
      </c>
      <c r="AB12" s="38">
        <v>95</v>
      </c>
      <c r="AC12" s="38">
        <v>89</v>
      </c>
      <c r="AD12" s="38">
        <v>79</v>
      </c>
      <c r="AE12" s="38">
        <v>45</v>
      </c>
      <c r="AF12" s="38">
        <v>53</v>
      </c>
      <c r="AG12" s="38">
        <v>67</v>
      </c>
      <c r="AH12" s="38">
        <v>101</v>
      </c>
      <c r="AI12" s="38">
        <v>112</v>
      </c>
    </row>
    <row r="13" spans="1:35" s="38" customFormat="1" x14ac:dyDescent="0.25">
      <c r="A13" s="41" t="s">
        <v>406</v>
      </c>
      <c r="B13" s="38" t="s">
        <v>261</v>
      </c>
      <c r="C13" s="41" t="s">
        <v>293</v>
      </c>
      <c r="D13" s="38" t="s">
        <v>253</v>
      </c>
      <c r="E13" s="38">
        <v>0</v>
      </c>
      <c r="F13" s="38">
        <v>82</v>
      </c>
      <c r="G13" s="38">
        <v>60</v>
      </c>
      <c r="H13" s="38">
        <v>85</v>
      </c>
      <c r="I13" s="38">
        <v>101</v>
      </c>
      <c r="J13" s="38">
        <v>103</v>
      </c>
      <c r="K13" s="38">
        <v>53</v>
      </c>
      <c r="L13" s="38">
        <v>100</v>
      </c>
      <c r="M13" s="38">
        <v>1</v>
      </c>
      <c r="N13" s="38">
        <v>20</v>
      </c>
      <c r="O13" s="38">
        <v>40</v>
      </c>
      <c r="P13" s="38">
        <v>46</v>
      </c>
      <c r="Q13" s="38">
        <v>47</v>
      </c>
      <c r="R13" s="38">
        <v>47</v>
      </c>
      <c r="S13" s="38">
        <v>74</v>
      </c>
      <c r="T13" s="38">
        <v>54</v>
      </c>
      <c r="U13" s="38">
        <v>66</v>
      </c>
      <c r="V13" s="38">
        <v>72</v>
      </c>
      <c r="W13" s="38">
        <v>69</v>
      </c>
      <c r="X13" s="38">
        <v>108</v>
      </c>
      <c r="Y13" s="38">
        <v>90</v>
      </c>
      <c r="Z13" s="38">
        <v>39</v>
      </c>
      <c r="AA13" s="38">
        <v>28</v>
      </c>
      <c r="AB13" s="38">
        <v>99</v>
      </c>
      <c r="AC13" s="38">
        <v>63</v>
      </c>
      <c r="AD13" s="38">
        <v>55</v>
      </c>
      <c r="AE13" s="38">
        <v>24</v>
      </c>
      <c r="AF13" s="38">
        <v>45</v>
      </c>
      <c r="AG13" s="38">
        <v>75</v>
      </c>
      <c r="AH13" s="38">
        <v>66</v>
      </c>
      <c r="AI13" s="38">
        <v>49</v>
      </c>
    </row>
    <row r="14" spans="1:35" s="38" customFormat="1" x14ac:dyDescent="0.25">
      <c r="A14" s="41" t="s">
        <v>360</v>
      </c>
      <c r="B14" s="38" t="s">
        <v>266</v>
      </c>
      <c r="C14" s="41" t="s">
        <v>293</v>
      </c>
      <c r="D14" s="38" t="s">
        <v>253</v>
      </c>
      <c r="E14" s="38">
        <v>0</v>
      </c>
      <c r="F14" s="38">
        <v>71</v>
      </c>
      <c r="G14" s="38">
        <v>85</v>
      </c>
      <c r="H14" s="38">
        <v>58</v>
      </c>
      <c r="I14" s="38">
        <v>102</v>
      </c>
      <c r="J14" s="38">
        <v>57</v>
      </c>
      <c r="K14" s="38">
        <v>52</v>
      </c>
      <c r="L14" s="38">
        <v>104</v>
      </c>
      <c r="M14" s="38">
        <v>50</v>
      </c>
      <c r="N14" s="38">
        <v>47</v>
      </c>
      <c r="O14" s="38">
        <v>46</v>
      </c>
      <c r="P14" s="38">
        <v>40</v>
      </c>
      <c r="Q14" s="38">
        <v>62</v>
      </c>
      <c r="R14" s="38">
        <v>58</v>
      </c>
      <c r="S14" s="38">
        <v>46</v>
      </c>
      <c r="T14" s="38">
        <v>38</v>
      </c>
      <c r="U14" s="38">
        <v>67</v>
      </c>
      <c r="V14" s="38">
        <v>52</v>
      </c>
      <c r="W14" s="38">
        <v>41</v>
      </c>
      <c r="X14" s="38">
        <v>57</v>
      </c>
      <c r="Y14" s="38">
        <v>55</v>
      </c>
      <c r="Z14" s="38">
        <v>59</v>
      </c>
      <c r="AA14" s="38">
        <v>38</v>
      </c>
      <c r="AB14" s="38">
        <v>43</v>
      </c>
      <c r="AC14" s="38">
        <v>45</v>
      </c>
      <c r="AD14" s="38">
        <v>48</v>
      </c>
      <c r="AE14" s="38">
        <v>59</v>
      </c>
      <c r="AF14" s="38">
        <v>33</v>
      </c>
      <c r="AG14" s="38">
        <v>88</v>
      </c>
      <c r="AH14" s="38">
        <v>55</v>
      </c>
      <c r="AI14" s="38">
        <v>46</v>
      </c>
    </row>
    <row r="15" spans="1:35" s="38" customFormat="1" x14ac:dyDescent="0.25">
      <c r="A15" s="41" t="s">
        <v>358</v>
      </c>
      <c r="B15" s="38" t="s">
        <v>265</v>
      </c>
      <c r="C15" s="41" t="s">
        <v>293</v>
      </c>
      <c r="D15" s="38" t="s">
        <v>253</v>
      </c>
      <c r="E15" s="38">
        <v>0</v>
      </c>
      <c r="F15" s="38">
        <v>50</v>
      </c>
      <c r="G15" s="38">
        <v>60</v>
      </c>
      <c r="H15" s="38">
        <v>19</v>
      </c>
      <c r="I15" s="38">
        <v>49</v>
      </c>
      <c r="J15" s="38">
        <v>37</v>
      </c>
      <c r="K15" s="38">
        <v>25</v>
      </c>
      <c r="L15" s="38">
        <v>50</v>
      </c>
      <c r="M15" s="38">
        <v>52</v>
      </c>
      <c r="N15" s="38">
        <v>56</v>
      </c>
      <c r="O15" s="38">
        <v>67</v>
      </c>
      <c r="P15" s="38">
        <v>66</v>
      </c>
      <c r="Q15" s="38">
        <v>70</v>
      </c>
      <c r="R15" s="38">
        <v>41</v>
      </c>
      <c r="S15" s="38">
        <v>30</v>
      </c>
      <c r="T15" s="38">
        <v>40</v>
      </c>
      <c r="U15" s="38">
        <v>62</v>
      </c>
      <c r="V15" s="38">
        <v>44</v>
      </c>
      <c r="W15" s="38">
        <v>23</v>
      </c>
      <c r="X15" s="38">
        <v>77</v>
      </c>
      <c r="Y15" s="38">
        <v>56</v>
      </c>
      <c r="Z15" s="38">
        <v>113</v>
      </c>
      <c r="AA15" s="38">
        <v>20</v>
      </c>
      <c r="AB15" s="38">
        <v>46</v>
      </c>
      <c r="AC15" s="38">
        <v>46</v>
      </c>
      <c r="AD15" s="38">
        <v>69</v>
      </c>
      <c r="AE15" s="38">
        <v>85</v>
      </c>
      <c r="AF15" s="38">
        <v>60</v>
      </c>
      <c r="AG15" s="38">
        <v>30</v>
      </c>
      <c r="AH15" s="38">
        <v>20</v>
      </c>
      <c r="AI15" s="38">
        <v>32</v>
      </c>
    </row>
    <row r="16" spans="1:35" s="38" customFormat="1" x14ac:dyDescent="0.25">
      <c r="A16" s="38" t="s">
        <v>359</v>
      </c>
      <c r="B16" s="38" t="s">
        <v>265</v>
      </c>
      <c r="C16" s="41" t="s">
        <v>293</v>
      </c>
      <c r="D16" s="38" t="s">
        <v>253</v>
      </c>
      <c r="E16" s="38">
        <v>0</v>
      </c>
      <c r="F16" s="38">
        <v>44</v>
      </c>
      <c r="G16" s="38">
        <v>68</v>
      </c>
      <c r="H16" s="38">
        <v>58</v>
      </c>
      <c r="I16" s="38">
        <v>43</v>
      </c>
      <c r="J16" s="38">
        <v>57</v>
      </c>
      <c r="K16" s="38">
        <v>43</v>
      </c>
      <c r="L16" s="38">
        <v>75</v>
      </c>
      <c r="M16" s="38">
        <v>40</v>
      </c>
      <c r="N16" s="38">
        <v>25</v>
      </c>
      <c r="O16" s="38">
        <v>2</v>
      </c>
      <c r="P16" s="38">
        <v>34</v>
      </c>
      <c r="Q16" s="38">
        <v>85</v>
      </c>
      <c r="R16" s="38">
        <v>41</v>
      </c>
      <c r="S16" s="38">
        <v>51</v>
      </c>
      <c r="T16" s="38">
        <v>25</v>
      </c>
      <c r="U16" s="38">
        <v>45</v>
      </c>
      <c r="V16" s="38">
        <v>67</v>
      </c>
      <c r="W16" s="38">
        <v>50</v>
      </c>
      <c r="X16" s="38">
        <v>51</v>
      </c>
      <c r="Y16" s="38">
        <v>53</v>
      </c>
      <c r="Z16" s="38">
        <v>7</v>
      </c>
      <c r="AA16" s="38">
        <v>65</v>
      </c>
      <c r="AB16" s="38">
        <v>55</v>
      </c>
      <c r="AC16" s="38">
        <v>46</v>
      </c>
      <c r="AD16" s="38">
        <v>13</v>
      </c>
      <c r="AE16" s="38">
        <v>15</v>
      </c>
      <c r="AF16" s="38">
        <v>4</v>
      </c>
      <c r="AG16" s="38">
        <v>69</v>
      </c>
      <c r="AH16" s="38">
        <v>59</v>
      </c>
      <c r="AI16" s="38">
        <v>54</v>
      </c>
    </row>
    <row r="17" spans="1:35" s="38" customFormat="1" x14ac:dyDescent="0.25">
      <c r="A17" s="41" t="s">
        <v>356</v>
      </c>
      <c r="B17" s="38" t="s">
        <v>357</v>
      </c>
      <c r="C17" s="41" t="s">
        <v>347</v>
      </c>
      <c r="D17" s="38" t="s">
        <v>251</v>
      </c>
      <c r="E17" s="38">
        <v>0</v>
      </c>
      <c r="F17" s="38">
        <v>79</v>
      </c>
      <c r="G17" s="38">
        <v>67</v>
      </c>
      <c r="H17" s="38">
        <v>80</v>
      </c>
      <c r="I17" s="38">
        <v>83</v>
      </c>
      <c r="J17" s="38">
        <v>67</v>
      </c>
      <c r="K17" s="38">
        <v>55</v>
      </c>
      <c r="L17" s="38">
        <v>107</v>
      </c>
      <c r="M17" s="38">
        <v>23</v>
      </c>
      <c r="N17" s="38">
        <v>24</v>
      </c>
      <c r="O17" s="38">
        <v>47</v>
      </c>
      <c r="P17" s="38">
        <v>39</v>
      </c>
      <c r="Q17" s="38">
        <v>48</v>
      </c>
      <c r="R17" s="38">
        <v>69</v>
      </c>
      <c r="S17" s="38">
        <v>66</v>
      </c>
      <c r="T17" s="38">
        <v>42</v>
      </c>
      <c r="U17" s="38">
        <v>70</v>
      </c>
      <c r="V17" s="38">
        <v>72</v>
      </c>
      <c r="W17" s="38">
        <v>66</v>
      </c>
      <c r="X17" s="38">
        <v>72</v>
      </c>
      <c r="Y17" s="38">
        <v>79</v>
      </c>
      <c r="Z17" s="38">
        <v>44</v>
      </c>
      <c r="AA17" s="38">
        <v>41</v>
      </c>
      <c r="AB17" s="38">
        <v>81</v>
      </c>
      <c r="AC17" s="38">
        <v>60</v>
      </c>
      <c r="AD17" s="38">
        <v>70</v>
      </c>
      <c r="AE17" s="38">
        <v>34</v>
      </c>
      <c r="AF17" s="38">
        <v>67</v>
      </c>
      <c r="AG17" s="38">
        <v>102</v>
      </c>
      <c r="AH17" s="38">
        <v>71</v>
      </c>
      <c r="AI17" s="38">
        <v>64</v>
      </c>
    </row>
    <row r="18" spans="1:35" s="38" customFormat="1" x14ac:dyDescent="0.25">
      <c r="A18" s="41" t="s">
        <v>355</v>
      </c>
      <c r="B18" s="38" t="s">
        <v>266</v>
      </c>
      <c r="C18" s="41" t="s">
        <v>293</v>
      </c>
      <c r="D18" s="38" t="s">
        <v>253</v>
      </c>
      <c r="E18" s="38">
        <v>0</v>
      </c>
      <c r="F18" s="38">
        <v>86</v>
      </c>
      <c r="G18" s="38">
        <v>50</v>
      </c>
      <c r="H18" s="38">
        <v>69</v>
      </c>
      <c r="I18" s="38">
        <v>74</v>
      </c>
      <c r="J18" s="38">
        <v>63</v>
      </c>
      <c r="K18" s="38">
        <v>56</v>
      </c>
      <c r="L18" s="38">
        <v>28</v>
      </c>
      <c r="M18" s="38">
        <v>35</v>
      </c>
      <c r="N18" s="38">
        <v>53</v>
      </c>
      <c r="O18" s="38">
        <v>62</v>
      </c>
      <c r="P18" s="38">
        <v>72</v>
      </c>
      <c r="Q18" s="38">
        <v>13</v>
      </c>
      <c r="R18" s="38">
        <v>75</v>
      </c>
      <c r="S18" s="38">
        <v>47</v>
      </c>
      <c r="T18" s="38">
        <v>53</v>
      </c>
      <c r="U18" s="38">
        <v>67</v>
      </c>
      <c r="V18" s="38">
        <v>57</v>
      </c>
      <c r="W18" s="38">
        <v>50</v>
      </c>
      <c r="X18" s="38">
        <v>71</v>
      </c>
      <c r="Y18" s="38">
        <v>80</v>
      </c>
      <c r="Z18" s="38">
        <v>99</v>
      </c>
      <c r="AA18" s="38">
        <v>72</v>
      </c>
      <c r="AB18" s="38">
        <v>96</v>
      </c>
      <c r="AC18" s="38">
        <v>55</v>
      </c>
      <c r="AD18" s="38">
        <v>72</v>
      </c>
      <c r="AE18" s="38">
        <v>79</v>
      </c>
      <c r="AF18" s="38">
        <v>66</v>
      </c>
      <c r="AG18" s="38">
        <v>48</v>
      </c>
      <c r="AH18" s="38">
        <v>49</v>
      </c>
      <c r="AI18" s="38">
        <v>61</v>
      </c>
    </row>
    <row r="19" spans="1:35" s="38" customFormat="1" x14ac:dyDescent="0.25">
      <c r="A19" s="41" t="s">
        <v>354</v>
      </c>
      <c r="B19" s="38" t="s">
        <v>265</v>
      </c>
      <c r="C19" s="41" t="s">
        <v>347</v>
      </c>
      <c r="D19" s="38" t="s">
        <v>251</v>
      </c>
      <c r="E19" s="38">
        <v>0</v>
      </c>
      <c r="F19" s="38">
        <v>77</v>
      </c>
      <c r="G19" s="38">
        <v>98</v>
      </c>
      <c r="H19" s="38">
        <v>95</v>
      </c>
      <c r="I19" s="38">
        <v>66</v>
      </c>
      <c r="J19" s="38">
        <v>76</v>
      </c>
      <c r="K19" s="38">
        <v>74</v>
      </c>
      <c r="L19" s="38">
        <v>82</v>
      </c>
      <c r="M19" s="38">
        <v>28</v>
      </c>
      <c r="N19" s="38">
        <v>37</v>
      </c>
      <c r="O19" s="38">
        <v>39</v>
      </c>
      <c r="P19" s="38">
        <v>39</v>
      </c>
      <c r="Q19" s="38">
        <v>58</v>
      </c>
      <c r="R19" s="38">
        <v>63</v>
      </c>
      <c r="S19" s="38">
        <v>65</v>
      </c>
      <c r="T19" s="38">
        <v>55</v>
      </c>
      <c r="U19" s="38">
        <v>67</v>
      </c>
      <c r="V19" s="38">
        <v>80</v>
      </c>
      <c r="W19" s="38">
        <v>60</v>
      </c>
      <c r="X19" s="38">
        <v>54</v>
      </c>
      <c r="Y19" s="38">
        <v>85</v>
      </c>
      <c r="Z19" s="38">
        <v>57</v>
      </c>
      <c r="AA19" s="38">
        <v>53</v>
      </c>
      <c r="AB19" s="38">
        <v>85</v>
      </c>
      <c r="AC19" s="38">
        <v>65</v>
      </c>
      <c r="AD19" s="38">
        <v>65</v>
      </c>
      <c r="AE19" s="38">
        <v>29</v>
      </c>
      <c r="AF19" s="38">
        <v>45</v>
      </c>
      <c r="AG19" s="38">
        <v>79</v>
      </c>
      <c r="AH19" s="38">
        <v>94</v>
      </c>
      <c r="AI19" s="38">
        <v>69</v>
      </c>
    </row>
    <row r="20" spans="1:35" s="38" customFormat="1" x14ac:dyDescent="0.25">
      <c r="A20" s="41" t="s">
        <v>353</v>
      </c>
      <c r="B20" s="38" t="s">
        <v>265</v>
      </c>
      <c r="C20" s="41" t="s">
        <v>293</v>
      </c>
      <c r="D20" s="38" t="s">
        <v>253</v>
      </c>
      <c r="E20" s="38">
        <v>0</v>
      </c>
      <c r="F20" s="38">
        <v>94</v>
      </c>
      <c r="G20" s="38">
        <v>94</v>
      </c>
      <c r="H20" s="38">
        <v>75</v>
      </c>
      <c r="I20" s="38">
        <v>91</v>
      </c>
      <c r="J20" s="38">
        <v>45</v>
      </c>
      <c r="K20" s="38">
        <v>64</v>
      </c>
      <c r="L20" s="38">
        <v>26</v>
      </c>
      <c r="M20" s="38">
        <v>36</v>
      </c>
      <c r="N20" s="38">
        <v>59</v>
      </c>
      <c r="O20" s="38">
        <v>68</v>
      </c>
      <c r="P20" s="38">
        <v>65</v>
      </c>
      <c r="Q20" s="38">
        <v>15</v>
      </c>
      <c r="R20" s="38">
        <v>87</v>
      </c>
      <c r="S20" s="38">
        <v>59</v>
      </c>
      <c r="T20" s="38">
        <v>57</v>
      </c>
      <c r="U20" s="38">
        <v>96</v>
      </c>
      <c r="V20" s="38">
        <v>65</v>
      </c>
      <c r="W20" s="38">
        <v>49</v>
      </c>
      <c r="X20" s="38">
        <v>36</v>
      </c>
      <c r="Y20" s="38">
        <v>70</v>
      </c>
      <c r="Z20" s="38">
        <v>104</v>
      </c>
      <c r="AA20" s="38">
        <v>74</v>
      </c>
      <c r="AB20" s="38">
        <v>100</v>
      </c>
      <c r="AC20" s="38">
        <v>54</v>
      </c>
      <c r="AD20" s="38">
        <v>87</v>
      </c>
      <c r="AE20" s="38">
        <v>79</v>
      </c>
      <c r="AF20" s="38">
        <v>71</v>
      </c>
      <c r="AG20" s="38">
        <v>52</v>
      </c>
      <c r="AH20" s="38">
        <v>59</v>
      </c>
      <c r="AI20" s="38">
        <v>71</v>
      </c>
    </row>
    <row r="21" spans="1:35" s="38" customFormat="1" x14ac:dyDescent="0.25">
      <c r="A21" s="41" t="s">
        <v>352</v>
      </c>
      <c r="B21" s="38" t="s">
        <v>261</v>
      </c>
      <c r="C21" s="41" t="s">
        <v>293</v>
      </c>
      <c r="D21" s="38" t="s">
        <v>253</v>
      </c>
      <c r="E21" s="38">
        <v>0</v>
      </c>
      <c r="F21" s="38">
        <v>41</v>
      </c>
      <c r="G21" s="38">
        <v>60</v>
      </c>
      <c r="H21" s="38">
        <v>40</v>
      </c>
      <c r="I21" s="38">
        <v>50</v>
      </c>
      <c r="J21" s="38">
        <v>41</v>
      </c>
      <c r="K21" s="38">
        <v>29</v>
      </c>
      <c r="L21" s="38">
        <v>102</v>
      </c>
      <c r="M21" s="38">
        <v>61</v>
      </c>
      <c r="N21" s="38">
        <v>56</v>
      </c>
      <c r="O21" s="38">
        <v>36</v>
      </c>
      <c r="P21" s="38">
        <v>40</v>
      </c>
      <c r="Q21" s="38">
        <v>82</v>
      </c>
      <c r="R21" s="38">
        <v>26</v>
      </c>
      <c r="S21" s="38">
        <v>32</v>
      </c>
      <c r="T21" s="38">
        <v>32</v>
      </c>
      <c r="U21" s="38">
        <v>32</v>
      </c>
      <c r="V21" s="38">
        <v>44</v>
      </c>
      <c r="W21" s="38">
        <v>41</v>
      </c>
      <c r="X21" s="38">
        <v>87</v>
      </c>
      <c r="Y21" s="38">
        <v>45</v>
      </c>
      <c r="Z21" s="38">
        <v>55</v>
      </c>
      <c r="AA21" s="38">
        <v>21</v>
      </c>
      <c r="AB21" s="38">
        <v>35</v>
      </c>
      <c r="AC21" s="38">
        <v>37</v>
      </c>
      <c r="AD21" s="38">
        <v>26</v>
      </c>
      <c r="AE21" s="38">
        <v>50</v>
      </c>
      <c r="AF21" s="38">
        <v>42</v>
      </c>
      <c r="AG21" s="38">
        <v>74</v>
      </c>
      <c r="AH21" s="38">
        <v>43</v>
      </c>
      <c r="AI21" s="38">
        <v>20</v>
      </c>
    </row>
    <row r="22" spans="1:35" s="38" customFormat="1" x14ac:dyDescent="0.25">
      <c r="A22" s="49" t="s">
        <v>351</v>
      </c>
      <c r="B22" s="38" t="s">
        <v>266</v>
      </c>
      <c r="C22" s="41" t="s">
        <v>293</v>
      </c>
      <c r="D22" s="38" t="s">
        <v>253</v>
      </c>
      <c r="E22" s="38">
        <v>0</v>
      </c>
      <c r="F22" s="38">
        <v>66</v>
      </c>
      <c r="G22" s="38">
        <v>50</v>
      </c>
      <c r="H22" s="38">
        <v>69</v>
      </c>
      <c r="I22" s="38">
        <v>78</v>
      </c>
      <c r="J22" s="38">
        <v>105</v>
      </c>
      <c r="K22" s="38">
        <v>58</v>
      </c>
      <c r="L22" s="38">
        <v>82</v>
      </c>
      <c r="M22" s="38">
        <v>7</v>
      </c>
      <c r="N22" s="38">
        <v>15</v>
      </c>
      <c r="O22" s="38">
        <v>23</v>
      </c>
      <c r="P22" s="38">
        <v>34</v>
      </c>
      <c r="Q22" s="38">
        <v>54</v>
      </c>
      <c r="R22" s="38">
        <v>51</v>
      </c>
      <c r="S22" s="38">
        <v>65</v>
      </c>
      <c r="T22" s="38">
        <v>57</v>
      </c>
      <c r="U22" s="38">
        <v>48</v>
      </c>
      <c r="V22" s="38">
        <v>71</v>
      </c>
      <c r="W22" s="38">
        <v>69</v>
      </c>
      <c r="X22" s="38">
        <v>69</v>
      </c>
      <c r="Y22" s="38">
        <v>83</v>
      </c>
      <c r="Z22" s="38">
        <v>23</v>
      </c>
      <c r="AA22" s="38">
        <v>1</v>
      </c>
      <c r="AB22" s="38">
        <v>64</v>
      </c>
      <c r="AC22" s="38">
        <v>62</v>
      </c>
      <c r="AD22" s="38">
        <v>58</v>
      </c>
      <c r="AE22" s="38">
        <v>6</v>
      </c>
      <c r="AF22" s="38">
        <v>33</v>
      </c>
      <c r="AG22" s="38">
        <v>48</v>
      </c>
      <c r="AH22" s="38">
        <v>69</v>
      </c>
      <c r="AI22" s="38">
        <v>59</v>
      </c>
    </row>
    <row r="23" spans="1:35" s="38" customFormat="1" x14ac:dyDescent="0.25">
      <c r="A23" s="49" t="s">
        <v>296</v>
      </c>
      <c r="B23" s="38" t="s">
        <v>264</v>
      </c>
      <c r="C23" s="41" t="s">
        <v>293</v>
      </c>
      <c r="D23" s="38" t="s">
        <v>254</v>
      </c>
      <c r="E23" s="38">
        <v>2</v>
      </c>
      <c r="F23" s="38">
        <v>56</v>
      </c>
      <c r="G23" s="38">
        <v>22</v>
      </c>
      <c r="H23" s="38">
        <v>39</v>
      </c>
      <c r="I23" s="38">
        <v>32</v>
      </c>
      <c r="J23" s="38">
        <v>36</v>
      </c>
      <c r="K23" s="38">
        <v>29</v>
      </c>
      <c r="L23" s="38">
        <v>24</v>
      </c>
      <c r="M23" s="38">
        <v>55</v>
      </c>
      <c r="N23" s="38">
        <v>74</v>
      </c>
      <c r="O23" s="38">
        <v>61</v>
      </c>
      <c r="P23" s="38">
        <v>89</v>
      </c>
      <c r="Q23" s="38">
        <v>36</v>
      </c>
      <c r="R23" s="38">
        <v>45</v>
      </c>
      <c r="S23" s="38">
        <v>35</v>
      </c>
      <c r="T23" s="38">
        <v>28</v>
      </c>
      <c r="U23" s="38">
        <v>43</v>
      </c>
      <c r="V23" s="38">
        <v>27</v>
      </c>
      <c r="W23" s="38">
        <v>60</v>
      </c>
      <c r="X23" s="38">
        <v>48</v>
      </c>
      <c r="Y23" s="38">
        <v>48</v>
      </c>
      <c r="Z23" s="38">
        <v>92</v>
      </c>
      <c r="AA23" s="38">
        <v>66</v>
      </c>
      <c r="AB23" s="38">
        <v>67</v>
      </c>
      <c r="AC23" s="38">
        <v>51</v>
      </c>
      <c r="AD23" s="38">
        <v>67</v>
      </c>
      <c r="AE23" s="38">
        <v>77</v>
      </c>
      <c r="AF23" s="38">
        <v>60</v>
      </c>
      <c r="AG23" s="38">
        <v>29</v>
      </c>
      <c r="AH23" s="38">
        <v>21</v>
      </c>
      <c r="AI23" s="38">
        <v>41</v>
      </c>
    </row>
    <row r="24" spans="1:35" s="38" customFormat="1" x14ac:dyDescent="0.25">
      <c r="A24" s="49" t="s">
        <v>350</v>
      </c>
      <c r="B24" s="38" t="s">
        <v>268</v>
      </c>
      <c r="C24" s="41" t="s">
        <v>293</v>
      </c>
      <c r="D24" s="38" t="s">
        <v>253</v>
      </c>
      <c r="E24" s="38">
        <v>0</v>
      </c>
      <c r="F24" s="38">
        <v>89</v>
      </c>
      <c r="G24" s="38">
        <v>94</v>
      </c>
      <c r="H24" s="38">
        <v>92</v>
      </c>
      <c r="I24" s="38">
        <v>62</v>
      </c>
      <c r="J24" s="38">
        <v>61</v>
      </c>
      <c r="K24" s="38">
        <v>75</v>
      </c>
      <c r="L24" s="38">
        <v>65</v>
      </c>
      <c r="M24" s="38">
        <v>44</v>
      </c>
      <c r="N24" s="38">
        <v>37</v>
      </c>
      <c r="O24" s="38">
        <v>53</v>
      </c>
      <c r="P24" s="38">
        <v>43</v>
      </c>
      <c r="Q24" s="38">
        <v>36</v>
      </c>
      <c r="R24" s="38">
        <v>70</v>
      </c>
      <c r="S24" s="38">
        <v>64</v>
      </c>
      <c r="T24" s="38">
        <v>69</v>
      </c>
      <c r="U24" s="38">
        <v>54</v>
      </c>
      <c r="V24" s="38">
        <v>65</v>
      </c>
      <c r="W24" s="38">
        <v>49</v>
      </c>
      <c r="X24" s="38">
        <v>80</v>
      </c>
      <c r="Y24" s="38">
        <v>68</v>
      </c>
      <c r="Z24" s="38">
        <v>47</v>
      </c>
      <c r="AA24" s="38">
        <v>75</v>
      </c>
      <c r="AB24" s="38">
        <v>89</v>
      </c>
      <c r="AC24" s="38">
        <v>72</v>
      </c>
      <c r="AD24" s="38">
        <v>71</v>
      </c>
      <c r="AE24" s="38">
        <v>24</v>
      </c>
      <c r="AF24" s="38">
        <v>82</v>
      </c>
      <c r="AG24" s="38">
        <v>75</v>
      </c>
      <c r="AH24" s="38">
        <v>73</v>
      </c>
      <c r="AI24" s="38">
        <v>71</v>
      </c>
    </row>
    <row r="25" spans="1:35" s="38" customFormat="1" x14ac:dyDescent="0.25">
      <c r="A25" s="49" t="s">
        <v>295</v>
      </c>
      <c r="B25" s="38" t="s">
        <v>266</v>
      </c>
      <c r="C25" s="41" t="s">
        <v>293</v>
      </c>
      <c r="D25" s="38" t="s">
        <v>253</v>
      </c>
      <c r="E25" s="38">
        <v>0</v>
      </c>
      <c r="F25" s="38">
        <v>79</v>
      </c>
      <c r="G25" s="38">
        <v>94</v>
      </c>
      <c r="H25" s="38">
        <v>65</v>
      </c>
      <c r="I25" s="38">
        <v>59</v>
      </c>
      <c r="J25" s="38">
        <v>59</v>
      </c>
      <c r="K25" s="38">
        <v>57</v>
      </c>
      <c r="L25" s="38">
        <v>66</v>
      </c>
      <c r="M25" s="38">
        <v>45</v>
      </c>
      <c r="N25" s="38">
        <v>68</v>
      </c>
      <c r="O25" s="38">
        <v>68</v>
      </c>
      <c r="P25" s="38">
        <v>56</v>
      </c>
      <c r="Q25" s="38">
        <v>41</v>
      </c>
      <c r="R25" s="38">
        <v>45</v>
      </c>
      <c r="S25" s="38">
        <v>58</v>
      </c>
      <c r="T25" s="38">
        <v>62</v>
      </c>
      <c r="U25" s="38">
        <v>57</v>
      </c>
      <c r="V25" s="38">
        <v>54</v>
      </c>
      <c r="W25" s="38">
        <v>66</v>
      </c>
      <c r="X25" s="38">
        <v>31</v>
      </c>
      <c r="Y25" s="38">
        <v>67</v>
      </c>
      <c r="Z25" s="38">
        <v>78</v>
      </c>
      <c r="AA25" s="38">
        <v>68</v>
      </c>
      <c r="AB25" s="38">
        <v>92</v>
      </c>
      <c r="AC25" s="38">
        <v>71</v>
      </c>
      <c r="AD25" s="38">
        <v>83</v>
      </c>
      <c r="AE25" s="38">
        <v>59</v>
      </c>
      <c r="AF25" s="38">
        <v>82</v>
      </c>
      <c r="AG25" s="38">
        <v>67</v>
      </c>
      <c r="AH25" s="38">
        <v>74</v>
      </c>
      <c r="AI25" s="38">
        <v>66</v>
      </c>
    </row>
    <row r="26" spans="1:35" s="38" customFormat="1" x14ac:dyDescent="0.25">
      <c r="A26" s="49" t="s">
        <v>345</v>
      </c>
      <c r="B26" s="38" t="s">
        <v>268</v>
      </c>
      <c r="C26" s="41" t="s">
        <v>293</v>
      </c>
      <c r="D26" s="38" t="s">
        <v>253</v>
      </c>
      <c r="E26" s="38">
        <v>0</v>
      </c>
      <c r="F26" s="38">
        <v>94</v>
      </c>
      <c r="G26" s="38">
        <v>85</v>
      </c>
      <c r="H26" s="38">
        <v>62</v>
      </c>
      <c r="I26" s="38">
        <v>59</v>
      </c>
      <c r="J26" s="38">
        <v>52</v>
      </c>
      <c r="K26" s="38">
        <v>54</v>
      </c>
      <c r="L26" s="38">
        <v>1</v>
      </c>
      <c r="M26" s="38">
        <v>42</v>
      </c>
      <c r="N26" s="38">
        <v>70</v>
      </c>
      <c r="O26" s="38">
        <v>76</v>
      </c>
      <c r="P26" s="38">
        <v>92</v>
      </c>
      <c r="Q26" s="38">
        <v>17</v>
      </c>
      <c r="R26" s="38">
        <v>89</v>
      </c>
      <c r="S26" s="38">
        <v>44</v>
      </c>
      <c r="T26" s="38">
        <v>43</v>
      </c>
      <c r="U26" s="38">
        <v>61</v>
      </c>
      <c r="V26" s="38">
        <v>64</v>
      </c>
      <c r="W26" s="38">
        <v>48</v>
      </c>
      <c r="X26" s="38">
        <v>30</v>
      </c>
      <c r="Y26" s="38">
        <v>75</v>
      </c>
      <c r="Z26" s="38">
        <v>109</v>
      </c>
      <c r="AA26" s="38">
        <v>65</v>
      </c>
      <c r="AB26" s="38">
        <v>77</v>
      </c>
      <c r="AC26" s="38">
        <v>58</v>
      </c>
      <c r="AD26" s="38">
        <v>101</v>
      </c>
      <c r="AE26" s="38">
        <v>85</v>
      </c>
      <c r="AF26" s="38">
        <v>75</v>
      </c>
      <c r="AG26" s="38">
        <v>18</v>
      </c>
      <c r="AH26" s="38">
        <v>60</v>
      </c>
      <c r="AI26" s="38">
        <v>64</v>
      </c>
    </row>
    <row r="27" spans="1:35" s="38" customFormat="1" x14ac:dyDescent="0.25">
      <c r="A27" s="49" t="s">
        <v>346</v>
      </c>
      <c r="B27" s="38" t="s">
        <v>264</v>
      </c>
      <c r="C27" s="41" t="s">
        <v>347</v>
      </c>
      <c r="D27" s="38" t="s">
        <v>252</v>
      </c>
      <c r="E27" s="38">
        <v>0</v>
      </c>
      <c r="F27" s="38">
        <v>94</v>
      </c>
      <c r="G27" s="38">
        <v>92</v>
      </c>
      <c r="H27" s="38">
        <v>91</v>
      </c>
      <c r="I27" s="38">
        <v>64</v>
      </c>
      <c r="J27" s="38">
        <v>76</v>
      </c>
      <c r="K27" s="38">
        <v>62</v>
      </c>
      <c r="L27" s="38">
        <v>35</v>
      </c>
      <c r="M27" s="38">
        <v>27</v>
      </c>
      <c r="N27" s="38">
        <v>33</v>
      </c>
      <c r="O27" s="38">
        <v>65</v>
      </c>
      <c r="P27" s="38">
        <v>95</v>
      </c>
      <c r="Q27" s="38">
        <v>30</v>
      </c>
      <c r="R27" s="38">
        <v>42</v>
      </c>
      <c r="S27" s="38">
        <v>58</v>
      </c>
      <c r="T27" s="38">
        <v>60</v>
      </c>
      <c r="U27" s="38">
        <v>77</v>
      </c>
      <c r="V27" s="38">
        <v>94</v>
      </c>
      <c r="W27" s="38">
        <v>75</v>
      </c>
      <c r="X27" s="38">
        <v>75</v>
      </c>
      <c r="Y27" s="38">
        <v>85</v>
      </c>
      <c r="Z27" s="38">
        <v>54</v>
      </c>
      <c r="AA27" s="38">
        <v>63</v>
      </c>
      <c r="AB27" s="38">
        <v>65</v>
      </c>
      <c r="AC27" s="38">
        <v>73</v>
      </c>
      <c r="AD27" s="38">
        <v>70</v>
      </c>
      <c r="AE27" s="38">
        <v>40</v>
      </c>
      <c r="AF27" s="38">
        <v>89</v>
      </c>
      <c r="AG27" s="38">
        <v>66</v>
      </c>
      <c r="AH27" s="38">
        <v>75</v>
      </c>
      <c r="AI27" s="38">
        <v>70</v>
      </c>
    </row>
    <row r="28" spans="1:35" s="38" customFormat="1" x14ac:dyDescent="0.25">
      <c r="A28" s="49" t="s">
        <v>348</v>
      </c>
      <c r="B28" s="38" t="s">
        <v>266</v>
      </c>
      <c r="C28" s="41" t="s">
        <v>293</v>
      </c>
      <c r="D28" s="38" t="s">
        <v>253</v>
      </c>
      <c r="E28" s="38">
        <v>0</v>
      </c>
      <c r="F28" s="38">
        <v>96</v>
      </c>
      <c r="G28" s="38">
        <v>21</v>
      </c>
      <c r="H28" s="38">
        <v>75</v>
      </c>
      <c r="I28" s="38">
        <v>77</v>
      </c>
      <c r="J28" s="38">
        <v>68</v>
      </c>
      <c r="K28" s="38">
        <v>73</v>
      </c>
      <c r="L28" s="38">
        <v>25</v>
      </c>
      <c r="M28" s="38">
        <v>1</v>
      </c>
      <c r="N28" s="38">
        <v>4</v>
      </c>
      <c r="O28" s="38">
        <v>68</v>
      </c>
      <c r="P28" s="38">
        <v>85</v>
      </c>
      <c r="Q28" s="38">
        <v>1</v>
      </c>
      <c r="R28" s="38">
        <v>93</v>
      </c>
      <c r="S28" s="38">
        <v>84</v>
      </c>
      <c r="T28" s="38">
        <v>74</v>
      </c>
      <c r="U28" s="38">
        <v>102</v>
      </c>
      <c r="V28" s="38">
        <v>90</v>
      </c>
      <c r="W28" s="38">
        <v>55</v>
      </c>
      <c r="X28" s="38">
        <v>49</v>
      </c>
      <c r="Y28" s="38">
        <v>80</v>
      </c>
      <c r="Z28" s="38">
        <v>66</v>
      </c>
      <c r="AA28" s="38">
        <v>54</v>
      </c>
      <c r="AB28" s="38">
        <v>98</v>
      </c>
      <c r="AC28" s="38">
        <v>44</v>
      </c>
      <c r="AD28" s="38">
        <v>85</v>
      </c>
      <c r="AE28" s="38">
        <v>59</v>
      </c>
      <c r="AF28" s="38">
        <v>78</v>
      </c>
      <c r="AG28" s="38">
        <v>33</v>
      </c>
      <c r="AH28" s="38">
        <v>71</v>
      </c>
      <c r="AI28" s="38">
        <v>66</v>
      </c>
    </row>
    <row r="29" spans="1:35" s="38" customFormat="1" x14ac:dyDescent="0.25">
      <c r="A29" s="49" t="s">
        <v>312</v>
      </c>
      <c r="B29" s="38" t="s">
        <v>266</v>
      </c>
      <c r="C29" s="41" t="s">
        <v>293</v>
      </c>
      <c r="D29" s="38" t="s">
        <v>253</v>
      </c>
      <c r="E29" s="38">
        <v>1</v>
      </c>
      <c r="F29" s="38">
        <v>89</v>
      </c>
      <c r="G29" s="38">
        <v>41</v>
      </c>
      <c r="H29" s="38">
        <v>85</v>
      </c>
      <c r="I29" s="38">
        <v>103</v>
      </c>
      <c r="J29" s="38">
        <v>104</v>
      </c>
      <c r="K29" s="38">
        <v>59</v>
      </c>
      <c r="L29" s="38">
        <v>32</v>
      </c>
      <c r="M29" s="38">
        <v>1</v>
      </c>
      <c r="N29" s="38">
        <v>11</v>
      </c>
      <c r="O29" s="38">
        <v>49</v>
      </c>
      <c r="P29" s="38">
        <v>65</v>
      </c>
      <c r="Q29" s="38">
        <v>19</v>
      </c>
      <c r="R29" s="38">
        <v>65</v>
      </c>
      <c r="S29" s="38">
        <v>63</v>
      </c>
      <c r="T29" s="38">
        <v>43</v>
      </c>
      <c r="U29" s="38">
        <v>63</v>
      </c>
      <c r="V29" s="38">
        <v>65</v>
      </c>
      <c r="W29" s="38">
        <v>48</v>
      </c>
      <c r="X29" s="38">
        <v>95</v>
      </c>
      <c r="Y29" s="38">
        <v>86</v>
      </c>
      <c r="Z29" s="38">
        <v>71</v>
      </c>
      <c r="AA29" s="38">
        <v>47</v>
      </c>
      <c r="AB29" s="38">
        <v>91</v>
      </c>
      <c r="AC29" s="38">
        <v>38</v>
      </c>
      <c r="AD29" s="38">
        <v>64</v>
      </c>
      <c r="AE29" s="38">
        <v>50</v>
      </c>
      <c r="AF29" s="38">
        <v>60</v>
      </c>
      <c r="AG29" s="38">
        <v>46</v>
      </c>
      <c r="AH29" s="38">
        <v>65</v>
      </c>
      <c r="AI29" s="38">
        <v>61</v>
      </c>
    </row>
    <row r="30" spans="1:35" s="38" customFormat="1" x14ac:dyDescent="0.25">
      <c r="A30" s="49" t="s">
        <v>349</v>
      </c>
      <c r="B30" s="38" t="s">
        <v>264</v>
      </c>
      <c r="C30" s="41" t="s">
        <v>293</v>
      </c>
      <c r="D30" s="38" t="s">
        <v>254</v>
      </c>
      <c r="E30" s="38">
        <v>0</v>
      </c>
      <c r="F30" s="38">
        <v>53</v>
      </c>
      <c r="G30" s="38">
        <v>74</v>
      </c>
      <c r="H30" s="38">
        <v>54</v>
      </c>
      <c r="I30" s="38">
        <v>57</v>
      </c>
      <c r="J30" s="38">
        <v>53</v>
      </c>
      <c r="K30" s="38">
        <v>48</v>
      </c>
      <c r="L30" s="38">
        <v>56</v>
      </c>
      <c r="M30" s="38">
        <v>48</v>
      </c>
      <c r="N30" s="38">
        <v>59</v>
      </c>
      <c r="O30" s="38">
        <v>24</v>
      </c>
      <c r="P30" s="38">
        <v>8</v>
      </c>
      <c r="Q30" s="38">
        <v>82</v>
      </c>
      <c r="R30" s="38">
        <v>30</v>
      </c>
      <c r="S30" s="38">
        <v>34</v>
      </c>
      <c r="T30" s="38">
        <v>34</v>
      </c>
      <c r="U30" s="38">
        <v>38</v>
      </c>
      <c r="V30" s="38">
        <v>50</v>
      </c>
      <c r="W30" s="38">
        <v>37</v>
      </c>
      <c r="X30" s="38">
        <v>109</v>
      </c>
      <c r="Y30" s="38">
        <v>66</v>
      </c>
      <c r="Z30" s="38">
        <v>61</v>
      </c>
      <c r="AA30" s="38">
        <v>20</v>
      </c>
      <c r="AB30" s="38">
        <v>74</v>
      </c>
      <c r="AC30" s="38">
        <v>46</v>
      </c>
      <c r="AD30" s="38">
        <v>25</v>
      </c>
      <c r="AE30" s="38">
        <v>45</v>
      </c>
      <c r="AF30" s="38">
        <v>27</v>
      </c>
      <c r="AG30" s="38">
        <v>59</v>
      </c>
      <c r="AH30" s="38">
        <v>53</v>
      </c>
      <c r="AI30" s="38">
        <v>49</v>
      </c>
    </row>
    <row r="31" spans="1:35" s="38" customFormat="1" x14ac:dyDescent="0.25">
      <c r="A31" s="49"/>
      <c r="C31" s="41"/>
    </row>
    <row r="32" spans="1:35" s="38" customFormat="1" x14ac:dyDescent="0.25">
      <c r="A32" s="49"/>
      <c r="C32" s="41"/>
    </row>
    <row r="33" spans="1:3" s="38" customFormat="1" x14ac:dyDescent="0.25">
      <c r="A33" s="49"/>
      <c r="C33" s="41"/>
    </row>
    <row r="34" spans="1:3" s="38" customFormat="1" x14ac:dyDescent="0.25">
      <c r="A34" s="49"/>
      <c r="C34" s="41"/>
    </row>
    <row r="35" spans="1:3" s="38" customFormat="1" x14ac:dyDescent="0.25">
      <c r="A35" s="49"/>
      <c r="C35" s="41"/>
    </row>
    <row r="36" spans="1:3" s="38" customFormat="1" x14ac:dyDescent="0.25">
      <c r="A36" s="49"/>
      <c r="C36" s="41"/>
    </row>
    <row r="37" spans="1:3" s="40" customFormat="1" x14ac:dyDescent="0.25">
      <c r="A37" s="50"/>
    </row>
    <row r="38" spans="1:3" s="40" customFormat="1" x14ac:dyDescent="0.25">
      <c r="A38" s="50"/>
    </row>
    <row r="39" spans="1:3" s="40" customFormat="1" x14ac:dyDescent="0.25">
      <c r="A39" s="50"/>
    </row>
  </sheetData>
  <mergeCells count="1">
    <mergeCell ref="A1:AH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BC9DF-08E4-4DDB-83B3-A837A602E9AF}">
  <sheetPr codeName="Hoja4">
    <tabColor rgb="FFE6C3CA"/>
  </sheetPr>
  <dimension ref="A1:IK131"/>
  <sheetViews>
    <sheetView showGridLines="0" topLeftCell="A22" zoomScale="85" zoomScaleNormal="85" workbookViewId="0">
      <selection activeCell="O1" sqref="O1:O1048576"/>
    </sheetView>
  </sheetViews>
  <sheetFormatPr baseColWidth="10" defaultColWidth="4.42578125" defaultRowHeight="14.25" x14ac:dyDescent="0.25"/>
  <cols>
    <col min="1" max="1" width="6.7109375" style="6" customWidth="1"/>
    <col min="2" max="2" width="4.42578125" style="18" customWidth="1"/>
    <col min="3" max="4" width="4.42578125" style="6" customWidth="1"/>
    <col min="5" max="5" width="6.5703125" style="6" customWidth="1"/>
    <col min="6" max="15" width="4.42578125" style="6" customWidth="1"/>
    <col min="16" max="16" width="7.42578125" style="6" customWidth="1"/>
    <col min="17" max="121" width="4.42578125" style="6" customWidth="1"/>
    <col min="122" max="122" width="4.42578125" style="6"/>
    <col min="123" max="152" width="4.42578125" style="6" customWidth="1"/>
    <col min="153" max="153" width="4.42578125" style="6"/>
    <col min="154" max="183" width="4.42578125" style="6" customWidth="1"/>
    <col min="184" max="184" width="4.42578125" style="6"/>
    <col min="185" max="214" width="4.42578125" style="6" customWidth="1"/>
    <col min="215" max="16384" width="4.42578125" style="6"/>
  </cols>
  <sheetData>
    <row r="1" spans="2:245" s="27" customFormat="1" ht="15" x14ac:dyDescent="0.25">
      <c r="B1" s="27" t="s">
        <v>159</v>
      </c>
      <c r="C1" s="27" t="s">
        <v>161</v>
      </c>
      <c r="D1" s="27" t="s">
        <v>162</v>
      </c>
      <c r="E1" s="27" t="s">
        <v>163</v>
      </c>
      <c r="F1" s="27" t="s">
        <v>165</v>
      </c>
      <c r="G1" s="27" t="s">
        <v>220</v>
      </c>
      <c r="H1" s="27" t="s">
        <v>221</v>
      </c>
      <c r="I1" s="27" t="s">
        <v>222</v>
      </c>
      <c r="J1" s="27" t="s">
        <v>223</v>
      </c>
      <c r="K1" s="27" t="s">
        <v>224</v>
      </c>
      <c r="L1" s="27" t="s">
        <v>225</v>
      </c>
      <c r="M1" s="27" t="s">
        <v>226</v>
      </c>
      <c r="N1" s="27" t="s">
        <v>227</v>
      </c>
      <c r="O1" s="27" t="s">
        <v>228</v>
      </c>
      <c r="P1" s="27" t="s">
        <v>151</v>
      </c>
      <c r="Q1" s="27" t="s">
        <v>229</v>
      </c>
      <c r="R1" s="27" t="s">
        <v>230</v>
      </c>
      <c r="S1" s="27" t="s">
        <v>231</v>
      </c>
      <c r="T1" s="27" t="s">
        <v>232</v>
      </c>
      <c r="U1" s="27" t="s">
        <v>150</v>
      </c>
      <c r="V1" s="27" t="s">
        <v>233</v>
      </c>
      <c r="W1" s="27" t="s">
        <v>166</v>
      </c>
      <c r="X1" s="27" t="s">
        <v>167</v>
      </c>
      <c r="Y1" s="27" t="s">
        <v>168</v>
      </c>
      <c r="Z1" s="27" t="s">
        <v>169</v>
      </c>
      <c r="AA1" s="27" t="s">
        <v>170</v>
      </c>
      <c r="AB1" s="27" t="s">
        <v>171</v>
      </c>
      <c r="AC1" s="27" t="s">
        <v>172</v>
      </c>
      <c r="AD1" s="27" t="s">
        <v>158</v>
      </c>
      <c r="AE1" s="27" t="s">
        <v>160</v>
      </c>
      <c r="AG1" s="27" t="s">
        <v>161</v>
      </c>
      <c r="AH1" s="27" t="s">
        <v>162</v>
      </c>
      <c r="AI1" s="27" t="s">
        <v>163</v>
      </c>
      <c r="AJ1" s="27" t="s">
        <v>165</v>
      </c>
      <c r="AK1" s="27" t="s">
        <v>220</v>
      </c>
      <c r="AL1" s="27" t="s">
        <v>221</v>
      </c>
      <c r="AM1" s="27" t="s">
        <v>222</v>
      </c>
      <c r="AN1" s="27" t="s">
        <v>223</v>
      </c>
      <c r="AO1" s="27" t="s">
        <v>224</v>
      </c>
      <c r="AP1" s="27" t="s">
        <v>225</v>
      </c>
      <c r="AQ1" s="27" t="s">
        <v>226</v>
      </c>
      <c r="AR1" s="27" t="s">
        <v>227</v>
      </c>
      <c r="AS1" s="27" t="s">
        <v>228</v>
      </c>
      <c r="AT1" s="27" t="s">
        <v>151</v>
      </c>
      <c r="AU1" s="27" t="s">
        <v>229</v>
      </c>
      <c r="AV1" s="27" t="s">
        <v>230</v>
      </c>
      <c r="AW1" s="27" t="s">
        <v>231</v>
      </c>
      <c r="AX1" s="27" t="s">
        <v>232</v>
      </c>
      <c r="AY1" s="27" t="s">
        <v>150</v>
      </c>
      <c r="AZ1" s="27" t="s">
        <v>233</v>
      </c>
      <c r="BA1" s="27" t="s">
        <v>166</v>
      </c>
      <c r="BB1" s="27" t="s">
        <v>167</v>
      </c>
      <c r="BC1" s="27" t="s">
        <v>168</v>
      </c>
      <c r="BD1" s="27" t="s">
        <v>169</v>
      </c>
      <c r="BE1" s="27" t="s">
        <v>170</v>
      </c>
      <c r="BF1" s="27" t="s">
        <v>171</v>
      </c>
      <c r="BG1" s="27" t="s">
        <v>172</v>
      </c>
      <c r="BH1" s="27" t="s">
        <v>158</v>
      </c>
      <c r="BI1" s="27" t="s">
        <v>160</v>
      </c>
      <c r="BK1" s="27" t="s">
        <v>161</v>
      </c>
      <c r="BL1" s="27" t="s">
        <v>162</v>
      </c>
      <c r="BM1" s="27" t="s">
        <v>163</v>
      </c>
      <c r="BN1" s="27" t="s">
        <v>165</v>
      </c>
      <c r="BO1" s="27" t="s">
        <v>220</v>
      </c>
      <c r="BP1" s="27" t="s">
        <v>221</v>
      </c>
      <c r="BQ1" s="27" t="s">
        <v>222</v>
      </c>
      <c r="BR1" s="27" t="s">
        <v>223</v>
      </c>
      <c r="BS1" s="27" t="s">
        <v>224</v>
      </c>
      <c r="BT1" s="27" t="s">
        <v>225</v>
      </c>
      <c r="BU1" s="27" t="s">
        <v>226</v>
      </c>
      <c r="BV1" s="27" t="s">
        <v>227</v>
      </c>
      <c r="BW1" s="27" t="s">
        <v>228</v>
      </c>
      <c r="BX1" s="27" t="s">
        <v>151</v>
      </c>
      <c r="BY1" s="27" t="s">
        <v>229</v>
      </c>
      <c r="BZ1" s="27" t="s">
        <v>230</v>
      </c>
      <c r="CA1" s="27" t="s">
        <v>231</v>
      </c>
      <c r="CB1" s="27" t="s">
        <v>232</v>
      </c>
      <c r="CC1" s="27" t="s">
        <v>150</v>
      </c>
      <c r="CD1" s="27" t="s">
        <v>233</v>
      </c>
      <c r="CE1" s="27" t="s">
        <v>166</v>
      </c>
      <c r="CF1" s="27" t="s">
        <v>167</v>
      </c>
      <c r="CG1" s="27" t="s">
        <v>168</v>
      </c>
      <c r="CH1" s="27" t="s">
        <v>169</v>
      </c>
      <c r="CI1" s="27" t="s">
        <v>170</v>
      </c>
      <c r="CJ1" s="27" t="s">
        <v>171</v>
      </c>
      <c r="CK1" s="27" t="s">
        <v>172</v>
      </c>
      <c r="CL1" s="27" t="s">
        <v>158</v>
      </c>
      <c r="CM1" s="27" t="s">
        <v>160</v>
      </c>
      <c r="CO1" s="27" t="s">
        <v>161</v>
      </c>
      <c r="CP1" s="27" t="s">
        <v>162</v>
      </c>
      <c r="CQ1" s="27" t="s">
        <v>163</v>
      </c>
      <c r="CR1" s="27" t="s">
        <v>165</v>
      </c>
      <c r="CS1" s="27" t="s">
        <v>220</v>
      </c>
      <c r="CT1" s="27" t="s">
        <v>221</v>
      </c>
      <c r="CU1" s="27" t="s">
        <v>222</v>
      </c>
      <c r="CV1" s="27" t="s">
        <v>223</v>
      </c>
      <c r="CW1" s="27" t="s">
        <v>224</v>
      </c>
      <c r="CX1" s="27" t="s">
        <v>225</v>
      </c>
      <c r="CY1" s="27" t="s">
        <v>226</v>
      </c>
      <c r="CZ1" s="27" t="s">
        <v>227</v>
      </c>
      <c r="DA1" s="27" t="s">
        <v>228</v>
      </c>
      <c r="DB1" s="27" t="s">
        <v>151</v>
      </c>
      <c r="DC1" s="27" t="s">
        <v>229</v>
      </c>
      <c r="DD1" s="27" t="s">
        <v>230</v>
      </c>
      <c r="DE1" s="27" t="s">
        <v>231</v>
      </c>
      <c r="DF1" s="27" t="s">
        <v>232</v>
      </c>
      <c r="DG1" s="27" t="s">
        <v>150</v>
      </c>
      <c r="DH1" s="27" t="s">
        <v>233</v>
      </c>
      <c r="DI1" s="27" t="s">
        <v>166</v>
      </c>
      <c r="DJ1" s="27" t="s">
        <v>167</v>
      </c>
      <c r="DK1" s="27" t="s">
        <v>168</v>
      </c>
      <c r="DL1" s="27" t="s">
        <v>169</v>
      </c>
      <c r="DM1" s="27" t="s">
        <v>170</v>
      </c>
      <c r="DN1" s="27" t="s">
        <v>171</v>
      </c>
      <c r="DO1" s="27" t="s">
        <v>172</v>
      </c>
      <c r="DP1" s="27" t="s">
        <v>158</v>
      </c>
      <c r="DQ1" s="27" t="s">
        <v>160</v>
      </c>
      <c r="DS1" s="27" t="s">
        <v>159</v>
      </c>
      <c r="DT1" s="27" t="s">
        <v>161</v>
      </c>
      <c r="DU1" s="27" t="s">
        <v>162</v>
      </c>
      <c r="DV1" s="27" t="s">
        <v>163</v>
      </c>
      <c r="DW1" s="27" t="s">
        <v>165</v>
      </c>
      <c r="DX1" s="27" t="s">
        <v>220</v>
      </c>
      <c r="DY1" s="27" t="s">
        <v>221</v>
      </c>
      <c r="DZ1" s="27" t="s">
        <v>222</v>
      </c>
      <c r="EA1" s="27" t="s">
        <v>223</v>
      </c>
      <c r="EB1" s="27" t="s">
        <v>224</v>
      </c>
      <c r="EC1" s="27" t="s">
        <v>225</v>
      </c>
      <c r="ED1" s="27" t="s">
        <v>226</v>
      </c>
      <c r="EE1" s="27" t="s">
        <v>227</v>
      </c>
      <c r="EF1" s="27" t="s">
        <v>228</v>
      </c>
      <c r="EG1" s="27" t="s">
        <v>151</v>
      </c>
      <c r="EH1" s="27" t="s">
        <v>229</v>
      </c>
      <c r="EI1" s="27" t="s">
        <v>230</v>
      </c>
      <c r="EJ1" s="27" t="s">
        <v>231</v>
      </c>
      <c r="EK1" s="27" t="s">
        <v>232</v>
      </c>
      <c r="EL1" s="27" t="s">
        <v>150</v>
      </c>
      <c r="EM1" s="27" t="s">
        <v>233</v>
      </c>
      <c r="EN1" s="27" t="s">
        <v>166</v>
      </c>
      <c r="EO1" s="27" t="s">
        <v>167</v>
      </c>
      <c r="EP1" s="27" t="s">
        <v>168</v>
      </c>
      <c r="EQ1" s="27" t="s">
        <v>169</v>
      </c>
      <c r="ER1" s="27" t="s">
        <v>170</v>
      </c>
      <c r="ES1" s="27" t="s">
        <v>171</v>
      </c>
      <c r="ET1" s="27" t="s">
        <v>172</v>
      </c>
      <c r="EU1" s="27" t="s">
        <v>158</v>
      </c>
      <c r="EV1" s="27" t="s">
        <v>160</v>
      </c>
      <c r="EX1" s="27" t="s">
        <v>159</v>
      </c>
      <c r="EY1" s="27" t="s">
        <v>161</v>
      </c>
      <c r="EZ1" s="27" t="s">
        <v>162</v>
      </c>
      <c r="FA1" s="27" t="s">
        <v>163</v>
      </c>
      <c r="FB1" s="27" t="s">
        <v>165</v>
      </c>
      <c r="FC1" s="27" t="s">
        <v>220</v>
      </c>
      <c r="FD1" s="27" t="s">
        <v>221</v>
      </c>
      <c r="FE1" s="27" t="s">
        <v>222</v>
      </c>
      <c r="FF1" s="27" t="s">
        <v>223</v>
      </c>
      <c r="FG1" s="27" t="s">
        <v>224</v>
      </c>
      <c r="FH1" s="27" t="s">
        <v>225</v>
      </c>
      <c r="FI1" s="27" t="s">
        <v>226</v>
      </c>
      <c r="FJ1" s="27" t="s">
        <v>227</v>
      </c>
      <c r="FK1" s="27" t="s">
        <v>228</v>
      </c>
      <c r="FL1" s="27" t="s">
        <v>151</v>
      </c>
      <c r="FM1" s="27" t="s">
        <v>229</v>
      </c>
      <c r="FN1" s="27" t="s">
        <v>230</v>
      </c>
      <c r="FO1" s="27" t="s">
        <v>231</v>
      </c>
      <c r="FP1" s="27" t="s">
        <v>232</v>
      </c>
      <c r="FQ1" s="27" t="s">
        <v>150</v>
      </c>
      <c r="FR1" s="27" t="s">
        <v>233</v>
      </c>
      <c r="FS1" s="27" t="s">
        <v>166</v>
      </c>
      <c r="FT1" s="27" t="s">
        <v>167</v>
      </c>
      <c r="FU1" s="27" t="s">
        <v>168</v>
      </c>
      <c r="FV1" s="27" t="s">
        <v>169</v>
      </c>
      <c r="FW1" s="27" t="s">
        <v>170</v>
      </c>
      <c r="FX1" s="27" t="s">
        <v>171</v>
      </c>
      <c r="FY1" s="27" t="s">
        <v>172</v>
      </c>
      <c r="FZ1" s="27" t="s">
        <v>158</v>
      </c>
      <c r="GA1" s="27" t="s">
        <v>160</v>
      </c>
      <c r="GC1" s="27" t="s">
        <v>159</v>
      </c>
      <c r="GD1" s="27" t="s">
        <v>161</v>
      </c>
      <c r="GE1" s="27" t="s">
        <v>162</v>
      </c>
      <c r="GF1" s="27" t="s">
        <v>163</v>
      </c>
      <c r="GG1" s="27" t="s">
        <v>165</v>
      </c>
      <c r="GH1" s="27" t="s">
        <v>220</v>
      </c>
      <c r="GI1" s="27" t="s">
        <v>221</v>
      </c>
      <c r="GJ1" s="27" t="s">
        <v>222</v>
      </c>
      <c r="GK1" s="27" t="s">
        <v>223</v>
      </c>
      <c r="GL1" s="27" t="s">
        <v>224</v>
      </c>
      <c r="GM1" s="27" t="s">
        <v>225</v>
      </c>
      <c r="GN1" s="27" t="s">
        <v>226</v>
      </c>
      <c r="GO1" s="27" t="s">
        <v>227</v>
      </c>
      <c r="GP1" s="27" t="s">
        <v>228</v>
      </c>
      <c r="GQ1" s="27" t="s">
        <v>151</v>
      </c>
      <c r="GR1" s="27" t="s">
        <v>229</v>
      </c>
      <c r="GS1" s="27" t="s">
        <v>230</v>
      </c>
      <c r="GT1" s="27" t="s">
        <v>231</v>
      </c>
      <c r="GU1" s="27" t="s">
        <v>232</v>
      </c>
      <c r="GV1" s="27" t="s">
        <v>150</v>
      </c>
      <c r="GW1" s="27" t="s">
        <v>233</v>
      </c>
      <c r="GX1" s="27" t="s">
        <v>166</v>
      </c>
      <c r="GY1" s="27" t="s">
        <v>167</v>
      </c>
      <c r="GZ1" s="27" t="s">
        <v>168</v>
      </c>
      <c r="HA1" s="27" t="s">
        <v>169</v>
      </c>
      <c r="HB1" s="27" t="s">
        <v>170</v>
      </c>
      <c r="HC1" s="27" t="s">
        <v>171</v>
      </c>
      <c r="HD1" s="27" t="s">
        <v>172</v>
      </c>
      <c r="HE1" s="27" t="s">
        <v>158</v>
      </c>
      <c r="HF1" s="27" t="s">
        <v>160</v>
      </c>
      <c r="HH1" s="27" t="s">
        <v>159</v>
      </c>
      <c r="HI1" s="27" t="s">
        <v>161</v>
      </c>
      <c r="HJ1" s="27" t="s">
        <v>162</v>
      </c>
      <c r="HK1" s="27" t="s">
        <v>163</v>
      </c>
      <c r="HL1" s="27" t="s">
        <v>165</v>
      </c>
      <c r="HM1" s="27" t="s">
        <v>220</v>
      </c>
      <c r="HN1" s="27" t="s">
        <v>221</v>
      </c>
      <c r="HO1" s="27" t="s">
        <v>222</v>
      </c>
      <c r="HP1" s="27" t="s">
        <v>223</v>
      </c>
      <c r="HQ1" s="27" t="s">
        <v>224</v>
      </c>
      <c r="HR1" s="27" t="s">
        <v>225</v>
      </c>
      <c r="HS1" s="27" t="s">
        <v>226</v>
      </c>
      <c r="HT1" s="27" t="s">
        <v>227</v>
      </c>
      <c r="HU1" s="27" t="s">
        <v>228</v>
      </c>
      <c r="HV1" s="27" t="s">
        <v>151</v>
      </c>
      <c r="HW1" s="27" t="s">
        <v>229</v>
      </c>
      <c r="HX1" s="27" t="s">
        <v>230</v>
      </c>
      <c r="HY1" s="27" t="s">
        <v>231</v>
      </c>
      <c r="HZ1" s="27" t="s">
        <v>232</v>
      </c>
      <c r="IA1" s="27" t="s">
        <v>150</v>
      </c>
      <c r="IB1" s="27" t="s">
        <v>233</v>
      </c>
      <c r="IC1" s="27" t="s">
        <v>166</v>
      </c>
      <c r="ID1" s="27" t="s">
        <v>167</v>
      </c>
      <c r="IE1" s="27" t="s">
        <v>168</v>
      </c>
      <c r="IF1" s="27" t="s">
        <v>169</v>
      </c>
      <c r="IG1" s="27" t="s">
        <v>170</v>
      </c>
      <c r="IH1" s="27" t="s">
        <v>171</v>
      </c>
      <c r="II1" s="27" t="s">
        <v>172</v>
      </c>
      <c r="IJ1" s="27" t="s">
        <v>158</v>
      </c>
      <c r="IK1" s="27" t="s">
        <v>160</v>
      </c>
    </row>
    <row r="2" spans="2:245" ht="15" x14ac:dyDescent="0.25">
      <c r="B2" s="232" t="s">
        <v>248</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G2" s="232" t="s">
        <v>249</v>
      </c>
      <c r="AH2" s="232"/>
      <c r="AI2" s="232"/>
      <c r="AJ2" s="232"/>
      <c r="AK2" s="232"/>
      <c r="AL2" s="232"/>
      <c r="AM2" s="232"/>
      <c r="AN2" s="232"/>
      <c r="AO2" s="232"/>
      <c r="AP2" s="232"/>
      <c r="AQ2" s="232"/>
      <c r="AR2" s="232"/>
      <c r="AS2" s="232"/>
      <c r="AT2" s="232"/>
      <c r="AU2" s="232"/>
      <c r="AV2" s="232"/>
      <c r="AW2" s="232"/>
      <c r="AX2" s="232"/>
      <c r="AY2" s="232"/>
      <c r="AZ2" s="232"/>
      <c r="BA2" s="232"/>
      <c r="BB2" s="232"/>
      <c r="BC2" s="232"/>
      <c r="BD2" s="232"/>
      <c r="BE2" s="232"/>
      <c r="BF2" s="232"/>
      <c r="BG2" s="232"/>
      <c r="BH2" s="232"/>
      <c r="BI2" s="232"/>
      <c r="BK2" s="232" t="s">
        <v>241</v>
      </c>
      <c r="BL2" s="232"/>
      <c r="BM2" s="232"/>
      <c r="BN2" s="232"/>
      <c r="BO2" s="232"/>
      <c r="BP2" s="232"/>
      <c r="BQ2" s="232"/>
      <c r="BR2" s="232"/>
      <c r="BS2" s="232"/>
      <c r="BT2" s="232"/>
      <c r="BU2" s="232"/>
      <c r="BV2" s="232"/>
      <c r="BW2" s="232"/>
      <c r="BX2" s="232"/>
      <c r="BY2" s="232"/>
      <c r="BZ2" s="232"/>
      <c r="CA2" s="232"/>
      <c r="CB2" s="232"/>
      <c r="CC2" s="232"/>
      <c r="CD2" s="232"/>
      <c r="CE2" s="232"/>
      <c r="CF2" s="232"/>
      <c r="CG2" s="232"/>
      <c r="CH2" s="232"/>
      <c r="CI2" s="232"/>
      <c r="CJ2" s="232"/>
      <c r="CK2" s="232"/>
      <c r="CL2" s="232"/>
      <c r="CM2" s="232"/>
      <c r="CO2" s="232" t="s">
        <v>242</v>
      </c>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c r="DS2" s="233" t="s">
        <v>250</v>
      </c>
      <c r="DT2" s="233"/>
      <c r="DU2" s="233"/>
      <c r="DV2" s="233"/>
      <c r="DW2" s="233"/>
      <c r="DX2" s="233"/>
      <c r="DY2" s="233"/>
      <c r="DZ2" s="233"/>
      <c r="EA2" s="233"/>
      <c r="EB2" s="233"/>
      <c r="EC2" s="233"/>
      <c r="ED2" s="233"/>
      <c r="EE2" s="233"/>
      <c r="EF2" s="233"/>
      <c r="EG2" s="233"/>
      <c r="EH2" s="233"/>
      <c r="EI2" s="233"/>
      <c r="EJ2" s="233"/>
      <c r="EK2" s="233"/>
      <c r="EL2" s="233"/>
      <c r="EM2" s="233"/>
      <c r="EN2" s="233"/>
      <c r="EO2" s="233"/>
      <c r="EP2" s="233"/>
      <c r="EQ2" s="233"/>
      <c r="ER2" s="233"/>
      <c r="ES2" s="233"/>
      <c r="ET2" s="233"/>
      <c r="EU2" s="233"/>
      <c r="EV2" s="233"/>
      <c r="EX2" s="231" t="s">
        <v>240</v>
      </c>
      <c r="EY2" s="231"/>
      <c r="EZ2" s="231"/>
      <c r="FA2" s="231"/>
      <c r="FB2" s="231"/>
      <c r="FC2" s="231"/>
      <c r="FD2" s="231"/>
      <c r="FE2" s="231"/>
      <c r="FF2" s="231"/>
      <c r="FG2" s="231"/>
      <c r="FH2" s="231"/>
      <c r="FI2" s="231"/>
      <c r="FJ2" s="231"/>
      <c r="FK2" s="231"/>
      <c r="FL2" s="231"/>
      <c r="FM2" s="231"/>
      <c r="FN2" s="231"/>
      <c r="FO2" s="231"/>
      <c r="FP2" s="231"/>
      <c r="FQ2" s="231"/>
      <c r="FR2" s="231"/>
      <c r="FS2" s="231"/>
      <c r="FT2" s="231"/>
      <c r="FU2" s="231"/>
      <c r="FV2" s="231"/>
      <c r="FW2" s="231"/>
      <c r="FX2" s="231"/>
      <c r="FY2" s="231"/>
      <c r="FZ2" s="231"/>
      <c r="GA2" s="231"/>
      <c r="GC2" s="231" t="s">
        <v>238</v>
      </c>
      <c r="GD2" s="231"/>
      <c r="GE2" s="231"/>
      <c r="GF2" s="231"/>
      <c r="GG2" s="231"/>
      <c r="GH2" s="231"/>
      <c r="GI2" s="231"/>
      <c r="GJ2" s="231"/>
      <c r="GK2" s="231"/>
      <c r="GL2" s="231"/>
      <c r="GM2" s="231"/>
      <c r="GN2" s="231"/>
      <c r="GO2" s="231"/>
      <c r="GP2" s="231"/>
      <c r="GQ2" s="231"/>
      <c r="GR2" s="231"/>
      <c r="GS2" s="231"/>
      <c r="GT2" s="231"/>
      <c r="GU2" s="231"/>
      <c r="GV2" s="231"/>
      <c r="GW2" s="231"/>
      <c r="GX2" s="231"/>
      <c r="GY2" s="231"/>
      <c r="GZ2" s="231"/>
      <c r="HA2" s="231"/>
      <c r="HB2" s="231"/>
      <c r="HC2" s="231"/>
      <c r="HD2" s="231"/>
      <c r="HE2" s="231"/>
      <c r="HF2" s="231"/>
      <c r="HH2" s="232" t="s">
        <v>239</v>
      </c>
      <c r="HI2" s="232"/>
      <c r="HJ2" s="232"/>
      <c r="HK2" s="232"/>
      <c r="HL2" s="232"/>
      <c r="HM2" s="232"/>
      <c r="HN2" s="232"/>
      <c r="HO2" s="232"/>
      <c r="HP2" s="232"/>
      <c r="HQ2" s="232"/>
      <c r="HR2" s="232"/>
      <c r="HS2" s="232"/>
      <c r="HT2" s="232"/>
      <c r="HU2" s="232"/>
      <c r="HV2" s="232"/>
      <c r="HW2" s="232"/>
      <c r="HX2" s="232"/>
      <c r="HY2" s="232"/>
      <c r="HZ2" s="232"/>
      <c r="IA2" s="232"/>
      <c r="IB2" s="232"/>
      <c r="IC2" s="232"/>
      <c r="ID2" s="232"/>
      <c r="IE2" s="232"/>
      <c r="IF2" s="232"/>
      <c r="IG2" s="232"/>
      <c r="IH2" s="232"/>
      <c r="II2" s="232"/>
      <c r="IJ2" s="232"/>
      <c r="IK2" s="232"/>
    </row>
    <row r="3" spans="2:245" ht="15" x14ac:dyDescent="0.25">
      <c r="B3" s="11" t="s">
        <v>204</v>
      </c>
      <c r="C3" s="11">
        <v>1</v>
      </c>
      <c r="D3" s="11" t="s">
        <v>152</v>
      </c>
      <c r="E3" s="11" t="s">
        <v>211</v>
      </c>
      <c r="F3" s="11">
        <v>3</v>
      </c>
      <c r="G3" s="11">
        <v>4</v>
      </c>
      <c r="H3" s="11">
        <v>5</v>
      </c>
      <c r="I3" s="11" t="s">
        <v>212</v>
      </c>
      <c r="J3" s="11" t="s">
        <v>213</v>
      </c>
      <c r="K3" s="11">
        <v>7</v>
      </c>
      <c r="L3" s="11" t="s">
        <v>214</v>
      </c>
      <c r="M3" s="11" t="s">
        <v>215</v>
      </c>
      <c r="N3" s="11">
        <v>9</v>
      </c>
      <c r="O3" s="11" t="s">
        <v>158</v>
      </c>
      <c r="P3" s="11" t="s">
        <v>159</v>
      </c>
      <c r="Q3" s="11" t="s">
        <v>160</v>
      </c>
      <c r="R3" s="11" t="s">
        <v>161</v>
      </c>
      <c r="S3" s="11" t="s">
        <v>162</v>
      </c>
      <c r="T3" s="11" t="s">
        <v>163</v>
      </c>
      <c r="U3" s="11" t="s">
        <v>164</v>
      </c>
      <c r="V3" s="11" t="s">
        <v>165</v>
      </c>
      <c r="W3" s="11" t="s">
        <v>166</v>
      </c>
      <c r="X3" s="11" t="s">
        <v>167</v>
      </c>
      <c r="Y3" s="11" t="s">
        <v>168</v>
      </c>
      <c r="Z3" s="11" t="s">
        <v>169</v>
      </c>
      <c r="AA3" s="11" t="s">
        <v>170</v>
      </c>
      <c r="AB3" s="11" t="s">
        <v>171</v>
      </c>
      <c r="AC3" s="11" t="s">
        <v>172</v>
      </c>
      <c r="AD3" s="11" t="s">
        <v>150</v>
      </c>
      <c r="AE3" s="11" t="s">
        <v>151</v>
      </c>
      <c r="AG3" s="11">
        <v>1</v>
      </c>
      <c r="AH3" s="11" t="s">
        <v>152</v>
      </c>
      <c r="AI3" s="11" t="s">
        <v>211</v>
      </c>
      <c r="AJ3" s="11">
        <v>3</v>
      </c>
      <c r="AK3" s="11">
        <v>4</v>
      </c>
      <c r="AL3" s="11">
        <v>5</v>
      </c>
      <c r="AM3" s="11" t="s">
        <v>212</v>
      </c>
      <c r="AN3" s="11" t="s">
        <v>213</v>
      </c>
      <c r="AO3" s="11">
        <v>7</v>
      </c>
      <c r="AP3" s="11" t="s">
        <v>214</v>
      </c>
      <c r="AQ3" s="11" t="s">
        <v>215</v>
      </c>
      <c r="AR3" s="11">
        <v>9</v>
      </c>
      <c r="AS3" s="11" t="s">
        <v>158</v>
      </c>
      <c r="AT3" s="11" t="s">
        <v>159</v>
      </c>
      <c r="AU3" s="11" t="s">
        <v>160</v>
      </c>
      <c r="AV3" s="11" t="s">
        <v>161</v>
      </c>
      <c r="AW3" s="11" t="s">
        <v>162</v>
      </c>
      <c r="AX3" s="11" t="s">
        <v>163</v>
      </c>
      <c r="AY3" s="11" t="s">
        <v>164</v>
      </c>
      <c r="AZ3" s="11" t="s">
        <v>165</v>
      </c>
      <c r="BA3" s="11" t="s">
        <v>166</v>
      </c>
      <c r="BB3" s="11" t="s">
        <v>167</v>
      </c>
      <c r="BC3" s="11" t="s">
        <v>168</v>
      </c>
      <c r="BD3" s="11" t="s">
        <v>169</v>
      </c>
      <c r="BE3" s="11" t="s">
        <v>170</v>
      </c>
      <c r="BF3" s="11" t="s">
        <v>171</v>
      </c>
      <c r="BG3" s="11" t="s">
        <v>172</v>
      </c>
      <c r="BH3" s="11" t="s">
        <v>150</v>
      </c>
      <c r="BI3" s="11" t="s">
        <v>151</v>
      </c>
      <c r="BK3" s="11">
        <v>1</v>
      </c>
      <c r="BL3" s="11" t="s">
        <v>152</v>
      </c>
      <c r="BM3" s="11" t="s">
        <v>211</v>
      </c>
      <c r="BN3" s="11">
        <v>3</v>
      </c>
      <c r="BO3" s="11">
        <v>4</v>
      </c>
      <c r="BP3" s="11">
        <v>5</v>
      </c>
      <c r="BQ3" s="11" t="s">
        <v>212</v>
      </c>
      <c r="BR3" s="11" t="s">
        <v>213</v>
      </c>
      <c r="BS3" s="11">
        <v>7</v>
      </c>
      <c r="BT3" s="11" t="s">
        <v>214</v>
      </c>
      <c r="BU3" s="11" t="s">
        <v>215</v>
      </c>
      <c r="BV3" s="11">
        <v>9</v>
      </c>
      <c r="BW3" s="11" t="s">
        <v>158</v>
      </c>
      <c r="BX3" s="11" t="s">
        <v>159</v>
      </c>
      <c r="BY3" s="11" t="s">
        <v>160</v>
      </c>
      <c r="BZ3" s="11" t="s">
        <v>161</v>
      </c>
      <c r="CA3" s="11" t="s">
        <v>162</v>
      </c>
      <c r="CB3" s="11" t="s">
        <v>163</v>
      </c>
      <c r="CC3" s="11" t="s">
        <v>164</v>
      </c>
      <c r="CD3" s="11" t="s">
        <v>165</v>
      </c>
      <c r="CE3" s="11" t="s">
        <v>166</v>
      </c>
      <c r="CF3" s="11" t="s">
        <v>167</v>
      </c>
      <c r="CG3" s="11" t="s">
        <v>168</v>
      </c>
      <c r="CH3" s="11" t="s">
        <v>169</v>
      </c>
      <c r="CI3" s="11" t="s">
        <v>170</v>
      </c>
      <c r="CJ3" s="11" t="s">
        <v>171</v>
      </c>
      <c r="CK3" s="11" t="s">
        <v>172</v>
      </c>
      <c r="CL3" s="11" t="s">
        <v>150</v>
      </c>
      <c r="CM3" s="11" t="s">
        <v>151</v>
      </c>
      <c r="CO3" s="11">
        <v>1</v>
      </c>
      <c r="CP3" s="11" t="s">
        <v>152</v>
      </c>
      <c r="CQ3" s="11" t="s">
        <v>211</v>
      </c>
      <c r="CR3" s="11">
        <v>3</v>
      </c>
      <c r="CS3" s="11">
        <v>4</v>
      </c>
      <c r="CT3" s="11">
        <v>5</v>
      </c>
      <c r="CU3" s="11" t="s">
        <v>212</v>
      </c>
      <c r="CV3" s="11" t="s">
        <v>213</v>
      </c>
      <c r="CW3" s="11">
        <v>7</v>
      </c>
      <c r="CX3" s="11" t="s">
        <v>214</v>
      </c>
      <c r="CY3" s="11" t="s">
        <v>215</v>
      </c>
      <c r="CZ3" s="11">
        <v>9</v>
      </c>
      <c r="DA3" s="11" t="s">
        <v>158</v>
      </c>
      <c r="DB3" s="11" t="s">
        <v>159</v>
      </c>
      <c r="DC3" s="11" t="s">
        <v>160</v>
      </c>
      <c r="DD3" s="11" t="s">
        <v>161</v>
      </c>
      <c r="DE3" s="11" t="s">
        <v>162</v>
      </c>
      <c r="DF3" s="11" t="s">
        <v>163</v>
      </c>
      <c r="DG3" s="11" t="s">
        <v>164</v>
      </c>
      <c r="DH3" s="11" t="s">
        <v>165</v>
      </c>
      <c r="DI3" s="11" t="s">
        <v>166</v>
      </c>
      <c r="DJ3" s="11" t="s">
        <v>167</v>
      </c>
      <c r="DK3" s="11" t="s">
        <v>168</v>
      </c>
      <c r="DL3" s="11" t="s">
        <v>169</v>
      </c>
      <c r="DM3" s="11" t="s">
        <v>170</v>
      </c>
      <c r="DN3" s="11" t="s">
        <v>171</v>
      </c>
      <c r="DO3" s="11" t="s">
        <v>172</v>
      </c>
      <c r="DP3" s="11" t="s">
        <v>150</v>
      </c>
      <c r="DQ3" s="11" t="s">
        <v>151</v>
      </c>
      <c r="DS3" s="13" t="s">
        <v>204</v>
      </c>
      <c r="DT3" s="13">
        <v>1</v>
      </c>
      <c r="DU3" s="13" t="s">
        <v>152</v>
      </c>
      <c r="DV3" s="13" t="s">
        <v>235</v>
      </c>
      <c r="DW3" s="13">
        <v>3</v>
      </c>
      <c r="DX3" s="13">
        <v>4</v>
      </c>
      <c r="DY3" s="13">
        <v>5</v>
      </c>
      <c r="DZ3" s="13" t="s">
        <v>236</v>
      </c>
      <c r="EA3" s="13" t="s">
        <v>237</v>
      </c>
      <c r="EB3" s="13">
        <v>7</v>
      </c>
      <c r="EC3" s="13" t="s">
        <v>156</v>
      </c>
      <c r="ED3" s="13" t="s">
        <v>157</v>
      </c>
      <c r="EE3" s="13">
        <v>9</v>
      </c>
      <c r="EF3" s="13" t="s">
        <v>158</v>
      </c>
      <c r="EG3" s="13" t="s">
        <v>159</v>
      </c>
      <c r="EH3" s="13" t="s">
        <v>160</v>
      </c>
      <c r="EI3" s="13" t="s">
        <v>161</v>
      </c>
      <c r="EJ3" s="13" t="s">
        <v>162</v>
      </c>
      <c r="EK3" s="13" t="s">
        <v>163</v>
      </c>
      <c r="EL3" s="13" t="s">
        <v>164</v>
      </c>
      <c r="EM3" s="13" t="s">
        <v>165</v>
      </c>
      <c r="EN3" s="13" t="s">
        <v>166</v>
      </c>
      <c r="EO3" s="13" t="s">
        <v>167</v>
      </c>
      <c r="EP3" s="13" t="s">
        <v>168</v>
      </c>
      <c r="EQ3" s="13" t="s">
        <v>169</v>
      </c>
      <c r="ER3" s="13" t="s">
        <v>170</v>
      </c>
      <c r="ES3" s="13" t="s">
        <v>171</v>
      </c>
      <c r="ET3" s="13" t="s">
        <v>172</v>
      </c>
      <c r="EU3" s="13" t="s">
        <v>150</v>
      </c>
      <c r="EV3" s="13" t="s">
        <v>151</v>
      </c>
      <c r="EX3" s="1" t="s">
        <v>204</v>
      </c>
      <c r="EY3" s="2">
        <v>1</v>
      </c>
      <c r="EZ3" s="3" t="s">
        <v>152</v>
      </c>
      <c r="FA3" s="4" t="s">
        <v>235</v>
      </c>
      <c r="FB3" s="4">
        <v>3</v>
      </c>
      <c r="FC3" s="4">
        <v>4</v>
      </c>
      <c r="FD3" s="4">
        <v>5</v>
      </c>
      <c r="FE3" s="4" t="s">
        <v>236</v>
      </c>
      <c r="FF3" s="4" t="s">
        <v>237</v>
      </c>
      <c r="FG3" s="4">
        <v>7</v>
      </c>
      <c r="FH3" s="4" t="s">
        <v>156</v>
      </c>
      <c r="FI3" s="4" t="s">
        <v>157</v>
      </c>
      <c r="FJ3" s="4">
        <v>9</v>
      </c>
      <c r="FK3" s="4" t="s">
        <v>158</v>
      </c>
      <c r="FL3" s="4" t="s">
        <v>159</v>
      </c>
      <c r="FM3" s="4" t="s">
        <v>160</v>
      </c>
      <c r="FN3" s="4" t="s">
        <v>161</v>
      </c>
      <c r="FO3" s="4" t="s">
        <v>162</v>
      </c>
      <c r="FP3" s="4" t="s">
        <v>163</v>
      </c>
      <c r="FQ3" s="4" t="s">
        <v>164</v>
      </c>
      <c r="FR3" s="4" t="s">
        <v>165</v>
      </c>
      <c r="FS3" s="4" t="s">
        <v>166</v>
      </c>
      <c r="FT3" s="4" t="s">
        <v>167</v>
      </c>
      <c r="FU3" s="4" t="s">
        <v>168</v>
      </c>
      <c r="FV3" s="4" t="s">
        <v>169</v>
      </c>
      <c r="FW3" s="4" t="s">
        <v>170</v>
      </c>
      <c r="FX3" s="4" t="s">
        <v>171</v>
      </c>
      <c r="FY3" s="4" t="s">
        <v>172</v>
      </c>
      <c r="FZ3" s="4" t="s">
        <v>150</v>
      </c>
      <c r="GA3" s="4" t="s">
        <v>151</v>
      </c>
      <c r="GC3" s="1" t="s">
        <v>204</v>
      </c>
      <c r="GD3" s="2">
        <v>1</v>
      </c>
      <c r="GE3" s="3" t="s">
        <v>152</v>
      </c>
      <c r="GF3" s="4" t="s">
        <v>235</v>
      </c>
      <c r="GG3" s="4">
        <v>3</v>
      </c>
      <c r="GH3" s="4">
        <v>4</v>
      </c>
      <c r="GI3" s="4">
        <v>5</v>
      </c>
      <c r="GJ3" s="4" t="s">
        <v>236</v>
      </c>
      <c r="GK3" s="4" t="s">
        <v>237</v>
      </c>
      <c r="GL3" s="4">
        <v>7</v>
      </c>
      <c r="GM3" s="4" t="s">
        <v>156</v>
      </c>
      <c r="GN3" s="4" t="s">
        <v>157</v>
      </c>
      <c r="GO3" s="4">
        <v>9</v>
      </c>
      <c r="GP3" s="4" t="s">
        <v>158</v>
      </c>
      <c r="GQ3" s="4" t="s">
        <v>159</v>
      </c>
      <c r="GR3" s="4" t="s">
        <v>160</v>
      </c>
      <c r="GS3" s="4" t="s">
        <v>161</v>
      </c>
      <c r="GT3" s="4" t="s">
        <v>162</v>
      </c>
      <c r="GU3" s="4" t="s">
        <v>163</v>
      </c>
      <c r="GV3" s="4" t="s">
        <v>164</v>
      </c>
      <c r="GW3" s="4" t="s">
        <v>165</v>
      </c>
      <c r="GX3" s="4" t="s">
        <v>166</v>
      </c>
      <c r="GY3" s="4" t="s">
        <v>167</v>
      </c>
      <c r="GZ3" s="4" t="s">
        <v>168</v>
      </c>
      <c r="HA3" s="4" t="s">
        <v>169</v>
      </c>
      <c r="HB3" s="4" t="s">
        <v>170</v>
      </c>
      <c r="HC3" s="4" t="s">
        <v>171</v>
      </c>
      <c r="HD3" s="4" t="s">
        <v>172</v>
      </c>
      <c r="HE3" s="4" t="s">
        <v>150</v>
      </c>
      <c r="HF3" s="4" t="s">
        <v>151</v>
      </c>
      <c r="HH3" s="14" t="s">
        <v>204</v>
      </c>
      <c r="HI3" s="15">
        <v>1</v>
      </c>
      <c r="HJ3" s="16" t="s">
        <v>152</v>
      </c>
      <c r="HK3" s="17" t="s">
        <v>235</v>
      </c>
      <c r="HL3" s="17">
        <v>3</v>
      </c>
      <c r="HM3" s="17">
        <v>4</v>
      </c>
      <c r="HN3" s="17">
        <v>5</v>
      </c>
      <c r="HO3" s="17" t="s">
        <v>236</v>
      </c>
      <c r="HP3" s="17" t="s">
        <v>237</v>
      </c>
      <c r="HQ3" s="17">
        <v>7</v>
      </c>
      <c r="HR3" s="17" t="s">
        <v>156</v>
      </c>
      <c r="HS3" s="17" t="s">
        <v>157</v>
      </c>
      <c r="HT3" s="17">
        <v>9</v>
      </c>
      <c r="HU3" s="17" t="s">
        <v>158</v>
      </c>
      <c r="HV3" s="17" t="s">
        <v>159</v>
      </c>
      <c r="HW3" s="17" t="s">
        <v>160</v>
      </c>
      <c r="HX3" s="17" t="s">
        <v>161</v>
      </c>
      <c r="HY3" s="17" t="s">
        <v>162</v>
      </c>
      <c r="HZ3" s="17" t="s">
        <v>163</v>
      </c>
      <c r="IA3" s="17" t="s">
        <v>164</v>
      </c>
      <c r="IB3" s="17" t="s">
        <v>165</v>
      </c>
      <c r="IC3" s="17" t="s">
        <v>166</v>
      </c>
      <c r="ID3" s="17" t="s">
        <v>167</v>
      </c>
      <c r="IE3" s="17" t="s">
        <v>168</v>
      </c>
      <c r="IF3" s="17" t="s">
        <v>169</v>
      </c>
      <c r="IG3" s="17" t="s">
        <v>170</v>
      </c>
      <c r="IH3" s="17" t="s">
        <v>171</v>
      </c>
      <c r="II3" s="17" t="s">
        <v>172</v>
      </c>
      <c r="IJ3" s="17" t="s">
        <v>150</v>
      </c>
      <c r="IK3" s="17" t="s">
        <v>151</v>
      </c>
    </row>
    <row r="4" spans="2:245" x14ac:dyDescent="0.25">
      <c r="B4" s="13">
        <v>0</v>
      </c>
      <c r="C4" s="6">
        <v>0</v>
      </c>
      <c r="D4" s="6">
        <v>0</v>
      </c>
      <c r="E4" s="6">
        <v>7</v>
      </c>
      <c r="F4" s="6">
        <v>0</v>
      </c>
      <c r="G4" s="6">
        <v>0</v>
      </c>
      <c r="H4" s="6">
        <v>0</v>
      </c>
      <c r="I4" s="6">
        <v>0</v>
      </c>
      <c r="J4" s="6">
        <v>1</v>
      </c>
      <c r="K4" s="6">
        <v>0</v>
      </c>
      <c r="L4" s="6">
        <v>0</v>
      </c>
      <c r="M4" s="6">
        <v>2</v>
      </c>
      <c r="N4" s="6">
        <v>1</v>
      </c>
      <c r="O4" s="6">
        <v>0</v>
      </c>
      <c r="P4" s="6">
        <v>0</v>
      </c>
      <c r="Q4" s="6">
        <v>20</v>
      </c>
      <c r="R4" s="6">
        <v>0</v>
      </c>
      <c r="S4" s="6">
        <v>1</v>
      </c>
      <c r="T4" s="6">
        <v>0</v>
      </c>
      <c r="U4" s="6">
        <v>0</v>
      </c>
      <c r="V4" s="6">
        <v>5</v>
      </c>
      <c r="W4" s="6">
        <v>9</v>
      </c>
      <c r="X4" s="6">
        <v>1</v>
      </c>
      <c r="Y4" s="6">
        <v>0</v>
      </c>
      <c r="Z4" s="6">
        <v>0</v>
      </c>
      <c r="AA4" s="6">
        <v>0</v>
      </c>
      <c r="AB4" s="6">
        <v>0</v>
      </c>
      <c r="AC4" s="6">
        <v>8</v>
      </c>
      <c r="AD4" s="6">
        <v>0</v>
      </c>
      <c r="AE4" s="6">
        <v>15</v>
      </c>
      <c r="AG4" s="6">
        <v>0</v>
      </c>
      <c r="AH4" s="6">
        <v>1</v>
      </c>
      <c r="AI4" s="6">
        <v>4</v>
      </c>
      <c r="AJ4" s="6">
        <v>0</v>
      </c>
      <c r="AK4" s="6">
        <v>0</v>
      </c>
      <c r="AL4" s="6">
        <v>0</v>
      </c>
      <c r="AM4" s="6">
        <v>0</v>
      </c>
      <c r="AN4" s="6">
        <v>1</v>
      </c>
      <c r="AO4" s="6">
        <v>0</v>
      </c>
      <c r="AP4" s="6">
        <v>0</v>
      </c>
      <c r="AQ4" s="6">
        <v>0</v>
      </c>
      <c r="AR4" s="6">
        <v>2</v>
      </c>
      <c r="AS4" s="6">
        <v>0</v>
      </c>
      <c r="AT4" s="6">
        <v>0</v>
      </c>
      <c r="AU4" s="6">
        <v>20</v>
      </c>
      <c r="AV4" s="6">
        <v>0</v>
      </c>
      <c r="AW4" s="6">
        <v>0</v>
      </c>
      <c r="AX4" s="6">
        <v>0</v>
      </c>
      <c r="AY4" s="6">
        <v>0</v>
      </c>
      <c r="AZ4" s="6">
        <v>10</v>
      </c>
      <c r="BA4" s="6">
        <v>11</v>
      </c>
      <c r="BB4" s="6">
        <v>2</v>
      </c>
      <c r="BC4" s="6">
        <v>0</v>
      </c>
      <c r="BD4" s="6">
        <v>0</v>
      </c>
      <c r="BE4" s="6">
        <v>0</v>
      </c>
      <c r="BF4" s="6">
        <v>0</v>
      </c>
      <c r="BG4" s="6">
        <v>3</v>
      </c>
      <c r="BH4" s="6">
        <v>0</v>
      </c>
      <c r="BI4" s="6">
        <v>13</v>
      </c>
      <c r="BK4" s="6">
        <v>0</v>
      </c>
      <c r="BL4" s="6">
        <v>0</v>
      </c>
      <c r="BM4" s="6">
        <v>4</v>
      </c>
      <c r="BN4" s="6">
        <v>0</v>
      </c>
      <c r="BO4" s="6">
        <v>0</v>
      </c>
      <c r="BP4" s="6">
        <v>0</v>
      </c>
      <c r="BQ4" s="6">
        <v>0</v>
      </c>
      <c r="BR4" s="6">
        <v>5</v>
      </c>
      <c r="BS4" s="6">
        <v>0</v>
      </c>
      <c r="BT4" s="6">
        <v>0</v>
      </c>
      <c r="BU4" s="6">
        <v>1</v>
      </c>
      <c r="BV4" s="6">
        <v>1</v>
      </c>
      <c r="BW4" s="6">
        <v>0</v>
      </c>
      <c r="BX4" s="6">
        <v>1</v>
      </c>
      <c r="BY4" s="6">
        <v>5</v>
      </c>
      <c r="BZ4" s="6">
        <v>0</v>
      </c>
      <c r="CA4" s="6">
        <v>1</v>
      </c>
      <c r="CB4" s="6">
        <v>0</v>
      </c>
      <c r="CC4" s="6">
        <v>0</v>
      </c>
      <c r="CD4" s="6">
        <v>3</v>
      </c>
      <c r="CE4" s="6">
        <v>3</v>
      </c>
      <c r="CF4" s="6">
        <v>1</v>
      </c>
      <c r="CG4" s="6">
        <v>0</v>
      </c>
      <c r="CH4" s="6">
        <v>0</v>
      </c>
      <c r="CI4" s="6">
        <v>0</v>
      </c>
      <c r="CJ4" s="6">
        <v>0</v>
      </c>
      <c r="CK4" s="6">
        <v>5</v>
      </c>
      <c r="CL4" s="6">
        <v>0</v>
      </c>
      <c r="CM4" s="6">
        <v>8</v>
      </c>
      <c r="CO4" s="6">
        <v>0</v>
      </c>
      <c r="CP4" s="6">
        <v>0</v>
      </c>
      <c r="CQ4" s="6">
        <v>1</v>
      </c>
      <c r="CR4" s="6">
        <v>0</v>
      </c>
      <c r="CS4" s="6">
        <v>0</v>
      </c>
      <c r="CT4" s="6">
        <v>0</v>
      </c>
      <c r="CU4" s="6">
        <v>0</v>
      </c>
      <c r="CV4" s="6">
        <v>8</v>
      </c>
      <c r="CW4" s="6">
        <v>0</v>
      </c>
      <c r="CX4" s="6">
        <v>0</v>
      </c>
      <c r="CY4" s="6">
        <v>0</v>
      </c>
      <c r="CZ4" s="6">
        <v>1</v>
      </c>
      <c r="DA4" s="6">
        <v>0</v>
      </c>
      <c r="DB4" s="6">
        <v>1</v>
      </c>
      <c r="DC4" s="6">
        <v>9</v>
      </c>
      <c r="DD4" s="6">
        <v>0</v>
      </c>
      <c r="DE4" s="6">
        <v>1</v>
      </c>
      <c r="DF4" s="6">
        <v>0</v>
      </c>
      <c r="DG4" s="6">
        <v>0</v>
      </c>
      <c r="DH4" s="6">
        <v>1</v>
      </c>
      <c r="DI4" s="6">
        <v>1</v>
      </c>
      <c r="DJ4" s="6">
        <v>1</v>
      </c>
      <c r="DK4" s="6">
        <v>0</v>
      </c>
      <c r="DL4" s="6">
        <v>1</v>
      </c>
      <c r="DM4" s="6">
        <v>0</v>
      </c>
      <c r="DN4" s="6">
        <v>0</v>
      </c>
      <c r="DO4" s="6">
        <v>2</v>
      </c>
      <c r="DP4" s="6">
        <v>0</v>
      </c>
      <c r="DQ4" s="6">
        <v>2</v>
      </c>
      <c r="DS4" s="12">
        <v>0</v>
      </c>
      <c r="DT4" s="6">
        <v>1</v>
      </c>
      <c r="DU4" s="6">
        <v>1</v>
      </c>
      <c r="DV4" s="6">
        <v>1</v>
      </c>
      <c r="DW4" s="6">
        <v>1</v>
      </c>
      <c r="DX4" s="6">
        <v>1</v>
      </c>
      <c r="DY4" s="6">
        <v>1</v>
      </c>
      <c r="DZ4" s="6">
        <v>1</v>
      </c>
      <c r="EA4" s="6">
        <v>1</v>
      </c>
      <c r="EB4" s="6">
        <v>1</v>
      </c>
      <c r="EC4" s="6">
        <v>1</v>
      </c>
      <c r="ED4" s="6">
        <v>1</v>
      </c>
      <c r="EE4" s="6">
        <v>4</v>
      </c>
      <c r="EF4" s="6">
        <v>3</v>
      </c>
      <c r="EG4" s="6">
        <v>2</v>
      </c>
      <c r="EH4" s="6">
        <v>4</v>
      </c>
      <c r="EI4" s="6">
        <v>2</v>
      </c>
      <c r="EJ4" s="6">
        <v>5</v>
      </c>
      <c r="EK4" s="6">
        <v>2</v>
      </c>
      <c r="EL4" s="6">
        <v>5</v>
      </c>
      <c r="EM4" s="6">
        <v>4</v>
      </c>
      <c r="EN4" s="6">
        <v>3</v>
      </c>
      <c r="EO4" s="6">
        <v>2</v>
      </c>
      <c r="EP4" s="6">
        <v>2</v>
      </c>
      <c r="EQ4" s="6">
        <v>3</v>
      </c>
      <c r="ER4" s="6">
        <v>2</v>
      </c>
      <c r="ES4" s="6">
        <v>5</v>
      </c>
      <c r="ET4" s="6">
        <v>3</v>
      </c>
      <c r="EU4" s="6">
        <v>5</v>
      </c>
      <c r="EV4" s="6">
        <v>35</v>
      </c>
      <c r="EX4" s="1">
        <v>0</v>
      </c>
      <c r="EY4" s="5">
        <v>1</v>
      </c>
      <c r="EZ4" s="6">
        <v>1</v>
      </c>
      <c r="FA4" s="5">
        <v>1</v>
      </c>
      <c r="FB4" s="5">
        <v>1</v>
      </c>
      <c r="FC4" s="5">
        <v>1</v>
      </c>
      <c r="FD4" s="5">
        <v>1</v>
      </c>
      <c r="FE4" s="5">
        <v>1</v>
      </c>
      <c r="FF4" s="5">
        <v>1</v>
      </c>
      <c r="FG4" s="5">
        <v>1</v>
      </c>
      <c r="FH4" s="5">
        <v>1</v>
      </c>
      <c r="FI4" s="5">
        <v>1</v>
      </c>
      <c r="FJ4" s="5">
        <v>3</v>
      </c>
      <c r="FK4" s="5">
        <v>3</v>
      </c>
      <c r="FL4" s="5">
        <v>2</v>
      </c>
      <c r="FM4" s="5">
        <v>3</v>
      </c>
      <c r="FN4" s="5">
        <v>2</v>
      </c>
      <c r="FO4" s="5">
        <v>6</v>
      </c>
      <c r="FP4" s="5">
        <v>2</v>
      </c>
      <c r="FQ4" s="5">
        <v>5</v>
      </c>
      <c r="FR4" s="5">
        <v>5</v>
      </c>
      <c r="FS4" s="5">
        <v>2</v>
      </c>
      <c r="FT4" s="5">
        <v>2</v>
      </c>
      <c r="FU4" s="5">
        <v>2</v>
      </c>
      <c r="FV4" s="5">
        <v>3</v>
      </c>
      <c r="FW4" s="5">
        <v>2</v>
      </c>
      <c r="FX4" s="5">
        <v>5</v>
      </c>
      <c r="FY4" s="5">
        <v>3</v>
      </c>
      <c r="FZ4" s="5">
        <v>5</v>
      </c>
      <c r="GA4" s="5">
        <v>35</v>
      </c>
      <c r="GC4" s="1">
        <v>0</v>
      </c>
      <c r="GD4" s="5">
        <v>1</v>
      </c>
      <c r="GE4" s="6">
        <v>1</v>
      </c>
      <c r="GF4" s="5">
        <v>1</v>
      </c>
      <c r="GG4" s="5">
        <v>1</v>
      </c>
      <c r="GH4" s="5">
        <v>1</v>
      </c>
      <c r="GI4" s="5">
        <v>1</v>
      </c>
      <c r="GJ4" s="5">
        <v>1</v>
      </c>
      <c r="GK4" s="5">
        <v>1</v>
      </c>
      <c r="GL4" s="5">
        <v>1</v>
      </c>
      <c r="GM4" s="5">
        <v>1</v>
      </c>
      <c r="GN4" s="5">
        <v>1</v>
      </c>
      <c r="GO4" s="5">
        <v>3</v>
      </c>
      <c r="GP4" s="5">
        <v>3</v>
      </c>
      <c r="GQ4" s="5">
        <v>2</v>
      </c>
      <c r="GR4" s="5">
        <v>3</v>
      </c>
      <c r="GS4" s="5">
        <v>2</v>
      </c>
      <c r="GT4" s="5">
        <v>5</v>
      </c>
      <c r="GU4" s="5">
        <v>2</v>
      </c>
      <c r="GV4" s="5">
        <v>5</v>
      </c>
      <c r="GW4" s="5">
        <v>4</v>
      </c>
      <c r="GX4" s="5">
        <v>2</v>
      </c>
      <c r="GY4" s="5">
        <v>2</v>
      </c>
      <c r="GZ4" s="5">
        <v>2</v>
      </c>
      <c r="HA4" s="5">
        <v>3</v>
      </c>
      <c r="HB4" s="5">
        <v>2</v>
      </c>
      <c r="HC4" s="5">
        <v>4</v>
      </c>
      <c r="HD4" s="5">
        <v>3</v>
      </c>
      <c r="HE4" s="5">
        <v>1</v>
      </c>
      <c r="HF4" s="5">
        <v>15</v>
      </c>
      <c r="HH4" s="1">
        <v>0</v>
      </c>
      <c r="HI4" s="5">
        <v>1</v>
      </c>
      <c r="HJ4" s="6">
        <v>1</v>
      </c>
      <c r="HK4" s="5">
        <v>1</v>
      </c>
      <c r="HL4" s="5">
        <v>1</v>
      </c>
      <c r="HM4" s="5">
        <v>1</v>
      </c>
      <c r="HN4" s="5">
        <v>1</v>
      </c>
      <c r="HO4" s="5">
        <v>1</v>
      </c>
      <c r="HP4" s="5">
        <v>1</v>
      </c>
      <c r="HQ4" s="5">
        <v>1</v>
      </c>
      <c r="HR4" s="5">
        <v>1</v>
      </c>
      <c r="HS4" s="6">
        <v>1</v>
      </c>
      <c r="HT4" s="5">
        <v>3</v>
      </c>
      <c r="HU4" s="5">
        <v>3</v>
      </c>
      <c r="HV4" s="5">
        <v>2</v>
      </c>
      <c r="HW4" s="5">
        <v>3</v>
      </c>
      <c r="HX4" s="5">
        <v>2</v>
      </c>
      <c r="HY4" s="5">
        <v>6</v>
      </c>
      <c r="HZ4" s="5">
        <v>2</v>
      </c>
      <c r="IA4" s="5">
        <v>4</v>
      </c>
      <c r="IB4" s="5">
        <v>3</v>
      </c>
      <c r="IC4" s="5">
        <v>2</v>
      </c>
      <c r="ID4" s="5">
        <v>2</v>
      </c>
      <c r="IE4" s="5">
        <v>2</v>
      </c>
      <c r="IF4" s="5">
        <v>3</v>
      </c>
      <c r="IG4" s="5">
        <v>2</v>
      </c>
      <c r="IH4" s="5">
        <v>5</v>
      </c>
      <c r="II4" s="5">
        <v>3</v>
      </c>
      <c r="IJ4" s="5">
        <v>1</v>
      </c>
      <c r="IK4" s="5">
        <v>15</v>
      </c>
    </row>
    <row r="5" spans="2:245" x14ac:dyDescent="0.25">
      <c r="B5" s="13">
        <v>1</v>
      </c>
      <c r="C5" s="6">
        <v>0</v>
      </c>
      <c r="D5" s="6">
        <v>0</v>
      </c>
      <c r="E5" s="6">
        <v>10</v>
      </c>
      <c r="F5" s="6">
        <v>0</v>
      </c>
      <c r="G5" s="6">
        <v>1</v>
      </c>
      <c r="H5" s="6">
        <v>0</v>
      </c>
      <c r="I5" s="6">
        <v>0</v>
      </c>
      <c r="J5" s="6">
        <v>12</v>
      </c>
      <c r="K5" s="6">
        <v>0</v>
      </c>
      <c r="L5" s="6">
        <v>0</v>
      </c>
      <c r="M5" s="6">
        <v>4</v>
      </c>
      <c r="N5" s="6">
        <v>1</v>
      </c>
      <c r="O5" s="6">
        <v>1</v>
      </c>
      <c r="P5" s="6">
        <v>3</v>
      </c>
      <c r="Q5" s="6">
        <v>25</v>
      </c>
      <c r="R5" s="6">
        <v>0</v>
      </c>
      <c r="S5" s="6">
        <v>3</v>
      </c>
      <c r="T5" s="6">
        <v>0</v>
      </c>
      <c r="U5" s="6">
        <v>1</v>
      </c>
      <c r="V5" s="6">
        <v>13</v>
      </c>
      <c r="W5" s="6">
        <v>20</v>
      </c>
      <c r="X5" s="6">
        <v>5</v>
      </c>
      <c r="Y5" s="6">
        <v>0</v>
      </c>
      <c r="Z5" s="6">
        <v>0</v>
      </c>
      <c r="AA5" s="6">
        <v>0</v>
      </c>
      <c r="AB5" s="6">
        <v>1</v>
      </c>
      <c r="AC5" s="6">
        <v>20</v>
      </c>
      <c r="AD5" s="6">
        <v>0</v>
      </c>
      <c r="AE5" s="6">
        <v>34</v>
      </c>
      <c r="AG5" s="6">
        <v>0</v>
      </c>
      <c r="AH5" s="6">
        <v>1</v>
      </c>
      <c r="AI5" s="6">
        <v>4</v>
      </c>
      <c r="AJ5" s="6">
        <v>0</v>
      </c>
      <c r="AK5" s="6">
        <v>0</v>
      </c>
      <c r="AL5" s="6">
        <v>0</v>
      </c>
      <c r="AM5" s="6">
        <v>0</v>
      </c>
      <c r="AN5" s="6">
        <v>5</v>
      </c>
      <c r="AO5" s="6">
        <v>0</v>
      </c>
      <c r="AP5" s="6">
        <v>0</v>
      </c>
      <c r="AQ5" s="6">
        <v>3</v>
      </c>
      <c r="AR5" s="6">
        <v>2</v>
      </c>
      <c r="AS5" s="6">
        <v>0</v>
      </c>
      <c r="AT5" s="6">
        <v>0</v>
      </c>
      <c r="AU5" s="6">
        <v>24</v>
      </c>
      <c r="AV5" s="6">
        <v>0</v>
      </c>
      <c r="AW5" s="6">
        <v>2</v>
      </c>
      <c r="AX5" s="6">
        <v>0</v>
      </c>
      <c r="AY5" s="6">
        <v>0</v>
      </c>
      <c r="AZ5" s="6">
        <v>20</v>
      </c>
      <c r="BA5" s="6">
        <v>21</v>
      </c>
      <c r="BB5" s="6">
        <v>6</v>
      </c>
      <c r="BC5" s="6">
        <v>0</v>
      </c>
      <c r="BD5" s="6">
        <v>0</v>
      </c>
      <c r="BE5" s="6">
        <v>0</v>
      </c>
      <c r="BF5" s="6">
        <v>1</v>
      </c>
      <c r="BG5" s="6">
        <v>10</v>
      </c>
      <c r="BH5" s="6">
        <v>0</v>
      </c>
      <c r="BI5" s="6">
        <v>34</v>
      </c>
      <c r="BK5" s="6">
        <v>0</v>
      </c>
      <c r="BL5" s="6">
        <v>0</v>
      </c>
      <c r="BM5" s="6">
        <v>5</v>
      </c>
      <c r="BN5" s="6">
        <v>0</v>
      </c>
      <c r="BO5" s="6">
        <v>0</v>
      </c>
      <c r="BP5" s="6">
        <v>0</v>
      </c>
      <c r="BQ5" s="6">
        <v>0</v>
      </c>
      <c r="BR5" s="6">
        <v>20</v>
      </c>
      <c r="BS5" s="6">
        <v>0</v>
      </c>
      <c r="BT5" s="6">
        <v>0</v>
      </c>
      <c r="BU5" s="6">
        <v>2</v>
      </c>
      <c r="BV5" s="6">
        <v>1</v>
      </c>
      <c r="BW5" s="6">
        <v>0</v>
      </c>
      <c r="BX5" s="6">
        <v>1</v>
      </c>
      <c r="BY5" s="6">
        <v>9</v>
      </c>
      <c r="BZ5" s="6">
        <v>0</v>
      </c>
      <c r="CA5" s="6">
        <v>2</v>
      </c>
      <c r="CB5" s="6">
        <v>0</v>
      </c>
      <c r="CC5" s="6">
        <v>1</v>
      </c>
      <c r="CD5" s="6">
        <v>8</v>
      </c>
      <c r="CE5" s="6">
        <v>8</v>
      </c>
      <c r="CF5" s="6">
        <v>3</v>
      </c>
      <c r="CG5" s="6">
        <v>0</v>
      </c>
      <c r="CH5" s="6">
        <v>1</v>
      </c>
      <c r="CI5" s="6">
        <v>0</v>
      </c>
      <c r="CJ5" s="6">
        <v>1</v>
      </c>
      <c r="CK5" s="6">
        <v>12</v>
      </c>
      <c r="CL5" s="6">
        <v>1</v>
      </c>
      <c r="CM5" s="6">
        <v>19</v>
      </c>
      <c r="CO5" s="6">
        <v>0</v>
      </c>
      <c r="CP5" s="6">
        <v>0</v>
      </c>
      <c r="CQ5" s="6">
        <v>2</v>
      </c>
      <c r="CR5" s="6">
        <v>0</v>
      </c>
      <c r="CS5" s="6">
        <v>0</v>
      </c>
      <c r="CT5" s="6">
        <v>1</v>
      </c>
      <c r="CU5" s="6">
        <v>1</v>
      </c>
      <c r="CV5" s="6">
        <v>20</v>
      </c>
      <c r="CW5" s="6">
        <v>0</v>
      </c>
      <c r="CX5" s="6">
        <v>0</v>
      </c>
      <c r="CY5" s="6">
        <v>0</v>
      </c>
      <c r="CZ5" s="6">
        <v>1</v>
      </c>
      <c r="DA5" s="6">
        <v>1</v>
      </c>
      <c r="DB5" s="6">
        <v>1</v>
      </c>
      <c r="DC5" s="6">
        <v>16</v>
      </c>
      <c r="DD5" s="6">
        <v>0</v>
      </c>
      <c r="DE5" s="6">
        <v>2</v>
      </c>
      <c r="DF5" s="6">
        <v>1</v>
      </c>
      <c r="DG5" s="6">
        <v>0</v>
      </c>
      <c r="DH5" s="6">
        <v>6</v>
      </c>
      <c r="DI5" s="6">
        <v>4</v>
      </c>
      <c r="DJ5" s="6">
        <v>7</v>
      </c>
      <c r="DK5" s="6">
        <v>0</v>
      </c>
      <c r="DL5" s="6">
        <v>2</v>
      </c>
      <c r="DM5" s="6">
        <v>0</v>
      </c>
      <c r="DN5" s="6">
        <v>0</v>
      </c>
      <c r="DO5" s="6">
        <v>7</v>
      </c>
      <c r="DP5" s="6">
        <v>0</v>
      </c>
      <c r="DQ5" s="6">
        <v>12</v>
      </c>
      <c r="DS5" s="12">
        <v>1</v>
      </c>
      <c r="DT5" s="6">
        <v>1</v>
      </c>
      <c r="DU5" s="6">
        <v>1</v>
      </c>
      <c r="DV5" s="6">
        <v>1</v>
      </c>
      <c r="DW5" s="6">
        <v>1</v>
      </c>
      <c r="DX5" s="6">
        <v>1</v>
      </c>
      <c r="DY5" s="6">
        <v>1</v>
      </c>
      <c r="DZ5" s="6">
        <v>1</v>
      </c>
      <c r="EA5" s="6">
        <v>1</v>
      </c>
      <c r="EB5" s="6">
        <v>1</v>
      </c>
      <c r="EC5" s="6">
        <v>1</v>
      </c>
      <c r="ED5" s="6">
        <v>1</v>
      </c>
      <c r="EE5" s="6">
        <v>4</v>
      </c>
      <c r="EF5" s="6">
        <v>3</v>
      </c>
      <c r="EG5" s="6">
        <v>2</v>
      </c>
      <c r="EH5" s="6">
        <v>4</v>
      </c>
      <c r="EI5" s="6">
        <v>2</v>
      </c>
      <c r="EJ5" s="6">
        <v>5</v>
      </c>
      <c r="EK5" s="6">
        <v>2</v>
      </c>
      <c r="EL5" s="6">
        <v>5</v>
      </c>
      <c r="EM5" s="6">
        <v>4</v>
      </c>
      <c r="EN5" s="6">
        <v>3</v>
      </c>
      <c r="EO5" s="6">
        <v>2</v>
      </c>
      <c r="EP5" s="6">
        <v>2</v>
      </c>
      <c r="EQ5" s="6">
        <v>3</v>
      </c>
      <c r="ER5" s="6">
        <v>2</v>
      </c>
      <c r="ES5" s="6">
        <v>5</v>
      </c>
      <c r="ET5" s="6">
        <v>3</v>
      </c>
      <c r="EU5" s="6">
        <v>5</v>
      </c>
      <c r="EV5" s="6">
        <v>35</v>
      </c>
      <c r="EX5" s="7">
        <v>1</v>
      </c>
      <c r="EY5" s="6">
        <v>1</v>
      </c>
      <c r="EZ5" s="6">
        <v>1</v>
      </c>
      <c r="FA5" s="6">
        <v>1</v>
      </c>
      <c r="FB5" s="6">
        <v>1</v>
      </c>
      <c r="FC5" s="6">
        <v>1</v>
      </c>
      <c r="FD5" s="6">
        <v>1</v>
      </c>
      <c r="FE5" s="6">
        <v>1</v>
      </c>
      <c r="FF5" s="6">
        <v>1</v>
      </c>
      <c r="FG5" s="6">
        <v>1</v>
      </c>
      <c r="FH5" s="6">
        <v>1</v>
      </c>
      <c r="FI5" s="6">
        <v>1</v>
      </c>
      <c r="FJ5" s="6">
        <v>3</v>
      </c>
      <c r="FK5" s="6">
        <v>3</v>
      </c>
      <c r="FL5" s="6">
        <v>2</v>
      </c>
      <c r="FM5" s="6">
        <v>3</v>
      </c>
      <c r="FN5" s="6">
        <v>2</v>
      </c>
      <c r="FO5" s="6">
        <v>6</v>
      </c>
      <c r="FP5" s="6">
        <v>2</v>
      </c>
      <c r="FQ5" s="6">
        <v>5</v>
      </c>
      <c r="FR5" s="6">
        <v>5</v>
      </c>
      <c r="FS5" s="6">
        <v>2</v>
      </c>
      <c r="FT5" s="6">
        <v>2</v>
      </c>
      <c r="FU5" s="6">
        <v>2</v>
      </c>
      <c r="FV5" s="6">
        <v>3</v>
      </c>
      <c r="FW5" s="6">
        <v>2</v>
      </c>
      <c r="FX5" s="6">
        <v>5</v>
      </c>
      <c r="FY5" s="6">
        <v>3</v>
      </c>
      <c r="FZ5" s="6">
        <v>5</v>
      </c>
      <c r="GA5" s="6">
        <v>35</v>
      </c>
      <c r="GC5" s="7">
        <v>1</v>
      </c>
      <c r="GD5" s="6">
        <v>1</v>
      </c>
      <c r="GE5" s="6">
        <v>1</v>
      </c>
      <c r="GF5" s="6">
        <v>1</v>
      </c>
      <c r="GG5" s="6">
        <v>1</v>
      </c>
      <c r="GH5" s="6">
        <v>1</v>
      </c>
      <c r="GI5" s="6">
        <v>1</v>
      </c>
      <c r="GJ5" s="6">
        <v>1</v>
      </c>
      <c r="GK5" s="6">
        <v>1</v>
      </c>
      <c r="GL5" s="6">
        <v>1</v>
      </c>
      <c r="GM5" s="6">
        <v>1</v>
      </c>
      <c r="GN5" s="6">
        <v>1</v>
      </c>
      <c r="GO5" s="6">
        <v>3</v>
      </c>
      <c r="GP5" s="6">
        <v>3</v>
      </c>
      <c r="GQ5" s="6">
        <v>2</v>
      </c>
      <c r="GR5" s="6">
        <v>3</v>
      </c>
      <c r="GS5" s="6">
        <v>2</v>
      </c>
      <c r="GT5" s="6">
        <v>5</v>
      </c>
      <c r="GU5" s="6">
        <v>2</v>
      </c>
      <c r="GV5" s="6">
        <v>5</v>
      </c>
      <c r="GW5" s="6">
        <v>4</v>
      </c>
      <c r="GX5" s="6">
        <v>2</v>
      </c>
      <c r="GY5" s="6">
        <v>2</v>
      </c>
      <c r="GZ5" s="6">
        <v>2</v>
      </c>
      <c r="HA5" s="6">
        <v>3</v>
      </c>
      <c r="HB5" s="6">
        <v>2</v>
      </c>
      <c r="HC5" s="6">
        <v>4</v>
      </c>
      <c r="HD5" s="6">
        <v>3</v>
      </c>
      <c r="HE5" s="6">
        <v>1</v>
      </c>
      <c r="HF5" s="6">
        <v>15</v>
      </c>
      <c r="HH5" s="7">
        <v>1</v>
      </c>
      <c r="HI5" s="6">
        <v>1</v>
      </c>
      <c r="HJ5" s="6">
        <v>1</v>
      </c>
      <c r="HK5" s="6">
        <v>1</v>
      </c>
      <c r="HL5" s="6">
        <v>1</v>
      </c>
      <c r="HM5" s="6">
        <v>1</v>
      </c>
      <c r="HN5" s="6">
        <v>1</v>
      </c>
      <c r="HO5" s="6">
        <v>1</v>
      </c>
      <c r="HP5" s="6">
        <v>1</v>
      </c>
      <c r="HQ5" s="6">
        <v>1</v>
      </c>
      <c r="HR5" s="6">
        <v>1</v>
      </c>
      <c r="HS5" s="6">
        <v>1</v>
      </c>
      <c r="HT5" s="6">
        <v>3</v>
      </c>
      <c r="HU5" s="6">
        <v>3</v>
      </c>
      <c r="HV5" s="6">
        <v>2</v>
      </c>
      <c r="HW5" s="6">
        <v>3</v>
      </c>
      <c r="HX5" s="6">
        <v>2</v>
      </c>
      <c r="HY5" s="6">
        <v>6</v>
      </c>
      <c r="HZ5" s="6">
        <v>2</v>
      </c>
      <c r="IA5" s="6">
        <v>4</v>
      </c>
      <c r="IB5" s="6">
        <v>3</v>
      </c>
      <c r="IC5" s="6">
        <v>2</v>
      </c>
      <c r="ID5" s="6">
        <v>2</v>
      </c>
      <c r="IE5" s="6">
        <v>2</v>
      </c>
      <c r="IF5" s="6">
        <v>3</v>
      </c>
      <c r="IG5" s="6">
        <v>2</v>
      </c>
      <c r="IH5" s="6">
        <v>5</v>
      </c>
      <c r="II5" s="6">
        <v>3</v>
      </c>
      <c r="IJ5" s="6">
        <v>1</v>
      </c>
      <c r="IK5" s="6">
        <v>15</v>
      </c>
    </row>
    <row r="6" spans="2:245" x14ac:dyDescent="0.25">
      <c r="B6" s="13">
        <v>2</v>
      </c>
      <c r="C6" s="6">
        <v>0</v>
      </c>
      <c r="D6" s="6">
        <v>1</v>
      </c>
      <c r="E6" s="6">
        <v>12</v>
      </c>
      <c r="F6" s="6">
        <v>0</v>
      </c>
      <c r="G6" s="6">
        <v>1</v>
      </c>
      <c r="H6" s="6">
        <v>0</v>
      </c>
      <c r="I6" s="6">
        <v>0</v>
      </c>
      <c r="J6" s="6">
        <v>20</v>
      </c>
      <c r="K6" s="6">
        <v>0</v>
      </c>
      <c r="L6" s="6">
        <v>1</v>
      </c>
      <c r="M6" s="6">
        <v>5</v>
      </c>
      <c r="N6" s="6">
        <v>3</v>
      </c>
      <c r="O6" s="6">
        <v>2</v>
      </c>
      <c r="P6" s="6">
        <v>6</v>
      </c>
      <c r="Q6" s="6">
        <v>34</v>
      </c>
      <c r="R6" s="6">
        <v>0</v>
      </c>
      <c r="S6" s="6">
        <v>9</v>
      </c>
      <c r="T6" s="6">
        <v>0</v>
      </c>
      <c r="U6" s="6">
        <v>1</v>
      </c>
      <c r="V6" s="6">
        <v>20</v>
      </c>
      <c r="W6" s="6">
        <v>31</v>
      </c>
      <c r="X6" s="6">
        <v>12</v>
      </c>
      <c r="Y6" s="6">
        <v>1</v>
      </c>
      <c r="Z6" s="6">
        <v>1</v>
      </c>
      <c r="AA6" s="6">
        <v>0</v>
      </c>
      <c r="AB6" s="6">
        <v>1</v>
      </c>
      <c r="AC6" s="6">
        <v>29</v>
      </c>
      <c r="AD6" s="6">
        <v>1</v>
      </c>
      <c r="AE6" s="6">
        <v>46</v>
      </c>
      <c r="AG6" s="6">
        <v>0</v>
      </c>
      <c r="AH6" s="6">
        <v>1</v>
      </c>
      <c r="AI6" s="6">
        <v>10</v>
      </c>
      <c r="AJ6" s="6">
        <v>0</v>
      </c>
      <c r="AK6" s="6">
        <v>0</v>
      </c>
      <c r="AL6" s="6">
        <v>0</v>
      </c>
      <c r="AM6" s="6">
        <v>0</v>
      </c>
      <c r="AN6" s="6">
        <v>11</v>
      </c>
      <c r="AO6" s="6">
        <v>0</v>
      </c>
      <c r="AP6" s="6">
        <v>0</v>
      </c>
      <c r="AQ6" s="6">
        <v>3</v>
      </c>
      <c r="AR6" s="6">
        <v>8</v>
      </c>
      <c r="AS6" s="6">
        <v>2</v>
      </c>
      <c r="AT6" s="6">
        <v>0</v>
      </c>
      <c r="AU6" s="6">
        <v>32</v>
      </c>
      <c r="AV6" s="6">
        <v>0</v>
      </c>
      <c r="AW6" s="6">
        <v>15</v>
      </c>
      <c r="AX6" s="6">
        <v>0</v>
      </c>
      <c r="AY6" s="6">
        <v>0</v>
      </c>
      <c r="AZ6" s="6">
        <v>24</v>
      </c>
      <c r="BA6" s="6">
        <v>31</v>
      </c>
      <c r="BB6" s="6">
        <v>10</v>
      </c>
      <c r="BC6" s="6">
        <v>0</v>
      </c>
      <c r="BD6" s="6">
        <v>2</v>
      </c>
      <c r="BE6" s="6">
        <v>0</v>
      </c>
      <c r="BF6" s="6">
        <v>3</v>
      </c>
      <c r="BG6" s="6">
        <v>18</v>
      </c>
      <c r="BH6" s="6">
        <v>2</v>
      </c>
      <c r="BI6" s="6">
        <v>44</v>
      </c>
      <c r="BK6" s="6">
        <v>0</v>
      </c>
      <c r="BL6" s="6">
        <v>0</v>
      </c>
      <c r="BM6" s="6">
        <v>8</v>
      </c>
      <c r="BN6" s="6">
        <v>0</v>
      </c>
      <c r="BO6" s="6">
        <v>1</v>
      </c>
      <c r="BP6" s="6">
        <v>0</v>
      </c>
      <c r="BQ6" s="6">
        <v>0</v>
      </c>
      <c r="BR6" s="6">
        <v>27</v>
      </c>
      <c r="BS6" s="6">
        <v>0</v>
      </c>
      <c r="BT6" s="6">
        <v>0</v>
      </c>
      <c r="BU6" s="6">
        <v>3</v>
      </c>
      <c r="BV6" s="6">
        <v>3</v>
      </c>
      <c r="BW6" s="6">
        <v>1</v>
      </c>
      <c r="BX6" s="6">
        <v>2</v>
      </c>
      <c r="BY6" s="6">
        <v>12</v>
      </c>
      <c r="BZ6" s="6">
        <v>0</v>
      </c>
      <c r="CA6" s="6">
        <v>3</v>
      </c>
      <c r="CB6" s="6">
        <v>2</v>
      </c>
      <c r="CC6" s="6">
        <v>2</v>
      </c>
      <c r="CD6" s="6">
        <v>15</v>
      </c>
      <c r="CE6" s="6">
        <v>11</v>
      </c>
      <c r="CF6" s="6">
        <v>7</v>
      </c>
      <c r="CG6" s="6">
        <v>1</v>
      </c>
      <c r="CH6" s="6">
        <v>2</v>
      </c>
      <c r="CI6" s="6">
        <v>0</v>
      </c>
      <c r="CJ6" s="6">
        <v>1</v>
      </c>
      <c r="CK6" s="6">
        <v>18</v>
      </c>
      <c r="CL6" s="6">
        <v>1</v>
      </c>
      <c r="CM6" s="6">
        <v>34</v>
      </c>
      <c r="CO6" s="6">
        <v>0</v>
      </c>
      <c r="CP6" s="6">
        <v>0</v>
      </c>
      <c r="CQ6" s="6">
        <v>3</v>
      </c>
      <c r="CR6" s="6">
        <v>0</v>
      </c>
      <c r="CS6" s="6">
        <v>0</v>
      </c>
      <c r="CT6" s="6">
        <v>2</v>
      </c>
      <c r="CU6" s="6">
        <v>1</v>
      </c>
      <c r="CV6" s="6">
        <v>26</v>
      </c>
      <c r="CW6" s="6">
        <v>0</v>
      </c>
      <c r="CX6" s="6">
        <v>0</v>
      </c>
      <c r="CY6" s="6">
        <v>0</v>
      </c>
      <c r="CZ6" s="6">
        <v>5</v>
      </c>
      <c r="DA6" s="6">
        <v>2</v>
      </c>
      <c r="DB6" s="6">
        <v>1</v>
      </c>
      <c r="DC6" s="6">
        <v>20</v>
      </c>
      <c r="DD6" s="6">
        <v>0</v>
      </c>
      <c r="DE6" s="6">
        <v>8</v>
      </c>
      <c r="DF6" s="6">
        <v>2</v>
      </c>
      <c r="DG6" s="6">
        <v>1</v>
      </c>
      <c r="DH6" s="6">
        <v>13</v>
      </c>
      <c r="DI6" s="6">
        <v>13</v>
      </c>
      <c r="DJ6" s="6">
        <v>13</v>
      </c>
      <c r="DK6" s="6">
        <v>2</v>
      </c>
      <c r="DL6" s="6">
        <v>5</v>
      </c>
      <c r="DM6" s="6">
        <v>0</v>
      </c>
      <c r="DN6" s="6">
        <v>1</v>
      </c>
      <c r="DO6" s="6">
        <v>11</v>
      </c>
      <c r="DP6" s="6">
        <v>2</v>
      </c>
      <c r="DQ6" s="6">
        <v>22</v>
      </c>
      <c r="DS6" s="12">
        <v>2</v>
      </c>
      <c r="DT6" s="6">
        <v>5</v>
      </c>
      <c r="DU6" s="6">
        <v>6</v>
      </c>
      <c r="DV6" s="6">
        <v>5</v>
      </c>
      <c r="DW6" s="6">
        <v>2</v>
      </c>
      <c r="DX6" s="6">
        <v>2</v>
      </c>
      <c r="DY6" s="6">
        <v>3</v>
      </c>
      <c r="DZ6" s="6">
        <v>2</v>
      </c>
      <c r="EA6" s="6">
        <v>5</v>
      </c>
      <c r="EB6" s="6">
        <v>3</v>
      </c>
      <c r="EC6" s="6">
        <v>2</v>
      </c>
      <c r="ED6" s="6">
        <v>3</v>
      </c>
      <c r="EE6" s="6">
        <v>7</v>
      </c>
      <c r="EF6" s="6">
        <v>7</v>
      </c>
      <c r="EG6" s="6">
        <v>5</v>
      </c>
      <c r="EH6" s="6">
        <v>8</v>
      </c>
      <c r="EI6" s="6">
        <v>4</v>
      </c>
      <c r="EJ6" s="6">
        <v>10</v>
      </c>
      <c r="EK6" s="6">
        <v>4</v>
      </c>
      <c r="EL6" s="6">
        <v>9</v>
      </c>
      <c r="EM6" s="6">
        <v>8</v>
      </c>
      <c r="EN6" s="6">
        <v>5</v>
      </c>
      <c r="EO6" s="6">
        <v>4</v>
      </c>
      <c r="EP6" s="6">
        <v>5</v>
      </c>
      <c r="EQ6" s="6">
        <v>7</v>
      </c>
      <c r="ER6" s="6">
        <v>4</v>
      </c>
      <c r="ES6" s="6">
        <v>9</v>
      </c>
      <c r="ET6" s="6">
        <v>6</v>
      </c>
      <c r="EU6" s="6">
        <v>8</v>
      </c>
      <c r="EV6" s="6">
        <v>41</v>
      </c>
      <c r="EX6" s="7">
        <v>2</v>
      </c>
      <c r="EY6" s="6">
        <v>2</v>
      </c>
      <c r="EZ6" s="6">
        <v>3</v>
      </c>
      <c r="FA6" s="6">
        <v>5</v>
      </c>
      <c r="FB6" s="6">
        <v>2</v>
      </c>
      <c r="FC6" s="6">
        <v>2</v>
      </c>
      <c r="FD6" s="6">
        <v>2</v>
      </c>
      <c r="FE6" s="6">
        <v>2</v>
      </c>
      <c r="FF6" s="6">
        <v>5</v>
      </c>
      <c r="FG6" s="6">
        <v>2</v>
      </c>
      <c r="FH6" s="6">
        <v>3</v>
      </c>
      <c r="FI6" s="6">
        <v>3</v>
      </c>
      <c r="FJ6" s="6">
        <v>7</v>
      </c>
      <c r="FK6" s="6">
        <v>7</v>
      </c>
      <c r="FL6" s="6">
        <v>5</v>
      </c>
      <c r="FM6" s="6">
        <v>7</v>
      </c>
      <c r="FN6" s="6">
        <v>4</v>
      </c>
      <c r="FO6" s="6">
        <v>11</v>
      </c>
      <c r="FP6" s="6">
        <v>4</v>
      </c>
      <c r="FQ6" s="6">
        <v>9</v>
      </c>
      <c r="FR6" s="6">
        <v>10</v>
      </c>
      <c r="FS6" s="6">
        <v>5</v>
      </c>
      <c r="FT6" s="6">
        <v>4</v>
      </c>
      <c r="FU6" s="6">
        <v>4</v>
      </c>
      <c r="FV6" s="6">
        <v>6</v>
      </c>
      <c r="FW6" s="6">
        <v>5</v>
      </c>
      <c r="FX6" s="6">
        <v>10</v>
      </c>
      <c r="FY6" s="6">
        <v>7</v>
      </c>
      <c r="FZ6" s="6">
        <v>9</v>
      </c>
      <c r="GA6" s="6">
        <v>40</v>
      </c>
      <c r="GC6" s="7">
        <v>2</v>
      </c>
      <c r="GD6" s="6">
        <v>4</v>
      </c>
      <c r="GE6" s="6">
        <v>3</v>
      </c>
      <c r="GF6" s="6">
        <v>4</v>
      </c>
      <c r="GG6" s="6">
        <v>2</v>
      </c>
      <c r="GH6" s="6">
        <v>2</v>
      </c>
      <c r="GI6" s="6">
        <v>4</v>
      </c>
      <c r="GJ6" s="6">
        <v>3</v>
      </c>
      <c r="GK6" s="6">
        <v>4</v>
      </c>
      <c r="GL6" s="6">
        <v>4</v>
      </c>
      <c r="GM6" s="6">
        <v>4</v>
      </c>
      <c r="GN6" s="6">
        <v>3</v>
      </c>
      <c r="GO6" s="6">
        <v>6</v>
      </c>
      <c r="GP6" s="6">
        <v>6</v>
      </c>
      <c r="GQ6" s="6">
        <v>4</v>
      </c>
      <c r="GR6" s="6">
        <v>6</v>
      </c>
      <c r="GS6" s="6">
        <v>3</v>
      </c>
      <c r="GT6" s="6">
        <v>10</v>
      </c>
      <c r="GU6" s="6">
        <v>5</v>
      </c>
      <c r="GV6" s="6">
        <v>9</v>
      </c>
      <c r="GW6" s="6">
        <v>7</v>
      </c>
      <c r="GX6" s="6">
        <v>5</v>
      </c>
      <c r="GY6" s="6">
        <v>4</v>
      </c>
      <c r="GZ6" s="6">
        <v>5</v>
      </c>
      <c r="HA6" s="6">
        <v>6</v>
      </c>
      <c r="HB6" s="6">
        <v>4</v>
      </c>
      <c r="HC6" s="6">
        <v>7</v>
      </c>
      <c r="HD6" s="6">
        <v>7</v>
      </c>
      <c r="HE6" s="6">
        <v>6</v>
      </c>
      <c r="HF6" s="6">
        <v>35</v>
      </c>
      <c r="HH6" s="7">
        <v>2</v>
      </c>
      <c r="HI6" s="6">
        <v>3</v>
      </c>
      <c r="HJ6" s="6">
        <v>4</v>
      </c>
      <c r="HK6" s="6">
        <v>5</v>
      </c>
      <c r="HL6" s="6">
        <v>2</v>
      </c>
      <c r="HM6" s="6">
        <v>2</v>
      </c>
      <c r="HN6" s="6">
        <v>2</v>
      </c>
      <c r="HO6" s="6">
        <v>2</v>
      </c>
      <c r="HP6" s="6">
        <v>5</v>
      </c>
      <c r="HQ6" s="6">
        <v>3</v>
      </c>
      <c r="HR6" s="6">
        <v>4</v>
      </c>
      <c r="HS6" s="6">
        <v>4</v>
      </c>
      <c r="HT6" s="6">
        <v>7</v>
      </c>
      <c r="HU6" s="6">
        <v>6</v>
      </c>
      <c r="HV6" s="6">
        <v>4</v>
      </c>
      <c r="HW6" s="6">
        <v>6</v>
      </c>
      <c r="HX6" s="6">
        <v>4</v>
      </c>
      <c r="HY6" s="6">
        <v>11</v>
      </c>
      <c r="HZ6" s="6">
        <v>4</v>
      </c>
      <c r="IA6" s="6">
        <v>8</v>
      </c>
      <c r="IB6" s="6">
        <v>7</v>
      </c>
      <c r="IC6" s="6">
        <v>4</v>
      </c>
      <c r="ID6" s="6">
        <v>5</v>
      </c>
      <c r="IE6" s="6">
        <v>5</v>
      </c>
      <c r="IF6" s="6">
        <v>6</v>
      </c>
      <c r="IG6" s="6">
        <v>4</v>
      </c>
      <c r="IH6" s="6">
        <v>9</v>
      </c>
      <c r="II6" s="6">
        <v>6</v>
      </c>
      <c r="IJ6" s="6">
        <v>3</v>
      </c>
      <c r="IK6" s="6">
        <v>35</v>
      </c>
    </row>
    <row r="7" spans="2:245" x14ac:dyDescent="0.25">
      <c r="B7" s="13">
        <v>3</v>
      </c>
      <c r="C7" s="6">
        <v>0</v>
      </c>
      <c r="D7" s="6">
        <v>3</v>
      </c>
      <c r="E7" s="6">
        <v>20</v>
      </c>
      <c r="F7" s="6">
        <v>0</v>
      </c>
      <c r="G7" s="6">
        <v>1</v>
      </c>
      <c r="H7" s="6">
        <v>0</v>
      </c>
      <c r="I7" s="6">
        <v>1</v>
      </c>
      <c r="J7" s="6">
        <v>25</v>
      </c>
      <c r="K7" s="6">
        <v>0</v>
      </c>
      <c r="L7" s="6">
        <v>1</v>
      </c>
      <c r="M7" s="6">
        <v>7</v>
      </c>
      <c r="N7" s="6">
        <v>4</v>
      </c>
      <c r="O7" s="6">
        <v>2</v>
      </c>
      <c r="P7" s="6">
        <v>9</v>
      </c>
      <c r="Q7" s="6">
        <v>40</v>
      </c>
      <c r="R7" s="6">
        <v>0</v>
      </c>
      <c r="S7" s="6">
        <v>20</v>
      </c>
      <c r="T7" s="6">
        <v>1</v>
      </c>
      <c r="U7" s="6">
        <v>2</v>
      </c>
      <c r="V7" s="6">
        <v>32</v>
      </c>
      <c r="W7" s="6">
        <v>40</v>
      </c>
      <c r="X7" s="6">
        <v>20</v>
      </c>
      <c r="Y7" s="6">
        <v>1</v>
      </c>
      <c r="Z7" s="6">
        <v>3</v>
      </c>
      <c r="AA7" s="6">
        <v>0</v>
      </c>
      <c r="AB7" s="6">
        <v>2</v>
      </c>
      <c r="AC7" s="6">
        <v>40</v>
      </c>
      <c r="AD7" s="6">
        <v>2</v>
      </c>
      <c r="AE7" s="6">
        <v>56</v>
      </c>
      <c r="AG7" s="6">
        <v>0</v>
      </c>
      <c r="AH7" s="6">
        <v>1</v>
      </c>
      <c r="AI7" s="6">
        <v>14</v>
      </c>
      <c r="AJ7" s="6">
        <v>0</v>
      </c>
      <c r="AK7" s="6">
        <v>0</v>
      </c>
      <c r="AL7" s="6">
        <v>0</v>
      </c>
      <c r="AM7" s="6">
        <v>0</v>
      </c>
      <c r="AN7" s="6">
        <v>20</v>
      </c>
      <c r="AO7" s="6">
        <v>0</v>
      </c>
      <c r="AP7" s="6">
        <v>0</v>
      </c>
      <c r="AQ7" s="6">
        <v>3</v>
      </c>
      <c r="AR7" s="6">
        <v>8</v>
      </c>
      <c r="AS7" s="6">
        <v>2</v>
      </c>
      <c r="AT7" s="6">
        <v>3</v>
      </c>
      <c r="AU7" s="6">
        <v>40</v>
      </c>
      <c r="AV7" s="6">
        <v>0</v>
      </c>
      <c r="AW7" s="6">
        <v>20</v>
      </c>
      <c r="AX7" s="6">
        <v>0</v>
      </c>
      <c r="AY7" s="6">
        <v>4</v>
      </c>
      <c r="AZ7" s="6">
        <v>33</v>
      </c>
      <c r="BA7" s="6">
        <v>40</v>
      </c>
      <c r="BB7" s="6">
        <v>10</v>
      </c>
      <c r="BC7" s="6">
        <v>1</v>
      </c>
      <c r="BD7" s="6">
        <v>7</v>
      </c>
      <c r="BE7" s="6">
        <v>0</v>
      </c>
      <c r="BF7" s="6">
        <v>3</v>
      </c>
      <c r="BG7" s="6">
        <v>35</v>
      </c>
      <c r="BH7" s="6">
        <v>2</v>
      </c>
      <c r="BI7" s="6">
        <v>52</v>
      </c>
      <c r="BK7" s="6">
        <v>0</v>
      </c>
      <c r="BL7" s="6">
        <v>0</v>
      </c>
      <c r="BM7" s="6">
        <v>16</v>
      </c>
      <c r="BN7" s="6">
        <v>0</v>
      </c>
      <c r="BO7" s="6">
        <v>1</v>
      </c>
      <c r="BP7" s="6">
        <v>1</v>
      </c>
      <c r="BQ7" s="6">
        <v>1</v>
      </c>
      <c r="BR7" s="6">
        <v>34</v>
      </c>
      <c r="BS7" s="6">
        <v>0</v>
      </c>
      <c r="BT7" s="6">
        <v>1</v>
      </c>
      <c r="BU7" s="6">
        <v>5</v>
      </c>
      <c r="BV7" s="6">
        <v>4</v>
      </c>
      <c r="BW7" s="6">
        <v>3</v>
      </c>
      <c r="BX7" s="6">
        <v>2</v>
      </c>
      <c r="BY7" s="6">
        <v>15</v>
      </c>
      <c r="BZ7" s="6">
        <v>0</v>
      </c>
      <c r="CA7" s="6">
        <v>6</v>
      </c>
      <c r="CB7" s="6">
        <v>3</v>
      </c>
      <c r="CC7" s="6">
        <v>2</v>
      </c>
      <c r="CD7" s="6">
        <v>19</v>
      </c>
      <c r="CE7" s="6">
        <v>17</v>
      </c>
      <c r="CF7" s="6">
        <v>13</v>
      </c>
      <c r="CG7" s="6">
        <v>2</v>
      </c>
      <c r="CH7" s="6">
        <v>4</v>
      </c>
      <c r="CI7" s="6">
        <v>0</v>
      </c>
      <c r="CJ7" s="6">
        <v>2</v>
      </c>
      <c r="CK7" s="6">
        <v>24</v>
      </c>
      <c r="CL7" s="6">
        <v>3</v>
      </c>
      <c r="CM7" s="6">
        <v>40</v>
      </c>
      <c r="CO7" s="6">
        <v>1</v>
      </c>
      <c r="CP7" s="6">
        <v>0</v>
      </c>
      <c r="CQ7" s="6">
        <v>7</v>
      </c>
      <c r="CR7" s="6">
        <v>0</v>
      </c>
      <c r="CS7" s="6">
        <v>2</v>
      </c>
      <c r="CT7" s="6">
        <v>3</v>
      </c>
      <c r="CU7" s="6">
        <v>2</v>
      </c>
      <c r="CV7" s="6">
        <v>33</v>
      </c>
      <c r="CW7" s="6">
        <v>0</v>
      </c>
      <c r="CX7" s="6">
        <v>0</v>
      </c>
      <c r="CY7" s="6">
        <v>1</v>
      </c>
      <c r="CZ7" s="6">
        <v>5</v>
      </c>
      <c r="DA7" s="6">
        <v>4</v>
      </c>
      <c r="DB7" s="6">
        <v>1</v>
      </c>
      <c r="DC7" s="6">
        <v>24</v>
      </c>
      <c r="DD7" s="6">
        <v>0</v>
      </c>
      <c r="DE7" s="6">
        <v>13</v>
      </c>
      <c r="DF7" s="6">
        <v>5</v>
      </c>
      <c r="DG7" s="6">
        <v>2</v>
      </c>
      <c r="DH7" s="6">
        <v>20</v>
      </c>
      <c r="DI7" s="6">
        <v>20</v>
      </c>
      <c r="DJ7" s="6">
        <v>20</v>
      </c>
      <c r="DK7" s="6">
        <v>5</v>
      </c>
      <c r="DL7" s="6">
        <v>14</v>
      </c>
      <c r="DM7" s="6">
        <v>0</v>
      </c>
      <c r="DN7" s="6">
        <v>1</v>
      </c>
      <c r="DO7" s="6">
        <v>20</v>
      </c>
      <c r="DP7" s="6">
        <v>3</v>
      </c>
      <c r="DQ7" s="6">
        <v>34</v>
      </c>
      <c r="DS7" s="12">
        <v>3</v>
      </c>
      <c r="DT7" s="6">
        <v>10</v>
      </c>
      <c r="DU7" s="6">
        <v>9</v>
      </c>
      <c r="DV7" s="6">
        <v>9</v>
      </c>
      <c r="DW7" s="6">
        <v>4</v>
      </c>
      <c r="DX7" s="6">
        <v>5</v>
      </c>
      <c r="DY7" s="6">
        <v>5</v>
      </c>
      <c r="DZ7" s="6">
        <v>3</v>
      </c>
      <c r="EA7" s="6">
        <v>10</v>
      </c>
      <c r="EB7" s="6">
        <v>6</v>
      </c>
      <c r="EC7" s="6">
        <v>5</v>
      </c>
      <c r="ED7" s="6">
        <v>6</v>
      </c>
      <c r="EE7" s="6">
        <v>11</v>
      </c>
      <c r="EF7" s="6">
        <v>10</v>
      </c>
      <c r="EG7" s="6">
        <v>7</v>
      </c>
      <c r="EH7" s="6">
        <v>12</v>
      </c>
      <c r="EI7" s="6">
        <v>6</v>
      </c>
      <c r="EJ7" s="6">
        <v>15</v>
      </c>
      <c r="EK7" s="6">
        <v>6</v>
      </c>
      <c r="EL7" s="6">
        <v>14</v>
      </c>
      <c r="EM7" s="6">
        <v>12</v>
      </c>
      <c r="EN7" s="6">
        <v>8</v>
      </c>
      <c r="EO7" s="6">
        <v>6</v>
      </c>
      <c r="EP7" s="6">
        <v>7</v>
      </c>
      <c r="EQ7" s="6">
        <v>10</v>
      </c>
      <c r="ER7" s="6">
        <v>6</v>
      </c>
      <c r="ES7" s="6">
        <v>14</v>
      </c>
      <c r="ET7" s="6">
        <v>9</v>
      </c>
      <c r="EU7" s="6">
        <v>11</v>
      </c>
      <c r="EV7" s="6">
        <v>48</v>
      </c>
      <c r="EX7" s="7">
        <v>3</v>
      </c>
      <c r="EY7" s="6">
        <v>4</v>
      </c>
      <c r="EZ7" s="6">
        <v>6</v>
      </c>
      <c r="FA7" s="6">
        <v>10</v>
      </c>
      <c r="FB7" s="6">
        <v>4</v>
      </c>
      <c r="FC7" s="6">
        <v>4</v>
      </c>
      <c r="FD7" s="6">
        <v>4</v>
      </c>
      <c r="FE7" s="6">
        <v>3</v>
      </c>
      <c r="FF7" s="6">
        <v>8</v>
      </c>
      <c r="FG7" s="6">
        <v>3</v>
      </c>
      <c r="FH7" s="6">
        <v>5</v>
      </c>
      <c r="FI7" s="6">
        <v>7</v>
      </c>
      <c r="FJ7" s="6">
        <v>10</v>
      </c>
      <c r="FK7" s="6">
        <v>10</v>
      </c>
      <c r="FL7" s="6">
        <v>7</v>
      </c>
      <c r="FM7" s="6">
        <v>10</v>
      </c>
      <c r="FN7" s="6">
        <v>6</v>
      </c>
      <c r="FO7" s="6">
        <v>17</v>
      </c>
      <c r="FP7" s="6">
        <v>6</v>
      </c>
      <c r="FQ7" s="6">
        <v>14</v>
      </c>
      <c r="FR7" s="6">
        <v>14</v>
      </c>
      <c r="FS7" s="6">
        <v>7</v>
      </c>
      <c r="FT7" s="6">
        <v>7</v>
      </c>
      <c r="FU7" s="6">
        <v>6</v>
      </c>
      <c r="FV7" s="6">
        <v>9</v>
      </c>
      <c r="FW7" s="6">
        <v>7</v>
      </c>
      <c r="FX7" s="6">
        <v>15</v>
      </c>
      <c r="FY7" s="6">
        <v>10</v>
      </c>
      <c r="FZ7" s="6">
        <v>13</v>
      </c>
      <c r="GA7" s="6">
        <v>46</v>
      </c>
      <c r="GC7" s="7">
        <v>3</v>
      </c>
      <c r="GD7" s="6">
        <v>8</v>
      </c>
      <c r="GE7" s="6">
        <v>5</v>
      </c>
      <c r="GF7" s="6">
        <v>8</v>
      </c>
      <c r="GG7" s="6">
        <v>4</v>
      </c>
      <c r="GH7" s="6">
        <v>4</v>
      </c>
      <c r="GI7" s="6">
        <v>8</v>
      </c>
      <c r="GJ7" s="6">
        <v>5</v>
      </c>
      <c r="GK7" s="6">
        <v>9</v>
      </c>
      <c r="GL7" s="6">
        <v>6</v>
      </c>
      <c r="GM7" s="6">
        <v>7</v>
      </c>
      <c r="GN7" s="6">
        <v>5</v>
      </c>
      <c r="GO7" s="6">
        <v>8</v>
      </c>
      <c r="GP7" s="6">
        <v>9</v>
      </c>
      <c r="GQ7" s="6">
        <v>6</v>
      </c>
      <c r="GR7" s="6">
        <v>9</v>
      </c>
      <c r="GS7" s="6">
        <v>5</v>
      </c>
      <c r="GT7" s="6">
        <v>15</v>
      </c>
      <c r="GU7" s="6">
        <v>7</v>
      </c>
      <c r="GV7" s="6">
        <v>14</v>
      </c>
      <c r="GW7" s="6">
        <v>11</v>
      </c>
      <c r="GX7" s="6">
        <v>7</v>
      </c>
      <c r="GY7" s="6">
        <v>6</v>
      </c>
      <c r="GZ7" s="6">
        <v>7</v>
      </c>
      <c r="HA7" s="6">
        <v>9</v>
      </c>
      <c r="HB7" s="6">
        <v>6</v>
      </c>
      <c r="HC7" s="6">
        <v>11</v>
      </c>
      <c r="HD7" s="6">
        <v>10</v>
      </c>
      <c r="HE7" s="6">
        <v>12</v>
      </c>
      <c r="HF7" s="6">
        <v>39</v>
      </c>
      <c r="HH7" s="7">
        <v>3</v>
      </c>
      <c r="HI7" s="6">
        <v>5</v>
      </c>
      <c r="HJ7" s="6">
        <v>8</v>
      </c>
      <c r="HK7" s="6">
        <v>9</v>
      </c>
      <c r="HL7" s="6">
        <v>4</v>
      </c>
      <c r="HM7" s="6">
        <v>3</v>
      </c>
      <c r="HN7" s="6">
        <v>4</v>
      </c>
      <c r="HO7" s="6">
        <v>4</v>
      </c>
      <c r="HP7" s="6">
        <v>9</v>
      </c>
      <c r="HQ7" s="6">
        <v>4</v>
      </c>
      <c r="HR7" s="6">
        <v>6</v>
      </c>
      <c r="HS7" s="6">
        <v>6</v>
      </c>
      <c r="HT7" s="6">
        <v>10</v>
      </c>
      <c r="HU7" s="6">
        <v>8</v>
      </c>
      <c r="HV7" s="6">
        <v>6</v>
      </c>
      <c r="HW7" s="6">
        <v>9</v>
      </c>
      <c r="HX7" s="6">
        <v>5</v>
      </c>
      <c r="HY7" s="6">
        <v>17</v>
      </c>
      <c r="HZ7" s="6">
        <v>7</v>
      </c>
      <c r="IA7" s="6">
        <v>11</v>
      </c>
      <c r="IB7" s="6">
        <v>10</v>
      </c>
      <c r="IC7" s="6">
        <v>6</v>
      </c>
      <c r="ID7" s="6">
        <v>7</v>
      </c>
      <c r="IE7" s="6">
        <v>7</v>
      </c>
      <c r="IF7" s="6">
        <v>9</v>
      </c>
      <c r="IG7" s="6">
        <v>6</v>
      </c>
      <c r="IH7" s="6">
        <v>14</v>
      </c>
      <c r="II7" s="6">
        <v>9</v>
      </c>
      <c r="IJ7" s="6">
        <v>5</v>
      </c>
      <c r="IK7" s="6">
        <v>41</v>
      </c>
    </row>
    <row r="8" spans="2:245" x14ac:dyDescent="0.25">
      <c r="B8" s="13">
        <v>4</v>
      </c>
      <c r="C8" s="6">
        <v>0</v>
      </c>
      <c r="D8" s="6">
        <v>4</v>
      </c>
      <c r="E8" s="6">
        <v>25</v>
      </c>
      <c r="F8" s="6">
        <v>0</v>
      </c>
      <c r="G8" s="6">
        <v>1</v>
      </c>
      <c r="H8" s="6">
        <v>0</v>
      </c>
      <c r="I8" s="6">
        <v>2</v>
      </c>
      <c r="J8" s="6">
        <v>30</v>
      </c>
      <c r="K8" s="6">
        <v>0</v>
      </c>
      <c r="L8" s="6">
        <v>3</v>
      </c>
      <c r="M8" s="6">
        <v>10</v>
      </c>
      <c r="N8" s="6">
        <v>19</v>
      </c>
      <c r="O8" s="6">
        <v>3</v>
      </c>
      <c r="P8" s="6">
        <v>14</v>
      </c>
      <c r="Q8" s="6">
        <v>44</v>
      </c>
      <c r="R8" s="6">
        <v>0</v>
      </c>
      <c r="S8" s="6">
        <v>25</v>
      </c>
      <c r="T8" s="6">
        <v>1</v>
      </c>
      <c r="U8" s="6">
        <v>3</v>
      </c>
      <c r="V8" s="6">
        <v>40</v>
      </c>
      <c r="W8" s="6">
        <v>44</v>
      </c>
      <c r="X8" s="6">
        <v>25</v>
      </c>
      <c r="Y8" s="6">
        <v>1</v>
      </c>
      <c r="Z8" s="6">
        <v>6</v>
      </c>
      <c r="AA8" s="6">
        <v>0</v>
      </c>
      <c r="AB8" s="6">
        <v>5</v>
      </c>
      <c r="AC8" s="6">
        <v>44</v>
      </c>
      <c r="AD8" s="6">
        <v>7</v>
      </c>
      <c r="AE8" s="6">
        <v>63</v>
      </c>
      <c r="AG8" s="6">
        <v>0</v>
      </c>
      <c r="AH8" s="6">
        <v>1</v>
      </c>
      <c r="AI8" s="6">
        <v>20</v>
      </c>
      <c r="AJ8" s="6">
        <v>0</v>
      </c>
      <c r="AK8" s="6">
        <v>2</v>
      </c>
      <c r="AL8" s="6">
        <v>0</v>
      </c>
      <c r="AM8" s="6">
        <v>0</v>
      </c>
      <c r="AN8" s="6">
        <v>25</v>
      </c>
      <c r="AO8" s="6">
        <v>0</v>
      </c>
      <c r="AP8" s="6">
        <v>0</v>
      </c>
      <c r="AQ8" s="6">
        <v>4</v>
      </c>
      <c r="AR8" s="6">
        <v>18</v>
      </c>
      <c r="AS8" s="6">
        <v>2</v>
      </c>
      <c r="AT8" s="6">
        <v>6</v>
      </c>
      <c r="AU8" s="6">
        <v>42</v>
      </c>
      <c r="AV8" s="6">
        <v>0</v>
      </c>
      <c r="AW8" s="6">
        <v>29</v>
      </c>
      <c r="AX8" s="6">
        <v>0</v>
      </c>
      <c r="AY8" s="6">
        <v>4</v>
      </c>
      <c r="AZ8" s="6">
        <v>40</v>
      </c>
      <c r="BA8" s="6">
        <v>43</v>
      </c>
      <c r="BB8" s="6">
        <v>14</v>
      </c>
      <c r="BC8" s="6">
        <v>1</v>
      </c>
      <c r="BD8" s="6">
        <v>7</v>
      </c>
      <c r="BE8" s="6">
        <v>0</v>
      </c>
      <c r="BF8" s="6">
        <v>10</v>
      </c>
      <c r="BG8" s="6">
        <v>40</v>
      </c>
      <c r="BH8" s="6">
        <v>2</v>
      </c>
      <c r="BI8" s="6">
        <v>61</v>
      </c>
      <c r="BK8" s="6">
        <v>0</v>
      </c>
      <c r="BL8" s="6">
        <v>0</v>
      </c>
      <c r="BM8" s="6">
        <v>20</v>
      </c>
      <c r="BN8" s="6">
        <v>0</v>
      </c>
      <c r="BO8" s="6">
        <v>1</v>
      </c>
      <c r="BP8" s="6">
        <v>3</v>
      </c>
      <c r="BQ8" s="6">
        <v>1</v>
      </c>
      <c r="BR8" s="6">
        <v>40</v>
      </c>
      <c r="BS8" s="6">
        <v>0</v>
      </c>
      <c r="BT8" s="6">
        <v>2</v>
      </c>
      <c r="BU8" s="6">
        <v>6</v>
      </c>
      <c r="BV8" s="6">
        <v>8</v>
      </c>
      <c r="BW8" s="6">
        <v>4</v>
      </c>
      <c r="BX8" s="6">
        <v>3</v>
      </c>
      <c r="BY8" s="6">
        <v>19</v>
      </c>
      <c r="BZ8" s="6">
        <v>0</v>
      </c>
      <c r="CA8" s="6">
        <v>11</v>
      </c>
      <c r="CB8" s="6">
        <v>4</v>
      </c>
      <c r="CC8" s="6">
        <v>3</v>
      </c>
      <c r="CD8" s="6">
        <v>25</v>
      </c>
      <c r="CE8" s="6">
        <v>22</v>
      </c>
      <c r="CF8" s="6">
        <v>20</v>
      </c>
      <c r="CG8" s="6">
        <v>3</v>
      </c>
      <c r="CH8" s="6">
        <v>8</v>
      </c>
      <c r="CI8" s="6">
        <v>0</v>
      </c>
      <c r="CJ8" s="6">
        <v>3</v>
      </c>
      <c r="CK8" s="6">
        <v>28</v>
      </c>
      <c r="CL8" s="6">
        <v>6</v>
      </c>
      <c r="CM8" s="6">
        <v>44</v>
      </c>
      <c r="CO8" s="6">
        <v>1</v>
      </c>
      <c r="CP8" s="6">
        <v>0</v>
      </c>
      <c r="CQ8" s="6">
        <v>9</v>
      </c>
      <c r="CR8" s="6">
        <v>0</v>
      </c>
      <c r="CS8" s="6">
        <v>2</v>
      </c>
      <c r="CT8" s="6">
        <v>5</v>
      </c>
      <c r="CU8" s="6">
        <v>2</v>
      </c>
      <c r="CV8" s="6">
        <v>40</v>
      </c>
      <c r="CW8" s="6">
        <v>0</v>
      </c>
      <c r="CX8" s="6">
        <v>0</v>
      </c>
      <c r="CY8" s="6">
        <v>1</v>
      </c>
      <c r="CZ8" s="6">
        <v>12</v>
      </c>
      <c r="DA8" s="6">
        <v>5</v>
      </c>
      <c r="DB8" s="6">
        <v>3</v>
      </c>
      <c r="DC8" s="6">
        <v>26</v>
      </c>
      <c r="DD8" s="6">
        <v>0</v>
      </c>
      <c r="DE8" s="6">
        <v>20</v>
      </c>
      <c r="DF8" s="6">
        <v>9</v>
      </c>
      <c r="DG8" s="6">
        <v>3</v>
      </c>
      <c r="DH8" s="6">
        <v>24</v>
      </c>
      <c r="DI8" s="6">
        <v>23</v>
      </c>
      <c r="DJ8" s="6">
        <v>25</v>
      </c>
      <c r="DK8" s="6">
        <v>6</v>
      </c>
      <c r="DL8" s="6">
        <v>20</v>
      </c>
      <c r="DM8" s="6">
        <v>0</v>
      </c>
      <c r="DN8" s="6">
        <v>1</v>
      </c>
      <c r="DO8" s="6">
        <v>23</v>
      </c>
      <c r="DP8" s="6">
        <v>7</v>
      </c>
      <c r="DQ8" s="6">
        <v>39</v>
      </c>
      <c r="DS8" s="12">
        <v>4</v>
      </c>
      <c r="DT8" s="6">
        <v>14</v>
      </c>
      <c r="DU8" s="6">
        <v>12</v>
      </c>
      <c r="DV8" s="6">
        <v>12</v>
      </c>
      <c r="DW8" s="6">
        <v>9</v>
      </c>
      <c r="DX8" s="6">
        <v>8</v>
      </c>
      <c r="DY8" s="6">
        <v>8</v>
      </c>
      <c r="DZ8" s="6">
        <v>4</v>
      </c>
      <c r="EA8" s="6">
        <v>13</v>
      </c>
      <c r="EB8" s="6">
        <v>9</v>
      </c>
      <c r="EC8" s="6">
        <v>8</v>
      </c>
      <c r="ED8" s="6">
        <v>9</v>
      </c>
      <c r="EE8" s="6">
        <v>14</v>
      </c>
      <c r="EF8" s="6">
        <v>13</v>
      </c>
      <c r="EG8" s="6">
        <v>9</v>
      </c>
      <c r="EH8" s="6">
        <v>16</v>
      </c>
      <c r="EI8" s="6">
        <v>7</v>
      </c>
      <c r="EJ8" s="6">
        <v>21</v>
      </c>
      <c r="EK8" s="6">
        <v>8</v>
      </c>
      <c r="EL8" s="6">
        <v>18</v>
      </c>
      <c r="EM8" s="6">
        <v>16</v>
      </c>
      <c r="EN8" s="6">
        <v>10</v>
      </c>
      <c r="EO8" s="6">
        <v>8</v>
      </c>
      <c r="EP8" s="6">
        <v>9</v>
      </c>
      <c r="EQ8" s="6">
        <v>14</v>
      </c>
      <c r="ER8" s="6">
        <v>8</v>
      </c>
      <c r="ES8" s="6">
        <v>18</v>
      </c>
      <c r="ET8" s="6">
        <v>13</v>
      </c>
      <c r="EU8" s="6">
        <v>15</v>
      </c>
      <c r="EV8" s="6">
        <v>55</v>
      </c>
      <c r="EX8" s="7">
        <v>4</v>
      </c>
      <c r="EY8" s="6">
        <v>6</v>
      </c>
      <c r="EZ8" s="6">
        <v>9</v>
      </c>
      <c r="FA8" s="6">
        <v>15</v>
      </c>
      <c r="FB8" s="6">
        <v>6</v>
      </c>
      <c r="FC8" s="6">
        <v>5</v>
      </c>
      <c r="FD8" s="6">
        <v>5</v>
      </c>
      <c r="FE8" s="6">
        <v>4</v>
      </c>
      <c r="FF8" s="6">
        <v>11</v>
      </c>
      <c r="FG8" s="6">
        <v>5</v>
      </c>
      <c r="FH8" s="6">
        <v>7</v>
      </c>
      <c r="FI8" s="6">
        <v>9</v>
      </c>
      <c r="FJ8" s="6">
        <v>14</v>
      </c>
      <c r="FK8" s="6">
        <v>13</v>
      </c>
      <c r="FL8" s="6">
        <v>9</v>
      </c>
      <c r="FM8" s="6">
        <v>14</v>
      </c>
      <c r="FN8" s="6">
        <v>8</v>
      </c>
      <c r="FO8" s="6">
        <v>22</v>
      </c>
      <c r="FP8" s="6">
        <v>8</v>
      </c>
      <c r="FQ8" s="6">
        <v>18</v>
      </c>
      <c r="FR8" s="6">
        <v>19</v>
      </c>
      <c r="FS8" s="6">
        <v>10</v>
      </c>
      <c r="FT8" s="6">
        <v>9</v>
      </c>
      <c r="FU8" s="6">
        <v>8</v>
      </c>
      <c r="FV8" s="6">
        <v>12</v>
      </c>
      <c r="FW8" s="6">
        <v>9</v>
      </c>
      <c r="FX8" s="6">
        <v>21</v>
      </c>
      <c r="FY8" s="6">
        <v>13</v>
      </c>
      <c r="FZ8" s="6">
        <v>17</v>
      </c>
      <c r="GA8" s="6">
        <v>52</v>
      </c>
      <c r="GC8" s="7">
        <v>4</v>
      </c>
      <c r="GD8" s="6">
        <v>12</v>
      </c>
      <c r="GE8" s="6">
        <v>7</v>
      </c>
      <c r="GF8" s="6">
        <v>11</v>
      </c>
      <c r="GG8" s="6">
        <v>6</v>
      </c>
      <c r="GH8" s="6">
        <v>6</v>
      </c>
      <c r="GI8" s="6">
        <v>10</v>
      </c>
      <c r="GJ8" s="6">
        <v>7</v>
      </c>
      <c r="GK8" s="6">
        <v>12</v>
      </c>
      <c r="GL8" s="6">
        <v>8</v>
      </c>
      <c r="GM8" s="6">
        <v>9</v>
      </c>
      <c r="GN8" s="6">
        <v>7</v>
      </c>
      <c r="GO8" s="6">
        <v>11</v>
      </c>
      <c r="GP8" s="6">
        <v>12</v>
      </c>
      <c r="GQ8" s="6">
        <v>7</v>
      </c>
      <c r="GR8" s="6">
        <v>12</v>
      </c>
      <c r="GS8" s="6">
        <v>7</v>
      </c>
      <c r="GT8" s="6">
        <v>21</v>
      </c>
      <c r="GU8" s="6">
        <v>9</v>
      </c>
      <c r="GV8" s="6">
        <v>18</v>
      </c>
      <c r="GW8" s="6">
        <v>14</v>
      </c>
      <c r="GX8" s="6">
        <v>9</v>
      </c>
      <c r="GY8" s="6">
        <v>8</v>
      </c>
      <c r="GZ8" s="6">
        <v>10</v>
      </c>
      <c r="HA8" s="6">
        <v>13</v>
      </c>
      <c r="HB8" s="6">
        <v>8</v>
      </c>
      <c r="HC8" s="6">
        <v>14</v>
      </c>
      <c r="HD8" s="6">
        <v>14</v>
      </c>
      <c r="HE8" s="6">
        <v>19</v>
      </c>
      <c r="HF8" s="6">
        <v>43</v>
      </c>
      <c r="HH8" s="7">
        <v>4</v>
      </c>
      <c r="HI8" s="6">
        <v>7</v>
      </c>
      <c r="HJ8" s="6">
        <v>12</v>
      </c>
      <c r="HK8" s="6">
        <v>11</v>
      </c>
      <c r="HL8" s="6">
        <v>6</v>
      </c>
      <c r="HM8" s="6">
        <v>5</v>
      </c>
      <c r="HN8" s="6">
        <v>6</v>
      </c>
      <c r="HO8" s="6">
        <v>8</v>
      </c>
      <c r="HP8" s="6">
        <v>12</v>
      </c>
      <c r="HQ8" s="6">
        <v>5</v>
      </c>
      <c r="HR8" s="6">
        <v>10</v>
      </c>
      <c r="HS8" s="6">
        <v>8</v>
      </c>
      <c r="HT8" s="6">
        <v>13</v>
      </c>
      <c r="HU8" s="6">
        <v>11</v>
      </c>
      <c r="HV8" s="6">
        <v>8</v>
      </c>
      <c r="HW8" s="6">
        <v>12</v>
      </c>
      <c r="HX8" s="6">
        <v>7</v>
      </c>
      <c r="HY8" s="6">
        <v>22</v>
      </c>
      <c r="HZ8" s="6">
        <v>9</v>
      </c>
      <c r="IA8" s="6">
        <v>15</v>
      </c>
      <c r="IB8" s="6">
        <v>14</v>
      </c>
      <c r="IC8" s="6">
        <v>8</v>
      </c>
      <c r="ID8" s="6">
        <v>9</v>
      </c>
      <c r="IE8" s="6">
        <v>9</v>
      </c>
      <c r="IF8" s="6">
        <v>12</v>
      </c>
      <c r="IG8" s="6">
        <v>8</v>
      </c>
      <c r="IH8" s="6">
        <v>18</v>
      </c>
      <c r="II8" s="6">
        <v>12</v>
      </c>
      <c r="IJ8" s="6">
        <v>10</v>
      </c>
      <c r="IK8" s="6">
        <v>47</v>
      </c>
    </row>
    <row r="9" spans="2:245" x14ac:dyDescent="0.25">
      <c r="B9" s="13">
        <v>5</v>
      </c>
      <c r="C9" s="6">
        <v>0</v>
      </c>
      <c r="D9" s="6">
        <v>7</v>
      </c>
      <c r="E9" s="6">
        <v>31</v>
      </c>
      <c r="F9" s="6">
        <v>0</v>
      </c>
      <c r="G9" s="6">
        <v>1</v>
      </c>
      <c r="H9" s="6">
        <v>1</v>
      </c>
      <c r="I9" s="6">
        <v>2</v>
      </c>
      <c r="J9" s="6">
        <v>34</v>
      </c>
      <c r="K9" s="6">
        <v>0</v>
      </c>
      <c r="L9" s="6">
        <v>5</v>
      </c>
      <c r="M9" s="6">
        <v>13</v>
      </c>
      <c r="N9" s="6">
        <v>19</v>
      </c>
      <c r="O9" s="6">
        <v>9</v>
      </c>
      <c r="P9" s="6">
        <v>20</v>
      </c>
      <c r="Q9" s="6">
        <v>46</v>
      </c>
      <c r="R9" s="6">
        <v>0</v>
      </c>
      <c r="S9" s="6">
        <v>31</v>
      </c>
      <c r="T9" s="6">
        <v>2</v>
      </c>
      <c r="U9" s="6">
        <v>5</v>
      </c>
      <c r="V9" s="6">
        <v>45</v>
      </c>
      <c r="W9" s="6">
        <v>48</v>
      </c>
      <c r="X9" s="6">
        <v>32</v>
      </c>
      <c r="Y9" s="6">
        <v>2</v>
      </c>
      <c r="Z9" s="6">
        <v>7</v>
      </c>
      <c r="AA9" s="6">
        <v>0</v>
      </c>
      <c r="AB9" s="6">
        <v>10</v>
      </c>
      <c r="AC9" s="6">
        <v>47</v>
      </c>
      <c r="AD9" s="6">
        <v>13</v>
      </c>
      <c r="AE9" s="6">
        <v>68</v>
      </c>
      <c r="AG9" s="6">
        <v>0</v>
      </c>
      <c r="AH9" s="6">
        <v>3</v>
      </c>
      <c r="AI9" s="6">
        <v>23</v>
      </c>
      <c r="AJ9" s="6">
        <v>0</v>
      </c>
      <c r="AK9" s="6">
        <v>2</v>
      </c>
      <c r="AL9" s="6">
        <v>0</v>
      </c>
      <c r="AM9" s="6">
        <v>0</v>
      </c>
      <c r="AN9" s="6">
        <v>27</v>
      </c>
      <c r="AO9" s="6">
        <v>0</v>
      </c>
      <c r="AP9" s="6">
        <v>0</v>
      </c>
      <c r="AQ9" s="6">
        <v>10</v>
      </c>
      <c r="AR9" s="6">
        <v>20</v>
      </c>
      <c r="AS9" s="6">
        <v>6</v>
      </c>
      <c r="AT9" s="6">
        <v>10</v>
      </c>
      <c r="AU9" s="6">
        <v>46</v>
      </c>
      <c r="AV9" s="6">
        <v>0</v>
      </c>
      <c r="AW9" s="6">
        <v>34</v>
      </c>
      <c r="AX9" s="6">
        <v>0</v>
      </c>
      <c r="AY9" s="6">
        <v>6</v>
      </c>
      <c r="AZ9" s="6">
        <v>45</v>
      </c>
      <c r="BA9" s="6">
        <v>47</v>
      </c>
      <c r="BB9" s="6">
        <v>20</v>
      </c>
      <c r="BC9" s="6">
        <v>1</v>
      </c>
      <c r="BD9" s="6">
        <v>10</v>
      </c>
      <c r="BE9" s="6">
        <v>1</v>
      </c>
      <c r="BF9" s="6">
        <v>13</v>
      </c>
      <c r="BG9" s="6">
        <v>43</v>
      </c>
      <c r="BH9" s="6">
        <v>15</v>
      </c>
      <c r="BI9" s="6">
        <v>66</v>
      </c>
      <c r="BK9" s="6">
        <v>0</v>
      </c>
      <c r="BL9" s="6">
        <v>1</v>
      </c>
      <c r="BM9" s="6">
        <v>21</v>
      </c>
      <c r="BN9" s="6">
        <v>0</v>
      </c>
      <c r="BO9" s="6">
        <v>1</v>
      </c>
      <c r="BP9" s="6">
        <v>4</v>
      </c>
      <c r="BQ9" s="6">
        <v>2</v>
      </c>
      <c r="BR9" s="6">
        <v>42</v>
      </c>
      <c r="BS9" s="6">
        <v>0</v>
      </c>
      <c r="BT9" s="6">
        <v>5</v>
      </c>
      <c r="BU9" s="6">
        <v>7</v>
      </c>
      <c r="BV9" s="6">
        <v>9</v>
      </c>
      <c r="BW9" s="6">
        <v>6</v>
      </c>
      <c r="BX9" s="6">
        <v>4</v>
      </c>
      <c r="BY9" s="6">
        <v>23</v>
      </c>
      <c r="BZ9" s="6">
        <v>0</v>
      </c>
      <c r="CA9" s="6">
        <v>19</v>
      </c>
      <c r="CB9" s="6">
        <v>6</v>
      </c>
      <c r="CC9" s="6">
        <v>5</v>
      </c>
      <c r="CD9" s="6">
        <v>33</v>
      </c>
      <c r="CE9" s="6">
        <v>29</v>
      </c>
      <c r="CF9" s="6">
        <v>26</v>
      </c>
      <c r="CG9" s="6">
        <v>4</v>
      </c>
      <c r="CH9" s="6">
        <v>14</v>
      </c>
      <c r="CI9" s="6">
        <v>0</v>
      </c>
      <c r="CJ9" s="6">
        <v>4</v>
      </c>
      <c r="CK9" s="6">
        <v>33</v>
      </c>
      <c r="CL9" s="6">
        <v>12</v>
      </c>
      <c r="CM9" s="6">
        <v>49</v>
      </c>
      <c r="CO9" s="6">
        <v>1</v>
      </c>
      <c r="CP9" s="6">
        <v>1</v>
      </c>
      <c r="CQ9" s="6">
        <v>13</v>
      </c>
      <c r="CR9" s="6">
        <v>0</v>
      </c>
      <c r="CS9" s="6">
        <v>3</v>
      </c>
      <c r="CT9" s="6">
        <v>8</v>
      </c>
      <c r="CU9" s="6">
        <v>3</v>
      </c>
      <c r="CV9" s="6">
        <v>42</v>
      </c>
      <c r="CW9" s="6">
        <v>0</v>
      </c>
      <c r="CX9" s="6">
        <v>0</v>
      </c>
      <c r="CY9" s="6">
        <v>2</v>
      </c>
      <c r="CZ9" s="6">
        <v>12</v>
      </c>
      <c r="DA9" s="6">
        <v>7</v>
      </c>
      <c r="DB9" s="6">
        <v>3</v>
      </c>
      <c r="DC9" s="6">
        <v>29</v>
      </c>
      <c r="DD9" s="6">
        <v>0</v>
      </c>
      <c r="DE9" s="6">
        <v>25</v>
      </c>
      <c r="DF9" s="6">
        <v>15</v>
      </c>
      <c r="DG9" s="6">
        <v>8</v>
      </c>
      <c r="DH9" s="6">
        <v>26</v>
      </c>
      <c r="DI9" s="6">
        <v>28</v>
      </c>
      <c r="DJ9" s="6">
        <v>30</v>
      </c>
      <c r="DK9" s="6">
        <v>13</v>
      </c>
      <c r="DL9" s="6">
        <v>23</v>
      </c>
      <c r="DM9" s="6">
        <v>0</v>
      </c>
      <c r="DN9" s="6">
        <v>2</v>
      </c>
      <c r="DO9" s="6">
        <v>26</v>
      </c>
      <c r="DP9" s="6">
        <v>22</v>
      </c>
      <c r="DQ9" s="6">
        <v>43</v>
      </c>
      <c r="DS9" s="12">
        <v>5</v>
      </c>
      <c r="DT9" s="6">
        <v>17</v>
      </c>
      <c r="DU9" s="6">
        <v>15</v>
      </c>
      <c r="DV9" s="6">
        <v>16</v>
      </c>
      <c r="DW9" s="6">
        <v>12</v>
      </c>
      <c r="DX9" s="6">
        <v>11</v>
      </c>
      <c r="DY9" s="6">
        <v>10</v>
      </c>
      <c r="DZ9" s="6">
        <v>6</v>
      </c>
      <c r="EA9" s="6">
        <v>16</v>
      </c>
      <c r="EB9" s="6">
        <v>12</v>
      </c>
      <c r="EC9" s="6">
        <v>11</v>
      </c>
      <c r="ED9" s="6">
        <v>12</v>
      </c>
      <c r="EE9" s="6">
        <v>18</v>
      </c>
      <c r="EF9" s="6">
        <v>16</v>
      </c>
      <c r="EG9" s="6">
        <v>11</v>
      </c>
      <c r="EH9" s="6">
        <v>20</v>
      </c>
      <c r="EI9" s="6">
        <v>9</v>
      </c>
      <c r="EJ9" s="6">
        <v>26</v>
      </c>
      <c r="EK9" s="6">
        <v>10</v>
      </c>
      <c r="EL9" s="6">
        <v>23</v>
      </c>
      <c r="EM9" s="6">
        <v>20</v>
      </c>
      <c r="EN9" s="6">
        <v>13</v>
      </c>
      <c r="EO9" s="6">
        <v>11</v>
      </c>
      <c r="EP9" s="6">
        <v>11</v>
      </c>
      <c r="EQ9" s="6">
        <v>17</v>
      </c>
      <c r="ER9" s="6">
        <v>11</v>
      </c>
      <c r="ES9" s="6">
        <v>23</v>
      </c>
      <c r="ET9" s="6">
        <v>16</v>
      </c>
      <c r="EU9" s="6">
        <v>20</v>
      </c>
      <c r="EV9" s="6">
        <v>60</v>
      </c>
      <c r="EX9" s="7">
        <v>5</v>
      </c>
      <c r="EY9" s="6">
        <v>8</v>
      </c>
      <c r="EZ9" s="6">
        <v>12</v>
      </c>
      <c r="FA9" s="6">
        <v>20</v>
      </c>
      <c r="FB9" s="6">
        <v>8</v>
      </c>
      <c r="FC9" s="6">
        <v>7</v>
      </c>
      <c r="FD9" s="6">
        <v>7</v>
      </c>
      <c r="FE9" s="6">
        <v>6</v>
      </c>
      <c r="FF9" s="6">
        <v>14</v>
      </c>
      <c r="FG9" s="6">
        <v>6</v>
      </c>
      <c r="FH9" s="6">
        <v>11</v>
      </c>
      <c r="FI9" s="6">
        <v>12</v>
      </c>
      <c r="FJ9" s="6">
        <v>17</v>
      </c>
      <c r="FK9" s="6">
        <v>16</v>
      </c>
      <c r="FL9" s="6">
        <v>11</v>
      </c>
      <c r="FM9" s="6">
        <v>17</v>
      </c>
      <c r="FN9" s="6">
        <v>10</v>
      </c>
      <c r="FO9" s="6">
        <v>28</v>
      </c>
      <c r="FP9" s="6">
        <v>10</v>
      </c>
      <c r="FQ9" s="6">
        <v>23</v>
      </c>
      <c r="FR9" s="6">
        <v>24</v>
      </c>
      <c r="FS9" s="6">
        <v>12</v>
      </c>
      <c r="FT9" s="6">
        <v>11</v>
      </c>
      <c r="FU9" s="6">
        <v>11</v>
      </c>
      <c r="FV9" s="6">
        <v>15</v>
      </c>
      <c r="FW9" s="6">
        <v>11</v>
      </c>
      <c r="FX9" s="6">
        <v>26</v>
      </c>
      <c r="FY9" s="6">
        <v>16</v>
      </c>
      <c r="FZ9" s="6">
        <v>22</v>
      </c>
      <c r="GA9" s="6">
        <v>57</v>
      </c>
      <c r="GC9" s="7">
        <v>5</v>
      </c>
      <c r="GD9" s="6">
        <v>15</v>
      </c>
      <c r="GE9" s="6">
        <v>9</v>
      </c>
      <c r="GF9" s="6">
        <v>14</v>
      </c>
      <c r="GG9" s="6">
        <v>9</v>
      </c>
      <c r="GH9" s="6">
        <v>8</v>
      </c>
      <c r="GI9" s="6">
        <v>12</v>
      </c>
      <c r="GJ9" s="6">
        <v>10</v>
      </c>
      <c r="GK9" s="6">
        <v>14</v>
      </c>
      <c r="GL9" s="6">
        <v>10</v>
      </c>
      <c r="GM9" s="6">
        <v>11</v>
      </c>
      <c r="GN9" s="6">
        <v>9</v>
      </c>
      <c r="GO9" s="6">
        <v>14</v>
      </c>
      <c r="GP9" s="6">
        <v>14</v>
      </c>
      <c r="GQ9" s="6">
        <v>9</v>
      </c>
      <c r="GR9" s="6">
        <v>14</v>
      </c>
      <c r="GS9" s="6">
        <v>8</v>
      </c>
      <c r="GT9" s="6">
        <v>26</v>
      </c>
      <c r="GU9" s="6">
        <v>12</v>
      </c>
      <c r="GV9" s="6">
        <v>23</v>
      </c>
      <c r="GW9" s="6">
        <v>18</v>
      </c>
      <c r="GX9" s="6">
        <v>12</v>
      </c>
      <c r="GY9" s="6">
        <v>11</v>
      </c>
      <c r="GZ9" s="6">
        <v>12</v>
      </c>
      <c r="HA9" s="6">
        <v>16</v>
      </c>
      <c r="HB9" s="6">
        <v>10</v>
      </c>
      <c r="HC9" s="6">
        <v>18</v>
      </c>
      <c r="HD9" s="6">
        <v>17</v>
      </c>
      <c r="HE9" s="6">
        <v>24</v>
      </c>
      <c r="HF9" s="6">
        <v>47</v>
      </c>
      <c r="HH9" s="7">
        <v>5</v>
      </c>
      <c r="HI9" s="6">
        <v>8</v>
      </c>
      <c r="HJ9" s="6">
        <v>16</v>
      </c>
      <c r="HK9" s="6">
        <v>16</v>
      </c>
      <c r="HL9" s="6">
        <v>8</v>
      </c>
      <c r="HM9" s="6">
        <v>6</v>
      </c>
      <c r="HN9" s="6">
        <v>7</v>
      </c>
      <c r="HO9" s="6">
        <v>12</v>
      </c>
      <c r="HP9" s="6">
        <v>15</v>
      </c>
      <c r="HQ9" s="6">
        <v>6</v>
      </c>
      <c r="HR9" s="6">
        <v>12</v>
      </c>
      <c r="HS9" s="6">
        <v>10</v>
      </c>
      <c r="HT9" s="6">
        <v>16</v>
      </c>
      <c r="HU9" s="6">
        <v>14</v>
      </c>
      <c r="HV9" s="6">
        <v>9</v>
      </c>
      <c r="HW9" s="6">
        <v>15</v>
      </c>
      <c r="HX9" s="6">
        <v>9</v>
      </c>
      <c r="HY9" s="6">
        <v>28</v>
      </c>
      <c r="HZ9" s="6">
        <v>11</v>
      </c>
      <c r="IA9" s="6">
        <v>19</v>
      </c>
      <c r="IB9" s="6">
        <v>17</v>
      </c>
      <c r="IC9" s="6">
        <v>11</v>
      </c>
      <c r="ID9" s="6">
        <v>12</v>
      </c>
      <c r="IE9" s="6">
        <v>12</v>
      </c>
      <c r="IF9" s="6">
        <v>15</v>
      </c>
      <c r="IG9" s="6">
        <v>10</v>
      </c>
      <c r="IH9" s="6">
        <v>3</v>
      </c>
      <c r="II9" s="6">
        <v>14</v>
      </c>
      <c r="IJ9" s="6">
        <v>15</v>
      </c>
      <c r="IK9" s="6">
        <v>53</v>
      </c>
    </row>
    <row r="10" spans="2:245" x14ac:dyDescent="0.25">
      <c r="B10" s="13">
        <v>6</v>
      </c>
      <c r="C10" s="6">
        <v>1</v>
      </c>
      <c r="D10" s="6">
        <v>9</v>
      </c>
      <c r="E10" s="6">
        <v>35</v>
      </c>
      <c r="F10" s="6">
        <v>0</v>
      </c>
      <c r="G10" s="6">
        <v>1</v>
      </c>
      <c r="H10" s="6">
        <v>1</v>
      </c>
      <c r="I10" s="6">
        <v>3</v>
      </c>
      <c r="J10" s="6">
        <v>40</v>
      </c>
      <c r="K10" s="6">
        <v>0</v>
      </c>
      <c r="L10" s="6">
        <v>6</v>
      </c>
      <c r="M10" s="6">
        <v>16</v>
      </c>
      <c r="N10" s="6">
        <v>28</v>
      </c>
      <c r="O10" s="6">
        <v>12</v>
      </c>
      <c r="P10" s="6">
        <v>22</v>
      </c>
      <c r="Q10" s="6">
        <v>50</v>
      </c>
      <c r="R10" s="6">
        <v>0</v>
      </c>
      <c r="S10" s="6">
        <v>40</v>
      </c>
      <c r="T10" s="6">
        <v>2</v>
      </c>
      <c r="U10" s="6">
        <v>6</v>
      </c>
      <c r="V10" s="6">
        <v>50</v>
      </c>
      <c r="W10" s="6">
        <v>50</v>
      </c>
      <c r="X10" s="6">
        <v>35</v>
      </c>
      <c r="Y10" s="6">
        <v>2</v>
      </c>
      <c r="Z10" s="6">
        <v>12</v>
      </c>
      <c r="AA10" s="6">
        <v>1</v>
      </c>
      <c r="AB10" s="6">
        <v>20</v>
      </c>
      <c r="AC10" s="6">
        <v>50</v>
      </c>
      <c r="AD10" s="6">
        <v>21</v>
      </c>
      <c r="AE10" s="6">
        <v>72</v>
      </c>
      <c r="AG10" s="6">
        <v>0</v>
      </c>
      <c r="AH10" s="6">
        <v>5</v>
      </c>
      <c r="AI10" s="6">
        <v>26</v>
      </c>
      <c r="AJ10" s="6">
        <v>0</v>
      </c>
      <c r="AK10" s="6">
        <v>2</v>
      </c>
      <c r="AL10" s="6">
        <v>0</v>
      </c>
      <c r="AM10" s="6">
        <v>1</v>
      </c>
      <c r="AN10" s="6">
        <v>33</v>
      </c>
      <c r="AO10" s="6">
        <v>0</v>
      </c>
      <c r="AP10" s="6">
        <v>0</v>
      </c>
      <c r="AQ10" s="6">
        <v>10</v>
      </c>
      <c r="AR10" s="6">
        <v>24</v>
      </c>
      <c r="AS10" s="6">
        <v>10</v>
      </c>
      <c r="AT10" s="6">
        <v>15</v>
      </c>
      <c r="AU10" s="6">
        <v>50</v>
      </c>
      <c r="AV10" s="6">
        <v>0</v>
      </c>
      <c r="AW10" s="6">
        <v>40</v>
      </c>
      <c r="AX10" s="6">
        <v>0</v>
      </c>
      <c r="AY10" s="6">
        <v>13</v>
      </c>
      <c r="AZ10" s="6">
        <v>49</v>
      </c>
      <c r="BA10" s="6">
        <v>50</v>
      </c>
      <c r="BB10" s="6">
        <v>24</v>
      </c>
      <c r="BC10" s="6">
        <v>1</v>
      </c>
      <c r="BD10" s="6">
        <v>12</v>
      </c>
      <c r="BE10" s="6">
        <v>1</v>
      </c>
      <c r="BF10" s="6">
        <v>20</v>
      </c>
      <c r="BG10" s="6">
        <v>46</v>
      </c>
      <c r="BH10" s="6">
        <v>23</v>
      </c>
      <c r="BI10" s="6">
        <v>69</v>
      </c>
      <c r="BK10" s="6">
        <v>0</v>
      </c>
      <c r="BL10" s="6">
        <v>2</v>
      </c>
      <c r="BM10" s="6">
        <v>25</v>
      </c>
      <c r="BN10" s="6">
        <v>0</v>
      </c>
      <c r="BO10" s="6">
        <v>1</v>
      </c>
      <c r="BP10" s="6">
        <v>5</v>
      </c>
      <c r="BQ10" s="6">
        <v>2</v>
      </c>
      <c r="BR10" s="6">
        <v>43</v>
      </c>
      <c r="BS10" s="6">
        <v>0</v>
      </c>
      <c r="BT10" s="6">
        <v>7</v>
      </c>
      <c r="BU10" s="6">
        <v>10</v>
      </c>
      <c r="BV10" s="6">
        <v>17</v>
      </c>
      <c r="BW10" s="6">
        <v>9</v>
      </c>
      <c r="BX10" s="6">
        <v>5</v>
      </c>
      <c r="BY10" s="6">
        <v>30</v>
      </c>
      <c r="BZ10" s="6">
        <v>0</v>
      </c>
      <c r="CA10" s="6">
        <v>32</v>
      </c>
      <c r="CB10" s="6">
        <v>10</v>
      </c>
      <c r="CC10" s="6">
        <v>8</v>
      </c>
      <c r="CD10" s="6">
        <v>40</v>
      </c>
      <c r="CE10" s="6">
        <v>35</v>
      </c>
      <c r="CF10" s="6">
        <v>31</v>
      </c>
      <c r="CG10" s="6">
        <v>6</v>
      </c>
      <c r="CH10" s="6">
        <v>20</v>
      </c>
      <c r="CI10" s="6">
        <v>0</v>
      </c>
      <c r="CJ10" s="6">
        <v>7</v>
      </c>
      <c r="CK10" s="6">
        <v>40</v>
      </c>
      <c r="CL10" s="6">
        <v>21</v>
      </c>
      <c r="CM10" s="6">
        <v>53</v>
      </c>
      <c r="CO10" s="6">
        <v>1</v>
      </c>
      <c r="CP10" s="6">
        <v>2</v>
      </c>
      <c r="CQ10" s="6">
        <v>16</v>
      </c>
      <c r="CR10" s="6">
        <v>0</v>
      </c>
      <c r="CS10" s="6">
        <v>7</v>
      </c>
      <c r="CT10" s="6">
        <v>12</v>
      </c>
      <c r="CU10" s="6">
        <v>5</v>
      </c>
      <c r="CV10" s="6">
        <v>43</v>
      </c>
      <c r="CW10" s="6">
        <v>0</v>
      </c>
      <c r="CX10" s="6">
        <v>2</v>
      </c>
      <c r="CY10" s="6">
        <v>4</v>
      </c>
      <c r="CZ10" s="6">
        <v>18</v>
      </c>
      <c r="DA10" s="6">
        <v>9</v>
      </c>
      <c r="DB10" s="6">
        <v>4</v>
      </c>
      <c r="DC10" s="6">
        <v>33</v>
      </c>
      <c r="DD10" s="6">
        <v>0</v>
      </c>
      <c r="DE10" s="6">
        <v>30</v>
      </c>
      <c r="DF10" s="6">
        <v>20</v>
      </c>
      <c r="DG10" s="6">
        <v>14</v>
      </c>
      <c r="DH10" s="6">
        <v>31</v>
      </c>
      <c r="DI10" s="6">
        <v>31</v>
      </c>
      <c r="DJ10" s="6">
        <v>36</v>
      </c>
      <c r="DK10" s="6">
        <v>20</v>
      </c>
      <c r="DL10" s="6">
        <v>27</v>
      </c>
      <c r="DM10" s="6">
        <v>0</v>
      </c>
      <c r="DN10" s="6">
        <v>4</v>
      </c>
      <c r="DO10" s="6">
        <v>30</v>
      </c>
      <c r="DP10" s="6">
        <v>34</v>
      </c>
      <c r="DQ10" s="6">
        <v>47</v>
      </c>
      <c r="DS10" s="12">
        <v>6</v>
      </c>
      <c r="DT10" s="6">
        <v>21</v>
      </c>
      <c r="DU10" s="6">
        <v>18</v>
      </c>
      <c r="DV10" s="6">
        <v>20</v>
      </c>
      <c r="DW10" s="6">
        <v>15</v>
      </c>
      <c r="DX10" s="6">
        <v>14</v>
      </c>
      <c r="DY10" s="6">
        <v>11</v>
      </c>
      <c r="DZ10" s="6">
        <v>7</v>
      </c>
      <c r="EA10" s="6">
        <v>19</v>
      </c>
      <c r="EB10" s="6">
        <v>14</v>
      </c>
      <c r="EC10" s="6">
        <v>14</v>
      </c>
      <c r="ED10" s="6">
        <v>16</v>
      </c>
      <c r="EE10" s="6">
        <v>22</v>
      </c>
      <c r="EF10" s="6">
        <v>20</v>
      </c>
      <c r="EG10" s="6">
        <v>14</v>
      </c>
      <c r="EH10" s="6">
        <v>24</v>
      </c>
      <c r="EI10" s="6">
        <v>11</v>
      </c>
      <c r="EJ10" s="6">
        <v>31</v>
      </c>
      <c r="EK10" s="6">
        <v>12</v>
      </c>
      <c r="EL10" s="6">
        <v>27</v>
      </c>
      <c r="EM10" s="6">
        <v>24</v>
      </c>
      <c r="EN10" s="6">
        <v>15</v>
      </c>
      <c r="EO10" s="6">
        <v>13</v>
      </c>
      <c r="EP10" s="6">
        <v>14</v>
      </c>
      <c r="EQ10" s="6">
        <v>21</v>
      </c>
      <c r="ER10" s="6">
        <v>13</v>
      </c>
      <c r="ES10" s="6">
        <v>27</v>
      </c>
      <c r="ET10" s="6">
        <v>19</v>
      </c>
      <c r="EU10" s="6">
        <v>25</v>
      </c>
      <c r="EV10" s="6">
        <v>64</v>
      </c>
      <c r="EX10" s="7">
        <v>6</v>
      </c>
      <c r="EY10" s="6">
        <v>10</v>
      </c>
      <c r="EZ10" s="6">
        <v>15</v>
      </c>
      <c r="FA10" s="6">
        <v>25</v>
      </c>
      <c r="FB10" s="6">
        <v>10</v>
      </c>
      <c r="FC10" s="6">
        <v>9</v>
      </c>
      <c r="FD10" s="6">
        <v>9</v>
      </c>
      <c r="FE10" s="6">
        <v>8</v>
      </c>
      <c r="FF10" s="6">
        <v>17</v>
      </c>
      <c r="FG10" s="6">
        <v>8</v>
      </c>
      <c r="FH10" s="6">
        <v>13</v>
      </c>
      <c r="FI10" s="6">
        <v>15</v>
      </c>
      <c r="FJ10" s="6">
        <v>21</v>
      </c>
      <c r="FK10" s="6">
        <v>20</v>
      </c>
      <c r="FL10" s="6">
        <v>14</v>
      </c>
      <c r="FM10" s="6">
        <v>21</v>
      </c>
      <c r="FN10" s="6">
        <v>12</v>
      </c>
      <c r="FO10" s="6">
        <v>33</v>
      </c>
      <c r="FP10" s="6">
        <v>12</v>
      </c>
      <c r="FQ10" s="6">
        <v>27</v>
      </c>
      <c r="FR10" s="6">
        <v>29</v>
      </c>
      <c r="FS10" s="6">
        <v>15</v>
      </c>
      <c r="FT10" s="6">
        <v>13</v>
      </c>
      <c r="FU10" s="6">
        <v>13</v>
      </c>
      <c r="FV10" s="6">
        <v>18</v>
      </c>
      <c r="FW10" s="6">
        <v>14</v>
      </c>
      <c r="FX10" s="6">
        <v>31</v>
      </c>
      <c r="FY10" s="6">
        <v>20</v>
      </c>
      <c r="FZ10" s="6">
        <v>27</v>
      </c>
      <c r="GA10" s="6">
        <v>82</v>
      </c>
      <c r="GC10" s="7">
        <v>6</v>
      </c>
      <c r="GD10" s="6">
        <v>18</v>
      </c>
      <c r="GE10" s="6">
        <v>11</v>
      </c>
      <c r="GF10" s="6">
        <v>17</v>
      </c>
      <c r="GG10" s="6">
        <v>12</v>
      </c>
      <c r="GH10" s="6">
        <v>10</v>
      </c>
      <c r="GI10" s="6">
        <v>14</v>
      </c>
      <c r="GJ10" s="6">
        <v>13</v>
      </c>
      <c r="GK10" s="6">
        <v>16</v>
      </c>
      <c r="GL10" s="6">
        <v>12</v>
      </c>
      <c r="GM10" s="6">
        <v>13</v>
      </c>
      <c r="GN10" s="6">
        <v>11</v>
      </c>
      <c r="GO10" s="6">
        <v>17</v>
      </c>
      <c r="GP10" s="6">
        <v>17</v>
      </c>
      <c r="GQ10" s="6">
        <v>11</v>
      </c>
      <c r="GR10" s="6">
        <v>17</v>
      </c>
      <c r="GS10" s="6">
        <v>10</v>
      </c>
      <c r="GT10" s="6">
        <v>31</v>
      </c>
      <c r="GU10" s="6">
        <v>14</v>
      </c>
      <c r="GV10" s="6">
        <v>27</v>
      </c>
      <c r="GW10" s="6">
        <v>22</v>
      </c>
      <c r="GX10" s="6">
        <v>14</v>
      </c>
      <c r="GY10" s="6">
        <v>13</v>
      </c>
      <c r="GZ10" s="6">
        <v>14</v>
      </c>
      <c r="HA10" s="6">
        <v>19</v>
      </c>
      <c r="HB10" s="6">
        <v>12</v>
      </c>
      <c r="HC10" s="6">
        <v>22</v>
      </c>
      <c r="HD10" s="6">
        <v>21</v>
      </c>
      <c r="HE10" s="6">
        <v>30</v>
      </c>
      <c r="HF10" s="6">
        <v>51</v>
      </c>
      <c r="HH10" s="7">
        <v>6</v>
      </c>
      <c r="HI10" s="6">
        <v>10</v>
      </c>
      <c r="HJ10" s="6">
        <v>20</v>
      </c>
      <c r="HK10" s="6">
        <v>18</v>
      </c>
      <c r="HL10" s="6">
        <v>9</v>
      </c>
      <c r="HM10" s="6">
        <v>8</v>
      </c>
      <c r="HN10" s="6">
        <v>9</v>
      </c>
      <c r="HO10" s="6">
        <v>16</v>
      </c>
      <c r="HP10" s="6">
        <v>18</v>
      </c>
      <c r="HQ10" s="6">
        <v>7</v>
      </c>
      <c r="HR10" s="6">
        <v>13</v>
      </c>
      <c r="HS10" s="6">
        <v>12</v>
      </c>
      <c r="HT10" s="6">
        <v>20</v>
      </c>
      <c r="HU10" s="6">
        <v>17</v>
      </c>
      <c r="HV10" s="6">
        <v>11</v>
      </c>
      <c r="HW10" s="6">
        <v>18</v>
      </c>
      <c r="HX10" s="6">
        <v>11</v>
      </c>
      <c r="HY10" s="6">
        <v>33</v>
      </c>
      <c r="HZ10" s="6">
        <v>13</v>
      </c>
      <c r="IA10" s="6">
        <v>23</v>
      </c>
      <c r="IB10" s="6">
        <v>21</v>
      </c>
      <c r="IC10" s="6">
        <v>13</v>
      </c>
      <c r="ID10" s="6">
        <v>14</v>
      </c>
      <c r="IE10" s="6">
        <v>14</v>
      </c>
      <c r="IF10" s="6">
        <v>18</v>
      </c>
      <c r="IG10" s="6">
        <v>12</v>
      </c>
      <c r="IH10" s="6">
        <v>27</v>
      </c>
      <c r="II10" s="6">
        <v>17</v>
      </c>
      <c r="IJ10" s="6">
        <v>25</v>
      </c>
      <c r="IK10" s="6">
        <v>57</v>
      </c>
    </row>
    <row r="11" spans="2:245" x14ac:dyDescent="0.25">
      <c r="B11" s="13">
        <v>7</v>
      </c>
      <c r="C11" s="6">
        <v>2</v>
      </c>
      <c r="D11" s="6">
        <v>9</v>
      </c>
      <c r="E11" s="6">
        <v>40</v>
      </c>
      <c r="F11" s="6">
        <v>0</v>
      </c>
      <c r="G11" s="6">
        <v>1</v>
      </c>
      <c r="H11" s="6">
        <v>1</v>
      </c>
      <c r="I11" s="6">
        <v>3</v>
      </c>
      <c r="J11" s="6">
        <v>42</v>
      </c>
      <c r="K11" s="6">
        <v>0</v>
      </c>
      <c r="L11" s="6">
        <v>9</v>
      </c>
      <c r="M11" s="6">
        <v>20</v>
      </c>
      <c r="N11" s="6">
        <v>28</v>
      </c>
      <c r="O11" s="6">
        <v>20</v>
      </c>
      <c r="P11" s="6">
        <v>25</v>
      </c>
      <c r="Q11" s="6">
        <v>55</v>
      </c>
      <c r="R11" s="6">
        <v>0</v>
      </c>
      <c r="S11" s="6">
        <v>44</v>
      </c>
      <c r="T11" s="6">
        <v>3</v>
      </c>
      <c r="U11" s="6">
        <v>12</v>
      </c>
      <c r="V11" s="6">
        <v>54</v>
      </c>
      <c r="W11" s="6">
        <v>53</v>
      </c>
      <c r="X11" s="6">
        <v>40</v>
      </c>
      <c r="Y11" s="6">
        <v>2</v>
      </c>
      <c r="Z11" s="6">
        <v>20</v>
      </c>
      <c r="AA11" s="6">
        <v>1</v>
      </c>
      <c r="AB11" s="6">
        <v>24</v>
      </c>
      <c r="AC11" s="6">
        <v>53</v>
      </c>
      <c r="AD11" s="6">
        <v>34</v>
      </c>
      <c r="AE11" s="6">
        <v>74</v>
      </c>
      <c r="AG11" s="6">
        <v>0</v>
      </c>
      <c r="AH11" s="6">
        <v>7</v>
      </c>
      <c r="AI11" s="6">
        <v>30</v>
      </c>
      <c r="AJ11" s="6">
        <v>0</v>
      </c>
      <c r="AK11" s="6">
        <v>2</v>
      </c>
      <c r="AL11" s="6">
        <v>1</v>
      </c>
      <c r="AM11" s="6">
        <v>1</v>
      </c>
      <c r="AN11" s="6">
        <v>40</v>
      </c>
      <c r="AO11" s="6">
        <v>0</v>
      </c>
      <c r="AP11" s="6">
        <v>2</v>
      </c>
      <c r="AQ11" s="6">
        <v>14</v>
      </c>
      <c r="AR11" s="6">
        <v>26</v>
      </c>
      <c r="AS11" s="6">
        <v>15</v>
      </c>
      <c r="AT11" s="6">
        <v>20</v>
      </c>
      <c r="AU11" s="6">
        <v>53</v>
      </c>
      <c r="AV11" s="6">
        <v>0</v>
      </c>
      <c r="AW11" s="6">
        <v>44</v>
      </c>
      <c r="AX11" s="6">
        <v>0</v>
      </c>
      <c r="AY11" s="6">
        <v>15</v>
      </c>
      <c r="AZ11" s="6">
        <v>50</v>
      </c>
      <c r="BA11" s="6">
        <v>54</v>
      </c>
      <c r="BB11" s="6">
        <v>26</v>
      </c>
      <c r="BC11" s="6">
        <v>1</v>
      </c>
      <c r="BD11" s="6">
        <v>20</v>
      </c>
      <c r="BE11" s="6">
        <v>1</v>
      </c>
      <c r="BF11" s="6">
        <v>22</v>
      </c>
      <c r="BG11" s="6">
        <v>50</v>
      </c>
      <c r="BH11" s="6">
        <v>34</v>
      </c>
      <c r="BI11" s="6">
        <v>72</v>
      </c>
      <c r="BK11" s="6">
        <v>0</v>
      </c>
      <c r="BL11" s="6">
        <v>3</v>
      </c>
      <c r="BM11" s="6">
        <v>29</v>
      </c>
      <c r="BN11" s="6">
        <v>0</v>
      </c>
      <c r="BO11" s="6">
        <v>1</v>
      </c>
      <c r="BP11" s="6">
        <v>7</v>
      </c>
      <c r="BQ11" s="6">
        <v>7</v>
      </c>
      <c r="BR11" s="6">
        <v>45</v>
      </c>
      <c r="BS11" s="6">
        <v>0</v>
      </c>
      <c r="BT11" s="6">
        <v>10</v>
      </c>
      <c r="BU11" s="6">
        <v>11</v>
      </c>
      <c r="BV11" s="6">
        <v>17</v>
      </c>
      <c r="BW11" s="6">
        <v>13</v>
      </c>
      <c r="BX11" s="6">
        <v>6</v>
      </c>
      <c r="BY11" s="6">
        <v>35</v>
      </c>
      <c r="BZ11" s="6">
        <v>0</v>
      </c>
      <c r="CA11" s="6">
        <v>40</v>
      </c>
      <c r="CB11" s="6">
        <v>13</v>
      </c>
      <c r="CC11" s="6">
        <v>12</v>
      </c>
      <c r="CD11" s="6">
        <v>42</v>
      </c>
      <c r="CE11" s="6">
        <v>37</v>
      </c>
      <c r="CF11" s="6">
        <v>40</v>
      </c>
      <c r="CG11" s="6">
        <v>9</v>
      </c>
      <c r="CH11" s="6">
        <v>28</v>
      </c>
      <c r="CI11" s="6">
        <v>0</v>
      </c>
      <c r="CJ11" s="6">
        <v>9</v>
      </c>
      <c r="CK11" s="6">
        <v>42</v>
      </c>
      <c r="CL11" s="6">
        <v>34</v>
      </c>
      <c r="CM11" s="6">
        <v>58</v>
      </c>
      <c r="CO11" s="6">
        <v>1</v>
      </c>
      <c r="CP11" s="6">
        <v>2</v>
      </c>
      <c r="CQ11" s="6">
        <v>20</v>
      </c>
      <c r="CR11" s="6">
        <v>0</v>
      </c>
      <c r="CS11" s="6">
        <v>8</v>
      </c>
      <c r="CT11" s="6">
        <v>14</v>
      </c>
      <c r="CU11" s="6">
        <v>7</v>
      </c>
      <c r="CV11" s="6">
        <v>45</v>
      </c>
      <c r="CW11" s="6">
        <v>0</v>
      </c>
      <c r="CX11" s="6">
        <v>4</v>
      </c>
      <c r="CY11" s="6">
        <v>7</v>
      </c>
      <c r="CZ11" s="6">
        <v>20</v>
      </c>
      <c r="DA11" s="6">
        <v>12</v>
      </c>
      <c r="DB11" s="6">
        <v>6</v>
      </c>
      <c r="DC11" s="6">
        <v>34</v>
      </c>
      <c r="DD11" s="6">
        <v>0</v>
      </c>
      <c r="DE11" s="6">
        <v>40</v>
      </c>
      <c r="DF11" s="6">
        <v>23</v>
      </c>
      <c r="DG11" s="6">
        <v>20</v>
      </c>
      <c r="DH11" s="6">
        <v>37</v>
      </c>
      <c r="DI11" s="6">
        <v>35</v>
      </c>
      <c r="DJ11" s="6">
        <v>40</v>
      </c>
      <c r="DK11" s="6">
        <v>24</v>
      </c>
      <c r="DL11" s="6">
        <v>30</v>
      </c>
      <c r="DM11" s="6">
        <v>0</v>
      </c>
      <c r="DN11" s="6">
        <v>7</v>
      </c>
      <c r="DO11" s="6">
        <v>35</v>
      </c>
      <c r="DP11" s="6">
        <v>43</v>
      </c>
      <c r="DQ11" s="6">
        <v>50</v>
      </c>
      <c r="DS11" s="12">
        <v>7</v>
      </c>
      <c r="DT11" s="6">
        <v>21</v>
      </c>
      <c r="DU11" s="6">
        <v>20</v>
      </c>
      <c r="DV11" s="6">
        <v>23</v>
      </c>
      <c r="DW11" s="6">
        <v>19</v>
      </c>
      <c r="DX11" s="6">
        <v>17</v>
      </c>
      <c r="DY11" s="6">
        <v>12</v>
      </c>
      <c r="DZ11" s="6">
        <v>9</v>
      </c>
      <c r="EA11" s="6">
        <v>21</v>
      </c>
      <c r="EB11" s="6">
        <v>16</v>
      </c>
      <c r="EC11" s="6">
        <v>16</v>
      </c>
      <c r="ED11" s="6">
        <v>18</v>
      </c>
      <c r="EE11" s="6">
        <v>25</v>
      </c>
      <c r="EF11" s="6">
        <v>23</v>
      </c>
      <c r="EG11" s="6">
        <v>16</v>
      </c>
      <c r="EH11" s="6">
        <v>28</v>
      </c>
      <c r="EI11" s="6">
        <v>13</v>
      </c>
      <c r="EJ11" s="6">
        <v>36</v>
      </c>
      <c r="EK11" s="6">
        <v>14</v>
      </c>
      <c r="EL11" s="6">
        <v>32</v>
      </c>
      <c r="EM11" s="6">
        <v>28</v>
      </c>
      <c r="EN11" s="6">
        <v>18</v>
      </c>
      <c r="EO11" s="6">
        <v>15</v>
      </c>
      <c r="EP11" s="6">
        <v>16</v>
      </c>
      <c r="EQ11" s="6">
        <v>24</v>
      </c>
      <c r="ER11" s="6">
        <v>15</v>
      </c>
      <c r="ES11" s="6">
        <v>32</v>
      </c>
      <c r="ET11" s="6">
        <v>22</v>
      </c>
      <c r="EU11" s="6">
        <v>30</v>
      </c>
      <c r="EV11" s="6">
        <v>69</v>
      </c>
      <c r="EX11" s="7">
        <v>7</v>
      </c>
      <c r="EY11" s="6">
        <v>12</v>
      </c>
      <c r="EZ11" s="6">
        <v>18</v>
      </c>
      <c r="FA11" s="6">
        <v>30</v>
      </c>
      <c r="FB11" s="6">
        <v>12</v>
      </c>
      <c r="FC11" s="6">
        <v>10</v>
      </c>
      <c r="FD11" s="6">
        <v>11</v>
      </c>
      <c r="FE11" s="6">
        <v>10</v>
      </c>
      <c r="FF11" s="6">
        <v>20</v>
      </c>
      <c r="FG11" s="6">
        <v>9</v>
      </c>
      <c r="FH11" s="6">
        <v>13</v>
      </c>
      <c r="FI11" s="6">
        <v>18</v>
      </c>
      <c r="FJ11" s="6">
        <v>24</v>
      </c>
      <c r="FK11" s="6">
        <v>23</v>
      </c>
      <c r="FL11" s="6">
        <v>16</v>
      </c>
      <c r="FM11" s="6">
        <v>24</v>
      </c>
      <c r="FN11" s="6">
        <v>14</v>
      </c>
      <c r="FO11" s="6">
        <v>39</v>
      </c>
      <c r="FP11" s="6">
        <v>14</v>
      </c>
      <c r="FQ11" s="6">
        <v>32</v>
      </c>
      <c r="FR11" s="6">
        <v>34</v>
      </c>
      <c r="FS11" s="6">
        <v>17</v>
      </c>
      <c r="FT11" s="6">
        <v>15</v>
      </c>
      <c r="FU11" s="6">
        <v>15</v>
      </c>
      <c r="FV11" s="6">
        <v>21</v>
      </c>
      <c r="FW11" s="6">
        <v>16</v>
      </c>
      <c r="FX11" s="6">
        <v>36</v>
      </c>
      <c r="FY11" s="6">
        <v>23</v>
      </c>
      <c r="FZ11" s="6">
        <v>32</v>
      </c>
      <c r="GA11" s="6">
        <v>64</v>
      </c>
      <c r="GC11" s="7">
        <v>7</v>
      </c>
      <c r="GD11" s="6">
        <v>21</v>
      </c>
      <c r="GE11" s="6">
        <v>13</v>
      </c>
      <c r="GF11" s="6">
        <v>20</v>
      </c>
      <c r="GG11" s="6">
        <v>15</v>
      </c>
      <c r="GH11" s="6">
        <v>13</v>
      </c>
      <c r="GI11" s="6">
        <v>15</v>
      </c>
      <c r="GJ11" s="6">
        <v>16</v>
      </c>
      <c r="GK11" s="6">
        <v>18</v>
      </c>
      <c r="GL11" s="6">
        <v>14</v>
      </c>
      <c r="GM11" s="6">
        <v>14</v>
      </c>
      <c r="GN11" s="6">
        <v>13</v>
      </c>
      <c r="GO11" s="6">
        <v>19</v>
      </c>
      <c r="GP11" s="6">
        <v>20</v>
      </c>
      <c r="GQ11" s="6">
        <v>13</v>
      </c>
      <c r="GR11" s="6">
        <v>20</v>
      </c>
      <c r="GS11" s="6">
        <v>11</v>
      </c>
      <c r="GT11" s="6">
        <v>36</v>
      </c>
      <c r="GU11" s="6">
        <v>16</v>
      </c>
      <c r="GV11" s="6">
        <v>32</v>
      </c>
      <c r="GW11" s="6">
        <v>25</v>
      </c>
      <c r="GX11" s="6">
        <v>16</v>
      </c>
      <c r="GY11" s="6">
        <v>15</v>
      </c>
      <c r="GZ11" s="6">
        <v>17</v>
      </c>
      <c r="HA11" s="6">
        <v>22</v>
      </c>
      <c r="HB11" s="6">
        <v>14</v>
      </c>
      <c r="HC11" s="6">
        <v>25</v>
      </c>
      <c r="HD11" s="6">
        <v>24</v>
      </c>
      <c r="HE11" s="6">
        <v>35</v>
      </c>
      <c r="HF11" s="6">
        <v>55</v>
      </c>
      <c r="HH11" s="7">
        <v>7</v>
      </c>
      <c r="HI11" s="6">
        <v>13</v>
      </c>
      <c r="HJ11" s="6">
        <v>20</v>
      </c>
      <c r="HK11" s="6">
        <v>20</v>
      </c>
      <c r="HL11" s="6">
        <v>9</v>
      </c>
      <c r="HM11" s="6">
        <v>10</v>
      </c>
      <c r="HN11" s="6">
        <v>11</v>
      </c>
      <c r="HO11" s="6">
        <v>16</v>
      </c>
      <c r="HP11" s="6">
        <v>22</v>
      </c>
      <c r="HQ11" s="6">
        <v>9</v>
      </c>
      <c r="HR11" s="6">
        <v>14</v>
      </c>
      <c r="HS11" s="6">
        <v>12</v>
      </c>
      <c r="HT11" s="6">
        <v>23</v>
      </c>
      <c r="HU11" s="6">
        <v>19</v>
      </c>
      <c r="HV11" s="6">
        <v>13</v>
      </c>
      <c r="HW11" s="6">
        <v>21</v>
      </c>
      <c r="HX11" s="6">
        <v>12</v>
      </c>
      <c r="HY11" s="6">
        <v>39</v>
      </c>
      <c r="HZ11" s="6">
        <v>15</v>
      </c>
      <c r="IA11" s="6">
        <v>27</v>
      </c>
      <c r="IB11" s="6">
        <v>24</v>
      </c>
      <c r="IC11" s="6">
        <v>15</v>
      </c>
      <c r="ID11" s="6">
        <v>16</v>
      </c>
      <c r="IE11" s="6">
        <v>16</v>
      </c>
      <c r="IF11" s="6">
        <v>21</v>
      </c>
      <c r="IG11" s="6">
        <v>14</v>
      </c>
      <c r="IH11" s="6">
        <v>32</v>
      </c>
      <c r="II11" s="6">
        <v>20</v>
      </c>
      <c r="IJ11" s="6">
        <v>35</v>
      </c>
      <c r="IK11" s="6">
        <v>61</v>
      </c>
    </row>
    <row r="12" spans="2:245" x14ac:dyDescent="0.25">
      <c r="B12" s="13">
        <v>8</v>
      </c>
      <c r="C12" s="6">
        <v>3</v>
      </c>
      <c r="D12" s="6">
        <v>14</v>
      </c>
      <c r="E12" s="6">
        <v>41</v>
      </c>
      <c r="F12" s="6">
        <v>0</v>
      </c>
      <c r="G12" s="6">
        <v>1</v>
      </c>
      <c r="H12" s="6">
        <v>1</v>
      </c>
      <c r="I12" s="6">
        <v>5</v>
      </c>
      <c r="J12" s="6">
        <v>44</v>
      </c>
      <c r="K12" s="6">
        <v>0</v>
      </c>
      <c r="L12" s="6">
        <v>13</v>
      </c>
      <c r="M12" s="6">
        <v>23</v>
      </c>
      <c r="N12" s="6">
        <v>37</v>
      </c>
      <c r="O12" s="6">
        <v>25</v>
      </c>
      <c r="P12" s="6">
        <v>26</v>
      </c>
      <c r="Q12" s="6">
        <v>57</v>
      </c>
      <c r="R12" s="6">
        <v>0</v>
      </c>
      <c r="S12" s="6">
        <v>48</v>
      </c>
      <c r="T12" s="6">
        <v>4</v>
      </c>
      <c r="U12" s="6">
        <v>20</v>
      </c>
      <c r="V12" s="6">
        <v>60</v>
      </c>
      <c r="W12" s="6">
        <v>56</v>
      </c>
      <c r="X12" s="6">
        <v>42</v>
      </c>
      <c r="Y12" s="6">
        <v>3</v>
      </c>
      <c r="Z12" s="6">
        <v>25</v>
      </c>
      <c r="AA12" s="6">
        <v>2</v>
      </c>
      <c r="AB12" s="6">
        <v>31</v>
      </c>
      <c r="AC12" s="6">
        <v>57</v>
      </c>
      <c r="AD12" s="6">
        <v>38</v>
      </c>
      <c r="AE12" s="6">
        <v>77</v>
      </c>
      <c r="AG12" s="6">
        <v>0</v>
      </c>
      <c r="AH12" s="6">
        <v>8</v>
      </c>
      <c r="AI12" s="6">
        <v>36</v>
      </c>
      <c r="AJ12" s="6">
        <v>0</v>
      </c>
      <c r="AK12" s="6">
        <v>2</v>
      </c>
      <c r="AL12" s="6">
        <v>3</v>
      </c>
      <c r="AM12" s="6">
        <v>1</v>
      </c>
      <c r="AN12" s="6">
        <v>42</v>
      </c>
      <c r="AO12" s="6">
        <v>0</v>
      </c>
      <c r="AP12" s="6">
        <v>5</v>
      </c>
      <c r="AQ12" s="6">
        <v>20</v>
      </c>
      <c r="AR12" s="6">
        <v>32</v>
      </c>
      <c r="AS12" s="6">
        <v>20</v>
      </c>
      <c r="AT12" s="6">
        <v>23</v>
      </c>
      <c r="AU12" s="6">
        <v>55</v>
      </c>
      <c r="AV12" s="6">
        <v>0</v>
      </c>
      <c r="AW12" s="6">
        <v>46</v>
      </c>
      <c r="AX12" s="6">
        <v>0</v>
      </c>
      <c r="AY12" s="6">
        <v>20</v>
      </c>
      <c r="AZ12" s="6">
        <v>58</v>
      </c>
      <c r="BA12" s="6">
        <v>57</v>
      </c>
      <c r="BB12" s="6">
        <v>31</v>
      </c>
      <c r="BC12" s="6">
        <v>1</v>
      </c>
      <c r="BD12" s="6">
        <v>22</v>
      </c>
      <c r="BE12" s="6">
        <v>1</v>
      </c>
      <c r="BF12" s="6">
        <v>25</v>
      </c>
      <c r="BG12" s="6">
        <v>52</v>
      </c>
      <c r="BH12" s="6">
        <v>37</v>
      </c>
      <c r="BI12" s="6">
        <v>74</v>
      </c>
      <c r="BK12" s="6">
        <v>2</v>
      </c>
      <c r="BL12" s="6">
        <v>4</v>
      </c>
      <c r="BM12" s="6">
        <v>31</v>
      </c>
      <c r="BN12" s="6">
        <v>0</v>
      </c>
      <c r="BO12" s="6">
        <v>3</v>
      </c>
      <c r="BP12" s="6">
        <v>10</v>
      </c>
      <c r="BQ12" s="6">
        <v>8</v>
      </c>
      <c r="BR12" s="6">
        <v>46</v>
      </c>
      <c r="BS12" s="6">
        <v>0</v>
      </c>
      <c r="BT12" s="6">
        <v>13</v>
      </c>
      <c r="BU12" s="6">
        <v>13</v>
      </c>
      <c r="BV12" s="6">
        <v>25</v>
      </c>
      <c r="BW12" s="6">
        <v>15</v>
      </c>
      <c r="BX12" s="6">
        <v>7</v>
      </c>
      <c r="BY12" s="6">
        <v>40</v>
      </c>
      <c r="BZ12" s="6">
        <v>0</v>
      </c>
      <c r="CA12" s="6">
        <v>43</v>
      </c>
      <c r="CB12" s="6">
        <v>16</v>
      </c>
      <c r="CC12" s="6">
        <v>19</v>
      </c>
      <c r="CD12" s="6">
        <v>44</v>
      </c>
      <c r="CE12" s="6">
        <v>40</v>
      </c>
      <c r="CF12" s="6">
        <v>44</v>
      </c>
      <c r="CG12" s="6">
        <v>11</v>
      </c>
      <c r="CH12" s="6">
        <v>33</v>
      </c>
      <c r="CI12" s="6">
        <v>0</v>
      </c>
      <c r="CJ12" s="6">
        <v>12</v>
      </c>
      <c r="CK12" s="6">
        <v>43</v>
      </c>
      <c r="CL12" s="6">
        <v>41</v>
      </c>
      <c r="CM12" s="6">
        <v>62</v>
      </c>
      <c r="CO12" s="6">
        <v>2</v>
      </c>
      <c r="CP12" s="6">
        <v>3</v>
      </c>
      <c r="CQ12" s="6">
        <v>22</v>
      </c>
      <c r="CR12" s="6">
        <v>0</v>
      </c>
      <c r="CS12" s="6">
        <v>9</v>
      </c>
      <c r="CT12" s="6">
        <v>16</v>
      </c>
      <c r="CU12" s="6">
        <v>8</v>
      </c>
      <c r="CV12" s="6">
        <v>47</v>
      </c>
      <c r="CW12" s="6">
        <v>0</v>
      </c>
      <c r="CX12" s="6">
        <v>7</v>
      </c>
      <c r="CY12" s="6">
        <v>8</v>
      </c>
      <c r="CZ12" s="6">
        <v>23</v>
      </c>
      <c r="DA12" s="6">
        <v>15</v>
      </c>
      <c r="DB12" s="6">
        <v>6</v>
      </c>
      <c r="DC12" s="6">
        <v>37</v>
      </c>
      <c r="DD12" s="6">
        <v>0</v>
      </c>
      <c r="DE12" s="6">
        <v>43</v>
      </c>
      <c r="DF12" s="6">
        <v>26</v>
      </c>
      <c r="DG12" s="6">
        <v>23</v>
      </c>
      <c r="DH12" s="6">
        <v>40</v>
      </c>
      <c r="DI12" s="6">
        <v>36</v>
      </c>
      <c r="DJ12" s="6">
        <v>42</v>
      </c>
      <c r="DK12" s="6">
        <v>29</v>
      </c>
      <c r="DL12" s="6">
        <v>35</v>
      </c>
      <c r="DM12" s="6">
        <v>0</v>
      </c>
      <c r="DN12" s="6">
        <v>7</v>
      </c>
      <c r="DO12" s="6">
        <v>38</v>
      </c>
      <c r="DP12" s="6">
        <v>50</v>
      </c>
      <c r="DQ12" s="6">
        <v>54</v>
      </c>
      <c r="DS12" s="12">
        <v>8</v>
      </c>
      <c r="DT12" s="6">
        <v>21</v>
      </c>
      <c r="DU12" s="6">
        <v>20</v>
      </c>
      <c r="DV12" s="6">
        <v>23</v>
      </c>
      <c r="DW12" s="6">
        <v>23</v>
      </c>
      <c r="DX12" s="6">
        <v>17</v>
      </c>
      <c r="DY12" s="6">
        <v>12</v>
      </c>
      <c r="DZ12" s="6">
        <v>9</v>
      </c>
      <c r="EA12" s="6">
        <v>27</v>
      </c>
      <c r="EB12" s="6">
        <v>18</v>
      </c>
      <c r="EC12" s="6">
        <v>17</v>
      </c>
      <c r="ED12" s="6">
        <v>20</v>
      </c>
      <c r="EE12" s="6">
        <v>29</v>
      </c>
      <c r="EF12" s="6">
        <v>26</v>
      </c>
      <c r="EG12" s="6">
        <v>18</v>
      </c>
      <c r="EH12" s="6">
        <v>32</v>
      </c>
      <c r="EI12" s="6">
        <v>15</v>
      </c>
      <c r="EJ12" s="6">
        <v>41</v>
      </c>
      <c r="EK12" s="6">
        <v>16</v>
      </c>
      <c r="EL12" s="6">
        <v>36</v>
      </c>
      <c r="EM12" s="6">
        <v>32</v>
      </c>
      <c r="EN12" s="6">
        <v>21</v>
      </c>
      <c r="EO12" s="6">
        <v>17</v>
      </c>
      <c r="EP12" s="6">
        <v>18</v>
      </c>
      <c r="EQ12" s="6">
        <v>27</v>
      </c>
      <c r="ER12" s="6">
        <v>17</v>
      </c>
      <c r="ES12" s="6">
        <v>36</v>
      </c>
      <c r="ET12" s="6">
        <v>25</v>
      </c>
      <c r="EU12" s="6">
        <v>35</v>
      </c>
      <c r="EV12" s="6">
        <v>73</v>
      </c>
      <c r="EX12" s="7">
        <v>8</v>
      </c>
      <c r="EY12" s="6">
        <v>12</v>
      </c>
      <c r="EZ12" s="6">
        <v>18</v>
      </c>
      <c r="FA12" s="6">
        <v>30</v>
      </c>
      <c r="FB12" s="6">
        <v>15</v>
      </c>
      <c r="FC12" s="6">
        <v>12</v>
      </c>
      <c r="FD12" s="6">
        <v>13</v>
      </c>
      <c r="FE12" s="6">
        <v>12</v>
      </c>
      <c r="FF12" s="6">
        <v>22</v>
      </c>
      <c r="FG12" s="6">
        <v>11</v>
      </c>
      <c r="FH12" s="6">
        <v>21</v>
      </c>
      <c r="FI12" s="6">
        <v>21</v>
      </c>
      <c r="FJ12" s="6">
        <v>27</v>
      </c>
      <c r="FK12" s="6">
        <v>26</v>
      </c>
      <c r="FL12" s="6">
        <v>18</v>
      </c>
      <c r="FM12" s="6">
        <v>27</v>
      </c>
      <c r="FN12" s="6">
        <v>16</v>
      </c>
      <c r="FO12" s="6">
        <v>44</v>
      </c>
      <c r="FP12" s="6">
        <v>16</v>
      </c>
      <c r="FQ12" s="6">
        <v>36</v>
      </c>
      <c r="FR12" s="6">
        <v>38</v>
      </c>
      <c r="FS12" s="6">
        <v>20</v>
      </c>
      <c r="FT12" s="6">
        <v>17</v>
      </c>
      <c r="FU12" s="6">
        <v>17</v>
      </c>
      <c r="FV12" s="6">
        <v>24</v>
      </c>
      <c r="FW12" s="6">
        <v>18</v>
      </c>
      <c r="FX12" s="6">
        <v>41</v>
      </c>
      <c r="FY12" s="6">
        <v>26</v>
      </c>
      <c r="FZ12" s="6">
        <v>35</v>
      </c>
      <c r="GA12" s="6">
        <v>67</v>
      </c>
      <c r="GC12" s="7">
        <v>8</v>
      </c>
      <c r="GD12" s="6">
        <v>21</v>
      </c>
      <c r="GE12" s="6">
        <v>19</v>
      </c>
      <c r="GF12" s="6">
        <v>23</v>
      </c>
      <c r="GG12" s="6">
        <v>15</v>
      </c>
      <c r="GH12" s="6">
        <v>16</v>
      </c>
      <c r="GI12" s="6">
        <v>17</v>
      </c>
      <c r="GJ12" s="6">
        <v>19</v>
      </c>
      <c r="GK12" s="6">
        <v>24</v>
      </c>
      <c r="GL12" s="6">
        <v>15</v>
      </c>
      <c r="GM12" s="6">
        <v>15</v>
      </c>
      <c r="GN12" s="6">
        <v>13</v>
      </c>
      <c r="GO12" s="6">
        <v>22</v>
      </c>
      <c r="GP12" s="6">
        <v>23</v>
      </c>
      <c r="GQ12" s="6">
        <v>15</v>
      </c>
      <c r="GR12" s="6">
        <v>23</v>
      </c>
      <c r="GS12" s="6">
        <v>13</v>
      </c>
      <c r="GT12" s="6">
        <v>41</v>
      </c>
      <c r="GU12" s="6">
        <v>19</v>
      </c>
      <c r="GV12" s="6">
        <v>36</v>
      </c>
      <c r="GW12" s="6">
        <v>29</v>
      </c>
      <c r="GX12" s="6">
        <v>19</v>
      </c>
      <c r="GY12" s="6">
        <v>17</v>
      </c>
      <c r="GZ12" s="6">
        <v>19</v>
      </c>
      <c r="HA12" s="6">
        <v>25</v>
      </c>
      <c r="HB12" s="6">
        <v>16</v>
      </c>
      <c r="HC12" s="6">
        <v>29</v>
      </c>
      <c r="HD12" s="6">
        <v>27</v>
      </c>
      <c r="HE12" s="6">
        <v>41</v>
      </c>
      <c r="HF12" s="6">
        <v>60</v>
      </c>
      <c r="HH12" s="7">
        <v>8</v>
      </c>
      <c r="HI12" s="6">
        <v>13</v>
      </c>
      <c r="HJ12" s="6">
        <v>22</v>
      </c>
      <c r="HK12" s="6">
        <v>24</v>
      </c>
      <c r="HL12" s="6">
        <v>9</v>
      </c>
      <c r="HM12" s="6">
        <v>15</v>
      </c>
      <c r="HN12" s="6">
        <v>12</v>
      </c>
      <c r="HO12" s="6">
        <v>17</v>
      </c>
      <c r="HP12" s="6">
        <v>27</v>
      </c>
      <c r="HQ12" s="6">
        <v>11</v>
      </c>
      <c r="HR12" s="6">
        <v>17</v>
      </c>
      <c r="HS12" s="6">
        <v>12</v>
      </c>
      <c r="HT12" s="6">
        <v>26</v>
      </c>
      <c r="HU12" s="6">
        <v>22</v>
      </c>
      <c r="HV12" s="6">
        <v>15</v>
      </c>
      <c r="HW12" s="6">
        <v>24</v>
      </c>
      <c r="HX12" s="6">
        <v>14</v>
      </c>
      <c r="HY12" s="6">
        <v>44</v>
      </c>
      <c r="HZ12" s="6">
        <v>17</v>
      </c>
      <c r="IA12" s="6">
        <v>30</v>
      </c>
      <c r="IB12" s="6">
        <v>27</v>
      </c>
      <c r="IC12" s="6">
        <v>17</v>
      </c>
      <c r="ID12" s="6">
        <v>19</v>
      </c>
      <c r="IE12" s="6">
        <v>19</v>
      </c>
      <c r="IF12" s="6">
        <v>24</v>
      </c>
      <c r="IG12" s="6">
        <v>16</v>
      </c>
      <c r="IH12" s="6">
        <v>36</v>
      </c>
      <c r="II12" s="6">
        <v>23</v>
      </c>
      <c r="IJ12" s="6">
        <v>40</v>
      </c>
      <c r="IK12" s="6">
        <v>64</v>
      </c>
    </row>
    <row r="13" spans="2:245" x14ac:dyDescent="0.25">
      <c r="B13" s="13">
        <v>9</v>
      </c>
      <c r="C13" s="6">
        <v>8</v>
      </c>
      <c r="D13" s="6">
        <v>20</v>
      </c>
      <c r="E13" s="6">
        <v>43</v>
      </c>
      <c r="F13" s="6">
        <v>0</v>
      </c>
      <c r="G13" s="6">
        <v>1</v>
      </c>
      <c r="H13" s="6">
        <v>1</v>
      </c>
      <c r="I13" s="6">
        <v>6</v>
      </c>
      <c r="J13" s="6">
        <v>46</v>
      </c>
      <c r="K13" s="6">
        <v>0</v>
      </c>
      <c r="L13" s="6">
        <v>16</v>
      </c>
      <c r="M13" s="6">
        <v>25</v>
      </c>
      <c r="N13" s="6">
        <v>39</v>
      </c>
      <c r="O13" s="6">
        <v>30</v>
      </c>
      <c r="P13" s="6">
        <v>27</v>
      </c>
      <c r="Q13" s="6">
        <v>60</v>
      </c>
      <c r="R13" s="6">
        <v>0</v>
      </c>
      <c r="S13" s="6">
        <v>50</v>
      </c>
      <c r="T13" s="6">
        <v>5</v>
      </c>
      <c r="U13" s="6">
        <v>26</v>
      </c>
      <c r="V13" s="6">
        <v>63</v>
      </c>
      <c r="W13" s="6">
        <v>58</v>
      </c>
      <c r="X13" s="6">
        <v>44</v>
      </c>
      <c r="Y13" s="6">
        <v>4</v>
      </c>
      <c r="Z13" s="6">
        <v>28</v>
      </c>
      <c r="AA13" s="6">
        <v>3</v>
      </c>
      <c r="AB13" s="6">
        <v>35</v>
      </c>
      <c r="AC13" s="6">
        <v>59</v>
      </c>
      <c r="AD13" s="6">
        <v>43</v>
      </c>
      <c r="AE13" s="6">
        <v>80</v>
      </c>
      <c r="AG13" s="6">
        <v>6</v>
      </c>
      <c r="AH13" s="6">
        <v>12</v>
      </c>
      <c r="AI13" s="6">
        <v>40</v>
      </c>
      <c r="AJ13" s="6">
        <v>0</v>
      </c>
      <c r="AK13" s="6">
        <v>3</v>
      </c>
      <c r="AL13" s="6">
        <v>3</v>
      </c>
      <c r="AM13" s="6">
        <v>4</v>
      </c>
      <c r="AN13" s="6">
        <v>43</v>
      </c>
      <c r="AO13" s="6">
        <v>0</v>
      </c>
      <c r="AP13" s="6">
        <v>10</v>
      </c>
      <c r="AQ13" s="6">
        <v>22</v>
      </c>
      <c r="AR13" s="6">
        <v>34</v>
      </c>
      <c r="AS13" s="6">
        <v>23</v>
      </c>
      <c r="AT13" s="6">
        <v>26</v>
      </c>
      <c r="AU13" s="6">
        <v>57</v>
      </c>
      <c r="AV13" s="6">
        <v>0</v>
      </c>
      <c r="AW13" s="6">
        <v>50</v>
      </c>
      <c r="AX13" s="6">
        <v>0</v>
      </c>
      <c r="AY13" s="6">
        <v>23</v>
      </c>
      <c r="AZ13" s="6">
        <v>60</v>
      </c>
      <c r="BA13" s="6">
        <v>59</v>
      </c>
      <c r="BB13" s="6">
        <v>34</v>
      </c>
      <c r="BC13" s="6">
        <v>4</v>
      </c>
      <c r="BD13" s="6">
        <v>24</v>
      </c>
      <c r="BE13" s="6">
        <v>1</v>
      </c>
      <c r="BF13" s="6">
        <v>33</v>
      </c>
      <c r="BG13" s="6">
        <v>53</v>
      </c>
      <c r="BH13" s="6">
        <v>42</v>
      </c>
      <c r="BI13" s="6">
        <v>77</v>
      </c>
      <c r="BK13" s="6">
        <v>2</v>
      </c>
      <c r="BL13" s="6">
        <v>6</v>
      </c>
      <c r="BM13" s="6">
        <v>33</v>
      </c>
      <c r="BN13" s="6">
        <v>0</v>
      </c>
      <c r="BO13" s="6">
        <v>5</v>
      </c>
      <c r="BP13" s="6">
        <v>15</v>
      </c>
      <c r="BQ13" s="6">
        <v>16</v>
      </c>
      <c r="BR13" s="6">
        <v>48</v>
      </c>
      <c r="BS13" s="6">
        <v>1</v>
      </c>
      <c r="BT13" s="6">
        <v>17</v>
      </c>
      <c r="BU13" s="6">
        <v>16</v>
      </c>
      <c r="BV13" s="6">
        <v>25</v>
      </c>
      <c r="BW13" s="6">
        <v>20</v>
      </c>
      <c r="BX13" s="6">
        <v>8</v>
      </c>
      <c r="BY13" s="6">
        <v>41</v>
      </c>
      <c r="BZ13" s="6">
        <v>0</v>
      </c>
      <c r="CA13" s="6">
        <v>47</v>
      </c>
      <c r="CB13" s="6">
        <v>20</v>
      </c>
      <c r="CC13" s="6">
        <v>28</v>
      </c>
      <c r="CD13" s="6">
        <v>47</v>
      </c>
      <c r="CE13" s="6">
        <v>42</v>
      </c>
      <c r="CF13" s="6">
        <v>48</v>
      </c>
      <c r="CG13" s="6">
        <v>15</v>
      </c>
      <c r="CH13" s="6">
        <v>40</v>
      </c>
      <c r="CI13" s="6">
        <v>1</v>
      </c>
      <c r="CJ13" s="6">
        <v>14</v>
      </c>
      <c r="CK13" s="6">
        <v>45</v>
      </c>
      <c r="CL13" s="6">
        <v>50</v>
      </c>
      <c r="CM13" s="6">
        <v>65</v>
      </c>
      <c r="CO13" s="6">
        <v>2</v>
      </c>
      <c r="CP13" s="6">
        <v>6</v>
      </c>
      <c r="CQ13" s="6">
        <v>27</v>
      </c>
      <c r="CR13" s="6">
        <v>0</v>
      </c>
      <c r="CS13" s="6">
        <v>10</v>
      </c>
      <c r="CT13" s="6">
        <v>20</v>
      </c>
      <c r="CU13" s="6">
        <v>11</v>
      </c>
      <c r="CV13" s="6">
        <v>50</v>
      </c>
      <c r="CW13" s="6">
        <v>0</v>
      </c>
      <c r="CX13" s="6">
        <v>11</v>
      </c>
      <c r="CY13" s="6">
        <v>10</v>
      </c>
      <c r="CZ13" s="6">
        <v>24</v>
      </c>
      <c r="DA13" s="6">
        <v>20</v>
      </c>
      <c r="DB13" s="6">
        <v>9</v>
      </c>
      <c r="DC13" s="6">
        <v>40</v>
      </c>
      <c r="DD13" s="6">
        <v>0</v>
      </c>
      <c r="DE13" s="6">
        <v>48</v>
      </c>
      <c r="DF13" s="6">
        <v>30</v>
      </c>
      <c r="DG13" s="6">
        <v>27</v>
      </c>
      <c r="DH13" s="6">
        <v>43</v>
      </c>
      <c r="DI13" s="6">
        <v>38</v>
      </c>
      <c r="DJ13" s="6">
        <v>45</v>
      </c>
      <c r="DK13" s="6">
        <v>33</v>
      </c>
      <c r="DL13" s="6">
        <v>40</v>
      </c>
      <c r="DM13" s="6">
        <v>0</v>
      </c>
      <c r="DN13" s="6">
        <v>14</v>
      </c>
      <c r="DO13" s="6">
        <v>40</v>
      </c>
      <c r="DP13" s="6">
        <v>58</v>
      </c>
      <c r="DQ13" s="6">
        <v>60</v>
      </c>
      <c r="DS13" s="12">
        <v>9</v>
      </c>
      <c r="DT13" s="6">
        <v>22</v>
      </c>
      <c r="DU13" s="6">
        <v>25</v>
      </c>
      <c r="DV13" s="6">
        <v>30</v>
      </c>
      <c r="DW13" s="6">
        <v>24</v>
      </c>
      <c r="DX13" s="6">
        <v>17</v>
      </c>
      <c r="DY13" s="6">
        <v>12</v>
      </c>
      <c r="DZ13" s="6">
        <v>10</v>
      </c>
      <c r="EA13" s="6">
        <v>29</v>
      </c>
      <c r="EB13" s="6">
        <v>21</v>
      </c>
      <c r="EC13" s="6">
        <v>18</v>
      </c>
      <c r="ED13" s="6">
        <v>20</v>
      </c>
      <c r="EE13" s="6">
        <v>32</v>
      </c>
      <c r="EF13" s="6">
        <v>29</v>
      </c>
      <c r="EG13" s="6">
        <v>20</v>
      </c>
      <c r="EH13" s="6">
        <v>36</v>
      </c>
      <c r="EI13" s="6">
        <v>17</v>
      </c>
      <c r="EJ13" s="6">
        <v>46</v>
      </c>
      <c r="EK13" s="6">
        <v>18</v>
      </c>
      <c r="EL13" s="6">
        <v>41</v>
      </c>
      <c r="EM13" s="6">
        <v>36</v>
      </c>
      <c r="EN13" s="6">
        <v>23</v>
      </c>
      <c r="EO13" s="6">
        <v>19</v>
      </c>
      <c r="EP13" s="6">
        <v>20</v>
      </c>
      <c r="EQ13" s="6">
        <v>31</v>
      </c>
      <c r="ER13" s="6">
        <v>19</v>
      </c>
      <c r="ES13" s="6">
        <v>41</v>
      </c>
      <c r="ET13" s="6">
        <v>28</v>
      </c>
      <c r="EU13" s="6">
        <v>42</v>
      </c>
      <c r="EV13" s="6">
        <v>77</v>
      </c>
      <c r="EX13" s="7">
        <v>9</v>
      </c>
      <c r="EY13" s="6">
        <v>18</v>
      </c>
      <c r="EZ13" s="6">
        <v>27</v>
      </c>
      <c r="FA13" s="6">
        <v>34</v>
      </c>
      <c r="FB13" s="6">
        <v>15</v>
      </c>
      <c r="FC13" s="6">
        <v>12</v>
      </c>
      <c r="FD13" s="6">
        <v>13</v>
      </c>
      <c r="FE13" s="6">
        <v>15</v>
      </c>
      <c r="FF13" s="6">
        <v>27</v>
      </c>
      <c r="FG13" s="6">
        <v>12</v>
      </c>
      <c r="FH13" s="6">
        <v>21</v>
      </c>
      <c r="FI13" s="6">
        <v>21</v>
      </c>
      <c r="FJ13" s="6">
        <v>31</v>
      </c>
      <c r="FK13" s="6">
        <v>29</v>
      </c>
      <c r="FL13" s="6">
        <v>20</v>
      </c>
      <c r="FM13" s="6">
        <v>31</v>
      </c>
      <c r="FN13" s="6">
        <v>18</v>
      </c>
      <c r="FO13" s="6">
        <v>50</v>
      </c>
      <c r="FP13" s="6">
        <v>18</v>
      </c>
      <c r="FQ13" s="6">
        <v>41</v>
      </c>
      <c r="FR13" s="6">
        <v>43</v>
      </c>
      <c r="FS13" s="6">
        <v>22</v>
      </c>
      <c r="FT13" s="6">
        <v>20</v>
      </c>
      <c r="FU13" s="6">
        <v>19</v>
      </c>
      <c r="FV13" s="6">
        <v>27</v>
      </c>
      <c r="FW13" s="6">
        <v>20</v>
      </c>
      <c r="FX13" s="6">
        <v>46</v>
      </c>
      <c r="FY13" s="6">
        <v>29</v>
      </c>
      <c r="FZ13" s="6">
        <v>42</v>
      </c>
      <c r="GA13" s="6">
        <v>70</v>
      </c>
      <c r="GC13" s="7">
        <v>9</v>
      </c>
      <c r="GD13" s="6">
        <v>24</v>
      </c>
      <c r="GE13" s="6">
        <v>22</v>
      </c>
      <c r="GF13" s="6">
        <v>28</v>
      </c>
      <c r="GG13" s="6">
        <v>16</v>
      </c>
      <c r="GH13" s="6">
        <v>18</v>
      </c>
      <c r="GI13" s="6">
        <v>18</v>
      </c>
      <c r="GJ13" s="6">
        <v>20</v>
      </c>
      <c r="GK13" s="6">
        <v>35</v>
      </c>
      <c r="GL13" s="6">
        <v>19</v>
      </c>
      <c r="GM13" s="6">
        <v>18</v>
      </c>
      <c r="GN13" s="6">
        <v>15</v>
      </c>
      <c r="GO13" s="6">
        <v>25</v>
      </c>
      <c r="GP13" s="6">
        <v>26</v>
      </c>
      <c r="GQ13" s="6">
        <v>17</v>
      </c>
      <c r="GR13" s="6">
        <v>26</v>
      </c>
      <c r="GS13" s="6">
        <v>15</v>
      </c>
      <c r="GT13" s="6">
        <v>46</v>
      </c>
      <c r="GU13" s="6">
        <v>21</v>
      </c>
      <c r="GV13" s="6">
        <v>41</v>
      </c>
      <c r="GW13" s="6">
        <v>32</v>
      </c>
      <c r="GX13" s="6">
        <v>21</v>
      </c>
      <c r="GY13" s="6">
        <v>19</v>
      </c>
      <c r="GZ13" s="6">
        <v>22</v>
      </c>
      <c r="HA13" s="6">
        <v>28</v>
      </c>
      <c r="HB13" s="6">
        <v>19</v>
      </c>
      <c r="HC13" s="6">
        <v>32</v>
      </c>
      <c r="HD13" s="6">
        <v>31</v>
      </c>
      <c r="HE13" s="6">
        <v>48</v>
      </c>
      <c r="HF13" s="6">
        <v>64</v>
      </c>
      <c r="HH13" s="7">
        <v>9</v>
      </c>
      <c r="HI13" s="6">
        <v>15</v>
      </c>
      <c r="HJ13" s="6">
        <v>22</v>
      </c>
      <c r="HK13" s="6">
        <v>28</v>
      </c>
      <c r="HL13" s="6">
        <v>10</v>
      </c>
      <c r="HM13" s="6">
        <v>15</v>
      </c>
      <c r="HN13" s="6">
        <v>14</v>
      </c>
      <c r="HO13" s="6">
        <v>17</v>
      </c>
      <c r="HP13" s="6">
        <v>29</v>
      </c>
      <c r="HQ13" s="6">
        <v>14</v>
      </c>
      <c r="HR13" s="6">
        <v>22</v>
      </c>
      <c r="HS13" s="6">
        <v>17</v>
      </c>
      <c r="HT13" s="6">
        <v>29</v>
      </c>
      <c r="HU13" s="6">
        <v>25</v>
      </c>
      <c r="HV13" s="6">
        <v>17</v>
      </c>
      <c r="HW13" s="6">
        <v>27</v>
      </c>
      <c r="HX13" s="6">
        <v>16</v>
      </c>
      <c r="HY13" s="6">
        <v>50</v>
      </c>
      <c r="HZ13" s="6">
        <v>20</v>
      </c>
      <c r="IA13" s="6">
        <v>34</v>
      </c>
      <c r="IB13" s="6">
        <v>1</v>
      </c>
      <c r="IC13" s="6">
        <v>19</v>
      </c>
      <c r="ID13" s="6">
        <v>21</v>
      </c>
      <c r="IE13" s="6">
        <v>21</v>
      </c>
      <c r="IF13" s="6">
        <v>27</v>
      </c>
      <c r="IG13" s="6">
        <v>18</v>
      </c>
      <c r="IH13" s="6">
        <v>41</v>
      </c>
      <c r="II13" s="6">
        <v>26</v>
      </c>
      <c r="IJ13" s="6">
        <v>48</v>
      </c>
      <c r="IK13" s="6">
        <v>67</v>
      </c>
    </row>
    <row r="14" spans="2:245" x14ac:dyDescent="0.25">
      <c r="B14" s="13">
        <v>10</v>
      </c>
      <c r="C14" s="6">
        <v>11</v>
      </c>
      <c r="D14" s="6">
        <v>22</v>
      </c>
      <c r="E14" s="6">
        <v>45</v>
      </c>
      <c r="F14" s="6">
        <v>0</v>
      </c>
      <c r="G14" s="6">
        <v>2</v>
      </c>
      <c r="H14" s="6">
        <v>2</v>
      </c>
      <c r="I14" s="6">
        <v>8</v>
      </c>
      <c r="J14" s="6">
        <v>48</v>
      </c>
      <c r="K14" s="6">
        <v>0</v>
      </c>
      <c r="L14" s="6">
        <v>17</v>
      </c>
      <c r="M14" s="6">
        <v>28</v>
      </c>
      <c r="N14" s="6">
        <v>43</v>
      </c>
      <c r="O14" s="6">
        <v>34</v>
      </c>
      <c r="P14" s="6">
        <v>29</v>
      </c>
      <c r="Q14" s="6">
        <v>64</v>
      </c>
      <c r="R14" s="6">
        <v>0</v>
      </c>
      <c r="S14" s="6">
        <v>55</v>
      </c>
      <c r="T14" s="6">
        <v>5</v>
      </c>
      <c r="U14" s="6">
        <v>35</v>
      </c>
      <c r="V14" s="6">
        <v>67</v>
      </c>
      <c r="W14" s="6">
        <v>60</v>
      </c>
      <c r="X14" s="6">
        <v>47</v>
      </c>
      <c r="Y14" s="6">
        <v>5</v>
      </c>
      <c r="Z14" s="6">
        <v>32</v>
      </c>
      <c r="AA14" s="6">
        <v>3</v>
      </c>
      <c r="AB14" s="6">
        <v>40</v>
      </c>
      <c r="AC14" s="6">
        <v>61</v>
      </c>
      <c r="AD14" s="6">
        <v>51</v>
      </c>
      <c r="AE14" s="6">
        <v>82</v>
      </c>
      <c r="AG14" s="6">
        <v>9</v>
      </c>
      <c r="AH14" s="6">
        <v>20</v>
      </c>
      <c r="AI14" s="6">
        <v>43</v>
      </c>
      <c r="AJ14" s="6">
        <v>0</v>
      </c>
      <c r="AK14" s="6">
        <v>3</v>
      </c>
      <c r="AL14" s="6">
        <v>4</v>
      </c>
      <c r="AM14" s="6">
        <v>4</v>
      </c>
      <c r="AN14" s="6">
        <v>45</v>
      </c>
      <c r="AO14" s="6">
        <v>0</v>
      </c>
      <c r="AP14" s="6">
        <v>11</v>
      </c>
      <c r="AQ14" s="6">
        <v>24</v>
      </c>
      <c r="AR14" s="6">
        <v>40</v>
      </c>
      <c r="AS14" s="6">
        <v>27</v>
      </c>
      <c r="AT14" s="6">
        <v>29</v>
      </c>
      <c r="AU14" s="6">
        <v>60</v>
      </c>
      <c r="AV14" s="6">
        <v>0</v>
      </c>
      <c r="AW14" s="6">
        <v>55</v>
      </c>
      <c r="AX14" s="6">
        <v>5</v>
      </c>
      <c r="AY14" s="6">
        <v>27</v>
      </c>
      <c r="AZ14" s="6">
        <v>61</v>
      </c>
      <c r="BA14" s="6">
        <v>60</v>
      </c>
      <c r="BB14" s="6">
        <v>38</v>
      </c>
      <c r="BC14" s="6">
        <v>6</v>
      </c>
      <c r="BD14" s="6">
        <v>26</v>
      </c>
      <c r="BE14" s="6">
        <v>1</v>
      </c>
      <c r="BF14" s="6">
        <v>40</v>
      </c>
      <c r="BG14" s="6">
        <v>57</v>
      </c>
      <c r="BH14" s="6">
        <v>52</v>
      </c>
      <c r="BI14" s="6">
        <v>82</v>
      </c>
      <c r="BK14" s="6">
        <v>4</v>
      </c>
      <c r="BL14" s="6">
        <v>7</v>
      </c>
      <c r="BM14" s="6">
        <v>37</v>
      </c>
      <c r="BN14" s="6">
        <v>0</v>
      </c>
      <c r="BO14" s="6">
        <v>7</v>
      </c>
      <c r="BP14" s="6">
        <v>20</v>
      </c>
      <c r="BQ14" s="6">
        <v>20</v>
      </c>
      <c r="BR14" s="6">
        <v>50</v>
      </c>
      <c r="BS14" s="6">
        <v>1</v>
      </c>
      <c r="BT14" s="6">
        <v>20</v>
      </c>
      <c r="BU14" s="6">
        <v>20</v>
      </c>
      <c r="BV14" s="6">
        <v>32</v>
      </c>
      <c r="BW14" s="6">
        <v>25</v>
      </c>
      <c r="BX14" s="6">
        <v>11</v>
      </c>
      <c r="BY14" s="6">
        <v>43</v>
      </c>
      <c r="BZ14" s="6">
        <v>0</v>
      </c>
      <c r="CA14" s="6">
        <v>50</v>
      </c>
      <c r="CB14" s="6">
        <v>25</v>
      </c>
      <c r="CC14" s="6">
        <v>35</v>
      </c>
      <c r="CD14" s="6">
        <v>50</v>
      </c>
      <c r="CE14" s="6">
        <v>43</v>
      </c>
      <c r="CF14" s="6">
        <v>50</v>
      </c>
      <c r="CG14" s="6">
        <v>17</v>
      </c>
      <c r="CH14" s="6">
        <v>42</v>
      </c>
      <c r="CI14" s="6">
        <v>1</v>
      </c>
      <c r="CJ14" s="6">
        <v>17</v>
      </c>
      <c r="CK14" s="6">
        <v>47</v>
      </c>
      <c r="CL14" s="6">
        <v>60</v>
      </c>
      <c r="CM14" s="6">
        <v>69</v>
      </c>
      <c r="CO14" s="6">
        <v>2</v>
      </c>
      <c r="CP14" s="6">
        <v>7</v>
      </c>
      <c r="CQ14" s="6">
        <v>29</v>
      </c>
      <c r="CR14" s="6">
        <v>0</v>
      </c>
      <c r="CS14" s="6">
        <v>10</v>
      </c>
      <c r="CT14" s="6">
        <v>25</v>
      </c>
      <c r="CU14" s="6">
        <v>16</v>
      </c>
      <c r="CV14" s="6">
        <v>56</v>
      </c>
      <c r="CW14" s="6">
        <v>0</v>
      </c>
      <c r="CX14" s="6">
        <v>15</v>
      </c>
      <c r="CY14" s="6">
        <v>12</v>
      </c>
      <c r="CZ14" s="6">
        <v>28</v>
      </c>
      <c r="DA14" s="6">
        <v>23</v>
      </c>
      <c r="DB14" s="6">
        <v>10</v>
      </c>
      <c r="DC14" s="6">
        <v>41</v>
      </c>
      <c r="DD14" s="6">
        <v>0</v>
      </c>
      <c r="DE14" s="6">
        <v>50</v>
      </c>
      <c r="DF14" s="6">
        <v>34</v>
      </c>
      <c r="DG14" s="6">
        <v>30</v>
      </c>
      <c r="DH14" s="6">
        <v>46</v>
      </c>
      <c r="DI14" s="6">
        <v>40</v>
      </c>
      <c r="DJ14" s="6">
        <v>46</v>
      </c>
      <c r="DK14" s="6">
        <v>38</v>
      </c>
      <c r="DL14" s="6">
        <v>42</v>
      </c>
      <c r="DM14" s="6">
        <v>0</v>
      </c>
      <c r="DN14" s="6">
        <v>16</v>
      </c>
      <c r="DO14" s="6">
        <v>42</v>
      </c>
      <c r="DP14" s="6">
        <v>66</v>
      </c>
      <c r="DQ14" s="6">
        <v>64</v>
      </c>
      <c r="DS14" s="12">
        <v>10</v>
      </c>
      <c r="DT14" s="6">
        <v>25</v>
      </c>
      <c r="DU14" s="6">
        <v>25</v>
      </c>
      <c r="DV14" s="6">
        <v>33</v>
      </c>
      <c r="DW14" s="6">
        <v>24</v>
      </c>
      <c r="DX14" s="6">
        <v>18</v>
      </c>
      <c r="DY14" s="6">
        <v>13</v>
      </c>
      <c r="DZ14" s="6">
        <v>18</v>
      </c>
      <c r="EA14" s="6">
        <v>32</v>
      </c>
      <c r="EB14" s="6">
        <v>21</v>
      </c>
      <c r="EC14" s="6">
        <v>24</v>
      </c>
      <c r="ED14" s="6">
        <v>21</v>
      </c>
      <c r="EE14" s="6">
        <v>36</v>
      </c>
      <c r="EF14" s="6">
        <v>33</v>
      </c>
      <c r="EG14" s="6">
        <v>23</v>
      </c>
      <c r="EH14" s="6">
        <v>40</v>
      </c>
      <c r="EI14" s="6">
        <v>18</v>
      </c>
      <c r="EJ14" s="6">
        <v>51</v>
      </c>
      <c r="EK14" s="6">
        <v>19</v>
      </c>
      <c r="EL14" s="6">
        <v>45</v>
      </c>
      <c r="EM14" s="6">
        <v>40</v>
      </c>
      <c r="EN14" s="6">
        <v>26</v>
      </c>
      <c r="EO14" s="6">
        <v>21</v>
      </c>
      <c r="EP14" s="6">
        <v>23</v>
      </c>
      <c r="EQ14" s="6">
        <v>34</v>
      </c>
      <c r="ER14" s="6">
        <v>21</v>
      </c>
      <c r="ES14" s="6">
        <v>45</v>
      </c>
      <c r="ET14" s="6">
        <v>31</v>
      </c>
      <c r="EU14" s="6">
        <v>50</v>
      </c>
      <c r="EV14" s="6">
        <v>81</v>
      </c>
      <c r="EX14" s="7">
        <v>10</v>
      </c>
      <c r="EY14" s="6">
        <v>21</v>
      </c>
      <c r="EZ14" s="6">
        <v>27</v>
      </c>
      <c r="FA14" s="6">
        <v>38</v>
      </c>
      <c r="FB14" s="6">
        <v>15</v>
      </c>
      <c r="FC14" s="6">
        <v>14</v>
      </c>
      <c r="FD14" s="6">
        <v>13</v>
      </c>
      <c r="FE14" s="6">
        <v>23</v>
      </c>
      <c r="FF14" s="6">
        <v>32</v>
      </c>
      <c r="FG14" s="6">
        <v>14</v>
      </c>
      <c r="FH14" s="6">
        <v>23</v>
      </c>
      <c r="FI14" s="6">
        <v>21</v>
      </c>
      <c r="FJ14" s="6">
        <v>34</v>
      </c>
      <c r="FK14" s="6">
        <v>33</v>
      </c>
      <c r="FL14" s="6">
        <v>23</v>
      </c>
      <c r="FM14" s="6">
        <v>34</v>
      </c>
      <c r="FN14" s="6">
        <v>19</v>
      </c>
      <c r="FO14" s="6">
        <v>55</v>
      </c>
      <c r="FP14" s="6">
        <v>19</v>
      </c>
      <c r="FQ14" s="6">
        <v>45</v>
      </c>
      <c r="FR14" s="6">
        <v>48</v>
      </c>
      <c r="FS14" s="6">
        <v>25</v>
      </c>
      <c r="FT14" s="6">
        <v>22</v>
      </c>
      <c r="FU14" s="6">
        <v>21</v>
      </c>
      <c r="FV14" s="6">
        <v>30</v>
      </c>
      <c r="FW14" s="6">
        <v>23</v>
      </c>
      <c r="FX14" s="6">
        <v>51</v>
      </c>
      <c r="FY14" s="6">
        <v>33</v>
      </c>
      <c r="FZ14" s="6">
        <v>49</v>
      </c>
      <c r="GA14" s="6">
        <v>72</v>
      </c>
      <c r="GC14" s="7">
        <v>10</v>
      </c>
      <c r="GD14" s="6">
        <v>24</v>
      </c>
      <c r="GE14" s="6">
        <v>2</v>
      </c>
      <c r="GF14" s="6">
        <v>32</v>
      </c>
      <c r="GG14" s="6">
        <v>17</v>
      </c>
      <c r="GH14" s="6">
        <v>18</v>
      </c>
      <c r="GI14" s="6">
        <v>19</v>
      </c>
      <c r="GJ14" s="6">
        <v>21</v>
      </c>
      <c r="GK14" s="6">
        <v>37</v>
      </c>
      <c r="GL14" s="6">
        <v>19</v>
      </c>
      <c r="GM14" s="6">
        <v>24</v>
      </c>
      <c r="GN14" s="6">
        <v>23</v>
      </c>
      <c r="GO14" s="6">
        <v>28</v>
      </c>
      <c r="GP14" s="6">
        <v>29</v>
      </c>
      <c r="GQ14" s="6">
        <v>18</v>
      </c>
      <c r="GR14" s="6">
        <v>29</v>
      </c>
      <c r="GS14" s="6">
        <v>16</v>
      </c>
      <c r="GT14" s="6">
        <v>51</v>
      </c>
      <c r="GU14" s="6">
        <v>23</v>
      </c>
      <c r="GV14" s="6">
        <v>45</v>
      </c>
      <c r="GW14" s="6">
        <v>36</v>
      </c>
      <c r="GX14" s="6">
        <v>23</v>
      </c>
      <c r="GY14" s="6">
        <v>21</v>
      </c>
      <c r="GZ14" s="6">
        <v>24</v>
      </c>
      <c r="HA14" s="6">
        <v>31</v>
      </c>
      <c r="HB14" s="6">
        <v>21</v>
      </c>
      <c r="HC14" s="6">
        <v>36</v>
      </c>
      <c r="HD14" s="6">
        <v>34</v>
      </c>
      <c r="HE14" s="6">
        <v>54</v>
      </c>
      <c r="HF14" s="6">
        <v>68</v>
      </c>
      <c r="HH14" s="7">
        <v>10</v>
      </c>
      <c r="HI14" s="6">
        <v>15</v>
      </c>
      <c r="HJ14" s="6">
        <v>26</v>
      </c>
      <c r="HK14" s="6">
        <v>28</v>
      </c>
      <c r="HL14" s="6">
        <v>14</v>
      </c>
      <c r="HM14" s="6">
        <v>15</v>
      </c>
      <c r="HN14" s="6">
        <v>16</v>
      </c>
      <c r="HO14" s="6">
        <v>17</v>
      </c>
      <c r="HP14" s="6">
        <v>30</v>
      </c>
      <c r="HQ14" s="6">
        <v>17</v>
      </c>
      <c r="HR14" s="6">
        <v>22</v>
      </c>
      <c r="HS14" s="6">
        <v>25</v>
      </c>
      <c r="HT14" s="6">
        <v>33</v>
      </c>
      <c r="HU14" s="6">
        <v>28</v>
      </c>
      <c r="HV14" s="6">
        <v>19</v>
      </c>
      <c r="HW14" s="6">
        <v>30</v>
      </c>
      <c r="HX14" s="6">
        <v>18</v>
      </c>
      <c r="HY14" s="6">
        <v>55</v>
      </c>
      <c r="HZ14" s="6">
        <v>22</v>
      </c>
      <c r="IA14" s="6">
        <v>38</v>
      </c>
      <c r="IB14" s="6">
        <v>34</v>
      </c>
      <c r="IC14" s="6">
        <v>21</v>
      </c>
      <c r="ID14" s="6">
        <v>23</v>
      </c>
      <c r="IE14" s="6">
        <v>23</v>
      </c>
      <c r="IF14" s="6">
        <v>30</v>
      </c>
      <c r="IG14" s="6">
        <v>20</v>
      </c>
      <c r="IH14" s="6">
        <v>45</v>
      </c>
      <c r="II14" s="6">
        <v>29</v>
      </c>
      <c r="IJ14" s="6">
        <v>55</v>
      </c>
      <c r="IK14" s="6">
        <v>70</v>
      </c>
    </row>
    <row r="15" spans="2:245" x14ac:dyDescent="0.25">
      <c r="B15" s="13">
        <v>11</v>
      </c>
      <c r="C15" s="6">
        <v>16</v>
      </c>
      <c r="D15" s="6">
        <v>25</v>
      </c>
      <c r="E15" s="6">
        <v>46</v>
      </c>
      <c r="F15" s="6">
        <v>0</v>
      </c>
      <c r="G15" s="6">
        <v>3</v>
      </c>
      <c r="H15" s="6">
        <v>2</v>
      </c>
      <c r="I15" s="6">
        <v>10</v>
      </c>
      <c r="J15" s="6">
        <v>50</v>
      </c>
      <c r="K15" s="6">
        <v>0</v>
      </c>
      <c r="L15" s="6">
        <v>20</v>
      </c>
      <c r="M15" s="6">
        <v>30</v>
      </c>
      <c r="N15" s="6">
        <v>44</v>
      </c>
      <c r="O15" s="6">
        <v>40</v>
      </c>
      <c r="P15" s="6">
        <v>32</v>
      </c>
      <c r="Q15" s="6">
        <v>66</v>
      </c>
      <c r="R15" s="6">
        <v>1</v>
      </c>
      <c r="S15" s="6">
        <v>61</v>
      </c>
      <c r="T15" s="6">
        <v>6</v>
      </c>
      <c r="U15" s="6">
        <v>37</v>
      </c>
      <c r="V15" s="6">
        <v>69</v>
      </c>
      <c r="W15" s="6">
        <v>61</v>
      </c>
      <c r="X15" s="6">
        <v>48</v>
      </c>
      <c r="Y15" s="6">
        <v>6</v>
      </c>
      <c r="Z15" s="6">
        <v>35</v>
      </c>
      <c r="AA15" s="6">
        <v>3</v>
      </c>
      <c r="AB15" s="6">
        <v>42</v>
      </c>
      <c r="AC15" s="6">
        <v>62</v>
      </c>
      <c r="AD15" s="6">
        <v>58</v>
      </c>
      <c r="AE15" s="6">
        <v>84</v>
      </c>
      <c r="AG15" s="6">
        <v>9</v>
      </c>
      <c r="AH15" s="6">
        <v>25</v>
      </c>
      <c r="AI15" s="6">
        <v>44</v>
      </c>
      <c r="AJ15" s="6">
        <v>0</v>
      </c>
      <c r="AK15" s="6">
        <v>6</v>
      </c>
      <c r="AL15" s="6">
        <v>4</v>
      </c>
      <c r="AM15" s="6">
        <v>6</v>
      </c>
      <c r="AN15" s="6">
        <v>47</v>
      </c>
      <c r="AO15" s="6">
        <v>0</v>
      </c>
      <c r="AP15" s="6">
        <v>17</v>
      </c>
      <c r="AQ15" s="6">
        <v>25</v>
      </c>
      <c r="AR15" s="6">
        <v>41</v>
      </c>
      <c r="AS15" s="6">
        <v>31</v>
      </c>
      <c r="AT15" s="6">
        <v>31</v>
      </c>
      <c r="AU15" s="6">
        <v>62</v>
      </c>
      <c r="AV15" s="6">
        <v>1</v>
      </c>
      <c r="AW15" s="6">
        <v>58</v>
      </c>
      <c r="AX15" s="6">
        <v>7</v>
      </c>
      <c r="AY15" s="6">
        <v>30</v>
      </c>
      <c r="AZ15" s="6">
        <v>65</v>
      </c>
      <c r="BA15" s="6">
        <v>63</v>
      </c>
      <c r="BB15" s="6">
        <v>40</v>
      </c>
      <c r="BC15" s="6">
        <v>6</v>
      </c>
      <c r="BD15" s="6">
        <v>28</v>
      </c>
      <c r="BE15" s="6">
        <v>1</v>
      </c>
      <c r="BF15" s="6">
        <v>43</v>
      </c>
      <c r="BG15" s="6">
        <v>60</v>
      </c>
      <c r="BH15" s="6">
        <v>64</v>
      </c>
      <c r="BI15" s="6">
        <v>84</v>
      </c>
      <c r="BK15" s="6">
        <v>5</v>
      </c>
      <c r="BL15" s="6">
        <v>11</v>
      </c>
      <c r="BM15" s="6">
        <v>40</v>
      </c>
      <c r="BN15" s="6">
        <v>0</v>
      </c>
      <c r="BO15" s="6">
        <v>9</v>
      </c>
      <c r="BP15" s="6">
        <v>21</v>
      </c>
      <c r="BQ15" s="6">
        <v>21</v>
      </c>
      <c r="BR15" s="6">
        <v>53</v>
      </c>
      <c r="BS15" s="6">
        <v>1</v>
      </c>
      <c r="BT15" s="6">
        <v>22</v>
      </c>
      <c r="BU15" s="6">
        <v>22</v>
      </c>
      <c r="BV15" s="6">
        <v>34</v>
      </c>
      <c r="BW15" s="6">
        <v>30</v>
      </c>
      <c r="BX15" s="6">
        <v>15</v>
      </c>
      <c r="BY15" s="6">
        <v>45</v>
      </c>
      <c r="BZ15" s="6">
        <v>0</v>
      </c>
      <c r="CA15" s="6">
        <v>52</v>
      </c>
      <c r="CB15" s="6">
        <v>30</v>
      </c>
      <c r="CC15" s="6">
        <v>40</v>
      </c>
      <c r="CD15" s="6">
        <v>54</v>
      </c>
      <c r="CE15" s="6">
        <v>45</v>
      </c>
      <c r="CF15" s="6">
        <v>55</v>
      </c>
      <c r="CG15" s="6">
        <v>24</v>
      </c>
      <c r="CH15" s="6">
        <v>45</v>
      </c>
      <c r="CI15" s="6">
        <v>1</v>
      </c>
      <c r="CJ15" s="6">
        <v>20</v>
      </c>
      <c r="CK15" s="6">
        <v>49</v>
      </c>
      <c r="CL15" s="6">
        <v>68</v>
      </c>
      <c r="CM15" s="6">
        <v>75</v>
      </c>
      <c r="CO15" s="6">
        <v>3</v>
      </c>
      <c r="CP15" s="6">
        <v>10</v>
      </c>
      <c r="CQ15" s="6">
        <v>32</v>
      </c>
      <c r="CR15" s="6">
        <v>0</v>
      </c>
      <c r="CS15" s="6">
        <v>12</v>
      </c>
      <c r="CT15" s="6">
        <v>26</v>
      </c>
      <c r="CU15" s="6">
        <v>20</v>
      </c>
      <c r="CV15" s="6">
        <v>59</v>
      </c>
      <c r="CW15" s="6">
        <v>0</v>
      </c>
      <c r="CX15" s="6">
        <v>20</v>
      </c>
      <c r="CY15" s="6">
        <v>13</v>
      </c>
      <c r="CZ15" s="6">
        <v>29</v>
      </c>
      <c r="DA15" s="6">
        <v>28</v>
      </c>
      <c r="DB15" s="6">
        <v>15</v>
      </c>
      <c r="DC15" s="6">
        <v>42</v>
      </c>
      <c r="DD15" s="6">
        <v>1</v>
      </c>
      <c r="DE15" s="6">
        <v>54</v>
      </c>
      <c r="DF15" s="6">
        <v>40</v>
      </c>
      <c r="DG15" s="6">
        <v>32</v>
      </c>
      <c r="DH15" s="6">
        <v>50</v>
      </c>
      <c r="DI15" s="6">
        <v>42</v>
      </c>
      <c r="DJ15" s="6">
        <v>50</v>
      </c>
      <c r="DK15" s="6">
        <v>40</v>
      </c>
      <c r="DL15" s="6">
        <v>44</v>
      </c>
      <c r="DM15" s="6">
        <v>0</v>
      </c>
      <c r="DN15" s="6">
        <v>20</v>
      </c>
      <c r="DO15" s="6">
        <v>43</v>
      </c>
      <c r="DP15" s="6">
        <v>74</v>
      </c>
      <c r="DQ15" s="6">
        <v>69</v>
      </c>
      <c r="DS15" s="12">
        <v>11</v>
      </c>
      <c r="DT15" s="6">
        <v>27</v>
      </c>
      <c r="DU15" s="6">
        <v>29</v>
      </c>
      <c r="DV15" s="6">
        <v>37</v>
      </c>
      <c r="DW15" s="6">
        <v>24</v>
      </c>
      <c r="DX15" s="6">
        <v>18</v>
      </c>
      <c r="DY15" s="6">
        <v>21</v>
      </c>
      <c r="DZ15" s="6">
        <v>18</v>
      </c>
      <c r="EA15" s="6">
        <v>44</v>
      </c>
      <c r="EB15" s="6">
        <v>21</v>
      </c>
      <c r="EC15" s="6">
        <v>24</v>
      </c>
      <c r="ED15" s="6">
        <v>23</v>
      </c>
      <c r="EE15" s="6">
        <v>40</v>
      </c>
      <c r="EF15" s="6">
        <v>36</v>
      </c>
      <c r="EG15" s="6">
        <v>25</v>
      </c>
      <c r="EH15" s="6">
        <v>44</v>
      </c>
      <c r="EI15" s="6">
        <v>20</v>
      </c>
      <c r="EJ15" s="6">
        <v>57</v>
      </c>
      <c r="EK15" s="6">
        <v>21</v>
      </c>
      <c r="EL15" s="6">
        <v>50</v>
      </c>
      <c r="EM15" s="6">
        <v>44</v>
      </c>
      <c r="EN15" s="6">
        <v>28</v>
      </c>
      <c r="EO15" s="6">
        <v>23</v>
      </c>
      <c r="EP15" s="6">
        <v>25</v>
      </c>
      <c r="EQ15" s="6">
        <v>38</v>
      </c>
      <c r="ER15" s="6">
        <v>23</v>
      </c>
      <c r="ES15" s="6">
        <v>50</v>
      </c>
      <c r="ET15" s="6">
        <v>34</v>
      </c>
      <c r="EU15" s="6">
        <v>57</v>
      </c>
      <c r="EV15" s="6">
        <v>85</v>
      </c>
      <c r="EX15" s="7">
        <v>11</v>
      </c>
      <c r="EY15" s="6">
        <v>27</v>
      </c>
      <c r="EZ15" s="6">
        <v>28</v>
      </c>
      <c r="FA15" s="6">
        <v>41</v>
      </c>
      <c r="FB15" s="6">
        <v>17</v>
      </c>
      <c r="FC15" s="6">
        <v>15</v>
      </c>
      <c r="FD15" s="6">
        <v>14</v>
      </c>
      <c r="FE15" s="6">
        <v>23</v>
      </c>
      <c r="FF15" s="6">
        <v>32</v>
      </c>
      <c r="FG15" s="6">
        <v>14</v>
      </c>
      <c r="FH15" s="6">
        <v>26</v>
      </c>
      <c r="FI15" s="6">
        <v>25</v>
      </c>
      <c r="FJ15" s="6">
        <v>38</v>
      </c>
      <c r="FK15" s="6">
        <v>36</v>
      </c>
      <c r="FL15" s="6">
        <v>25</v>
      </c>
      <c r="FM15" s="6">
        <v>38</v>
      </c>
      <c r="FN15" s="6">
        <v>21</v>
      </c>
      <c r="FO15" s="6">
        <v>61</v>
      </c>
      <c r="FP15" s="6">
        <v>21</v>
      </c>
      <c r="FQ15" s="6">
        <v>50</v>
      </c>
      <c r="FR15" s="6">
        <v>53</v>
      </c>
      <c r="FS15" s="6">
        <v>27</v>
      </c>
      <c r="FT15" s="6">
        <v>24</v>
      </c>
      <c r="FU15" s="6">
        <v>23</v>
      </c>
      <c r="FV15" s="6">
        <v>33</v>
      </c>
      <c r="FW15" s="6">
        <v>25</v>
      </c>
      <c r="FX15" s="6">
        <v>57</v>
      </c>
      <c r="FY15" s="6">
        <v>36</v>
      </c>
      <c r="FZ15" s="6">
        <v>56</v>
      </c>
      <c r="GA15" s="6">
        <v>75</v>
      </c>
      <c r="GC15" s="7">
        <v>11</v>
      </c>
      <c r="GD15" s="6">
        <v>30</v>
      </c>
      <c r="GE15" s="6">
        <v>26</v>
      </c>
      <c r="GF15" s="6">
        <v>32</v>
      </c>
      <c r="GG15" s="6">
        <v>18</v>
      </c>
      <c r="GH15" s="6">
        <v>25</v>
      </c>
      <c r="GI15" s="6">
        <v>19</v>
      </c>
      <c r="GJ15" s="6">
        <v>21</v>
      </c>
      <c r="GK15" s="6">
        <v>43</v>
      </c>
      <c r="GL15" s="6">
        <v>20</v>
      </c>
      <c r="GM15" s="6">
        <v>24</v>
      </c>
      <c r="GN15" s="6">
        <v>28</v>
      </c>
      <c r="GO15" s="6">
        <v>30</v>
      </c>
      <c r="GP15" s="6">
        <v>32</v>
      </c>
      <c r="GQ15" s="6">
        <v>20</v>
      </c>
      <c r="GR15" s="6">
        <v>32</v>
      </c>
      <c r="GS15" s="6">
        <v>18</v>
      </c>
      <c r="GT15" s="6">
        <v>57</v>
      </c>
      <c r="GU15" s="6">
        <v>26</v>
      </c>
      <c r="GV15" s="6">
        <v>50</v>
      </c>
      <c r="GW15" s="6">
        <v>40</v>
      </c>
      <c r="GX15" s="6">
        <v>26</v>
      </c>
      <c r="GY15" s="6">
        <v>23</v>
      </c>
      <c r="GZ15" s="6">
        <v>26</v>
      </c>
      <c r="HA15" s="6">
        <v>34</v>
      </c>
      <c r="HB15" s="6">
        <v>23</v>
      </c>
      <c r="HC15" s="6">
        <v>40</v>
      </c>
      <c r="HD15" s="6">
        <v>38</v>
      </c>
      <c r="HE15" s="6">
        <v>60</v>
      </c>
      <c r="HF15" s="6">
        <v>72</v>
      </c>
      <c r="HH15" s="7">
        <v>11</v>
      </c>
      <c r="HI15" s="6">
        <v>18</v>
      </c>
      <c r="HJ15" s="6">
        <v>26</v>
      </c>
      <c r="HK15" s="6">
        <v>33</v>
      </c>
      <c r="HL15" s="6">
        <v>14</v>
      </c>
      <c r="HM15" s="6">
        <v>16</v>
      </c>
      <c r="HN15" s="6">
        <v>18</v>
      </c>
      <c r="HO15" s="6">
        <v>18</v>
      </c>
      <c r="HP15" s="6">
        <v>37</v>
      </c>
      <c r="HQ15" s="6">
        <v>17</v>
      </c>
      <c r="HR15" s="6">
        <v>24</v>
      </c>
      <c r="HS15" s="6">
        <v>25</v>
      </c>
      <c r="HT15" s="6">
        <v>36</v>
      </c>
      <c r="HU15" s="6">
        <v>30</v>
      </c>
      <c r="HV15" s="6">
        <v>21</v>
      </c>
      <c r="HW15" s="6">
        <v>33</v>
      </c>
      <c r="HX15" s="6">
        <v>19</v>
      </c>
      <c r="HY15" s="6">
        <v>61</v>
      </c>
      <c r="HZ15" s="6">
        <v>24</v>
      </c>
      <c r="IA15" s="6">
        <v>42</v>
      </c>
      <c r="IB15" s="6">
        <v>38</v>
      </c>
      <c r="IC15" s="6">
        <v>23</v>
      </c>
      <c r="ID15" s="6">
        <v>26</v>
      </c>
      <c r="IE15" s="6">
        <v>26</v>
      </c>
      <c r="IF15" s="6">
        <v>33</v>
      </c>
      <c r="IG15" s="6">
        <v>22</v>
      </c>
      <c r="IH15" s="6">
        <v>50</v>
      </c>
      <c r="II15" s="6">
        <v>32</v>
      </c>
      <c r="IJ15" s="6">
        <v>60</v>
      </c>
      <c r="IK15" s="6">
        <v>72</v>
      </c>
    </row>
    <row r="16" spans="2:245" x14ac:dyDescent="0.25">
      <c r="B16" s="13">
        <v>12</v>
      </c>
      <c r="C16" s="6">
        <v>20</v>
      </c>
      <c r="D16" s="6">
        <v>29</v>
      </c>
      <c r="E16" s="6">
        <v>47</v>
      </c>
      <c r="F16" s="6">
        <v>1</v>
      </c>
      <c r="G16" s="6">
        <v>4</v>
      </c>
      <c r="H16" s="6">
        <v>3</v>
      </c>
      <c r="I16" s="6">
        <v>12</v>
      </c>
      <c r="J16" s="6">
        <v>55</v>
      </c>
      <c r="K16" s="6">
        <v>0</v>
      </c>
      <c r="L16" s="6">
        <v>24</v>
      </c>
      <c r="M16" s="6">
        <v>33</v>
      </c>
      <c r="N16" s="6">
        <v>46</v>
      </c>
      <c r="O16" s="6">
        <v>43</v>
      </c>
      <c r="P16" s="6">
        <v>35</v>
      </c>
      <c r="Q16" s="6">
        <v>69</v>
      </c>
      <c r="R16" s="6">
        <v>1</v>
      </c>
      <c r="S16" s="6">
        <v>64</v>
      </c>
      <c r="T16" s="6">
        <v>8</v>
      </c>
      <c r="U16" s="6">
        <v>42</v>
      </c>
      <c r="V16" s="6">
        <v>71</v>
      </c>
      <c r="W16" s="6">
        <v>63</v>
      </c>
      <c r="X16" s="6">
        <v>50</v>
      </c>
      <c r="Y16" s="6">
        <v>9</v>
      </c>
      <c r="Z16" s="6">
        <v>40</v>
      </c>
      <c r="AA16" s="6">
        <v>4</v>
      </c>
      <c r="AB16" s="6">
        <v>44</v>
      </c>
      <c r="AC16" s="6">
        <v>65</v>
      </c>
      <c r="AD16" s="6">
        <v>67</v>
      </c>
      <c r="AE16" s="6">
        <v>90</v>
      </c>
      <c r="AG16" s="6">
        <v>10</v>
      </c>
      <c r="AH16" s="6">
        <v>31</v>
      </c>
      <c r="AI16" s="6">
        <v>45</v>
      </c>
      <c r="AJ16" s="6">
        <v>0</v>
      </c>
      <c r="AK16" s="6">
        <v>6</v>
      </c>
      <c r="AL16" s="6">
        <v>4</v>
      </c>
      <c r="AM16" s="6">
        <v>7</v>
      </c>
      <c r="AN16" s="6">
        <v>50</v>
      </c>
      <c r="AO16" s="6">
        <v>0</v>
      </c>
      <c r="AP16" s="6">
        <v>20</v>
      </c>
      <c r="AQ16" s="6">
        <v>26</v>
      </c>
      <c r="AR16" s="6">
        <v>45</v>
      </c>
      <c r="AS16" s="6">
        <v>35</v>
      </c>
      <c r="AT16" s="6">
        <v>33</v>
      </c>
      <c r="AU16" s="6">
        <v>65</v>
      </c>
      <c r="AV16" s="6">
        <v>3</v>
      </c>
      <c r="AW16" s="6">
        <v>62</v>
      </c>
      <c r="AX16" s="6">
        <v>12</v>
      </c>
      <c r="AY16" s="6">
        <v>33</v>
      </c>
      <c r="AZ16" s="6">
        <v>69</v>
      </c>
      <c r="BA16" s="6">
        <v>66</v>
      </c>
      <c r="BB16" s="6">
        <v>41</v>
      </c>
      <c r="BC16" s="6">
        <v>7</v>
      </c>
      <c r="BD16" s="6">
        <v>35</v>
      </c>
      <c r="BE16" s="6">
        <v>1</v>
      </c>
      <c r="BF16" s="6">
        <v>46</v>
      </c>
      <c r="BG16" s="6">
        <v>62</v>
      </c>
      <c r="BH16" s="6">
        <v>74</v>
      </c>
      <c r="BI16" s="6">
        <v>90</v>
      </c>
      <c r="BK16" s="6">
        <v>6</v>
      </c>
      <c r="BL16" s="6">
        <v>14</v>
      </c>
      <c r="BM16" s="6">
        <v>41</v>
      </c>
      <c r="BN16" s="6">
        <v>1</v>
      </c>
      <c r="BO16" s="6">
        <v>11</v>
      </c>
      <c r="BP16" s="6">
        <v>23</v>
      </c>
      <c r="BQ16" s="6">
        <v>23</v>
      </c>
      <c r="BR16" s="6">
        <v>58</v>
      </c>
      <c r="BS16" s="6">
        <v>1</v>
      </c>
      <c r="BT16" s="6">
        <v>24</v>
      </c>
      <c r="BU16" s="6">
        <v>23</v>
      </c>
      <c r="BV16" s="6">
        <v>40</v>
      </c>
      <c r="BW16" s="6">
        <v>35</v>
      </c>
      <c r="BX16" s="6">
        <v>17</v>
      </c>
      <c r="BY16" s="6">
        <v>46</v>
      </c>
      <c r="BZ16" s="6">
        <v>1</v>
      </c>
      <c r="CA16" s="6">
        <v>55</v>
      </c>
      <c r="CB16" s="6">
        <v>35</v>
      </c>
      <c r="CC16" s="6">
        <v>42</v>
      </c>
      <c r="CD16" s="6">
        <v>56</v>
      </c>
      <c r="CE16" s="6">
        <v>46</v>
      </c>
      <c r="CF16" s="6">
        <v>58</v>
      </c>
      <c r="CG16" s="6">
        <v>32</v>
      </c>
      <c r="CH16" s="6">
        <v>48</v>
      </c>
      <c r="CI16" s="6">
        <v>1</v>
      </c>
      <c r="CJ16" s="6">
        <v>24</v>
      </c>
      <c r="CK16" s="6">
        <v>50</v>
      </c>
      <c r="CL16" s="6">
        <v>75</v>
      </c>
      <c r="CM16" s="6">
        <v>81</v>
      </c>
      <c r="CO16" s="6">
        <v>4</v>
      </c>
      <c r="CP16" s="6">
        <v>12</v>
      </c>
      <c r="CQ16" s="6">
        <v>34</v>
      </c>
      <c r="CR16" s="6">
        <v>0</v>
      </c>
      <c r="CS16" s="6">
        <v>16</v>
      </c>
      <c r="CT16" s="6">
        <v>28</v>
      </c>
      <c r="CU16" s="6">
        <v>24</v>
      </c>
      <c r="CV16" s="6">
        <v>63</v>
      </c>
      <c r="CW16" s="6">
        <v>0</v>
      </c>
      <c r="CX16" s="6">
        <v>23</v>
      </c>
      <c r="CY16" s="6">
        <v>15</v>
      </c>
      <c r="CZ16" s="6">
        <v>34</v>
      </c>
      <c r="DA16" s="6">
        <v>32</v>
      </c>
      <c r="DB16" s="6">
        <v>18</v>
      </c>
      <c r="DC16" s="6">
        <v>43</v>
      </c>
      <c r="DD16" s="6">
        <v>1</v>
      </c>
      <c r="DE16" s="6">
        <v>57</v>
      </c>
      <c r="DF16" s="6">
        <v>41</v>
      </c>
      <c r="DG16" s="6">
        <v>35</v>
      </c>
      <c r="DH16" s="6">
        <v>53</v>
      </c>
      <c r="DI16" s="6">
        <v>43</v>
      </c>
      <c r="DJ16" s="6">
        <v>53</v>
      </c>
      <c r="DK16" s="6">
        <v>43</v>
      </c>
      <c r="DL16" s="6">
        <v>46</v>
      </c>
      <c r="DM16" s="6">
        <v>0</v>
      </c>
      <c r="DN16" s="6">
        <v>23</v>
      </c>
      <c r="DO16" s="6">
        <v>44</v>
      </c>
      <c r="DP16" s="6">
        <v>81</v>
      </c>
      <c r="DQ16" s="6">
        <v>74</v>
      </c>
      <c r="DS16" s="12">
        <v>12</v>
      </c>
      <c r="DT16" s="6">
        <v>28</v>
      </c>
      <c r="DU16" s="6">
        <v>33</v>
      </c>
      <c r="DV16" s="6">
        <v>39</v>
      </c>
      <c r="DW16" s="6">
        <v>25</v>
      </c>
      <c r="DX16" s="6">
        <v>22</v>
      </c>
      <c r="DY16" s="6">
        <v>21</v>
      </c>
      <c r="DZ16" s="6">
        <v>20</v>
      </c>
      <c r="EA16" s="6">
        <v>47</v>
      </c>
      <c r="EB16" s="6">
        <v>23</v>
      </c>
      <c r="EC16" s="6">
        <v>28</v>
      </c>
      <c r="ED16" s="6">
        <v>23</v>
      </c>
      <c r="EE16" s="6">
        <v>43</v>
      </c>
      <c r="EF16" s="6">
        <v>39</v>
      </c>
      <c r="EG16" s="6">
        <v>27</v>
      </c>
      <c r="EH16" s="6">
        <v>48</v>
      </c>
      <c r="EI16" s="6">
        <v>22</v>
      </c>
      <c r="EJ16" s="6">
        <v>62</v>
      </c>
      <c r="EK16" s="6">
        <v>23</v>
      </c>
      <c r="EL16" s="6">
        <v>54</v>
      </c>
      <c r="EM16" s="6">
        <v>48</v>
      </c>
      <c r="EN16" s="6">
        <v>31</v>
      </c>
      <c r="EO16" s="6">
        <v>25</v>
      </c>
      <c r="EP16" s="6">
        <v>27</v>
      </c>
      <c r="EQ16" s="6">
        <v>41</v>
      </c>
      <c r="ER16" s="6">
        <v>25</v>
      </c>
      <c r="ES16" s="6">
        <v>54</v>
      </c>
      <c r="ET16" s="6">
        <v>38</v>
      </c>
      <c r="EU16" s="6">
        <v>64</v>
      </c>
      <c r="EV16" s="6">
        <v>90</v>
      </c>
      <c r="EX16" s="7">
        <v>12</v>
      </c>
      <c r="EY16" s="6">
        <v>27</v>
      </c>
      <c r="EZ16" s="6">
        <v>32</v>
      </c>
      <c r="FA16" s="6">
        <v>44</v>
      </c>
      <c r="FB16" s="6">
        <v>17</v>
      </c>
      <c r="FC16" s="6">
        <v>16</v>
      </c>
      <c r="FD16" s="6">
        <v>16</v>
      </c>
      <c r="FE16" s="6">
        <v>23</v>
      </c>
      <c r="FF16" s="6">
        <v>35</v>
      </c>
      <c r="FG16" s="6">
        <v>15</v>
      </c>
      <c r="FH16" s="6">
        <v>27</v>
      </c>
      <c r="FI16" s="6">
        <v>26</v>
      </c>
      <c r="FJ16" s="6">
        <v>41</v>
      </c>
      <c r="FK16" s="6">
        <v>39</v>
      </c>
      <c r="FL16" s="6">
        <v>27</v>
      </c>
      <c r="FM16" s="6">
        <v>41</v>
      </c>
      <c r="FN16" s="6">
        <v>23</v>
      </c>
      <c r="FO16" s="6">
        <v>66</v>
      </c>
      <c r="FP16" s="6">
        <v>23</v>
      </c>
      <c r="FQ16" s="6">
        <v>54</v>
      </c>
      <c r="FR16" s="6">
        <v>58</v>
      </c>
      <c r="FS16" s="6">
        <v>30</v>
      </c>
      <c r="FT16" s="6">
        <v>26</v>
      </c>
      <c r="FU16" s="6">
        <v>25</v>
      </c>
      <c r="FV16" s="6">
        <v>36</v>
      </c>
      <c r="FW16" s="6">
        <v>27</v>
      </c>
      <c r="FX16" s="6">
        <v>62</v>
      </c>
      <c r="FY16" s="6">
        <v>39</v>
      </c>
      <c r="FZ16" s="6">
        <v>63</v>
      </c>
      <c r="GA16" s="6">
        <v>80</v>
      </c>
      <c r="GC16" s="7">
        <v>12</v>
      </c>
      <c r="GD16" s="6">
        <v>31</v>
      </c>
      <c r="GE16" s="6">
        <v>26</v>
      </c>
      <c r="GF16" s="6">
        <v>39</v>
      </c>
      <c r="GG16" s="6">
        <v>18</v>
      </c>
      <c r="GH16" s="6">
        <v>25</v>
      </c>
      <c r="GI16" s="6">
        <v>19</v>
      </c>
      <c r="GJ16" s="6">
        <v>23</v>
      </c>
      <c r="GK16" s="6">
        <v>47</v>
      </c>
      <c r="GL16" s="6">
        <v>23</v>
      </c>
      <c r="GM16" s="6">
        <v>29</v>
      </c>
      <c r="GN16" s="6">
        <v>28</v>
      </c>
      <c r="GO16" s="6">
        <v>33</v>
      </c>
      <c r="GP16" s="6">
        <v>35</v>
      </c>
      <c r="GQ16" s="6">
        <v>22</v>
      </c>
      <c r="GR16" s="6">
        <v>35</v>
      </c>
      <c r="GS16" s="6">
        <v>20</v>
      </c>
      <c r="GT16" s="6">
        <v>62</v>
      </c>
      <c r="GU16" s="6">
        <v>28</v>
      </c>
      <c r="GV16" s="6">
        <v>54</v>
      </c>
      <c r="GW16" s="6">
        <v>43</v>
      </c>
      <c r="GX16" s="6">
        <v>28</v>
      </c>
      <c r="GY16" s="6">
        <v>25</v>
      </c>
      <c r="GZ16" s="6">
        <v>29</v>
      </c>
      <c r="HA16" s="6">
        <v>38</v>
      </c>
      <c r="HB16" s="6">
        <v>25</v>
      </c>
      <c r="HC16" s="6">
        <v>43</v>
      </c>
      <c r="HD16" s="6">
        <v>41</v>
      </c>
      <c r="HE16" s="6">
        <v>65</v>
      </c>
      <c r="HF16" s="6">
        <v>77</v>
      </c>
      <c r="HH16" s="7">
        <v>12</v>
      </c>
      <c r="HI16" s="6">
        <v>22</v>
      </c>
      <c r="HJ16" s="6">
        <v>27</v>
      </c>
      <c r="HK16" s="6">
        <v>34</v>
      </c>
      <c r="HL16" s="6">
        <v>14</v>
      </c>
      <c r="HM16" s="6">
        <v>18</v>
      </c>
      <c r="HN16" s="6">
        <v>19</v>
      </c>
      <c r="HO16" s="6">
        <v>21</v>
      </c>
      <c r="HP16" s="6">
        <v>41</v>
      </c>
      <c r="HQ16" s="6">
        <v>20</v>
      </c>
      <c r="HR16" s="6">
        <v>28</v>
      </c>
      <c r="HS16" s="6">
        <v>28</v>
      </c>
      <c r="HT16" s="6">
        <v>39</v>
      </c>
      <c r="HU16" s="6">
        <v>33</v>
      </c>
      <c r="HV16" s="6">
        <v>23</v>
      </c>
      <c r="HW16" s="6">
        <v>36</v>
      </c>
      <c r="HX16" s="6">
        <v>21</v>
      </c>
      <c r="HY16" s="6">
        <v>66</v>
      </c>
      <c r="HZ16" s="6">
        <v>26</v>
      </c>
      <c r="IA16" s="6">
        <v>45</v>
      </c>
      <c r="IB16" s="6">
        <v>41</v>
      </c>
      <c r="IC16" s="6">
        <v>25</v>
      </c>
      <c r="ID16" s="6">
        <v>28</v>
      </c>
      <c r="IE16" s="6">
        <v>28</v>
      </c>
      <c r="IF16" s="6">
        <v>36</v>
      </c>
      <c r="IG16" s="6">
        <v>24</v>
      </c>
      <c r="IH16" s="6">
        <v>54</v>
      </c>
      <c r="II16" s="6">
        <v>35</v>
      </c>
      <c r="IJ16" s="6">
        <v>67</v>
      </c>
      <c r="IK16" s="6">
        <v>75</v>
      </c>
    </row>
    <row r="17" spans="2:245" x14ac:dyDescent="0.25">
      <c r="B17" s="13">
        <v>13</v>
      </c>
      <c r="C17" s="6">
        <v>21</v>
      </c>
      <c r="D17" s="6">
        <v>32</v>
      </c>
      <c r="E17" s="6">
        <v>48</v>
      </c>
      <c r="F17" s="6">
        <v>1</v>
      </c>
      <c r="G17" s="6">
        <v>5</v>
      </c>
      <c r="H17" s="6">
        <v>5</v>
      </c>
      <c r="I17" s="6">
        <v>13</v>
      </c>
      <c r="J17" s="6">
        <v>58</v>
      </c>
      <c r="K17" s="6">
        <v>0</v>
      </c>
      <c r="L17" s="6">
        <v>28</v>
      </c>
      <c r="M17" s="6">
        <v>36</v>
      </c>
      <c r="N17" s="6">
        <v>47</v>
      </c>
      <c r="O17" s="6">
        <v>47</v>
      </c>
      <c r="P17" s="6">
        <v>40</v>
      </c>
      <c r="Q17" s="6">
        <v>71</v>
      </c>
      <c r="R17" s="6">
        <v>2</v>
      </c>
      <c r="S17" s="6">
        <v>67</v>
      </c>
      <c r="T17" s="6">
        <v>9</v>
      </c>
      <c r="U17" s="6">
        <v>45</v>
      </c>
      <c r="V17" s="6">
        <v>72</v>
      </c>
      <c r="W17" s="6">
        <v>65</v>
      </c>
      <c r="X17" s="6">
        <v>52</v>
      </c>
      <c r="Y17" s="6">
        <v>12</v>
      </c>
      <c r="Z17" s="6">
        <v>43</v>
      </c>
      <c r="AA17" s="6">
        <v>5</v>
      </c>
      <c r="AB17" s="6">
        <v>46</v>
      </c>
      <c r="AC17" s="6">
        <v>66</v>
      </c>
      <c r="AD17" s="6">
        <v>74</v>
      </c>
      <c r="AE17" s="6">
        <v>95</v>
      </c>
      <c r="AG17" s="6">
        <v>16</v>
      </c>
      <c r="AH17" s="6">
        <v>36</v>
      </c>
      <c r="AI17" s="6">
        <v>46</v>
      </c>
      <c r="AJ17" s="6">
        <v>0</v>
      </c>
      <c r="AK17" s="6">
        <v>6</v>
      </c>
      <c r="AL17" s="6">
        <v>6</v>
      </c>
      <c r="AM17" s="6">
        <v>12</v>
      </c>
      <c r="AN17" s="6">
        <v>55</v>
      </c>
      <c r="AO17" s="6">
        <v>0</v>
      </c>
      <c r="AP17" s="6">
        <v>24</v>
      </c>
      <c r="AQ17" s="6">
        <v>29</v>
      </c>
      <c r="AR17" s="6">
        <v>46</v>
      </c>
      <c r="AS17" s="6">
        <v>40</v>
      </c>
      <c r="AT17" s="6">
        <v>37</v>
      </c>
      <c r="AU17" s="6">
        <v>73</v>
      </c>
      <c r="AV17" s="6">
        <v>4</v>
      </c>
      <c r="AW17" s="6">
        <v>64</v>
      </c>
      <c r="AX17" s="6">
        <v>15</v>
      </c>
      <c r="AY17" s="6">
        <v>40</v>
      </c>
      <c r="AZ17" s="6">
        <v>73</v>
      </c>
      <c r="BA17" s="6">
        <v>67</v>
      </c>
      <c r="BB17" s="6">
        <v>43</v>
      </c>
      <c r="BC17" s="6">
        <v>12</v>
      </c>
      <c r="BD17" s="6">
        <v>40</v>
      </c>
      <c r="BE17" s="6">
        <v>2</v>
      </c>
      <c r="BF17" s="6">
        <v>47</v>
      </c>
      <c r="BG17" s="6">
        <v>64</v>
      </c>
      <c r="BH17" s="6">
        <v>78</v>
      </c>
      <c r="BI17" s="6">
        <v>91</v>
      </c>
      <c r="BK17" s="6">
        <v>9</v>
      </c>
      <c r="BL17" s="6">
        <v>16</v>
      </c>
      <c r="BM17" s="6">
        <v>42</v>
      </c>
      <c r="BN17" s="6">
        <v>1</v>
      </c>
      <c r="BO17" s="6">
        <v>14</v>
      </c>
      <c r="BP17" s="6">
        <v>25</v>
      </c>
      <c r="BQ17" s="6">
        <v>27</v>
      </c>
      <c r="BR17" s="6">
        <v>61</v>
      </c>
      <c r="BS17" s="6">
        <v>1</v>
      </c>
      <c r="BT17" s="6">
        <v>26</v>
      </c>
      <c r="BU17" s="6">
        <v>25</v>
      </c>
      <c r="BV17" s="6">
        <v>41</v>
      </c>
      <c r="BW17" s="6">
        <v>40</v>
      </c>
      <c r="BX17" s="6">
        <v>19</v>
      </c>
      <c r="BY17" s="6">
        <v>47</v>
      </c>
      <c r="BZ17" s="6">
        <v>2</v>
      </c>
      <c r="CA17" s="6">
        <v>59</v>
      </c>
      <c r="CB17" s="6">
        <v>40</v>
      </c>
      <c r="CC17" s="6">
        <v>44</v>
      </c>
      <c r="CD17" s="6">
        <v>60</v>
      </c>
      <c r="CE17" s="6">
        <v>47</v>
      </c>
      <c r="CF17" s="6">
        <v>60</v>
      </c>
      <c r="CG17" s="6">
        <v>40</v>
      </c>
      <c r="CH17" s="6">
        <v>50</v>
      </c>
      <c r="CI17" s="6">
        <v>1</v>
      </c>
      <c r="CJ17" s="6">
        <v>29</v>
      </c>
      <c r="CK17" s="6">
        <v>51</v>
      </c>
      <c r="CL17" s="6">
        <v>85</v>
      </c>
      <c r="CM17" s="6">
        <v>85</v>
      </c>
      <c r="CO17" s="6">
        <v>7</v>
      </c>
      <c r="CP17" s="6">
        <v>14</v>
      </c>
      <c r="CQ17" s="6">
        <v>35</v>
      </c>
      <c r="CR17" s="6">
        <v>0</v>
      </c>
      <c r="CS17" s="6">
        <v>18</v>
      </c>
      <c r="CT17" s="6">
        <v>31</v>
      </c>
      <c r="CU17" s="6">
        <v>29</v>
      </c>
      <c r="CV17" s="6">
        <v>66</v>
      </c>
      <c r="CW17" s="6">
        <v>0</v>
      </c>
      <c r="CX17" s="6">
        <v>24</v>
      </c>
      <c r="CY17" s="6">
        <v>18</v>
      </c>
      <c r="CZ17" s="6">
        <v>35</v>
      </c>
      <c r="DA17" s="6">
        <v>35</v>
      </c>
      <c r="DB17" s="6">
        <v>20</v>
      </c>
      <c r="DC17" s="6">
        <v>44</v>
      </c>
      <c r="DD17" s="6">
        <v>1</v>
      </c>
      <c r="DE17" s="6">
        <v>60</v>
      </c>
      <c r="DF17" s="6">
        <v>44</v>
      </c>
      <c r="DG17" s="6">
        <v>40</v>
      </c>
      <c r="DH17" s="6">
        <v>58</v>
      </c>
      <c r="DI17" s="6">
        <v>44</v>
      </c>
      <c r="DJ17" s="6">
        <v>55</v>
      </c>
      <c r="DK17" s="6">
        <v>45</v>
      </c>
      <c r="DL17" s="6">
        <v>47</v>
      </c>
      <c r="DM17" s="6">
        <v>1</v>
      </c>
      <c r="DN17" s="6">
        <v>24</v>
      </c>
      <c r="DO17" s="6">
        <v>46</v>
      </c>
      <c r="DP17" s="6">
        <v>84</v>
      </c>
      <c r="DQ17" s="6">
        <v>80</v>
      </c>
      <c r="DS17" s="12">
        <v>13</v>
      </c>
      <c r="DT17" s="6">
        <v>34</v>
      </c>
      <c r="DU17" s="6">
        <v>33</v>
      </c>
      <c r="DV17" s="6">
        <v>48</v>
      </c>
      <c r="DW17" s="6">
        <v>25</v>
      </c>
      <c r="DX17" s="6">
        <v>22</v>
      </c>
      <c r="DY17" s="6">
        <v>22</v>
      </c>
      <c r="DZ17" s="6">
        <v>20</v>
      </c>
      <c r="EA17" s="6">
        <v>47</v>
      </c>
      <c r="EB17" s="6">
        <v>26</v>
      </c>
      <c r="EC17" s="6">
        <v>29</v>
      </c>
      <c r="ED17" s="6">
        <v>23</v>
      </c>
      <c r="EE17" s="6">
        <v>47</v>
      </c>
      <c r="EF17" s="6">
        <v>43</v>
      </c>
      <c r="EG17" s="6">
        <v>29</v>
      </c>
      <c r="EH17" s="6">
        <v>52</v>
      </c>
      <c r="EI17" s="6">
        <v>24</v>
      </c>
      <c r="EJ17" s="6">
        <v>67</v>
      </c>
      <c r="EK17" s="6">
        <v>25</v>
      </c>
      <c r="EL17" s="6">
        <v>59</v>
      </c>
      <c r="EM17" s="6">
        <v>52</v>
      </c>
      <c r="EN17" s="6">
        <v>33</v>
      </c>
      <c r="EO17" s="6">
        <v>28</v>
      </c>
      <c r="EP17" s="6">
        <v>29</v>
      </c>
      <c r="EQ17" s="6">
        <v>45</v>
      </c>
      <c r="ER17" s="6">
        <v>28</v>
      </c>
      <c r="ES17" s="6">
        <v>59</v>
      </c>
      <c r="ET17" s="6">
        <v>41</v>
      </c>
      <c r="EU17" s="6">
        <v>69</v>
      </c>
      <c r="EV17" s="6">
        <v>95</v>
      </c>
      <c r="EX17" s="7">
        <v>13</v>
      </c>
      <c r="EY17" s="6">
        <v>29</v>
      </c>
      <c r="EZ17" s="6">
        <v>37</v>
      </c>
      <c r="FA17" s="6">
        <v>52</v>
      </c>
      <c r="FB17" s="6">
        <v>18</v>
      </c>
      <c r="FC17" s="6">
        <v>17</v>
      </c>
      <c r="FD17" s="6">
        <v>16</v>
      </c>
      <c r="FE17" s="6">
        <v>24</v>
      </c>
      <c r="FF17" s="6">
        <v>35</v>
      </c>
      <c r="FG17" s="6">
        <v>15</v>
      </c>
      <c r="FH17" s="6">
        <v>31</v>
      </c>
      <c r="FI17" s="6">
        <v>33</v>
      </c>
      <c r="FJ17" s="6">
        <v>45</v>
      </c>
      <c r="FK17" s="6">
        <v>43</v>
      </c>
      <c r="FL17" s="6">
        <v>29</v>
      </c>
      <c r="FM17" s="6">
        <v>45</v>
      </c>
      <c r="FN17" s="6">
        <v>25</v>
      </c>
      <c r="FO17" s="6">
        <v>72</v>
      </c>
      <c r="FP17" s="6">
        <v>25</v>
      </c>
      <c r="FQ17" s="6">
        <v>59</v>
      </c>
      <c r="FR17" s="6">
        <v>62</v>
      </c>
      <c r="FS17" s="6">
        <v>32</v>
      </c>
      <c r="FT17" s="6">
        <v>28</v>
      </c>
      <c r="FU17" s="6">
        <v>28</v>
      </c>
      <c r="FV17" s="6">
        <v>39</v>
      </c>
      <c r="FW17" s="6">
        <v>29</v>
      </c>
      <c r="FX17" s="6">
        <v>67</v>
      </c>
      <c r="FY17" s="6">
        <v>43</v>
      </c>
      <c r="FZ17" s="6">
        <v>68</v>
      </c>
      <c r="GA17" s="6">
        <v>85</v>
      </c>
      <c r="GC17" s="7">
        <v>13</v>
      </c>
      <c r="GD17" s="6">
        <v>31</v>
      </c>
      <c r="GE17" s="6">
        <v>27</v>
      </c>
      <c r="GF17" s="6">
        <v>39</v>
      </c>
      <c r="GG17" s="6">
        <v>18</v>
      </c>
      <c r="GH17" s="6">
        <v>26</v>
      </c>
      <c r="GI17" s="6">
        <v>20</v>
      </c>
      <c r="GJ17" s="6">
        <v>23</v>
      </c>
      <c r="GK17" s="6">
        <v>60</v>
      </c>
      <c r="GL17" s="6">
        <v>23</v>
      </c>
      <c r="GM17" s="6">
        <v>30</v>
      </c>
      <c r="GN17" s="6">
        <v>31</v>
      </c>
      <c r="GO17" s="6">
        <v>36</v>
      </c>
      <c r="GP17" s="6">
        <v>37</v>
      </c>
      <c r="GQ17" s="6">
        <v>24</v>
      </c>
      <c r="GR17" s="6">
        <v>37</v>
      </c>
      <c r="GS17" s="6">
        <v>21</v>
      </c>
      <c r="GT17" s="6">
        <v>67</v>
      </c>
      <c r="GU17" s="6">
        <v>30</v>
      </c>
      <c r="GV17" s="6">
        <v>59</v>
      </c>
      <c r="GW17" s="6">
        <v>47</v>
      </c>
      <c r="GX17" s="6">
        <v>30</v>
      </c>
      <c r="GY17" s="6">
        <v>28</v>
      </c>
      <c r="GZ17" s="6">
        <v>31</v>
      </c>
      <c r="HA17" s="6">
        <v>41</v>
      </c>
      <c r="HB17" s="6">
        <v>27</v>
      </c>
      <c r="HC17" s="6">
        <v>47</v>
      </c>
      <c r="HD17" s="6">
        <v>45</v>
      </c>
      <c r="HE17" s="6">
        <v>70</v>
      </c>
      <c r="HF17" s="6">
        <v>82</v>
      </c>
      <c r="HH17" s="7">
        <v>13</v>
      </c>
      <c r="HI17" s="6">
        <v>22</v>
      </c>
      <c r="HJ17" s="6">
        <v>29</v>
      </c>
      <c r="HK17" s="6">
        <v>42</v>
      </c>
      <c r="HL17" s="6">
        <v>18</v>
      </c>
      <c r="HM17" s="6">
        <v>18</v>
      </c>
      <c r="HN17" s="6">
        <v>21</v>
      </c>
      <c r="HO17" s="6">
        <v>21</v>
      </c>
      <c r="HP17" s="6">
        <v>43</v>
      </c>
      <c r="HQ17" s="6">
        <v>20</v>
      </c>
      <c r="HR17" s="6">
        <v>28</v>
      </c>
      <c r="HS17" s="6">
        <v>32</v>
      </c>
      <c r="HT17" s="6">
        <v>43</v>
      </c>
      <c r="HU17" s="6">
        <v>36</v>
      </c>
      <c r="HV17" s="6">
        <v>25</v>
      </c>
      <c r="HW17" s="6">
        <v>39</v>
      </c>
      <c r="HX17" s="6">
        <v>23</v>
      </c>
      <c r="HY17" s="6">
        <v>72</v>
      </c>
      <c r="HZ17" s="6">
        <v>28</v>
      </c>
      <c r="IA17" s="6">
        <v>49</v>
      </c>
      <c r="IB17" s="6">
        <v>45</v>
      </c>
      <c r="IC17" s="6">
        <v>28</v>
      </c>
      <c r="ID17" s="6">
        <v>30</v>
      </c>
      <c r="IE17" s="6">
        <v>30</v>
      </c>
      <c r="IF17" s="6">
        <v>39</v>
      </c>
      <c r="IG17" s="6">
        <v>26</v>
      </c>
      <c r="IH17" s="6">
        <v>59</v>
      </c>
      <c r="II17" s="6">
        <v>37</v>
      </c>
      <c r="IJ17" s="6">
        <v>75</v>
      </c>
      <c r="IK17" s="6">
        <v>77</v>
      </c>
    </row>
    <row r="18" spans="2:245" x14ac:dyDescent="0.25">
      <c r="B18" s="13">
        <v>14</v>
      </c>
      <c r="C18" s="6">
        <v>24</v>
      </c>
      <c r="D18" s="6">
        <v>36</v>
      </c>
      <c r="E18" s="6">
        <v>50</v>
      </c>
      <c r="F18" s="6">
        <v>1</v>
      </c>
      <c r="G18" s="6">
        <v>7</v>
      </c>
      <c r="H18" s="6">
        <v>5</v>
      </c>
      <c r="I18" s="6">
        <v>16</v>
      </c>
      <c r="J18" s="6">
        <v>62</v>
      </c>
      <c r="K18" s="6">
        <v>0</v>
      </c>
      <c r="L18" s="6">
        <v>31</v>
      </c>
      <c r="M18" s="6">
        <v>40</v>
      </c>
      <c r="N18" s="6">
        <v>50</v>
      </c>
      <c r="O18" s="6">
        <v>50</v>
      </c>
      <c r="P18" s="6">
        <v>42</v>
      </c>
      <c r="Q18" s="6">
        <v>72</v>
      </c>
      <c r="R18" s="6">
        <v>3</v>
      </c>
      <c r="S18" s="6">
        <v>70</v>
      </c>
      <c r="T18" s="6">
        <v>14</v>
      </c>
      <c r="U18" s="6">
        <v>48</v>
      </c>
      <c r="V18" s="6">
        <v>75</v>
      </c>
      <c r="W18" s="6">
        <v>66</v>
      </c>
      <c r="X18" s="6">
        <v>55</v>
      </c>
      <c r="Y18" s="6">
        <v>17</v>
      </c>
      <c r="Z18" s="6">
        <v>45</v>
      </c>
      <c r="AA18" s="6">
        <v>6</v>
      </c>
      <c r="AB18" s="6">
        <v>48</v>
      </c>
      <c r="AC18" s="6">
        <v>68</v>
      </c>
      <c r="AD18" s="6">
        <v>84</v>
      </c>
      <c r="AE18" s="6">
        <v>97</v>
      </c>
      <c r="AG18" s="6">
        <v>20</v>
      </c>
      <c r="AH18" s="6">
        <v>40</v>
      </c>
      <c r="AI18" s="6">
        <v>48</v>
      </c>
      <c r="AJ18" s="6">
        <v>1</v>
      </c>
      <c r="AK18" s="6">
        <v>6</v>
      </c>
      <c r="AL18" s="6">
        <v>9</v>
      </c>
      <c r="AM18" s="6">
        <v>13</v>
      </c>
      <c r="AN18" s="6">
        <v>60</v>
      </c>
      <c r="AO18" s="6">
        <v>0</v>
      </c>
      <c r="AP18" s="6">
        <v>26</v>
      </c>
      <c r="AQ18" s="6">
        <v>31</v>
      </c>
      <c r="AR18" s="6">
        <v>50</v>
      </c>
      <c r="AS18" s="6">
        <v>42</v>
      </c>
      <c r="AT18" s="6">
        <v>40</v>
      </c>
      <c r="AU18" s="6">
        <v>74</v>
      </c>
      <c r="AV18" s="6">
        <v>6</v>
      </c>
      <c r="AW18" s="6">
        <v>69</v>
      </c>
      <c r="AX18" s="6">
        <v>17</v>
      </c>
      <c r="AY18" s="6">
        <v>43</v>
      </c>
      <c r="AZ18" s="6">
        <v>75</v>
      </c>
      <c r="BA18" s="6">
        <v>68</v>
      </c>
      <c r="BB18" s="6">
        <v>45</v>
      </c>
      <c r="BC18" s="6">
        <v>12</v>
      </c>
      <c r="BD18" s="6">
        <v>43</v>
      </c>
      <c r="BE18" s="6">
        <v>2</v>
      </c>
      <c r="BF18" s="6">
        <v>48</v>
      </c>
      <c r="BG18" s="6">
        <v>64</v>
      </c>
      <c r="BH18" s="6">
        <v>84</v>
      </c>
      <c r="BI18" s="6">
        <v>98</v>
      </c>
      <c r="BK18" s="6">
        <v>12</v>
      </c>
      <c r="BL18" s="6">
        <v>18</v>
      </c>
      <c r="BM18" s="6">
        <v>43</v>
      </c>
      <c r="BN18" s="6">
        <v>1</v>
      </c>
      <c r="BO18" s="6">
        <v>17</v>
      </c>
      <c r="BP18" s="6">
        <v>27</v>
      </c>
      <c r="BQ18" s="6">
        <v>29</v>
      </c>
      <c r="BR18" s="6">
        <v>66</v>
      </c>
      <c r="BS18" s="6">
        <v>2</v>
      </c>
      <c r="BT18" s="6">
        <v>28</v>
      </c>
      <c r="BU18" s="6">
        <v>27</v>
      </c>
      <c r="BV18" s="6">
        <v>43</v>
      </c>
      <c r="BW18" s="6">
        <v>43</v>
      </c>
      <c r="BX18" s="6">
        <v>21</v>
      </c>
      <c r="BY18" s="6">
        <v>48</v>
      </c>
      <c r="BZ18" s="6">
        <v>3</v>
      </c>
      <c r="CA18" s="6">
        <v>61</v>
      </c>
      <c r="CB18" s="6">
        <v>42</v>
      </c>
      <c r="CC18" s="6">
        <v>46</v>
      </c>
      <c r="CD18" s="6">
        <v>62</v>
      </c>
      <c r="CE18" s="6">
        <v>48</v>
      </c>
      <c r="CF18" s="6">
        <v>62</v>
      </c>
      <c r="CG18" s="6">
        <v>43</v>
      </c>
      <c r="CH18" s="6">
        <v>53</v>
      </c>
      <c r="CI18" s="6">
        <v>1</v>
      </c>
      <c r="CJ18" s="6">
        <v>30</v>
      </c>
      <c r="CK18" s="6">
        <v>53</v>
      </c>
      <c r="CL18" s="6">
        <v>94</v>
      </c>
      <c r="CM18" s="6">
        <v>92</v>
      </c>
      <c r="CO18" s="6">
        <v>12</v>
      </c>
      <c r="CP18" s="6">
        <v>19</v>
      </c>
      <c r="CQ18" s="6">
        <v>38</v>
      </c>
      <c r="CR18" s="6">
        <v>0</v>
      </c>
      <c r="CS18" s="6">
        <v>20</v>
      </c>
      <c r="CT18" s="6">
        <v>34</v>
      </c>
      <c r="CU18" s="6">
        <v>33</v>
      </c>
      <c r="CV18" s="6">
        <v>69</v>
      </c>
      <c r="CW18" s="6">
        <v>0</v>
      </c>
      <c r="CX18" s="6">
        <v>26</v>
      </c>
      <c r="CY18" s="6">
        <v>20</v>
      </c>
      <c r="CZ18" s="6">
        <v>40</v>
      </c>
      <c r="DA18" s="6">
        <v>37</v>
      </c>
      <c r="DB18" s="6">
        <v>21</v>
      </c>
      <c r="DC18" s="6">
        <v>45</v>
      </c>
      <c r="DD18" s="6">
        <v>2</v>
      </c>
      <c r="DE18" s="6">
        <v>62</v>
      </c>
      <c r="DF18" s="6">
        <v>48</v>
      </c>
      <c r="DG18" s="6">
        <v>43</v>
      </c>
      <c r="DH18" s="6">
        <v>60</v>
      </c>
      <c r="DI18" s="6">
        <v>45</v>
      </c>
      <c r="DJ18" s="6">
        <v>57</v>
      </c>
      <c r="DK18" s="6">
        <v>47</v>
      </c>
      <c r="DL18" s="6">
        <v>50</v>
      </c>
      <c r="DM18" s="6">
        <v>2</v>
      </c>
      <c r="DN18" s="6">
        <v>25</v>
      </c>
      <c r="DO18" s="6">
        <v>47</v>
      </c>
      <c r="DP18" s="6">
        <v>94</v>
      </c>
      <c r="DQ18" s="6">
        <v>84</v>
      </c>
      <c r="DS18" s="12">
        <v>14</v>
      </c>
      <c r="DT18" s="6">
        <v>39</v>
      </c>
      <c r="DU18" s="6">
        <v>33</v>
      </c>
      <c r="DV18" s="6">
        <v>49</v>
      </c>
      <c r="DW18" s="6">
        <v>25</v>
      </c>
      <c r="DX18" s="6">
        <v>24</v>
      </c>
      <c r="DY18" s="6">
        <v>22</v>
      </c>
      <c r="DZ18" s="6">
        <v>25</v>
      </c>
      <c r="EA18" s="6">
        <v>50</v>
      </c>
      <c r="EB18" s="6">
        <v>26</v>
      </c>
      <c r="EC18" s="6">
        <v>34</v>
      </c>
      <c r="ED18" s="6">
        <v>24</v>
      </c>
      <c r="EE18" s="6">
        <v>50</v>
      </c>
      <c r="EF18" s="6">
        <v>46</v>
      </c>
      <c r="EG18" s="6">
        <v>32</v>
      </c>
      <c r="EH18" s="6">
        <v>56</v>
      </c>
      <c r="EI18" s="6">
        <v>26</v>
      </c>
      <c r="EJ18" s="6">
        <v>72</v>
      </c>
      <c r="EK18" s="6">
        <v>27</v>
      </c>
      <c r="EL18" s="6">
        <v>63</v>
      </c>
      <c r="EM18" s="6">
        <v>56</v>
      </c>
      <c r="EN18" s="6">
        <v>36</v>
      </c>
      <c r="EO18" s="6">
        <v>30</v>
      </c>
      <c r="EP18" s="6">
        <v>32</v>
      </c>
      <c r="EQ18" s="6">
        <v>48</v>
      </c>
      <c r="ER18" s="6">
        <v>30</v>
      </c>
      <c r="ES18" s="6">
        <v>63</v>
      </c>
      <c r="ET18" s="6">
        <v>44</v>
      </c>
      <c r="EU18" s="6">
        <v>72</v>
      </c>
      <c r="EV18" s="6">
        <v>100</v>
      </c>
      <c r="EX18" s="7">
        <v>14</v>
      </c>
      <c r="EY18" s="6">
        <v>31</v>
      </c>
      <c r="EZ18" s="6">
        <v>40</v>
      </c>
      <c r="FA18" s="6">
        <v>56</v>
      </c>
      <c r="FB18" s="6">
        <v>18</v>
      </c>
      <c r="FC18" s="6">
        <v>17</v>
      </c>
      <c r="FD18" s="6">
        <v>16</v>
      </c>
      <c r="FE18" s="6">
        <v>24</v>
      </c>
      <c r="FF18" s="6">
        <v>42</v>
      </c>
      <c r="FG18" s="6">
        <v>15</v>
      </c>
      <c r="FH18" s="6">
        <v>32</v>
      </c>
      <c r="FI18" s="6">
        <v>33</v>
      </c>
      <c r="FJ18" s="6">
        <v>48</v>
      </c>
      <c r="FK18" s="6">
        <v>46</v>
      </c>
      <c r="FL18" s="6">
        <v>32</v>
      </c>
      <c r="FM18" s="6">
        <v>48</v>
      </c>
      <c r="FN18" s="6">
        <v>27</v>
      </c>
      <c r="FO18" s="6">
        <v>75</v>
      </c>
      <c r="FP18" s="6">
        <v>27</v>
      </c>
      <c r="FQ18" s="6">
        <v>63</v>
      </c>
      <c r="FR18" s="6">
        <v>67</v>
      </c>
      <c r="FS18" s="6">
        <v>35</v>
      </c>
      <c r="FT18" s="6">
        <v>31</v>
      </c>
      <c r="FU18" s="6">
        <v>30</v>
      </c>
      <c r="FV18" s="6">
        <v>42</v>
      </c>
      <c r="FW18" s="6">
        <v>32</v>
      </c>
      <c r="FX18" s="6">
        <v>72</v>
      </c>
      <c r="FY18" s="6">
        <v>46</v>
      </c>
      <c r="FZ18" s="6">
        <v>72</v>
      </c>
      <c r="GA18" s="6">
        <v>90</v>
      </c>
      <c r="GC18" s="7">
        <v>14</v>
      </c>
      <c r="GD18" s="6">
        <v>33</v>
      </c>
      <c r="GE18" s="6">
        <v>33</v>
      </c>
      <c r="GF18" s="6">
        <v>43</v>
      </c>
      <c r="GG18" s="6">
        <v>19</v>
      </c>
      <c r="GH18" s="6">
        <v>26</v>
      </c>
      <c r="GI18" s="6">
        <v>24</v>
      </c>
      <c r="GJ18" s="6">
        <v>30</v>
      </c>
      <c r="GK18" s="6">
        <v>60</v>
      </c>
      <c r="GL18" s="6">
        <v>25</v>
      </c>
      <c r="GM18" s="6">
        <v>30</v>
      </c>
      <c r="GN18" s="6">
        <v>31</v>
      </c>
      <c r="GO18" s="6">
        <v>39</v>
      </c>
      <c r="GP18" s="6">
        <v>40</v>
      </c>
      <c r="GQ18" s="6">
        <v>26</v>
      </c>
      <c r="GR18" s="6">
        <v>40</v>
      </c>
      <c r="GS18" s="6">
        <v>23</v>
      </c>
      <c r="GT18" s="6">
        <v>72</v>
      </c>
      <c r="GU18" s="6">
        <v>33</v>
      </c>
      <c r="GV18" s="6">
        <v>63</v>
      </c>
      <c r="GW18" s="6">
        <v>50</v>
      </c>
      <c r="GX18" s="6">
        <v>33</v>
      </c>
      <c r="GY18" s="6">
        <v>30</v>
      </c>
      <c r="GZ18" s="6">
        <v>34</v>
      </c>
      <c r="HA18" s="6">
        <v>44</v>
      </c>
      <c r="HB18" s="6">
        <v>29</v>
      </c>
      <c r="HC18" s="6">
        <v>50</v>
      </c>
      <c r="HD18" s="6">
        <v>48</v>
      </c>
      <c r="HE18" s="6">
        <v>75</v>
      </c>
      <c r="HF18" s="6">
        <v>85</v>
      </c>
      <c r="HH18" s="7">
        <v>14</v>
      </c>
      <c r="HI18" s="6">
        <v>26</v>
      </c>
      <c r="HJ18" s="6">
        <v>31</v>
      </c>
      <c r="HK18" s="6">
        <v>45</v>
      </c>
      <c r="HL18" s="6">
        <v>18</v>
      </c>
      <c r="HM18" s="6">
        <v>24</v>
      </c>
      <c r="HN18" s="6">
        <v>23</v>
      </c>
      <c r="HO18" s="6">
        <v>21</v>
      </c>
      <c r="HP18" s="6">
        <v>44</v>
      </c>
      <c r="HQ18" s="6">
        <v>21</v>
      </c>
      <c r="HR18" s="6">
        <v>30</v>
      </c>
      <c r="HS18" s="6">
        <v>33</v>
      </c>
      <c r="HT18" s="6">
        <v>46</v>
      </c>
      <c r="HU18" s="6">
        <v>39</v>
      </c>
      <c r="HV18" s="6">
        <v>27</v>
      </c>
      <c r="HW18" s="6">
        <v>42</v>
      </c>
      <c r="HX18" s="6">
        <v>25</v>
      </c>
      <c r="HY18" s="6">
        <v>75</v>
      </c>
      <c r="HZ18" s="6">
        <v>31</v>
      </c>
      <c r="IA18" s="6">
        <v>53</v>
      </c>
      <c r="IB18" s="6">
        <v>48</v>
      </c>
      <c r="IC18" s="6">
        <v>30</v>
      </c>
      <c r="ID18" s="6">
        <v>33</v>
      </c>
      <c r="IE18" s="6">
        <v>33</v>
      </c>
      <c r="IF18" s="6">
        <v>42</v>
      </c>
      <c r="IG18" s="6">
        <v>28</v>
      </c>
      <c r="IH18" s="6">
        <v>63</v>
      </c>
      <c r="II18" s="6">
        <v>40</v>
      </c>
      <c r="IJ18" s="6">
        <v>80</v>
      </c>
      <c r="IK18" s="6">
        <v>82</v>
      </c>
    </row>
    <row r="19" spans="2:245" x14ac:dyDescent="0.25">
      <c r="B19" s="13">
        <v>15</v>
      </c>
      <c r="C19" s="6">
        <v>27</v>
      </c>
      <c r="D19" s="6">
        <v>40</v>
      </c>
      <c r="E19" s="6">
        <v>53</v>
      </c>
      <c r="F19" s="6">
        <v>1</v>
      </c>
      <c r="G19" s="6">
        <v>8</v>
      </c>
      <c r="H19" s="6">
        <v>6</v>
      </c>
      <c r="I19" s="6">
        <v>20</v>
      </c>
      <c r="J19" s="6">
        <v>66</v>
      </c>
      <c r="K19" s="6">
        <v>0</v>
      </c>
      <c r="L19" s="6">
        <v>35</v>
      </c>
      <c r="M19" s="6">
        <v>41</v>
      </c>
      <c r="N19" s="6">
        <v>53</v>
      </c>
      <c r="O19" s="6">
        <v>53</v>
      </c>
      <c r="P19" s="6">
        <v>43</v>
      </c>
      <c r="Q19" s="6">
        <v>73</v>
      </c>
      <c r="R19" s="6">
        <v>5</v>
      </c>
      <c r="S19" s="6">
        <v>71</v>
      </c>
      <c r="T19" s="6">
        <v>20</v>
      </c>
      <c r="U19" s="6">
        <v>50</v>
      </c>
      <c r="V19" s="6">
        <v>79</v>
      </c>
      <c r="W19" s="6">
        <v>67</v>
      </c>
      <c r="X19" s="6">
        <v>58</v>
      </c>
      <c r="Y19" s="6">
        <v>20</v>
      </c>
      <c r="Z19" s="6">
        <v>48</v>
      </c>
      <c r="AA19" s="6">
        <v>7</v>
      </c>
      <c r="AB19" s="6">
        <v>50</v>
      </c>
      <c r="AC19" s="6">
        <v>68</v>
      </c>
      <c r="AD19" s="6">
        <v>93</v>
      </c>
      <c r="AE19" s="6">
        <v>99</v>
      </c>
      <c r="AG19" s="6">
        <v>22</v>
      </c>
      <c r="AH19" s="6">
        <v>41</v>
      </c>
      <c r="AI19" s="6">
        <v>49</v>
      </c>
      <c r="AJ19" s="6">
        <v>1</v>
      </c>
      <c r="AK19" s="6">
        <v>8</v>
      </c>
      <c r="AL19" s="6">
        <v>12</v>
      </c>
      <c r="AM19" s="6">
        <v>13</v>
      </c>
      <c r="AN19" s="6">
        <v>66</v>
      </c>
      <c r="AO19" s="6">
        <v>1</v>
      </c>
      <c r="AP19" s="6">
        <v>29</v>
      </c>
      <c r="AQ19" s="6">
        <v>34</v>
      </c>
      <c r="AR19" s="6">
        <v>51</v>
      </c>
      <c r="AS19" s="6">
        <v>44</v>
      </c>
      <c r="AT19" s="6">
        <v>41</v>
      </c>
      <c r="AU19" s="6">
        <v>75</v>
      </c>
      <c r="AV19" s="6">
        <v>8</v>
      </c>
      <c r="AW19" s="6">
        <v>72</v>
      </c>
      <c r="AX19" s="6">
        <v>20</v>
      </c>
      <c r="AY19" s="6">
        <v>46</v>
      </c>
      <c r="AZ19" s="6">
        <v>80</v>
      </c>
      <c r="BA19" s="6">
        <v>69</v>
      </c>
      <c r="BB19" s="6">
        <v>47</v>
      </c>
      <c r="BC19" s="6">
        <v>20</v>
      </c>
      <c r="BD19" s="6">
        <v>46</v>
      </c>
      <c r="BE19" s="6">
        <v>6</v>
      </c>
      <c r="BF19" s="6">
        <v>50</v>
      </c>
      <c r="BG19" s="6">
        <v>65</v>
      </c>
      <c r="BH19" s="6">
        <v>92</v>
      </c>
      <c r="BI19" s="6">
        <v>99</v>
      </c>
      <c r="BK19" s="6">
        <v>17</v>
      </c>
      <c r="BL19" s="6">
        <v>20</v>
      </c>
      <c r="BM19" s="6">
        <v>44</v>
      </c>
      <c r="BN19" s="6">
        <v>1</v>
      </c>
      <c r="BO19" s="6">
        <v>20</v>
      </c>
      <c r="BP19" s="6">
        <v>28</v>
      </c>
      <c r="BQ19" s="6">
        <v>33</v>
      </c>
      <c r="BR19" s="6">
        <v>68</v>
      </c>
      <c r="BS19" s="6">
        <v>2</v>
      </c>
      <c r="BT19" s="6">
        <v>31</v>
      </c>
      <c r="BU19" s="6">
        <v>29</v>
      </c>
      <c r="BV19" s="6">
        <v>45</v>
      </c>
      <c r="BW19" s="6">
        <v>45</v>
      </c>
      <c r="BX19" s="6">
        <v>24</v>
      </c>
      <c r="BY19" s="6">
        <v>49</v>
      </c>
      <c r="BZ19" s="6">
        <v>4</v>
      </c>
      <c r="CA19" s="6">
        <v>64</v>
      </c>
      <c r="CB19" s="6">
        <v>45</v>
      </c>
      <c r="CC19" s="6">
        <v>48</v>
      </c>
      <c r="CD19" s="6">
        <v>66</v>
      </c>
      <c r="CE19" s="6">
        <v>49</v>
      </c>
      <c r="CF19" s="6">
        <v>64</v>
      </c>
      <c r="CG19" s="6">
        <v>46</v>
      </c>
      <c r="CH19" s="6">
        <v>57</v>
      </c>
      <c r="CI19" s="6">
        <v>1</v>
      </c>
      <c r="CJ19" s="6">
        <v>35</v>
      </c>
      <c r="CK19" s="6">
        <v>55</v>
      </c>
      <c r="CL19" s="6">
        <v>98</v>
      </c>
      <c r="CM19" s="6">
        <v>98</v>
      </c>
      <c r="CO19" s="6">
        <v>16</v>
      </c>
      <c r="CP19" s="6">
        <v>20</v>
      </c>
      <c r="CQ19" s="6">
        <v>40</v>
      </c>
      <c r="CR19" s="6">
        <v>0</v>
      </c>
      <c r="CS19" s="6">
        <v>21</v>
      </c>
      <c r="CT19" s="6">
        <v>40</v>
      </c>
      <c r="CU19" s="6">
        <v>35</v>
      </c>
      <c r="CV19" s="6">
        <v>74</v>
      </c>
      <c r="CW19" s="6">
        <v>0</v>
      </c>
      <c r="CX19" s="6">
        <v>27</v>
      </c>
      <c r="CY19" s="6">
        <v>21</v>
      </c>
      <c r="CZ19" s="6">
        <v>41</v>
      </c>
      <c r="DA19" s="6">
        <v>40</v>
      </c>
      <c r="DB19" s="6">
        <v>23</v>
      </c>
      <c r="DC19" s="6">
        <v>46</v>
      </c>
      <c r="DD19" s="6">
        <v>2</v>
      </c>
      <c r="DE19" s="6">
        <v>64</v>
      </c>
      <c r="DF19" s="6">
        <v>50</v>
      </c>
      <c r="DG19" s="6">
        <v>45</v>
      </c>
      <c r="DH19" s="6">
        <v>65</v>
      </c>
      <c r="DI19" s="6">
        <v>46</v>
      </c>
      <c r="DJ19" s="6">
        <v>58</v>
      </c>
      <c r="DK19" s="6">
        <v>50</v>
      </c>
      <c r="DL19" s="6">
        <v>53</v>
      </c>
      <c r="DM19" s="6">
        <v>2</v>
      </c>
      <c r="DN19" s="6">
        <v>27</v>
      </c>
      <c r="DO19" s="6">
        <v>48</v>
      </c>
      <c r="DP19" s="6">
        <v>96</v>
      </c>
      <c r="DQ19" s="6">
        <v>96</v>
      </c>
      <c r="DS19" s="12">
        <v>15</v>
      </c>
      <c r="DT19" s="6">
        <v>43</v>
      </c>
      <c r="DU19" s="6">
        <v>34</v>
      </c>
      <c r="DV19" s="6">
        <v>49</v>
      </c>
      <c r="DW19" s="6">
        <v>29</v>
      </c>
      <c r="DX19" s="6">
        <v>24</v>
      </c>
      <c r="DY19" s="6">
        <v>22</v>
      </c>
      <c r="DZ19" s="6">
        <v>25</v>
      </c>
      <c r="EA19" s="6">
        <v>52</v>
      </c>
      <c r="EB19" s="6">
        <v>26</v>
      </c>
      <c r="EC19" s="6">
        <v>51</v>
      </c>
      <c r="ED19" s="6">
        <v>26</v>
      </c>
      <c r="EE19" s="6">
        <v>54</v>
      </c>
      <c r="EF19" s="6">
        <v>49</v>
      </c>
      <c r="EG19" s="6">
        <v>34</v>
      </c>
      <c r="EH19" s="6">
        <v>60</v>
      </c>
      <c r="EI19" s="6">
        <v>28</v>
      </c>
      <c r="EJ19" s="6">
        <v>75</v>
      </c>
      <c r="EK19" s="6">
        <v>29</v>
      </c>
      <c r="EL19" s="6">
        <v>68</v>
      </c>
      <c r="EM19" s="6">
        <v>60</v>
      </c>
      <c r="EN19" s="6">
        <v>39</v>
      </c>
      <c r="EO19" s="6">
        <v>32</v>
      </c>
      <c r="EP19" s="6">
        <v>34</v>
      </c>
      <c r="EQ19" s="6">
        <v>51</v>
      </c>
      <c r="ER19" s="6">
        <v>32</v>
      </c>
      <c r="ES19" s="6">
        <v>68</v>
      </c>
      <c r="ET19" s="6">
        <v>47</v>
      </c>
      <c r="EU19" s="6">
        <v>77</v>
      </c>
      <c r="EV19" s="6">
        <v>100</v>
      </c>
      <c r="EX19" s="7">
        <v>15</v>
      </c>
      <c r="EY19" s="6">
        <v>32</v>
      </c>
      <c r="EZ19" s="6">
        <v>43</v>
      </c>
      <c r="FA19" s="6">
        <v>57</v>
      </c>
      <c r="FB19" s="6">
        <v>19</v>
      </c>
      <c r="FC19" s="6">
        <v>19</v>
      </c>
      <c r="FD19" s="6">
        <v>17</v>
      </c>
      <c r="FE19" s="6">
        <v>25</v>
      </c>
      <c r="FF19" s="6">
        <v>44</v>
      </c>
      <c r="FG19" s="6">
        <v>16</v>
      </c>
      <c r="FH19" s="6">
        <v>32</v>
      </c>
      <c r="FI19" s="6">
        <v>33</v>
      </c>
      <c r="FJ19" s="6">
        <v>51</v>
      </c>
      <c r="FK19" s="6">
        <v>49</v>
      </c>
      <c r="FL19" s="6">
        <v>34</v>
      </c>
      <c r="FM19" s="6">
        <v>51</v>
      </c>
      <c r="FN19" s="6">
        <v>29</v>
      </c>
      <c r="FO19" s="6">
        <v>76</v>
      </c>
      <c r="FP19" s="6">
        <v>29</v>
      </c>
      <c r="FQ19" s="6">
        <v>68</v>
      </c>
      <c r="FR19" s="6">
        <v>72</v>
      </c>
      <c r="FS19" s="6">
        <v>37</v>
      </c>
      <c r="FT19" s="6">
        <v>33</v>
      </c>
      <c r="FU19" s="6">
        <v>32</v>
      </c>
      <c r="FV19" s="6">
        <v>45</v>
      </c>
      <c r="FW19" s="6">
        <v>34</v>
      </c>
      <c r="FX19" s="6">
        <v>75</v>
      </c>
      <c r="FY19" s="6">
        <v>49</v>
      </c>
      <c r="FZ19" s="6">
        <v>78</v>
      </c>
      <c r="GA19" s="6">
        <v>95</v>
      </c>
      <c r="GC19" s="7">
        <v>15</v>
      </c>
      <c r="GD19" s="6">
        <v>35</v>
      </c>
      <c r="GE19" s="6">
        <v>33</v>
      </c>
      <c r="GF19" s="6">
        <v>43</v>
      </c>
      <c r="GG19" s="6">
        <v>19</v>
      </c>
      <c r="GH19" s="6">
        <v>27</v>
      </c>
      <c r="GI19" s="6">
        <v>24</v>
      </c>
      <c r="GJ19" s="6">
        <v>30</v>
      </c>
      <c r="GK19" s="6">
        <v>61</v>
      </c>
      <c r="GL19" s="6">
        <v>29</v>
      </c>
      <c r="GM19" s="6">
        <v>36</v>
      </c>
      <c r="GN19" s="6">
        <v>37</v>
      </c>
      <c r="GO19" s="6">
        <v>42</v>
      </c>
      <c r="GP19" s="6">
        <v>43</v>
      </c>
      <c r="GQ19" s="6">
        <v>28</v>
      </c>
      <c r="GR19" s="6">
        <v>43</v>
      </c>
      <c r="GS19" s="6">
        <v>25</v>
      </c>
      <c r="GT19" s="6">
        <v>75</v>
      </c>
      <c r="GU19" s="6">
        <v>35</v>
      </c>
      <c r="GV19" s="6">
        <v>68</v>
      </c>
      <c r="GW19" s="6">
        <v>54</v>
      </c>
      <c r="GX19" s="6">
        <v>35</v>
      </c>
      <c r="GY19" s="6">
        <v>32</v>
      </c>
      <c r="GZ19" s="6">
        <v>36</v>
      </c>
      <c r="HA19" s="6">
        <v>47</v>
      </c>
      <c r="HB19" s="6">
        <v>31</v>
      </c>
      <c r="HC19" s="6">
        <v>54</v>
      </c>
      <c r="HD19" s="6">
        <v>51</v>
      </c>
      <c r="HE19" s="6">
        <v>81</v>
      </c>
      <c r="HF19" s="6">
        <v>90</v>
      </c>
      <c r="HH19" s="7">
        <v>15</v>
      </c>
      <c r="HI19" s="6">
        <v>30</v>
      </c>
      <c r="HJ19" s="6">
        <v>32</v>
      </c>
      <c r="HK19" s="6">
        <v>47</v>
      </c>
      <c r="HL19" s="6">
        <v>22</v>
      </c>
      <c r="HM19" s="6">
        <v>26</v>
      </c>
      <c r="HN19" s="6">
        <v>23</v>
      </c>
      <c r="HO19" s="6">
        <v>27</v>
      </c>
      <c r="HP19" s="6">
        <v>50</v>
      </c>
      <c r="HQ19" s="6">
        <v>21</v>
      </c>
      <c r="HR19" s="6">
        <v>36</v>
      </c>
      <c r="HS19" s="6">
        <v>33</v>
      </c>
      <c r="HT19" s="6">
        <v>49</v>
      </c>
      <c r="HU19" s="6">
        <v>42</v>
      </c>
      <c r="HV19" s="6">
        <v>28</v>
      </c>
      <c r="HW19" s="6">
        <v>45</v>
      </c>
      <c r="HX19" s="6">
        <v>26</v>
      </c>
      <c r="HY19" s="6">
        <v>76</v>
      </c>
      <c r="HZ19" s="6">
        <v>33</v>
      </c>
      <c r="IA19" s="6">
        <v>57</v>
      </c>
      <c r="IB19" s="6">
        <v>51</v>
      </c>
      <c r="IC19" s="6">
        <v>32</v>
      </c>
      <c r="ID19" s="6">
        <v>35</v>
      </c>
      <c r="IE19" s="6">
        <v>35</v>
      </c>
      <c r="IF19" s="6">
        <v>45</v>
      </c>
      <c r="IG19" s="6">
        <v>30</v>
      </c>
      <c r="IH19" s="6">
        <v>68</v>
      </c>
      <c r="II19" s="6">
        <v>43</v>
      </c>
      <c r="IJ19" s="6">
        <v>85</v>
      </c>
      <c r="IK19" s="6">
        <v>90</v>
      </c>
    </row>
    <row r="20" spans="2:245" x14ac:dyDescent="0.25">
      <c r="B20" s="13">
        <v>16</v>
      </c>
      <c r="C20" s="6">
        <v>32</v>
      </c>
      <c r="D20" s="6">
        <v>42</v>
      </c>
      <c r="E20" s="6">
        <v>55</v>
      </c>
      <c r="F20" s="6">
        <v>1</v>
      </c>
      <c r="G20" s="6">
        <v>9</v>
      </c>
      <c r="H20" s="6">
        <v>7</v>
      </c>
      <c r="I20" s="6">
        <v>22</v>
      </c>
      <c r="J20" s="6">
        <v>69</v>
      </c>
      <c r="K20" s="6">
        <v>1</v>
      </c>
      <c r="L20" s="6">
        <v>38</v>
      </c>
      <c r="M20" s="6">
        <v>42</v>
      </c>
      <c r="N20" s="6">
        <v>58</v>
      </c>
      <c r="O20" s="6">
        <v>58</v>
      </c>
      <c r="P20" s="6">
        <v>44</v>
      </c>
      <c r="Q20" s="6">
        <v>75</v>
      </c>
      <c r="R20" s="6">
        <v>9</v>
      </c>
      <c r="S20" s="6">
        <v>73</v>
      </c>
      <c r="T20" s="6">
        <v>23</v>
      </c>
      <c r="U20" s="6">
        <v>53</v>
      </c>
      <c r="V20" s="6">
        <v>82</v>
      </c>
      <c r="W20" s="6">
        <v>69</v>
      </c>
      <c r="X20" s="6">
        <v>61</v>
      </c>
      <c r="Y20" s="6">
        <v>25</v>
      </c>
      <c r="Z20" s="6">
        <v>50</v>
      </c>
      <c r="AA20" s="6">
        <v>8</v>
      </c>
      <c r="AB20" s="6">
        <v>54</v>
      </c>
      <c r="AC20" s="6">
        <v>69</v>
      </c>
      <c r="AD20" s="6">
        <v>98</v>
      </c>
      <c r="AE20" s="6">
        <v>100</v>
      </c>
      <c r="AG20" s="6">
        <v>28</v>
      </c>
      <c r="AH20" s="6">
        <v>42</v>
      </c>
      <c r="AI20" s="6">
        <v>50</v>
      </c>
      <c r="AJ20" s="6">
        <v>1</v>
      </c>
      <c r="AK20" s="6">
        <v>8</v>
      </c>
      <c r="AL20" s="6">
        <v>14</v>
      </c>
      <c r="AM20" s="6">
        <v>13</v>
      </c>
      <c r="AN20" s="6">
        <v>68</v>
      </c>
      <c r="AO20" s="6">
        <v>1</v>
      </c>
      <c r="AP20" s="6">
        <v>33</v>
      </c>
      <c r="AQ20" s="6">
        <v>36</v>
      </c>
      <c r="AR20" s="6">
        <v>57</v>
      </c>
      <c r="AS20" s="6">
        <v>48</v>
      </c>
      <c r="AT20" s="6">
        <v>43</v>
      </c>
      <c r="AU20" s="6">
        <v>78</v>
      </c>
      <c r="AV20" s="6">
        <v>12</v>
      </c>
      <c r="AW20" s="6">
        <v>72</v>
      </c>
      <c r="AX20" s="6">
        <v>23</v>
      </c>
      <c r="AY20" s="6">
        <v>50</v>
      </c>
      <c r="AZ20" s="6">
        <v>85</v>
      </c>
      <c r="BA20" s="6">
        <v>70</v>
      </c>
      <c r="BB20" s="6">
        <v>49</v>
      </c>
      <c r="BC20" s="6">
        <v>23</v>
      </c>
      <c r="BD20" s="6">
        <v>47</v>
      </c>
      <c r="BE20" s="6">
        <v>6</v>
      </c>
      <c r="BF20" s="6">
        <v>52</v>
      </c>
      <c r="BG20" s="6">
        <v>67</v>
      </c>
      <c r="BH20" s="6">
        <v>98</v>
      </c>
      <c r="BI20" s="6">
        <v>100</v>
      </c>
      <c r="BK20" s="6">
        <v>20</v>
      </c>
      <c r="BL20" s="6">
        <v>24</v>
      </c>
      <c r="BM20" s="6">
        <v>45</v>
      </c>
      <c r="BN20" s="6">
        <v>1</v>
      </c>
      <c r="BO20" s="6">
        <v>21</v>
      </c>
      <c r="BP20" s="6">
        <v>31</v>
      </c>
      <c r="BQ20" s="6">
        <v>36</v>
      </c>
      <c r="BR20" s="6">
        <v>70</v>
      </c>
      <c r="BS20" s="6">
        <v>2</v>
      </c>
      <c r="BT20" s="6">
        <v>35</v>
      </c>
      <c r="BU20" s="6">
        <v>30</v>
      </c>
      <c r="BV20" s="6">
        <v>48</v>
      </c>
      <c r="BW20" s="6">
        <v>48</v>
      </c>
      <c r="BX20" s="6">
        <v>27</v>
      </c>
      <c r="BY20" s="6">
        <v>50</v>
      </c>
      <c r="BZ20" s="6">
        <v>4</v>
      </c>
      <c r="CA20" s="6">
        <v>66</v>
      </c>
      <c r="CB20" s="6">
        <v>47</v>
      </c>
      <c r="CC20" s="6">
        <v>50</v>
      </c>
      <c r="CD20" s="6">
        <v>68</v>
      </c>
      <c r="CE20" s="6">
        <v>50</v>
      </c>
      <c r="CF20" s="6">
        <v>66</v>
      </c>
      <c r="CG20" s="6">
        <v>48</v>
      </c>
      <c r="CH20" s="6">
        <v>60</v>
      </c>
      <c r="CI20" s="6">
        <v>1</v>
      </c>
      <c r="CJ20" s="6">
        <v>38</v>
      </c>
      <c r="CK20" s="6">
        <v>56</v>
      </c>
      <c r="CL20" s="6">
        <v>99</v>
      </c>
      <c r="CM20" s="6">
        <v>100</v>
      </c>
      <c r="CO20" s="6">
        <v>20</v>
      </c>
      <c r="CP20" s="6">
        <v>21</v>
      </c>
      <c r="CQ20" s="6">
        <v>42</v>
      </c>
      <c r="CR20" s="6">
        <v>1</v>
      </c>
      <c r="CS20" s="6">
        <v>23</v>
      </c>
      <c r="CT20" s="6">
        <v>42</v>
      </c>
      <c r="CU20" s="6">
        <v>40</v>
      </c>
      <c r="CV20" s="6">
        <v>75</v>
      </c>
      <c r="CW20" s="6">
        <v>2</v>
      </c>
      <c r="CX20" s="6">
        <v>28</v>
      </c>
      <c r="CY20" s="6">
        <v>22</v>
      </c>
      <c r="CZ20" s="6">
        <v>42</v>
      </c>
      <c r="DA20" s="6">
        <v>42</v>
      </c>
      <c r="DB20" s="6">
        <v>24</v>
      </c>
      <c r="DC20" s="6">
        <v>47</v>
      </c>
      <c r="DD20" s="6">
        <v>2</v>
      </c>
      <c r="DE20" s="6">
        <v>66</v>
      </c>
      <c r="DF20" s="6">
        <v>53</v>
      </c>
      <c r="DG20" s="6">
        <v>47</v>
      </c>
      <c r="DH20" s="6">
        <v>69</v>
      </c>
      <c r="DI20" s="6">
        <v>47</v>
      </c>
      <c r="DJ20" s="6">
        <v>60</v>
      </c>
      <c r="DK20" s="6">
        <v>55</v>
      </c>
      <c r="DL20" s="6">
        <v>57</v>
      </c>
      <c r="DM20" s="6">
        <v>2</v>
      </c>
      <c r="DN20" s="6">
        <v>29</v>
      </c>
      <c r="DO20" s="6">
        <v>50</v>
      </c>
      <c r="DP20" s="6">
        <v>98</v>
      </c>
      <c r="DQ20" s="6">
        <v>100</v>
      </c>
      <c r="DS20" s="12">
        <v>16</v>
      </c>
      <c r="DT20" s="6">
        <v>51</v>
      </c>
      <c r="DU20" s="6">
        <v>34</v>
      </c>
      <c r="DV20" s="6">
        <v>65</v>
      </c>
      <c r="DW20" s="6">
        <v>29</v>
      </c>
      <c r="DX20" s="6">
        <v>26</v>
      </c>
      <c r="DY20" s="6">
        <v>26</v>
      </c>
      <c r="DZ20" s="6">
        <v>28</v>
      </c>
      <c r="EA20" s="6">
        <v>56</v>
      </c>
      <c r="EB20" s="6">
        <v>27</v>
      </c>
      <c r="EC20" s="6">
        <v>51</v>
      </c>
      <c r="ED20" s="6">
        <v>30</v>
      </c>
      <c r="EE20" s="6">
        <v>58</v>
      </c>
      <c r="EF20" s="6">
        <v>52</v>
      </c>
      <c r="EG20" s="6">
        <v>36</v>
      </c>
      <c r="EH20" s="6">
        <v>64</v>
      </c>
      <c r="EI20" s="6">
        <v>30</v>
      </c>
      <c r="EJ20" s="6">
        <v>77</v>
      </c>
      <c r="EK20" s="6">
        <v>31</v>
      </c>
      <c r="EL20" s="6">
        <v>72</v>
      </c>
      <c r="EM20" s="6">
        <v>64</v>
      </c>
      <c r="EN20" s="6">
        <v>41</v>
      </c>
      <c r="EO20" s="6">
        <v>34</v>
      </c>
      <c r="EP20" s="6">
        <v>36</v>
      </c>
      <c r="EQ20" s="6">
        <v>55</v>
      </c>
      <c r="ER20" s="6">
        <v>34</v>
      </c>
      <c r="ES20" s="6">
        <v>72</v>
      </c>
      <c r="ET20" s="6">
        <v>50</v>
      </c>
      <c r="EU20" s="6">
        <v>85</v>
      </c>
      <c r="EV20" s="6">
        <v>100</v>
      </c>
      <c r="EX20" s="7">
        <v>16</v>
      </c>
      <c r="EY20" s="6">
        <v>35</v>
      </c>
      <c r="EZ20" s="6">
        <v>46</v>
      </c>
      <c r="FA20" s="6">
        <v>57</v>
      </c>
      <c r="FB20" s="6">
        <v>21</v>
      </c>
      <c r="FC20" s="6">
        <v>19</v>
      </c>
      <c r="FD20" s="6">
        <v>20</v>
      </c>
      <c r="FE20" s="6">
        <v>25</v>
      </c>
      <c r="FF20" s="6">
        <v>49</v>
      </c>
      <c r="FG20" s="6">
        <v>20</v>
      </c>
      <c r="FH20" s="6">
        <v>46</v>
      </c>
      <c r="FI20" s="6">
        <v>36</v>
      </c>
      <c r="FJ20" s="6">
        <v>55</v>
      </c>
      <c r="FK20" s="6">
        <v>52</v>
      </c>
      <c r="FL20" s="6">
        <v>36</v>
      </c>
      <c r="FM20" s="6">
        <v>55</v>
      </c>
      <c r="FN20" s="6">
        <v>31</v>
      </c>
      <c r="FO20" s="6">
        <v>77</v>
      </c>
      <c r="FP20" s="6">
        <v>31</v>
      </c>
      <c r="FQ20" s="6">
        <v>72</v>
      </c>
      <c r="FR20" s="6">
        <v>75</v>
      </c>
      <c r="FS20" s="6">
        <v>4</v>
      </c>
      <c r="FT20" s="6">
        <v>35</v>
      </c>
      <c r="FU20" s="6">
        <v>34</v>
      </c>
      <c r="FV20" s="6">
        <v>48</v>
      </c>
      <c r="FW20" s="6">
        <v>36</v>
      </c>
      <c r="FX20" s="6">
        <v>76</v>
      </c>
      <c r="FY20" s="6">
        <v>52</v>
      </c>
      <c r="FZ20" s="6">
        <v>85</v>
      </c>
      <c r="GA20" s="6">
        <v>100</v>
      </c>
      <c r="GC20" s="7">
        <v>16</v>
      </c>
      <c r="GD20" s="6">
        <v>37</v>
      </c>
      <c r="GE20" s="6">
        <v>35</v>
      </c>
      <c r="GF20" s="6">
        <v>43</v>
      </c>
      <c r="GG20" s="6">
        <v>20</v>
      </c>
      <c r="GH20" s="6">
        <v>27</v>
      </c>
      <c r="GI20" s="6">
        <v>24</v>
      </c>
      <c r="GJ20" s="6">
        <v>32</v>
      </c>
      <c r="GK20" s="6">
        <v>61</v>
      </c>
      <c r="GL20" s="6">
        <v>29</v>
      </c>
      <c r="GM20" s="6">
        <v>39</v>
      </c>
      <c r="GN20" s="6">
        <v>37</v>
      </c>
      <c r="GO20" s="6">
        <v>44</v>
      </c>
      <c r="GP20" s="6">
        <v>46</v>
      </c>
      <c r="GQ20" s="6">
        <v>30</v>
      </c>
      <c r="GR20" s="6">
        <v>46</v>
      </c>
      <c r="GS20" s="6">
        <v>26</v>
      </c>
      <c r="GT20" s="6">
        <v>76</v>
      </c>
      <c r="GU20" s="6">
        <v>37</v>
      </c>
      <c r="GV20" s="6">
        <v>72</v>
      </c>
      <c r="GW20" s="6">
        <v>58</v>
      </c>
      <c r="GX20" s="6">
        <v>37</v>
      </c>
      <c r="GY20" s="6">
        <v>34</v>
      </c>
      <c r="GZ20" s="6">
        <v>38</v>
      </c>
      <c r="HA20" s="6">
        <v>50</v>
      </c>
      <c r="HB20" s="6">
        <v>33</v>
      </c>
      <c r="HC20" s="6">
        <v>58</v>
      </c>
      <c r="HD20" s="6">
        <v>55</v>
      </c>
      <c r="HE20" s="6">
        <v>87</v>
      </c>
      <c r="HF20" s="6">
        <v>85</v>
      </c>
      <c r="HH20" s="7">
        <v>16</v>
      </c>
      <c r="HI20" s="6">
        <v>30</v>
      </c>
      <c r="HJ20" s="6">
        <v>32</v>
      </c>
      <c r="HK20" s="6">
        <v>47</v>
      </c>
      <c r="HL20" s="6">
        <v>22</v>
      </c>
      <c r="HM20" s="6">
        <v>26</v>
      </c>
      <c r="HN20" s="6">
        <v>24</v>
      </c>
      <c r="HO20" s="6">
        <v>29</v>
      </c>
      <c r="HP20" s="6">
        <v>52</v>
      </c>
      <c r="HQ20" s="6">
        <v>21</v>
      </c>
      <c r="HR20" s="6">
        <v>39</v>
      </c>
      <c r="HS20" s="6">
        <v>34</v>
      </c>
      <c r="HT20" s="6">
        <v>52</v>
      </c>
      <c r="HU20" s="6">
        <v>44</v>
      </c>
      <c r="HV20" s="6">
        <v>30</v>
      </c>
      <c r="HW20" s="6">
        <v>48</v>
      </c>
      <c r="HX20" s="6">
        <v>28</v>
      </c>
      <c r="HY20" s="6">
        <v>77</v>
      </c>
      <c r="HZ20" s="6">
        <v>35</v>
      </c>
      <c r="IA20" s="6">
        <v>61</v>
      </c>
      <c r="IB20" s="6">
        <v>55</v>
      </c>
      <c r="IC20" s="6">
        <v>34</v>
      </c>
      <c r="ID20" s="6">
        <v>37</v>
      </c>
      <c r="IE20" s="6">
        <v>37</v>
      </c>
      <c r="IF20" s="6">
        <v>48</v>
      </c>
      <c r="IG20" s="6">
        <v>32</v>
      </c>
      <c r="IH20" s="6">
        <v>72</v>
      </c>
      <c r="II20" s="6">
        <v>46</v>
      </c>
      <c r="IJ20" s="6">
        <v>95</v>
      </c>
      <c r="IK20" s="6">
        <v>95</v>
      </c>
    </row>
    <row r="21" spans="2:245" x14ac:dyDescent="0.25">
      <c r="B21" s="13">
        <v>17</v>
      </c>
      <c r="C21" s="6">
        <v>36</v>
      </c>
      <c r="D21" s="6">
        <v>43</v>
      </c>
      <c r="E21" s="6">
        <v>58</v>
      </c>
      <c r="F21" s="6">
        <v>2</v>
      </c>
      <c r="G21" s="6">
        <v>10</v>
      </c>
      <c r="H21" s="6">
        <v>9</v>
      </c>
      <c r="I21" s="6">
        <v>25</v>
      </c>
      <c r="J21" s="6">
        <v>71</v>
      </c>
      <c r="K21" s="6">
        <v>1</v>
      </c>
      <c r="L21" s="6">
        <v>40</v>
      </c>
      <c r="M21" s="6">
        <v>43</v>
      </c>
      <c r="N21" s="6">
        <v>60</v>
      </c>
      <c r="O21" s="6">
        <v>61</v>
      </c>
      <c r="P21" s="6">
        <v>45</v>
      </c>
      <c r="Q21" s="6">
        <v>77</v>
      </c>
      <c r="R21" s="6">
        <v>12</v>
      </c>
      <c r="S21" s="6">
        <v>75</v>
      </c>
      <c r="T21" s="6">
        <v>26</v>
      </c>
      <c r="U21" s="6">
        <v>57</v>
      </c>
      <c r="V21" s="6">
        <v>85</v>
      </c>
      <c r="W21" s="6">
        <v>70</v>
      </c>
      <c r="X21" s="6">
        <v>65</v>
      </c>
      <c r="Y21" s="6">
        <v>29</v>
      </c>
      <c r="Z21" s="6">
        <v>53</v>
      </c>
      <c r="AA21" s="6">
        <v>9</v>
      </c>
      <c r="AB21" s="6">
        <v>57</v>
      </c>
      <c r="AC21" s="6">
        <v>70</v>
      </c>
      <c r="AD21" s="6">
        <v>100</v>
      </c>
      <c r="AG21" s="6">
        <v>33</v>
      </c>
      <c r="AH21" s="6">
        <v>43</v>
      </c>
      <c r="AI21" s="6">
        <v>52</v>
      </c>
      <c r="AJ21" s="6">
        <v>1</v>
      </c>
      <c r="AK21" s="6">
        <v>9</v>
      </c>
      <c r="AL21" s="6">
        <v>17</v>
      </c>
      <c r="AM21" s="6">
        <v>20</v>
      </c>
      <c r="AN21" s="6">
        <v>72</v>
      </c>
      <c r="AO21" s="6">
        <v>1</v>
      </c>
      <c r="AP21" s="6">
        <v>35</v>
      </c>
      <c r="AQ21" s="6">
        <v>40</v>
      </c>
      <c r="AR21" s="6">
        <v>58</v>
      </c>
      <c r="AS21" s="6">
        <v>50</v>
      </c>
      <c r="AT21" s="6">
        <v>45</v>
      </c>
      <c r="AU21" s="6">
        <v>81</v>
      </c>
      <c r="AV21" s="6">
        <v>15</v>
      </c>
      <c r="AW21" s="6">
        <v>73</v>
      </c>
      <c r="AX21" s="6">
        <v>25</v>
      </c>
      <c r="AY21" s="6">
        <v>55</v>
      </c>
      <c r="AZ21" s="6">
        <v>100</v>
      </c>
      <c r="BA21" s="6">
        <v>71</v>
      </c>
      <c r="BB21" s="6">
        <v>50</v>
      </c>
      <c r="BC21" s="6">
        <v>26</v>
      </c>
      <c r="BD21" s="6">
        <v>50</v>
      </c>
      <c r="BE21" s="6">
        <v>6</v>
      </c>
      <c r="BF21" s="6">
        <v>53</v>
      </c>
      <c r="BG21" s="6">
        <v>69</v>
      </c>
      <c r="BH21" s="6">
        <v>100</v>
      </c>
      <c r="BK21" s="6">
        <v>22</v>
      </c>
      <c r="BL21" s="6">
        <v>25</v>
      </c>
      <c r="BM21" s="6">
        <v>47</v>
      </c>
      <c r="BN21" s="6">
        <v>1</v>
      </c>
      <c r="BO21" s="6">
        <v>23</v>
      </c>
      <c r="BP21" s="6">
        <v>33</v>
      </c>
      <c r="BQ21" s="6">
        <v>40</v>
      </c>
      <c r="BR21" s="6">
        <v>72</v>
      </c>
      <c r="BS21" s="6">
        <v>3</v>
      </c>
      <c r="BT21" s="6">
        <v>40</v>
      </c>
      <c r="BU21" s="6">
        <v>32</v>
      </c>
      <c r="BV21" s="6">
        <v>50</v>
      </c>
      <c r="BW21" s="6">
        <v>50</v>
      </c>
      <c r="BX21" s="6">
        <v>32</v>
      </c>
      <c r="BY21" s="6">
        <v>51</v>
      </c>
      <c r="BZ21" s="6">
        <v>5</v>
      </c>
      <c r="CA21" s="6">
        <v>68</v>
      </c>
      <c r="CB21" s="6">
        <v>50</v>
      </c>
      <c r="CC21" s="6">
        <v>55</v>
      </c>
      <c r="CD21" s="6">
        <v>70</v>
      </c>
      <c r="CE21" s="6">
        <v>51</v>
      </c>
      <c r="CF21" s="6">
        <v>68</v>
      </c>
      <c r="CG21" s="6">
        <v>50</v>
      </c>
      <c r="CH21" s="6">
        <v>64</v>
      </c>
      <c r="CI21" s="6">
        <v>2</v>
      </c>
      <c r="CJ21" s="6">
        <v>40</v>
      </c>
      <c r="CK21" s="6">
        <v>57</v>
      </c>
      <c r="CL21" s="6">
        <v>100</v>
      </c>
      <c r="CO21" s="6">
        <v>21</v>
      </c>
      <c r="CP21" s="6">
        <v>25</v>
      </c>
      <c r="CQ21" s="6">
        <v>43</v>
      </c>
      <c r="CR21" s="6">
        <v>1</v>
      </c>
      <c r="CS21" s="6">
        <v>25</v>
      </c>
      <c r="CT21" s="6">
        <v>44</v>
      </c>
      <c r="CU21" s="6">
        <v>41</v>
      </c>
      <c r="CV21" s="6">
        <v>80</v>
      </c>
      <c r="CW21" s="6">
        <v>2</v>
      </c>
      <c r="CX21" s="6">
        <v>30</v>
      </c>
      <c r="CY21" s="6">
        <v>25</v>
      </c>
      <c r="CZ21" s="6">
        <v>43</v>
      </c>
      <c r="DA21" s="6">
        <v>45</v>
      </c>
      <c r="DB21" s="6">
        <v>25</v>
      </c>
      <c r="DC21" s="6">
        <v>48</v>
      </c>
      <c r="DD21" s="6">
        <v>2</v>
      </c>
      <c r="DE21" s="6">
        <v>68</v>
      </c>
      <c r="DF21" s="6">
        <v>56</v>
      </c>
      <c r="DG21" s="6">
        <v>48</v>
      </c>
      <c r="DH21" s="6">
        <v>71</v>
      </c>
      <c r="DI21" s="6">
        <v>48</v>
      </c>
      <c r="DJ21" s="6">
        <v>62</v>
      </c>
      <c r="DK21" s="6">
        <v>58</v>
      </c>
      <c r="DL21" s="6">
        <v>60</v>
      </c>
      <c r="DM21" s="6">
        <v>2</v>
      </c>
      <c r="DN21" s="6">
        <v>31</v>
      </c>
      <c r="DO21" s="6">
        <v>51</v>
      </c>
      <c r="DP21" s="6">
        <v>100</v>
      </c>
      <c r="DS21" s="12">
        <v>17</v>
      </c>
      <c r="DT21" s="6">
        <v>51</v>
      </c>
      <c r="DU21" s="6">
        <v>36</v>
      </c>
      <c r="DV21" s="6">
        <v>65</v>
      </c>
      <c r="DW21" s="6">
        <v>29</v>
      </c>
      <c r="DX21" s="6">
        <v>26</v>
      </c>
      <c r="DY21" s="6">
        <v>26</v>
      </c>
      <c r="DZ21" s="6">
        <v>28</v>
      </c>
      <c r="EA21" s="6">
        <v>70</v>
      </c>
      <c r="EB21" s="6">
        <v>27</v>
      </c>
      <c r="EC21" s="6">
        <v>51</v>
      </c>
      <c r="ED21" s="6">
        <v>31</v>
      </c>
      <c r="EE21" s="6">
        <v>61</v>
      </c>
      <c r="EF21" s="6">
        <v>56</v>
      </c>
      <c r="EG21" s="6">
        <v>38</v>
      </c>
      <c r="EH21" s="6">
        <v>68</v>
      </c>
      <c r="EI21" s="6">
        <v>31</v>
      </c>
      <c r="EJ21" s="6">
        <v>80</v>
      </c>
      <c r="EK21" s="6">
        <v>33</v>
      </c>
      <c r="EL21" s="6">
        <v>75</v>
      </c>
      <c r="EM21" s="6">
        <v>68</v>
      </c>
      <c r="EN21" s="6">
        <v>44</v>
      </c>
      <c r="EO21" s="6">
        <v>36</v>
      </c>
      <c r="EP21" s="6">
        <v>38</v>
      </c>
      <c r="EQ21" s="6">
        <v>58</v>
      </c>
      <c r="ER21" s="6">
        <v>36</v>
      </c>
      <c r="ES21" s="6">
        <v>75</v>
      </c>
      <c r="ET21" s="6">
        <v>53</v>
      </c>
      <c r="EU21" s="6">
        <v>95</v>
      </c>
      <c r="EX21" s="7">
        <v>17</v>
      </c>
      <c r="EY21" s="6">
        <v>37</v>
      </c>
      <c r="EZ21" s="6">
        <v>53</v>
      </c>
      <c r="FA21" s="6">
        <v>63</v>
      </c>
      <c r="FB21" s="6">
        <v>21</v>
      </c>
      <c r="FC21" s="6">
        <v>19</v>
      </c>
      <c r="FD21" s="6">
        <v>20</v>
      </c>
      <c r="FE21" s="6">
        <v>25</v>
      </c>
      <c r="FF21" s="6">
        <v>49</v>
      </c>
      <c r="FG21" s="6">
        <v>20</v>
      </c>
      <c r="FH21" s="6">
        <v>48</v>
      </c>
      <c r="FI21" s="6">
        <v>40</v>
      </c>
      <c r="FJ21" s="6">
        <v>58</v>
      </c>
      <c r="FK21" s="6">
        <v>56</v>
      </c>
      <c r="FL21" s="6">
        <v>38</v>
      </c>
      <c r="FM21" s="6">
        <v>58</v>
      </c>
      <c r="FN21" s="6">
        <v>33</v>
      </c>
      <c r="FO21" s="6">
        <v>78</v>
      </c>
      <c r="FP21" s="6">
        <v>33</v>
      </c>
      <c r="FQ21" s="6">
        <v>75</v>
      </c>
      <c r="FR21" s="6">
        <v>76</v>
      </c>
      <c r="FS21" s="6">
        <v>42</v>
      </c>
      <c r="FT21" s="6">
        <v>37</v>
      </c>
      <c r="FU21" s="6">
        <v>36</v>
      </c>
      <c r="FV21" s="6">
        <v>51</v>
      </c>
      <c r="FW21" s="6">
        <v>38</v>
      </c>
      <c r="FX21" s="6">
        <v>77</v>
      </c>
      <c r="FY21" s="6">
        <v>56</v>
      </c>
      <c r="FZ21" s="6">
        <v>94</v>
      </c>
      <c r="GC21" s="7">
        <v>17</v>
      </c>
      <c r="GD21" s="6">
        <v>41</v>
      </c>
      <c r="GE21" s="6">
        <v>35</v>
      </c>
      <c r="GF21" s="6">
        <v>55</v>
      </c>
      <c r="GG21" s="6">
        <v>20</v>
      </c>
      <c r="GH21" s="6">
        <v>29</v>
      </c>
      <c r="GI21" s="6">
        <v>25</v>
      </c>
      <c r="GJ21" s="6">
        <v>32</v>
      </c>
      <c r="GK21" s="6">
        <v>73</v>
      </c>
      <c r="GL21" s="6">
        <v>30</v>
      </c>
      <c r="GM21" s="6">
        <v>43</v>
      </c>
      <c r="GN21" s="6">
        <v>38</v>
      </c>
      <c r="GO21" s="6">
        <v>47</v>
      </c>
      <c r="GP21" s="6">
        <v>49</v>
      </c>
      <c r="GQ21" s="6">
        <v>31</v>
      </c>
      <c r="GR21" s="6">
        <v>49</v>
      </c>
      <c r="GS21" s="6">
        <v>28</v>
      </c>
      <c r="GT21" s="6">
        <v>77</v>
      </c>
      <c r="GU21" s="6">
        <v>39</v>
      </c>
      <c r="GV21" s="6">
        <v>75</v>
      </c>
      <c r="GW21" s="6">
        <v>61</v>
      </c>
      <c r="GX21" s="6">
        <v>39</v>
      </c>
      <c r="GY21" s="6">
        <v>36</v>
      </c>
      <c r="GZ21" s="6">
        <v>41</v>
      </c>
      <c r="HA21" s="6">
        <v>53</v>
      </c>
      <c r="HB21" s="6">
        <v>35</v>
      </c>
      <c r="HC21" s="6">
        <v>61</v>
      </c>
      <c r="HD21" s="6">
        <v>58</v>
      </c>
      <c r="HE21" s="6">
        <v>94</v>
      </c>
      <c r="HH21" s="7">
        <v>17</v>
      </c>
      <c r="HI21" s="6">
        <v>32</v>
      </c>
      <c r="HJ21" s="6">
        <v>38</v>
      </c>
      <c r="HK21" s="6">
        <v>54</v>
      </c>
      <c r="HL21" s="6">
        <v>23</v>
      </c>
      <c r="HM21" s="6">
        <v>26</v>
      </c>
      <c r="HN21" s="6">
        <v>29</v>
      </c>
      <c r="HO21" s="6">
        <v>29</v>
      </c>
      <c r="HP21" s="6">
        <v>59</v>
      </c>
      <c r="HQ21" s="6">
        <v>22</v>
      </c>
      <c r="HR21" s="6">
        <v>41</v>
      </c>
      <c r="HS21" s="6">
        <v>34</v>
      </c>
      <c r="HT21" s="6">
        <v>56</v>
      </c>
      <c r="HU21" s="6">
        <v>47</v>
      </c>
      <c r="HV21" s="6">
        <v>32</v>
      </c>
      <c r="HW21" s="6">
        <v>51</v>
      </c>
      <c r="HX21" s="6">
        <v>30</v>
      </c>
      <c r="HY21" s="6">
        <v>78</v>
      </c>
      <c r="HZ21" s="6">
        <v>37</v>
      </c>
      <c r="IA21" s="6">
        <v>64</v>
      </c>
      <c r="IB21" s="6">
        <v>58</v>
      </c>
      <c r="IC21" s="6">
        <v>36</v>
      </c>
      <c r="ID21" s="6">
        <v>39</v>
      </c>
      <c r="IE21" s="6">
        <v>39</v>
      </c>
      <c r="IF21" s="6">
        <v>51</v>
      </c>
      <c r="IG21" s="6">
        <v>34</v>
      </c>
      <c r="IH21" s="6">
        <v>75</v>
      </c>
      <c r="II21" s="6">
        <v>49</v>
      </c>
      <c r="IJ21" s="6">
        <v>100</v>
      </c>
    </row>
    <row r="22" spans="2:245" x14ac:dyDescent="0.25">
      <c r="B22" s="13">
        <v>18</v>
      </c>
      <c r="C22" s="6">
        <v>40</v>
      </c>
      <c r="D22" s="6">
        <v>44</v>
      </c>
      <c r="E22" s="6">
        <v>61</v>
      </c>
      <c r="F22" s="6">
        <v>2</v>
      </c>
      <c r="G22" s="6">
        <v>11</v>
      </c>
      <c r="H22" s="6">
        <v>15</v>
      </c>
      <c r="I22" s="6">
        <v>26</v>
      </c>
      <c r="J22" s="6">
        <v>75</v>
      </c>
      <c r="K22" s="6">
        <v>1</v>
      </c>
      <c r="L22" s="6">
        <v>41</v>
      </c>
      <c r="M22" s="6">
        <v>44</v>
      </c>
      <c r="N22" s="6">
        <v>65</v>
      </c>
      <c r="O22" s="6">
        <v>64</v>
      </c>
      <c r="P22" s="6">
        <v>46</v>
      </c>
      <c r="Q22" s="6">
        <v>79</v>
      </c>
      <c r="R22" s="6">
        <v>14</v>
      </c>
      <c r="S22" s="6">
        <v>77</v>
      </c>
      <c r="T22" s="6">
        <v>29</v>
      </c>
      <c r="U22" s="6">
        <v>62</v>
      </c>
      <c r="V22" s="6">
        <v>97</v>
      </c>
      <c r="W22" s="6">
        <v>71</v>
      </c>
      <c r="X22" s="6">
        <v>67</v>
      </c>
      <c r="Y22" s="6">
        <v>34</v>
      </c>
      <c r="Z22" s="6">
        <v>58</v>
      </c>
      <c r="AA22" s="6">
        <v>11</v>
      </c>
      <c r="AB22" s="6">
        <v>59</v>
      </c>
      <c r="AC22" s="6">
        <v>71</v>
      </c>
      <c r="AG22" s="6">
        <v>36</v>
      </c>
      <c r="AH22" s="6">
        <v>44</v>
      </c>
      <c r="AI22" s="6">
        <v>54</v>
      </c>
      <c r="AJ22" s="6">
        <v>1</v>
      </c>
      <c r="AK22" s="6">
        <v>9</v>
      </c>
      <c r="AL22" s="6">
        <v>17</v>
      </c>
      <c r="AM22" s="6">
        <v>20</v>
      </c>
      <c r="AN22" s="6">
        <v>75</v>
      </c>
      <c r="AO22" s="6">
        <v>1</v>
      </c>
      <c r="AP22" s="6">
        <v>40</v>
      </c>
      <c r="AQ22" s="6">
        <v>41</v>
      </c>
      <c r="AR22" s="6">
        <v>60</v>
      </c>
      <c r="AS22" s="6">
        <v>54</v>
      </c>
      <c r="AT22" s="6">
        <v>46</v>
      </c>
      <c r="AU22" s="6">
        <v>81</v>
      </c>
      <c r="AV22" s="6">
        <v>20</v>
      </c>
      <c r="AW22" s="6">
        <v>75</v>
      </c>
      <c r="AX22" s="6">
        <v>30</v>
      </c>
      <c r="AY22" s="6">
        <v>59</v>
      </c>
      <c r="AZ22" s="6">
        <v>103</v>
      </c>
      <c r="BA22" s="6">
        <v>72</v>
      </c>
      <c r="BB22" s="6">
        <v>52</v>
      </c>
      <c r="BC22" s="6">
        <v>30</v>
      </c>
      <c r="BD22" s="6">
        <v>54</v>
      </c>
      <c r="BE22" s="6">
        <v>12</v>
      </c>
      <c r="BF22" s="6">
        <v>53</v>
      </c>
      <c r="BG22" s="6">
        <v>70</v>
      </c>
      <c r="BK22" s="6">
        <v>26</v>
      </c>
      <c r="BL22" s="6">
        <v>28</v>
      </c>
      <c r="BM22" s="6">
        <v>48</v>
      </c>
      <c r="BN22" s="6">
        <v>1</v>
      </c>
      <c r="BO22" s="6">
        <v>26</v>
      </c>
      <c r="BP22" s="6">
        <v>36</v>
      </c>
      <c r="BQ22" s="6">
        <v>42</v>
      </c>
      <c r="BR22" s="6">
        <v>75</v>
      </c>
      <c r="BS22" s="6">
        <v>4</v>
      </c>
      <c r="BT22" s="6">
        <v>41</v>
      </c>
      <c r="BU22" s="6">
        <v>35</v>
      </c>
      <c r="BV22" s="6">
        <v>53</v>
      </c>
      <c r="BW22" s="6">
        <v>52</v>
      </c>
      <c r="BX22" s="6">
        <v>34</v>
      </c>
      <c r="BY22" s="6">
        <v>53</v>
      </c>
      <c r="BZ22" s="6">
        <v>6</v>
      </c>
      <c r="CA22" s="6">
        <v>69</v>
      </c>
      <c r="CB22" s="6">
        <v>53</v>
      </c>
      <c r="CC22" s="6">
        <v>58</v>
      </c>
      <c r="CD22" s="6">
        <v>73</v>
      </c>
      <c r="CE22" s="6">
        <v>52</v>
      </c>
      <c r="CF22" s="6">
        <v>69</v>
      </c>
      <c r="CG22" s="6">
        <v>55</v>
      </c>
      <c r="CH22" s="6">
        <v>66</v>
      </c>
      <c r="CI22" s="6">
        <v>2</v>
      </c>
      <c r="CJ22" s="6">
        <v>41</v>
      </c>
      <c r="CK22" s="6">
        <v>59</v>
      </c>
      <c r="CO22" s="6">
        <v>23</v>
      </c>
      <c r="CP22" s="6">
        <v>26</v>
      </c>
      <c r="CQ22" s="6">
        <v>44</v>
      </c>
      <c r="CR22" s="6">
        <v>1</v>
      </c>
      <c r="CS22" s="6">
        <v>29</v>
      </c>
      <c r="CT22" s="6">
        <v>45</v>
      </c>
      <c r="CU22" s="6">
        <v>42</v>
      </c>
      <c r="CV22" s="6">
        <v>82</v>
      </c>
      <c r="CW22" s="6">
        <v>2</v>
      </c>
      <c r="CX22" s="6">
        <v>33</v>
      </c>
      <c r="CY22" s="6">
        <v>26</v>
      </c>
      <c r="CZ22" s="6">
        <v>45</v>
      </c>
      <c r="DA22" s="6">
        <v>47</v>
      </c>
      <c r="DB22" s="6">
        <v>26</v>
      </c>
      <c r="DC22" s="6">
        <v>50</v>
      </c>
      <c r="DD22" s="6">
        <v>5</v>
      </c>
      <c r="DE22" s="6">
        <v>70</v>
      </c>
      <c r="DF22" s="6">
        <v>59</v>
      </c>
      <c r="DG22" s="6">
        <v>50</v>
      </c>
      <c r="DH22" s="6">
        <v>72</v>
      </c>
      <c r="DI22" s="6">
        <v>49</v>
      </c>
      <c r="DJ22" s="6">
        <v>63</v>
      </c>
      <c r="DK22" s="6">
        <v>62</v>
      </c>
      <c r="DL22" s="6">
        <v>63</v>
      </c>
      <c r="DM22" s="6">
        <v>2</v>
      </c>
      <c r="DN22" s="6">
        <v>34</v>
      </c>
      <c r="DO22" s="6">
        <v>52</v>
      </c>
      <c r="DS22" s="12">
        <v>18</v>
      </c>
      <c r="DT22" s="6">
        <v>53</v>
      </c>
      <c r="DU22" s="6">
        <v>39</v>
      </c>
      <c r="DV22" s="6">
        <v>70</v>
      </c>
      <c r="DW22" s="6">
        <v>30</v>
      </c>
      <c r="DX22" s="6">
        <v>26</v>
      </c>
      <c r="DY22" s="6">
        <v>26</v>
      </c>
      <c r="DZ22" s="6">
        <v>36</v>
      </c>
      <c r="EA22" s="6">
        <v>70</v>
      </c>
      <c r="EB22" s="6">
        <v>27</v>
      </c>
      <c r="EC22" s="6">
        <v>52</v>
      </c>
      <c r="ED22" s="6">
        <v>42</v>
      </c>
      <c r="EE22" s="6">
        <v>65</v>
      </c>
      <c r="EF22" s="6">
        <v>59</v>
      </c>
      <c r="EG22" s="6">
        <v>41</v>
      </c>
      <c r="EH22" s="6">
        <v>82</v>
      </c>
      <c r="EI22" s="6">
        <v>33</v>
      </c>
      <c r="EJ22" s="6">
        <v>82</v>
      </c>
      <c r="EK22" s="6">
        <v>35</v>
      </c>
      <c r="EL22" s="6">
        <v>77</v>
      </c>
      <c r="EM22" s="6">
        <v>72</v>
      </c>
      <c r="EN22" s="6">
        <v>46</v>
      </c>
      <c r="EO22" s="6">
        <v>38</v>
      </c>
      <c r="EP22" s="6">
        <v>41</v>
      </c>
      <c r="EQ22" s="6">
        <v>62</v>
      </c>
      <c r="ER22" s="6">
        <v>38</v>
      </c>
      <c r="ES22" s="6">
        <v>76</v>
      </c>
      <c r="ET22" s="6">
        <v>56</v>
      </c>
      <c r="EX22" s="7">
        <v>18</v>
      </c>
      <c r="EY22" s="6">
        <v>41</v>
      </c>
      <c r="EZ22" s="6">
        <v>53</v>
      </c>
      <c r="FA22" s="6">
        <v>66</v>
      </c>
      <c r="FB22" s="6">
        <v>26</v>
      </c>
      <c r="FC22" s="6">
        <v>20</v>
      </c>
      <c r="FD22" s="6">
        <v>20</v>
      </c>
      <c r="FE22" s="6">
        <v>31</v>
      </c>
      <c r="FF22" s="6">
        <v>51</v>
      </c>
      <c r="FG22" s="6">
        <v>23</v>
      </c>
      <c r="FH22" s="6">
        <v>49</v>
      </c>
      <c r="FI22" s="6">
        <v>40</v>
      </c>
      <c r="FJ22" s="6">
        <v>62</v>
      </c>
      <c r="FK22" s="6">
        <v>59</v>
      </c>
      <c r="FL22" s="6">
        <v>41</v>
      </c>
      <c r="FM22" s="6">
        <v>62</v>
      </c>
      <c r="FN22" s="6">
        <v>35</v>
      </c>
      <c r="FO22" s="6">
        <v>79</v>
      </c>
      <c r="FP22" s="6">
        <v>35</v>
      </c>
      <c r="FQ22" s="6">
        <v>78</v>
      </c>
      <c r="FR22" s="6">
        <v>77</v>
      </c>
      <c r="FS22" s="6">
        <v>45</v>
      </c>
      <c r="FT22" s="6">
        <v>39</v>
      </c>
      <c r="FU22" s="6">
        <v>38</v>
      </c>
      <c r="FV22" s="6">
        <v>54</v>
      </c>
      <c r="FW22" s="6">
        <v>41</v>
      </c>
      <c r="FX22" s="6">
        <v>78</v>
      </c>
      <c r="FY22" s="6">
        <v>59</v>
      </c>
      <c r="GC22" s="7">
        <v>18</v>
      </c>
      <c r="GD22" s="6">
        <v>43</v>
      </c>
      <c r="GE22" s="6">
        <v>35</v>
      </c>
      <c r="GF22" s="6">
        <v>62</v>
      </c>
      <c r="GG22" s="6">
        <v>24</v>
      </c>
      <c r="GH22" s="6">
        <v>29</v>
      </c>
      <c r="GI22" s="6">
        <v>27</v>
      </c>
      <c r="GJ22" s="6">
        <v>34</v>
      </c>
      <c r="GK22" s="6">
        <v>73</v>
      </c>
      <c r="GL22" s="6">
        <v>30</v>
      </c>
      <c r="GM22" s="6">
        <v>53</v>
      </c>
      <c r="GN22" s="6">
        <v>41</v>
      </c>
      <c r="GO22" s="6">
        <v>50</v>
      </c>
      <c r="GP22" s="6">
        <v>52</v>
      </c>
      <c r="GQ22" s="6">
        <v>33</v>
      </c>
      <c r="GR22" s="6">
        <v>52</v>
      </c>
      <c r="GS22" s="6">
        <v>29</v>
      </c>
      <c r="GT22" s="6">
        <v>78</v>
      </c>
      <c r="GU22" s="6">
        <v>42</v>
      </c>
      <c r="GV22" s="6">
        <v>78</v>
      </c>
      <c r="GW22" s="6">
        <v>65</v>
      </c>
      <c r="GX22" s="6">
        <v>42</v>
      </c>
      <c r="GY22" s="6">
        <v>38</v>
      </c>
      <c r="GZ22" s="6">
        <v>43</v>
      </c>
      <c r="HA22" s="6">
        <v>56</v>
      </c>
      <c r="HB22" s="6">
        <v>37</v>
      </c>
      <c r="HC22" s="6">
        <v>65</v>
      </c>
      <c r="HD22" s="6">
        <v>62</v>
      </c>
      <c r="HH22" s="7">
        <v>18</v>
      </c>
      <c r="HI22" s="6">
        <v>33</v>
      </c>
      <c r="HJ22" s="6">
        <v>39</v>
      </c>
      <c r="HK22" s="6">
        <v>64</v>
      </c>
      <c r="HL22" s="6">
        <v>27</v>
      </c>
      <c r="HM22" s="6">
        <v>31</v>
      </c>
      <c r="HN22" s="6">
        <v>32</v>
      </c>
      <c r="HO22" s="6">
        <v>30</v>
      </c>
      <c r="HP22" s="6">
        <v>63</v>
      </c>
      <c r="HQ22" s="6">
        <v>23</v>
      </c>
      <c r="HR22" s="6">
        <v>46</v>
      </c>
      <c r="HS22" s="6">
        <v>35</v>
      </c>
      <c r="HT22" s="6">
        <v>59</v>
      </c>
      <c r="HU22" s="6">
        <v>50</v>
      </c>
      <c r="HV22" s="6">
        <v>34</v>
      </c>
      <c r="HW22" s="6">
        <v>54</v>
      </c>
      <c r="HX22" s="6">
        <v>32</v>
      </c>
      <c r="HY22" s="6">
        <v>79</v>
      </c>
      <c r="HZ22" s="6">
        <v>39</v>
      </c>
      <c r="IA22" s="6">
        <v>68</v>
      </c>
      <c r="IB22" s="6">
        <v>62</v>
      </c>
      <c r="IC22" s="6">
        <v>38</v>
      </c>
      <c r="ID22" s="6">
        <v>42</v>
      </c>
      <c r="IE22" s="6">
        <v>42</v>
      </c>
      <c r="IF22" s="6">
        <v>54</v>
      </c>
      <c r="IG22" s="6">
        <v>36</v>
      </c>
      <c r="IH22" s="6">
        <v>76</v>
      </c>
      <c r="II22" s="6">
        <v>52</v>
      </c>
    </row>
    <row r="23" spans="2:245" x14ac:dyDescent="0.25">
      <c r="B23" s="13">
        <v>19</v>
      </c>
      <c r="C23" s="6">
        <v>41</v>
      </c>
      <c r="D23" s="6">
        <v>46</v>
      </c>
      <c r="E23" s="6">
        <v>63</v>
      </c>
      <c r="F23" s="6">
        <v>2</v>
      </c>
      <c r="G23" s="6">
        <v>12</v>
      </c>
      <c r="H23" s="6">
        <v>16</v>
      </c>
      <c r="I23" s="6">
        <v>29</v>
      </c>
      <c r="J23" s="6">
        <v>79</v>
      </c>
      <c r="K23" s="6">
        <v>2</v>
      </c>
      <c r="L23" s="6">
        <v>43</v>
      </c>
      <c r="M23" s="6">
        <v>46</v>
      </c>
      <c r="N23" s="6">
        <v>67</v>
      </c>
      <c r="O23" s="6">
        <v>68</v>
      </c>
      <c r="P23" s="6">
        <v>48</v>
      </c>
      <c r="Q23" s="6">
        <v>82</v>
      </c>
      <c r="R23" s="6">
        <v>17</v>
      </c>
      <c r="S23" s="6">
        <v>80</v>
      </c>
      <c r="T23" s="6">
        <v>32</v>
      </c>
      <c r="U23" s="6">
        <v>66</v>
      </c>
      <c r="V23" s="6">
        <v>98</v>
      </c>
      <c r="W23" s="6">
        <v>72</v>
      </c>
      <c r="X23" s="6">
        <v>70</v>
      </c>
      <c r="Y23" s="6">
        <v>40</v>
      </c>
      <c r="Z23" s="6">
        <v>61</v>
      </c>
      <c r="AA23" s="6">
        <v>12</v>
      </c>
      <c r="AB23" s="6">
        <v>61</v>
      </c>
      <c r="AC23" s="6">
        <v>72</v>
      </c>
      <c r="AG23" s="6">
        <v>40</v>
      </c>
      <c r="AH23" s="6">
        <v>45</v>
      </c>
      <c r="AI23" s="6">
        <v>57</v>
      </c>
      <c r="AJ23" s="6">
        <v>1</v>
      </c>
      <c r="AK23" s="6">
        <v>11</v>
      </c>
      <c r="AL23" s="6">
        <v>20</v>
      </c>
      <c r="AM23" s="6">
        <v>21</v>
      </c>
      <c r="AN23" s="6">
        <v>79</v>
      </c>
      <c r="AO23" s="6">
        <v>3</v>
      </c>
      <c r="AP23" s="6">
        <v>42</v>
      </c>
      <c r="AQ23" s="6">
        <v>42</v>
      </c>
      <c r="AR23" s="6">
        <v>62</v>
      </c>
      <c r="AS23" s="6">
        <v>57</v>
      </c>
      <c r="AT23" s="6">
        <v>48</v>
      </c>
      <c r="AU23" s="6">
        <v>83</v>
      </c>
      <c r="AV23" s="6">
        <v>23</v>
      </c>
      <c r="AW23" s="6">
        <v>77</v>
      </c>
      <c r="AX23" s="6">
        <v>32</v>
      </c>
      <c r="AY23" s="6">
        <v>63</v>
      </c>
      <c r="AZ23" s="6">
        <v>107</v>
      </c>
      <c r="BA23" s="6">
        <v>73</v>
      </c>
      <c r="BB23" s="6">
        <v>55</v>
      </c>
      <c r="BC23" s="6">
        <v>36</v>
      </c>
      <c r="BD23" s="6">
        <v>58</v>
      </c>
      <c r="BE23" s="6">
        <v>12</v>
      </c>
      <c r="BF23" s="6">
        <v>56</v>
      </c>
      <c r="BG23" s="6">
        <v>71</v>
      </c>
      <c r="BK23" s="6">
        <v>29</v>
      </c>
      <c r="BL23" s="6">
        <v>31</v>
      </c>
      <c r="BM23" s="6">
        <v>49</v>
      </c>
      <c r="BN23" s="6">
        <v>1</v>
      </c>
      <c r="BO23" s="6">
        <v>28</v>
      </c>
      <c r="BP23" s="6">
        <v>38</v>
      </c>
      <c r="BQ23" s="6">
        <v>44</v>
      </c>
      <c r="BR23" s="6">
        <v>77</v>
      </c>
      <c r="BS23" s="6">
        <v>4</v>
      </c>
      <c r="BT23" s="6">
        <v>42</v>
      </c>
      <c r="BU23" s="6">
        <v>38</v>
      </c>
      <c r="BV23" s="6">
        <v>54</v>
      </c>
      <c r="BW23" s="6">
        <v>54</v>
      </c>
      <c r="BX23" s="6">
        <v>36</v>
      </c>
      <c r="BY23" s="6">
        <v>55</v>
      </c>
      <c r="BZ23" s="6">
        <v>7</v>
      </c>
      <c r="CA23" s="6">
        <v>71</v>
      </c>
      <c r="CB23" s="6">
        <v>56</v>
      </c>
      <c r="CC23" s="6">
        <v>60</v>
      </c>
      <c r="CD23" s="6">
        <v>75</v>
      </c>
      <c r="CE23" s="6">
        <v>54</v>
      </c>
      <c r="CF23" s="6">
        <v>71</v>
      </c>
      <c r="CG23" s="6">
        <v>59</v>
      </c>
      <c r="CH23" s="6">
        <v>67</v>
      </c>
      <c r="CI23" s="6">
        <v>3</v>
      </c>
      <c r="CJ23" s="6">
        <v>42</v>
      </c>
      <c r="CK23" s="6">
        <v>60</v>
      </c>
      <c r="CO23" s="6">
        <v>25</v>
      </c>
      <c r="CP23" s="6">
        <v>29</v>
      </c>
      <c r="CQ23" s="6">
        <v>45</v>
      </c>
      <c r="CR23" s="6">
        <v>1</v>
      </c>
      <c r="CS23" s="6">
        <v>31</v>
      </c>
      <c r="CT23" s="6">
        <v>46</v>
      </c>
      <c r="CU23" s="6">
        <v>44</v>
      </c>
      <c r="CV23" s="6">
        <v>85</v>
      </c>
      <c r="CW23" s="6">
        <v>3</v>
      </c>
      <c r="CX23" s="6">
        <v>35</v>
      </c>
      <c r="CY23" s="6">
        <v>28</v>
      </c>
      <c r="CZ23" s="6">
        <v>46</v>
      </c>
      <c r="DA23" s="6">
        <v>49</v>
      </c>
      <c r="DB23" s="6">
        <v>28</v>
      </c>
      <c r="DC23" s="6">
        <v>53</v>
      </c>
      <c r="DD23" s="6">
        <v>5</v>
      </c>
      <c r="DE23" s="6">
        <v>71</v>
      </c>
      <c r="DF23" s="6">
        <v>61</v>
      </c>
      <c r="DG23" s="6">
        <v>53</v>
      </c>
      <c r="DH23" s="6">
        <v>74</v>
      </c>
      <c r="DI23" s="6">
        <v>50</v>
      </c>
      <c r="DJ23" s="6">
        <v>65</v>
      </c>
      <c r="DK23" s="6">
        <v>65</v>
      </c>
      <c r="DL23" s="6">
        <v>65</v>
      </c>
      <c r="DM23" s="6">
        <v>2</v>
      </c>
      <c r="DN23" s="6">
        <v>36</v>
      </c>
      <c r="DO23" s="6">
        <v>54</v>
      </c>
      <c r="DS23" s="12">
        <v>19</v>
      </c>
      <c r="DT23" s="6">
        <v>55</v>
      </c>
      <c r="DU23" s="6">
        <v>52</v>
      </c>
      <c r="DV23" s="6">
        <v>71</v>
      </c>
      <c r="DW23" s="6">
        <v>30</v>
      </c>
      <c r="DX23" s="6">
        <v>27</v>
      </c>
      <c r="DY23" s="6">
        <v>27</v>
      </c>
      <c r="DZ23" s="6">
        <v>36</v>
      </c>
      <c r="EA23" s="6">
        <v>70</v>
      </c>
      <c r="EB23" s="6">
        <v>28</v>
      </c>
      <c r="EC23" s="6">
        <v>55</v>
      </c>
      <c r="ED23" s="6">
        <v>43</v>
      </c>
      <c r="EE23" s="6">
        <v>68</v>
      </c>
      <c r="EF23" s="6">
        <v>62</v>
      </c>
      <c r="EG23" s="6">
        <v>43</v>
      </c>
      <c r="EH23" s="6">
        <v>75</v>
      </c>
      <c r="EI23" s="6">
        <v>35</v>
      </c>
      <c r="EJ23" s="6">
        <v>85</v>
      </c>
      <c r="EK23" s="6">
        <v>37</v>
      </c>
      <c r="EL23" s="6">
        <v>79</v>
      </c>
      <c r="EM23" s="6">
        <v>75</v>
      </c>
      <c r="EN23" s="6">
        <v>49</v>
      </c>
      <c r="EO23" s="6">
        <v>40</v>
      </c>
      <c r="EP23" s="6">
        <v>43</v>
      </c>
      <c r="EQ23" s="6">
        <v>65</v>
      </c>
      <c r="ER23" s="6">
        <v>40</v>
      </c>
      <c r="ES23" s="6">
        <v>77</v>
      </c>
      <c r="ET23" s="6">
        <v>59</v>
      </c>
      <c r="EX23" s="7">
        <v>19</v>
      </c>
      <c r="EY23" s="6">
        <v>41</v>
      </c>
      <c r="EZ23" s="6">
        <v>56</v>
      </c>
      <c r="FA23" s="6">
        <v>74</v>
      </c>
      <c r="FB23" s="6">
        <v>29</v>
      </c>
      <c r="FC23" s="6">
        <v>31</v>
      </c>
      <c r="FD23" s="6">
        <v>26</v>
      </c>
      <c r="FE23" s="6">
        <v>36</v>
      </c>
      <c r="FF23" s="6">
        <v>59</v>
      </c>
      <c r="FG23" s="6">
        <v>23</v>
      </c>
      <c r="FH23" s="6">
        <v>53</v>
      </c>
      <c r="FI23" s="6">
        <v>40</v>
      </c>
      <c r="FJ23" s="6">
        <v>65</v>
      </c>
      <c r="FK23" s="6">
        <v>62</v>
      </c>
      <c r="FL23" s="6">
        <v>43</v>
      </c>
      <c r="FM23" s="6">
        <v>65</v>
      </c>
      <c r="FN23" s="6">
        <v>37</v>
      </c>
      <c r="FO23" s="6">
        <v>80</v>
      </c>
      <c r="FP23" s="6">
        <v>37</v>
      </c>
      <c r="FQ23" s="6">
        <v>81</v>
      </c>
      <c r="FR23" s="6">
        <v>79</v>
      </c>
      <c r="FS23" s="6">
        <v>47</v>
      </c>
      <c r="FT23" s="6">
        <v>41</v>
      </c>
      <c r="FU23" s="6">
        <v>40</v>
      </c>
      <c r="FV23" s="6">
        <v>57</v>
      </c>
      <c r="FW23" s="6">
        <v>43</v>
      </c>
      <c r="FX23" s="6">
        <v>79</v>
      </c>
      <c r="FY23" s="6">
        <v>62</v>
      </c>
      <c r="GC23" s="7">
        <v>19</v>
      </c>
      <c r="GD23" s="6">
        <v>47</v>
      </c>
      <c r="GE23" s="6">
        <v>38</v>
      </c>
      <c r="GF23" s="6">
        <v>65</v>
      </c>
      <c r="GG23" s="6">
        <v>24</v>
      </c>
      <c r="GH23" s="6">
        <v>31</v>
      </c>
      <c r="GI23" s="6">
        <v>31</v>
      </c>
      <c r="GJ23" s="6">
        <v>42</v>
      </c>
      <c r="GK23" s="6">
        <v>73</v>
      </c>
      <c r="GL23" s="6">
        <v>31</v>
      </c>
      <c r="GM23" s="6">
        <v>53</v>
      </c>
      <c r="GN23" s="6">
        <v>41</v>
      </c>
      <c r="GO23" s="6">
        <v>53</v>
      </c>
      <c r="GP23" s="6">
        <v>55</v>
      </c>
      <c r="GQ23" s="6">
        <v>35</v>
      </c>
      <c r="GR23" s="6">
        <v>55</v>
      </c>
      <c r="GS23" s="6">
        <v>31</v>
      </c>
      <c r="GT23" s="6">
        <v>79</v>
      </c>
      <c r="GU23" s="6">
        <v>44</v>
      </c>
      <c r="GV23" s="6">
        <v>81</v>
      </c>
      <c r="GW23" s="6">
        <v>68</v>
      </c>
      <c r="GX23" s="6">
        <v>44</v>
      </c>
      <c r="GY23" s="6">
        <v>40</v>
      </c>
      <c r="GZ23" s="6">
        <v>46</v>
      </c>
      <c r="HA23" s="6">
        <v>59</v>
      </c>
      <c r="HB23" s="6">
        <v>39</v>
      </c>
      <c r="HC23" s="6">
        <v>68</v>
      </c>
      <c r="HD23" s="6">
        <v>65</v>
      </c>
      <c r="HH23" s="7">
        <v>19</v>
      </c>
      <c r="HI23" s="6">
        <v>36</v>
      </c>
      <c r="HJ23" s="6">
        <v>41</v>
      </c>
      <c r="HK23" s="6">
        <v>66</v>
      </c>
      <c r="HL23" s="6">
        <v>30</v>
      </c>
      <c r="HM23" s="6">
        <v>31</v>
      </c>
      <c r="HN23" s="6">
        <v>32</v>
      </c>
      <c r="HO23" s="6">
        <v>30</v>
      </c>
      <c r="HP23" s="6">
        <v>67</v>
      </c>
      <c r="HQ23" s="6">
        <v>23</v>
      </c>
      <c r="HR23" s="6">
        <v>46</v>
      </c>
      <c r="HS23" s="6">
        <v>47</v>
      </c>
      <c r="HT23" s="6">
        <v>62</v>
      </c>
      <c r="HU23" s="6">
        <v>53</v>
      </c>
      <c r="HV23" s="6">
        <v>36</v>
      </c>
      <c r="HW23" s="6">
        <v>57</v>
      </c>
      <c r="HX23" s="6">
        <v>33</v>
      </c>
      <c r="HY23" s="6">
        <v>80</v>
      </c>
      <c r="HZ23" s="6">
        <v>41</v>
      </c>
      <c r="IA23" s="6">
        <v>72</v>
      </c>
      <c r="IB23" s="6">
        <v>65</v>
      </c>
      <c r="IC23" s="6">
        <v>40</v>
      </c>
      <c r="ID23" s="6">
        <v>44</v>
      </c>
      <c r="IE23" s="6">
        <v>44</v>
      </c>
      <c r="IF23" s="6">
        <v>57</v>
      </c>
      <c r="IG23" s="6">
        <v>38</v>
      </c>
      <c r="IH23" s="6">
        <v>77</v>
      </c>
      <c r="II23" s="6">
        <v>55</v>
      </c>
    </row>
    <row r="24" spans="2:245" x14ac:dyDescent="0.25">
      <c r="B24" s="13">
        <v>20</v>
      </c>
      <c r="C24" s="6">
        <v>43</v>
      </c>
      <c r="D24" s="6">
        <v>48</v>
      </c>
      <c r="E24" s="6">
        <v>65</v>
      </c>
      <c r="F24" s="6">
        <v>3</v>
      </c>
      <c r="G24" s="6">
        <v>13</v>
      </c>
      <c r="H24" s="6">
        <v>20</v>
      </c>
      <c r="I24" s="6">
        <v>31</v>
      </c>
      <c r="J24" s="6">
        <v>83</v>
      </c>
      <c r="K24" s="6">
        <v>2</v>
      </c>
      <c r="L24" s="6">
        <v>44</v>
      </c>
      <c r="M24" s="6">
        <v>47</v>
      </c>
      <c r="N24" s="6">
        <v>68</v>
      </c>
      <c r="O24" s="6">
        <v>70</v>
      </c>
      <c r="P24" s="6">
        <v>50</v>
      </c>
      <c r="Q24" s="6">
        <v>85</v>
      </c>
      <c r="R24" s="6">
        <v>19</v>
      </c>
      <c r="S24" s="6">
        <v>81</v>
      </c>
      <c r="T24" s="6">
        <v>36</v>
      </c>
      <c r="U24" s="6">
        <v>69</v>
      </c>
      <c r="V24" s="6">
        <v>100</v>
      </c>
      <c r="W24" s="6">
        <v>73</v>
      </c>
      <c r="X24" s="6">
        <v>72</v>
      </c>
      <c r="Y24" s="6">
        <v>43</v>
      </c>
      <c r="Z24" s="6">
        <v>64</v>
      </c>
      <c r="AA24" s="6">
        <v>15</v>
      </c>
      <c r="AB24" s="6">
        <v>63</v>
      </c>
      <c r="AC24" s="6">
        <v>72</v>
      </c>
      <c r="AG24" s="6">
        <v>41</v>
      </c>
      <c r="AH24" s="6">
        <v>47</v>
      </c>
      <c r="AI24" s="6">
        <v>60</v>
      </c>
      <c r="AJ24" s="6">
        <v>1</v>
      </c>
      <c r="AK24" s="6">
        <v>16</v>
      </c>
      <c r="AL24" s="6">
        <v>21</v>
      </c>
      <c r="AM24" s="6">
        <v>22</v>
      </c>
      <c r="AN24" s="6">
        <v>79</v>
      </c>
      <c r="AO24" s="6">
        <v>3</v>
      </c>
      <c r="AP24" s="6">
        <v>43</v>
      </c>
      <c r="AQ24" s="6">
        <v>44</v>
      </c>
      <c r="AR24" s="6">
        <v>64</v>
      </c>
      <c r="AS24" s="6">
        <v>60</v>
      </c>
      <c r="AT24" s="6">
        <v>50</v>
      </c>
      <c r="AU24" s="6">
        <v>83</v>
      </c>
      <c r="AV24" s="6">
        <v>25</v>
      </c>
      <c r="AW24" s="6">
        <v>80</v>
      </c>
      <c r="AX24" s="6">
        <v>35</v>
      </c>
      <c r="AY24" s="6">
        <v>67</v>
      </c>
      <c r="AZ24" s="6">
        <v>107</v>
      </c>
      <c r="BA24" s="6">
        <v>73</v>
      </c>
      <c r="BB24" s="6">
        <v>57</v>
      </c>
      <c r="BC24" s="6">
        <v>40</v>
      </c>
      <c r="BD24" s="6">
        <v>62</v>
      </c>
      <c r="BE24" s="6">
        <v>16</v>
      </c>
      <c r="BF24" s="6">
        <v>57</v>
      </c>
      <c r="BG24" s="6">
        <v>72</v>
      </c>
      <c r="BK24" s="6">
        <v>33</v>
      </c>
      <c r="BL24" s="6">
        <v>34</v>
      </c>
      <c r="BM24" s="6">
        <v>50</v>
      </c>
      <c r="BN24" s="6">
        <v>1</v>
      </c>
      <c r="BO24" s="6">
        <v>30</v>
      </c>
      <c r="BP24" s="6">
        <v>40</v>
      </c>
      <c r="BQ24" s="6">
        <v>45</v>
      </c>
      <c r="BR24" s="6">
        <v>79</v>
      </c>
      <c r="BS24" s="6">
        <v>5</v>
      </c>
      <c r="BT24" s="6">
        <v>43</v>
      </c>
      <c r="BU24" s="6">
        <v>40</v>
      </c>
      <c r="BV24" s="6">
        <v>57</v>
      </c>
      <c r="BW24" s="6">
        <v>56</v>
      </c>
      <c r="BX24" s="6">
        <v>39</v>
      </c>
      <c r="BY24" s="6">
        <v>58</v>
      </c>
      <c r="BZ24" s="6">
        <v>7</v>
      </c>
      <c r="CA24" s="6">
        <v>73</v>
      </c>
      <c r="CB24" s="6">
        <v>59</v>
      </c>
      <c r="CC24" s="6">
        <v>63</v>
      </c>
      <c r="CD24" s="6">
        <v>77</v>
      </c>
      <c r="CE24" s="6">
        <v>56</v>
      </c>
      <c r="CF24" s="6">
        <v>72</v>
      </c>
      <c r="CG24" s="6">
        <v>63</v>
      </c>
      <c r="CH24" s="6">
        <v>69</v>
      </c>
      <c r="CI24" s="6">
        <v>4</v>
      </c>
      <c r="CJ24" s="6">
        <v>43</v>
      </c>
      <c r="CK24" s="6">
        <v>62</v>
      </c>
      <c r="CO24" s="6">
        <v>28</v>
      </c>
      <c r="CP24" s="6">
        <v>31</v>
      </c>
      <c r="CQ24" s="6">
        <v>46</v>
      </c>
      <c r="CR24" s="6">
        <v>1</v>
      </c>
      <c r="CS24" s="6">
        <v>34</v>
      </c>
      <c r="CT24" s="6">
        <v>47</v>
      </c>
      <c r="CU24" s="6">
        <v>45</v>
      </c>
      <c r="CV24" s="6">
        <v>89</v>
      </c>
      <c r="CW24" s="6">
        <v>4</v>
      </c>
      <c r="CX24" s="6">
        <v>38</v>
      </c>
      <c r="CY24" s="6">
        <v>30</v>
      </c>
      <c r="CZ24" s="6">
        <v>48</v>
      </c>
      <c r="DA24" s="6">
        <v>50</v>
      </c>
      <c r="DB24" s="6">
        <v>29</v>
      </c>
      <c r="DC24" s="6">
        <v>57</v>
      </c>
      <c r="DD24" s="6">
        <v>11</v>
      </c>
      <c r="DE24" s="6">
        <v>73</v>
      </c>
      <c r="DF24" s="6">
        <v>64</v>
      </c>
      <c r="DG24" s="6">
        <v>56</v>
      </c>
      <c r="DH24" s="6">
        <v>75</v>
      </c>
      <c r="DI24" s="6">
        <v>52</v>
      </c>
      <c r="DJ24" s="6">
        <v>66</v>
      </c>
      <c r="DK24" s="6">
        <v>68</v>
      </c>
      <c r="DL24" s="6">
        <v>66</v>
      </c>
      <c r="DM24" s="6">
        <v>5</v>
      </c>
      <c r="DN24" s="6">
        <v>39</v>
      </c>
      <c r="DO24" s="6">
        <v>56</v>
      </c>
      <c r="DS24" s="12">
        <v>20</v>
      </c>
      <c r="DT24" s="6">
        <v>55</v>
      </c>
      <c r="DU24" s="6">
        <v>52</v>
      </c>
      <c r="DV24" s="6">
        <v>73</v>
      </c>
      <c r="DW24" s="6">
        <v>30</v>
      </c>
      <c r="DX24" s="6">
        <v>27</v>
      </c>
      <c r="DY24" s="6">
        <v>27</v>
      </c>
      <c r="DZ24" s="6">
        <v>36</v>
      </c>
      <c r="EA24" s="6">
        <v>71</v>
      </c>
      <c r="EB24" s="6">
        <v>28</v>
      </c>
      <c r="EC24" s="6">
        <v>60</v>
      </c>
      <c r="ED24" s="6">
        <v>43</v>
      </c>
      <c r="EE24" s="6">
        <v>72</v>
      </c>
      <c r="EF24" s="6">
        <v>65</v>
      </c>
      <c r="EG24" s="6">
        <v>45</v>
      </c>
      <c r="EH24" s="6">
        <v>80</v>
      </c>
      <c r="EI24" s="6">
        <v>37</v>
      </c>
      <c r="EJ24" s="6">
        <v>87</v>
      </c>
      <c r="EK24" s="6">
        <v>39</v>
      </c>
      <c r="EL24" s="6">
        <v>81</v>
      </c>
      <c r="EM24" s="6">
        <v>78</v>
      </c>
      <c r="EN24" s="6">
        <v>51</v>
      </c>
      <c r="EO24" s="6">
        <v>42</v>
      </c>
      <c r="EP24" s="6">
        <v>45</v>
      </c>
      <c r="EQ24" s="6">
        <v>69</v>
      </c>
      <c r="ER24" s="6">
        <v>42</v>
      </c>
      <c r="ES24" s="6">
        <v>79</v>
      </c>
      <c r="ET24" s="6">
        <v>63</v>
      </c>
      <c r="EX24" s="7">
        <v>20</v>
      </c>
      <c r="EY24" s="6">
        <v>47</v>
      </c>
      <c r="EZ24" s="6">
        <v>56</v>
      </c>
      <c r="FA24" s="6">
        <v>75</v>
      </c>
      <c r="FB24" s="6">
        <v>29</v>
      </c>
      <c r="FC24" s="6">
        <v>35</v>
      </c>
      <c r="FD24" s="6">
        <v>28</v>
      </c>
      <c r="FE24" s="6">
        <v>36</v>
      </c>
      <c r="FF24" s="6">
        <v>59</v>
      </c>
      <c r="FG24" s="6">
        <v>24</v>
      </c>
      <c r="FH24" s="6">
        <v>53</v>
      </c>
      <c r="FI24" s="6">
        <v>43</v>
      </c>
      <c r="FJ24" s="6">
        <v>69</v>
      </c>
      <c r="FK24" s="6">
        <v>65</v>
      </c>
      <c r="FL24" s="6">
        <v>45</v>
      </c>
      <c r="FM24" s="6">
        <v>69</v>
      </c>
      <c r="FN24" s="6">
        <v>39</v>
      </c>
      <c r="FO24" s="6">
        <v>81</v>
      </c>
      <c r="FP24" s="6">
        <v>39</v>
      </c>
      <c r="FQ24" s="6">
        <v>85</v>
      </c>
      <c r="FR24" s="6">
        <v>80</v>
      </c>
      <c r="FS24" s="6">
        <v>50</v>
      </c>
      <c r="FT24" s="6">
        <v>44</v>
      </c>
      <c r="FU24" s="6">
        <v>42</v>
      </c>
      <c r="FV24" s="6">
        <v>60</v>
      </c>
      <c r="FW24" s="6">
        <v>45</v>
      </c>
      <c r="FX24" s="6">
        <v>80</v>
      </c>
      <c r="FY24" s="6">
        <v>65</v>
      </c>
      <c r="GC24" s="7">
        <v>20</v>
      </c>
      <c r="GD24" s="6">
        <v>49</v>
      </c>
      <c r="GE24" s="6">
        <v>38</v>
      </c>
      <c r="GF24" s="6">
        <v>67</v>
      </c>
      <c r="GG24" s="6">
        <v>25</v>
      </c>
      <c r="GH24" s="6">
        <v>39</v>
      </c>
      <c r="GI24" s="6">
        <v>31</v>
      </c>
      <c r="GJ24" s="6">
        <v>48</v>
      </c>
      <c r="GK24" s="6">
        <v>75</v>
      </c>
      <c r="GL24" s="6">
        <v>31</v>
      </c>
      <c r="GM24" s="6">
        <v>54</v>
      </c>
      <c r="GN24" s="6">
        <v>45</v>
      </c>
      <c r="GO24" s="6">
        <v>55</v>
      </c>
      <c r="GP24" s="6">
        <v>58</v>
      </c>
      <c r="GQ24" s="6">
        <v>37</v>
      </c>
      <c r="GR24" s="6">
        <v>58</v>
      </c>
      <c r="GS24" s="6">
        <v>33</v>
      </c>
      <c r="GT24" s="6">
        <v>79</v>
      </c>
      <c r="GU24" s="6">
        <v>46</v>
      </c>
      <c r="GV24" s="6">
        <v>85</v>
      </c>
      <c r="GW24" s="6">
        <v>72</v>
      </c>
      <c r="GX24" s="6">
        <v>46</v>
      </c>
      <c r="GY24" s="6">
        <v>42</v>
      </c>
      <c r="GZ24" s="6">
        <v>48</v>
      </c>
      <c r="HA24" s="6">
        <v>63</v>
      </c>
      <c r="HB24" s="6">
        <v>41</v>
      </c>
      <c r="HC24" s="6">
        <v>72</v>
      </c>
      <c r="HD24" s="6">
        <v>69</v>
      </c>
      <c r="HH24" s="7">
        <v>20</v>
      </c>
      <c r="HI24" s="6">
        <v>41</v>
      </c>
      <c r="HJ24" s="6">
        <v>41</v>
      </c>
      <c r="HK24" s="6">
        <v>66</v>
      </c>
      <c r="HL24" s="6">
        <v>30</v>
      </c>
      <c r="HM24" s="6">
        <v>31</v>
      </c>
      <c r="HN24" s="6">
        <v>33</v>
      </c>
      <c r="HO24" s="6">
        <v>35</v>
      </c>
      <c r="HP24" s="6">
        <v>75</v>
      </c>
      <c r="HQ24" s="6">
        <v>23</v>
      </c>
      <c r="HR24" s="6">
        <v>51</v>
      </c>
      <c r="HS24" s="6">
        <v>47</v>
      </c>
      <c r="HT24" s="6">
        <v>65</v>
      </c>
      <c r="HU24" s="6">
        <v>55</v>
      </c>
      <c r="HV24" s="6">
        <v>38</v>
      </c>
      <c r="HW24" s="6">
        <v>60</v>
      </c>
      <c r="HX24" s="6">
        <v>35</v>
      </c>
      <c r="HY24" s="6">
        <v>80</v>
      </c>
      <c r="HZ24" s="6">
        <v>44</v>
      </c>
      <c r="IA24" s="6">
        <v>75</v>
      </c>
      <c r="IB24" s="6">
        <v>69</v>
      </c>
      <c r="IC24" s="6">
        <v>42</v>
      </c>
      <c r="ID24" s="6">
        <v>46</v>
      </c>
      <c r="IE24" s="6">
        <v>46</v>
      </c>
      <c r="IF24" s="6">
        <v>60</v>
      </c>
      <c r="IG24" s="6">
        <v>40</v>
      </c>
      <c r="IH24" s="6">
        <v>79</v>
      </c>
      <c r="II24" s="6">
        <v>58</v>
      </c>
    </row>
    <row r="25" spans="2:245" x14ac:dyDescent="0.25">
      <c r="B25" s="13">
        <v>21</v>
      </c>
      <c r="C25" s="6">
        <v>44</v>
      </c>
      <c r="D25" s="6">
        <v>49</v>
      </c>
      <c r="E25" s="6">
        <v>66</v>
      </c>
      <c r="F25" s="6">
        <v>4</v>
      </c>
      <c r="G25" s="6">
        <v>15</v>
      </c>
      <c r="H25" s="6">
        <v>21</v>
      </c>
      <c r="I25" s="6">
        <v>34</v>
      </c>
      <c r="J25" s="6">
        <v>85</v>
      </c>
      <c r="K25" s="6">
        <v>3</v>
      </c>
      <c r="L25" s="6">
        <v>46</v>
      </c>
      <c r="M25" s="6">
        <v>48</v>
      </c>
      <c r="N25" s="6">
        <v>69</v>
      </c>
      <c r="O25" s="6">
        <v>71</v>
      </c>
      <c r="P25" s="6">
        <v>51</v>
      </c>
      <c r="Q25" s="6">
        <v>92</v>
      </c>
      <c r="R25" s="6">
        <v>20</v>
      </c>
      <c r="S25" s="6">
        <v>82</v>
      </c>
      <c r="T25" s="6">
        <v>40</v>
      </c>
      <c r="U25" s="6">
        <v>72</v>
      </c>
      <c r="V25" s="6">
        <v>102</v>
      </c>
      <c r="W25" s="6">
        <v>74</v>
      </c>
      <c r="X25" s="6">
        <v>73</v>
      </c>
      <c r="Y25" s="6">
        <v>45</v>
      </c>
      <c r="Z25" s="6">
        <v>67</v>
      </c>
      <c r="AA25" s="6">
        <v>17</v>
      </c>
      <c r="AB25" s="6">
        <v>65</v>
      </c>
      <c r="AC25" s="6">
        <v>73</v>
      </c>
      <c r="AG25" s="6">
        <v>43</v>
      </c>
      <c r="AH25" s="6">
        <v>48</v>
      </c>
      <c r="AI25" s="6">
        <v>62</v>
      </c>
      <c r="AJ25" s="6">
        <v>1</v>
      </c>
      <c r="AK25" s="6">
        <v>16</v>
      </c>
      <c r="AL25" s="6">
        <v>22</v>
      </c>
      <c r="AM25" s="6">
        <v>24</v>
      </c>
      <c r="AN25" s="6">
        <v>85</v>
      </c>
      <c r="AO25" s="6">
        <v>3</v>
      </c>
      <c r="AP25" s="6">
        <v>44</v>
      </c>
      <c r="AQ25" s="6">
        <v>46</v>
      </c>
      <c r="AR25" s="6">
        <v>67</v>
      </c>
      <c r="AS25" s="6">
        <v>62</v>
      </c>
      <c r="AT25" s="6">
        <v>51</v>
      </c>
      <c r="AU25" s="6">
        <v>85</v>
      </c>
      <c r="AV25" s="6">
        <v>28</v>
      </c>
      <c r="AW25" s="6">
        <v>82</v>
      </c>
      <c r="AX25" s="6">
        <v>40</v>
      </c>
      <c r="AY25" s="6">
        <v>69</v>
      </c>
      <c r="AZ25" s="6">
        <v>107</v>
      </c>
      <c r="BA25" s="6">
        <v>74</v>
      </c>
      <c r="BB25" s="6">
        <v>60</v>
      </c>
      <c r="BC25" s="6">
        <v>42</v>
      </c>
      <c r="BD25" s="6">
        <v>65</v>
      </c>
      <c r="BE25" s="6">
        <v>20</v>
      </c>
      <c r="BF25" s="6">
        <v>59</v>
      </c>
      <c r="BG25" s="6">
        <v>73</v>
      </c>
      <c r="BK25" s="6">
        <v>37</v>
      </c>
      <c r="BL25" s="6">
        <v>37</v>
      </c>
      <c r="BM25" s="6">
        <v>52</v>
      </c>
      <c r="BN25" s="6">
        <v>2</v>
      </c>
      <c r="BO25" s="6">
        <v>32</v>
      </c>
      <c r="BP25" s="6">
        <v>42</v>
      </c>
      <c r="BQ25" s="6">
        <v>46</v>
      </c>
      <c r="BR25" s="6">
        <v>80</v>
      </c>
      <c r="BS25" s="6">
        <v>6</v>
      </c>
      <c r="BT25" s="6">
        <v>44</v>
      </c>
      <c r="BU25" s="6">
        <v>41</v>
      </c>
      <c r="BV25" s="6">
        <v>58</v>
      </c>
      <c r="BW25" s="6">
        <v>59</v>
      </c>
      <c r="BX25" s="6">
        <v>40</v>
      </c>
      <c r="BY25" s="6">
        <v>60</v>
      </c>
      <c r="BZ25" s="6">
        <v>8</v>
      </c>
      <c r="CA25" s="6">
        <v>75</v>
      </c>
      <c r="CB25" s="6">
        <v>62</v>
      </c>
      <c r="CC25" s="6">
        <v>65</v>
      </c>
      <c r="CD25" s="6">
        <v>80</v>
      </c>
      <c r="CE25" s="6">
        <v>57</v>
      </c>
      <c r="CF25" s="6">
        <v>74</v>
      </c>
      <c r="CG25" s="6">
        <v>65</v>
      </c>
      <c r="CH25" s="6">
        <v>71</v>
      </c>
      <c r="CI25" s="6">
        <v>6</v>
      </c>
      <c r="CJ25" s="6">
        <v>45</v>
      </c>
      <c r="CK25" s="6">
        <v>63</v>
      </c>
      <c r="CO25" s="6">
        <v>29</v>
      </c>
      <c r="CP25" s="6">
        <v>33</v>
      </c>
      <c r="CQ25" s="6">
        <v>47</v>
      </c>
      <c r="CR25" s="6">
        <v>1</v>
      </c>
      <c r="CS25" s="6">
        <v>37</v>
      </c>
      <c r="CT25" s="6">
        <v>48</v>
      </c>
      <c r="CU25" s="6">
        <v>46</v>
      </c>
      <c r="CV25" s="6">
        <v>97</v>
      </c>
      <c r="CW25" s="6">
        <v>5</v>
      </c>
      <c r="CX25" s="6">
        <v>40</v>
      </c>
      <c r="CY25" s="6">
        <v>32</v>
      </c>
      <c r="CZ25" s="6">
        <v>50</v>
      </c>
      <c r="DA25" s="6">
        <v>53</v>
      </c>
      <c r="DB25" s="6">
        <v>30</v>
      </c>
      <c r="DC25" s="6">
        <v>60</v>
      </c>
      <c r="DD25" s="6">
        <v>16</v>
      </c>
      <c r="DE25" s="6">
        <v>74</v>
      </c>
      <c r="DF25" s="6">
        <v>67</v>
      </c>
      <c r="DG25" s="6">
        <v>60</v>
      </c>
      <c r="DH25" s="6">
        <v>79</v>
      </c>
      <c r="DI25" s="6">
        <v>53</v>
      </c>
      <c r="DJ25" s="6">
        <v>67</v>
      </c>
      <c r="DK25" s="6">
        <v>70</v>
      </c>
      <c r="DL25" s="6">
        <v>69</v>
      </c>
      <c r="DM25" s="6">
        <v>7</v>
      </c>
      <c r="DN25" s="6">
        <v>40</v>
      </c>
      <c r="DO25" s="6">
        <v>57</v>
      </c>
      <c r="DS25" s="12">
        <v>21</v>
      </c>
      <c r="DT25" s="6">
        <v>55</v>
      </c>
      <c r="DU25" s="6">
        <v>52</v>
      </c>
      <c r="DV25" s="6">
        <v>73</v>
      </c>
      <c r="DW25" s="6">
        <v>31</v>
      </c>
      <c r="DX25" s="6">
        <v>27</v>
      </c>
      <c r="DY25" s="6">
        <v>27</v>
      </c>
      <c r="DZ25" s="6">
        <v>42</v>
      </c>
      <c r="EA25" s="6">
        <v>72</v>
      </c>
      <c r="EB25" s="6">
        <v>30</v>
      </c>
      <c r="EC25" s="6">
        <v>62</v>
      </c>
      <c r="ED25" s="6">
        <v>43</v>
      </c>
      <c r="EE25" s="6">
        <v>75</v>
      </c>
      <c r="EF25" s="6">
        <v>69</v>
      </c>
      <c r="EG25" s="6">
        <v>47</v>
      </c>
      <c r="EH25" s="6">
        <v>85</v>
      </c>
      <c r="EI25" s="6">
        <v>39</v>
      </c>
      <c r="EJ25" s="6">
        <v>90</v>
      </c>
      <c r="EK25" s="6">
        <v>41</v>
      </c>
      <c r="EL25" s="6">
        <v>83</v>
      </c>
      <c r="EM25" s="6">
        <v>81</v>
      </c>
      <c r="EN25" s="6">
        <v>54</v>
      </c>
      <c r="EO25" s="6">
        <v>44</v>
      </c>
      <c r="EP25" s="6">
        <v>47</v>
      </c>
      <c r="EQ25" s="6">
        <v>72</v>
      </c>
      <c r="ER25" s="6">
        <v>44</v>
      </c>
      <c r="ES25" s="6">
        <v>82</v>
      </c>
      <c r="ET25" s="6">
        <v>66</v>
      </c>
      <c r="EX25" s="7">
        <v>21</v>
      </c>
      <c r="EY25" s="6">
        <v>47</v>
      </c>
      <c r="EZ25" s="6">
        <v>58</v>
      </c>
      <c r="FA25" s="6">
        <v>79</v>
      </c>
      <c r="FB25" s="6">
        <v>29</v>
      </c>
      <c r="FC25" s="6">
        <v>35</v>
      </c>
      <c r="FD25" s="6">
        <v>28</v>
      </c>
      <c r="FE25" s="6">
        <v>38</v>
      </c>
      <c r="FF25" s="6">
        <v>63</v>
      </c>
      <c r="FG25" s="6">
        <v>24</v>
      </c>
      <c r="FH25" s="6">
        <v>53</v>
      </c>
      <c r="FI25" s="6">
        <v>43</v>
      </c>
      <c r="FJ25" s="6">
        <v>72</v>
      </c>
      <c r="FK25" s="6">
        <v>69</v>
      </c>
      <c r="FL25" s="6">
        <v>47</v>
      </c>
      <c r="FM25" s="6">
        <v>72</v>
      </c>
      <c r="FN25" s="6">
        <v>41</v>
      </c>
      <c r="FO25" s="6">
        <v>82</v>
      </c>
      <c r="FP25" s="6">
        <v>41</v>
      </c>
      <c r="FQ25" s="6">
        <v>86</v>
      </c>
      <c r="FR25" s="6">
        <v>82</v>
      </c>
      <c r="FS25" s="6">
        <v>52</v>
      </c>
      <c r="FT25" s="6">
        <v>46</v>
      </c>
      <c r="FU25" s="6">
        <v>44</v>
      </c>
      <c r="FV25" s="6">
        <v>63</v>
      </c>
      <c r="FW25" s="6">
        <v>47</v>
      </c>
      <c r="FX25" s="6">
        <v>81</v>
      </c>
      <c r="FY25" s="6">
        <v>96</v>
      </c>
      <c r="GC25" s="7">
        <v>21</v>
      </c>
      <c r="GD25" s="6">
        <v>50</v>
      </c>
      <c r="GE25" s="6">
        <v>44</v>
      </c>
      <c r="GF25" s="6">
        <v>71</v>
      </c>
      <c r="GG25" s="6">
        <v>27</v>
      </c>
      <c r="GH25" s="6">
        <v>46</v>
      </c>
      <c r="GI25" s="6">
        <v>31</v>
      </c>
      <c r="GJ25" s="6">
        <v>56</v>
      </c>
      <c r="GK25" s="6">
        <v>76</v>
      </c>
      <c r="GL25" s="6">
        <v>32</v>
      </c>
      <c r="GM25" s="6">
        <v>54</v>
      </c>
      <c r="GN25" s="6">
        <v>45</v>
      </c>
      <c r="GO25" s="6">
        <v>58</v>
      </c>
      <c r="GP25" s="6">
        <v>60</v>
      </c>
      <c r="GQ25" s="6">
        <v>38</v>
      </c>
      <c r="GR25" s="6">
        <v>60</v>
      </c>
      <c r="GS25" s="6">
        <v>34</v>
      </c>
      <c r="GT25" s="6">
        <v>80</v>
      </c>
      <c r="GU25" s="6">
        <v>49</v>
      </c>
      <c r="GV25" s="6">
        <v>86</v>
      </c>
      <c r="GW25" s="6">
        <v>75</v>
      </c>
      <c r="GX25" s="6">
        <v>49</v>
      </c>
      <c r="GY25" s="6">
        <v>44</v>
      </c>
      <c r="GZ25" s="6">
        <v>50</v>
      </c>
      <c r="HA25" s="6">
        <v>66</v>
      </c>
      <c r="HB25" s="6">
        <v>43</v>
      </c>
      <c r="HC25" s="6">
        <v>75</v>
      </c>
      <c r="HD25" s="6">
        <v>72</v>
      </c>
      <c r="HH25" s="7">
        <v>21</v>
      </c>
      <c r="HI25" s="6">
        <v>42</v>
      </c>
      <c r="HJ25" s="6">
        <v>47</v>
      </c>
      <c r="HK25" s="6">
        <v>66</v>
      </c>
      <c r="HL25" s="6">
        <v>31</v>
      </c>
      <c r="HM25" s="6">
        <v>34</v>
      </c>
      <c r="HN25" s="6">
        <v>35</v>
      </c>
      <c r="HO25" s="6">
        <v>37</v>
      </c>
      <c r="HP25" s="6">
        <v>77</v>
      </c>
      <c r="HQ25" s="6">
        <v>25</v>
      </c>
      <c r="HR25" s="6">
        <v>51</v>
      </c>
      <c r="HS25" s="6">
        <v>52</v>
      </c>
      <c r="HT25" s="6">
        <v>69</v>
      </c>
      <c r="HU25" s="6">
        <v>58</v>
      </c>
      <c r="HV25" s="6">
        <v>40</v>
      </c>
      <c r="HW25" s="6">
        <v>63</v>
      </c>
      <c r="HX25" s="6">
        <v>37</v>
      </c>
      <c r="HY25" s="6">
        <v>81</v>
      </c>
      <c r="HZ25" s="6">
        <v>46</v>
      </c>
      <c r="IA25" s="6">
        <v>85</v>
      </c>
      <c r="IB25" s="6">
        <v>72</v>
      </c>
      <c r="IC25" s="6">
        <v>44</v>
      </c>
      <c r="ID25" s="6">
        <v>49</v>
      </c>
      <c r="IE25" s="6">
        <v>49</v>
      </c>
      <c r="IF25" s="6">
        <v>63</v>
      </c>
      <c r="IG25" s="6">
        <v>42</v>
      </c>
      <c r="IH25" s="6">
        <v>80</v>
      </c>
      <c r="II25" s="6">
        <v>60</v>
      </c>
    </row>
    <row r="26" spans="2:245" x14ac:dyDescent="0.25">
      <c r="B26" s="13">
        <v>22</v>
      </c>
      <c r="C26" s="6">
        <v>46</v>
      </c>
      <c r="D26" s="6">
        <v>50</v>
      </c>
      <c r="E26" s="6">
        <v>68</v>
      </c>
      <c r="F26" s="6">
        <v>5</v>
      </c>
      <c r="G26" s="6">
        <v>17</v>
      </c>
      <c r="H26" s="6">
        <v>22</v>
      </c>
      <c r="I26" s="6">
        <v>37</v>
      </c>
      <c r="J26" s="6">
        <v>89</v>
      </c>
      <c r="K26" s="6">
        <v>5</v>
      </c>
      <c r="L26" s="6">
        <v>47</v>
      </c>
      <c r="M26" s="6">
        <v>49</v>
      </c>
      <c r="N26" s="6">
        <v>70</v>
      </c>
      <c r="O26" s="6">
        <v>72</v>
      </c>
      <c r="P26" s="6">
        <v>52</v>
      </c>
      <c r="Q26" s="6">
        <v>103</v>
      </c>
      <c r="R26" s="6">
        <v>22</v>
      </c>
      <c r="S26" s="6">
        <v>85</v>
      </c>
      <c r="T26" s="6">
        <v>43</v>
      </c>
      <c r="U26" s="6">
        <v>75</v>
      </c>
      <c r="V26" s="6">
        <v>102</v>
      </c>
      <c r="W26" s="6">
        <v>75</v>
      </c>
      <c r="X26" s="6">
        <v>74</v>
      </c>
      <c r="Y26" s="6">
        <v>48</v>
      </c>
      <c r="Z26" s="6">
        <v>70</v>
      </c>
      <c r="AA26" s="6">
        <v>20</v>
      </c>
      <c r="AB26" s="6">
        <v>67</v>
      </c>
      <c r="AC26" s="6">
        <v>74</v>
      </c>
      <c r="AG26" s="6">
        <v>45</v>
      </c>
      <c r="AH26" s="6">
        <v>49</v>
      </c>
      <c r="AI26" s="6">
        <v>62</v>
      </c>
      <c r="AJ26" s="6">
        <v>3</v>
      </c>
      <c r="AK26" s="6">
        <v>18</v>
      </c>
      <c r="AL26" s="6">
        <v>24</v>
      </c>
      <c r="AM26" s="6">
        <v>25</v>
      </c>
      <c r="AN26" s="6">
        <v>87</v>
      </c>
      <c r="AO26" s="6">
        <v>3</v>
      </c>
      <c r="AP26" s="6">
        <v>46</v>
      </c>
      <c r="AQ26" s="6">
        <v>46</v>
      </c>
      <c r="AR26" s="6">
        <v>70</v>
      </c>
      <c r="AS26" s="6">
        <v>64</v>
      </c>
      <c r="AT26" s="6">
        <v>52</v>
      </c>
      <c r="AU26" s="6">
        <v>87</v>
      </c>
      <c r="AV26" s="6">
        <v>32</v>
      </c>
      <c r="AW26" s="6">
        <v>85</v>
      </c>
      <c r="AX26" s="6">
        <v>41</v>
      </c>
      <c r="AY26" s="6">
        <v>72</v>
      </c>
      <c r="AZ26" s="6">
        <v>112</v>
      </c>
      <c r="BA26" s="6">
        <v>74</v>
      </c>
      <c r="BB26" s="6">
        <v>61</v>
      </c>
      <c r="BC26" s="6">
        <v>45</v>
      </c>
      <c r="BD26" s="6">
        <v>69</v>
      </c>
      <c r="BE26" s="6">
        <v>25</v>
      </c>
      <c r="BF26" s="6">
        <v>61</v>
      </c>
      <c r="BG26" s="6">
        <v>74</v>
      </c>
      <c r="BK26" s="6">
        <v>40</v>
      </c>
      <c r="BL26" s="6">
        <v>40</v>
      </c>
      <c r="BM26" s="6">
        <v>53</v>
      </c>
      <c r="BN26" s="6">
        <v>2</v>
      </c>
      <c r="BO26" s="6">
        <v>34</v>
      </c>
      <c r="BP26" s="6">
        <v>44</v>
      </c>
      <c r="BQ26" s="6">
        <v>47</v>
      </c>
      <c r="BR26" s="6">
        <v>82</v>
      </c>
      <c r="BS26" s="6">
        <v>6</v>
      </c>
      <c r="BT26" s="6">
        <v>45</v>
      </c>
      <c r="BU26" s="6">
        <v>42</v>
      </c>
      <c r="BV26" s="6">
        <v>61</v>
      </c>
      <c r="BW26" s="6">
        <v>62</v>
      </c>
      <c r="BX26" s="6">
        <v>41</v>
      </c>
      <c r="BY26" s="6">
        <v>63</v>
      </c>
      <c r="BZ26" s="6">
        <v>9</v>
      </c>
      <c r="CA26" s="6">
        <v>79</v>
      </c>
      <c r="CB26" s="6">
        <v>64</v>
      </c>
      <c r="CC26" s="6">
        <v>67</v>
      </c>
      <c r="CD26" s="6">
        <v>82</v>
      </c>
      <c r="CE26" s="6">
        <v>58</v>
      </c>
      <c r="CF26" s="6">
        <v>75</v>
      </c>
      <c r="CG26" s="6">
        <v>68</v>
      </c>
      <c r="CH26" s="6">
        <v>73</v>
      </c>
      <c r="CI26" s="6">
        <v>7</v>
      </c>
      <c r="CJ26" s="6">
        <v>47</v>
      </c>
      <c r="CK26" s="6">
        <v>64</v>
      </c>
      <c r="CO26" s="6">
        <v>32</v>
      </c>
      <c r="CP26" s="6">
        <v>36</v>
      </c>
      <c r="CQ26" s="6">
        <v>48</v>
      </c>
      <c r="CR26" s="6">
        <v>1</v>
      </c>
      <c r="CS26" s="6">
        <v>40</v>
      </c>
      <c r="CT26" s="6">
        <v>49</v>
      </c>
      <c r="CU26" s="6">
        <v>47</v>
      </c>
      <c r="CV26" s="6">
        <v>99</v>
      </c>
      <c r="CW26" s="6">
        <v>5</v>
      </c>
      <c r="CX26" s="6">
        <v>41</v>
      </c>
      <c r="CY26" s="6">
        <v>33</v>
      </c>
      <c r="CZ26" s="6">
        <v>53</v>
      </c>
      <c r="DA26" s="6">
        <v>55</v>
      </c>
      <c r="DB26" s="6">
        <v>31</v>
      </c>
      <c r="DC26" s="6">
        <v>61</v>
      </c>
      <c r="DD26" s="6">
        <v>20</v>
      </c>
      <c r="DE26" s="6">
        <v>75</v>
      </c>
      <c r="DF26" s="6">
        <v>68</v>
      </c>
      <c r="DG26" s="6">
        <v>63</v>
      </c>
      <c r="DH26" s="6">
        <v>81</v>
      </c>
      <c r="DI26" s="6">
        <v>54</v>
      </c>
      <c r="DJ26" s="6">
        <v>68</v>
      </c>
      <c r="DK26" s="6">
        <v>73</v>
      </c>
      <c r="DL26" s="6">
        <v>72</v>
      </c>
      <c r="DM26" s="6">
        <v>8</v>
      </c>
      <c r="DN26" s="6">
        <v>41</v>
      </c>
      <c r="DO26" s="6">
        <v>61</v>
      </c>
      <c r="DS26" s="12">
        <v>22</v>
      </c>
      <c r="DT26" s="6">
        <v>56</v>
      </c>
      <c r="DU26" s="6">
        <v>58</v>
      </c>
      <c r="DV26" s="6">
        <v>75</v>
      </c>
      <c r="DW26" s="6">
        <v>34</v>
      </c>
      <c r="DX26" s="6">
        <v>28</v>
      </c>
      <c r="DY26" s="6">
        <v>32</v>
      </c>
      <c r="DZ26" s="6">
        <v>42</v>
      </c>
      <c r="EA26" s="6">
        <v>75</v>
      </c>
      <c r="EB26" s="6">
        <v>31</v>
      </c>
      <c r="EC26" s="6">
        <v>62</v>
      </c>
      <c r="ED26" s="6">
        <v>48</v>
      </c>
      <c r="EE26" s="6">
        <v>85</v>
      </c>
      <c r="EF26" s="6">
        <v>72</v>
      </c>
      <c r="EG26" s="6">
        <v>50</v>
      </c>
      <c r="EH26" s="6">
        <v>91</v>
      </c>
      <c r="EI26" s="6">
        <v>41</v>
      </c>
      <c r="EJ26" s="6">
        <v>93</v>
      </c>
      <c r="EK26" s="6">
        <v>43</v>
      </c>
      <c r="EL26" s="6">
        <v>85</v>
      </c>
      <c r="EM26" s="6">
        <v>85</v>
      </c>
      <c r="EN26" s="6">
        <v>57</v>
      </c>
      <c r="EO26" s="6">
        <v>47</v>
      </c>
      <c r="EP26" s="6">
        <v>50</v>
      </c>
      <c r="EQ26" s="6">
        <v>75</v>
      </c>
      <c r="ER26" s="6">
        <v>47</v>
      </c>
      <c r="ES26" s="6">
        <v>84</v>
      </c>
      <c r="ET26" s="6">
        <v>69</v>
      </c>
      <c r="EX26" s="7">
        <v>22</v>
      </c>
      <c r="EY26" s="6">
        <v>47</v>
      </c>
      <c r="EZ26" s="6">
        <v>64</v>
      </c>
      <c r="FA26" s="6">
        <v>82</v>
      </c>
      <c r="FB26" s="6">
        <v>30</v>
      </c>
      <c r="FC26" s="6">
        <v>35</v>
      </c>
      <c r="FD26" s="6">
        <v>30</v>
      </c>
      <c r="FE26" s="6">
        <v>38</v>
      </c>
      <c r="FF26" s="6">
        <v>73</v>
      </c>
      <c r="FG26" s="6">
        <v>27</v>
      </c>
      <c r="FH26" s="6">
        <v>57</v>
      </c>
      <c r="FI26" s="6">
        <v>56</v>
      </c>
      <c r="FJ26" s="6">
        <v>75</v>
      </c>
      <c r="FK26" s="6">
        <v>72</v>
      </c>
      <c r="FL26" s="6">
        <v>50</v>
      </c>
      <c r="FM26" s="6">
        <v>75</v>
      </c>
      <c r="FN26" s="6">
        <v>43</v>
      </c>
      <c r="FO26" s="6">
        <v>83</v>
      </c>
      <c r="FP26" s="6">
        <v>43</v>
      </c>
      <c r="FQ26" s="6">
        <v>87</v>
      </c>
      <c r="FR26" s="6">
        <v>83</v>
      </c>
      <c r="FS26" s="6">
        <v>55</v>
      </c>
      <c r="FT26" s="6">
        <v>48</v>
      </c>
      <c r="FU26" s="6">
        <v>47</v>
      </c>
      <c r="FV26" s="6">
        <v>66</v>
      </c>
      <c r="FW26" s="6">
        <v>50</v>
      </c>
      <c r="FX26" s="6">
        <v>82</v>
      </c>
      <c r="FY26" s="6">
        <v>72</v>
      </c>
      <c r="GC26" s="7">
        <v>22</v>
      </c>
      <c r="GD26" s="6">
        <v>54</v>
      </c>
      <c r="GE26" s="6">
        <v>49</v>
      </c>
      <c r="GF26" s="6">
        <v>72</v>
      </c>
      <c r="GG26" s="6">
        <v>27</v>
      </c>
      <c r="GH26" s="6">
        <v>46</v>
      </c>
      <c r="GI26" s="6">
        <v>34</v>
      </c>
      <c r="GJ26" s="6">
        <v>56</v>
      </c>
      <c r="GK26" s="6">
        <v>77</v>
      </c>
      <c r="GL26" s="6">
        <v>32</v>
      </c>
      <c r="GM26" s="6">
        <v>57</v>
      </c>
      <c r="GN26" s="6">
        <v>50</v>
      </c>
      <c r="GO26" s="6">
        <v>61</v>
      </c>
      <c r="GP26" s="6">
        <v>63</v>
      </c>
      <c r="GQ26" s="6">
        <v>41</v>
      </c>
      <c r="GR26" s="6">
        <v>63</v>
      </c>
      <c r="GS26" s="6">
        <v>38</v>
      </c>
      <c r="GT26" s="6">
        <v>80</v>
      </c>
      <c r="GU26" s="6">
        <v>51</v>
      </c>
      <c r="GV26" s="6">
        <v>87</v>
      </c>
      <c r="GW26" s="6">
        <v>76</v>
      </c>
      <c r="GX26" s="6">
        <v>51</v>
      </c>
      <c r="GY26" s="6">
        <v>47</v>
      </c>
      <c r="GZ26" s="6">
        <v>53</v>
      </c>
      <c r="HA26" s="6">
        <v>69</v>
      </c>
      <c r="HB26" s="6">
        <v>45</v>
      </c>
      <c r="HC26" s="6">
        <v>77</v>
      </c>
      <c r="HD26" s="6">
        <v>75</v>
      </c>
      <c r="HH26" s="7">
        <v>22</v>
      </c>
      <c r="HI26" s="6">
        <v>42</v>
      </c>
      <c r="HJ26" s="6">
        <v>49</v>
      </c>
      <c r="HK26" s="6">
        <v>69</v>
      </c>
      <c r="HL26" s="6">
        <v>31</v>
      </c>
      <c r="HM26" s="6">
        <v>37</v>
      </c>
      <c r="HN26" s="6">
        <v>36</v>
      </c>
      <c r="HO26" s="6">
        <v>37</v>
      </c>
      <c r="HP26" s="6">
        <v>80</v>
      </c>
      <c r="HQ26" s="6">
        <v>27</v>
      </c>
      <c r="HR26" s="6">
        <v>51</v>
      </c>
      <c r="HS26" s="6">
        <v>52</v>
      </c>
      <c r="HT26" s="6">
        <v>72</v>
      </c>
      <c r="HU26" s="6">
        <v>61</v>
      </c>
      <c r="HV26" s="6">
        <v>42</v>
      </c>
      <c r="HW26" s="6">
        <v>66</v>
      </c>
      <c r="HX26" s="6">
        <v>39</v>
      </c>
      <c r="HY26" s="6">
        <v>82</v>
      </c>
      <c r="HZ26" s="6">
        <v>48</v>
      </c>
      <c r="IA26" s="6">
        <v>86</v>
      </c>
      <c r="IB26" s="6">
        <v>75</v>
      </c>
      <c r="IC26" s="6">
        <v>47</v>
      </c>
      <c r="ID26" s="6">
        <v>51</v>
      </c>
      <c r="IE26" s="6">
        <v>51</v>
      </c>
      <c r="IF26" s="6">
        <v>66</v>
      </c>
      <c r="IG26" s="6">
        <v>44</v>
      </c>
      <c r="IH26" s="6">
        <v>82</v>
      </c>
      <c r="II26" s="6">
        <v>63</v>
      </c>
    </row>
    <row r="27" spans="2:245" x14ac:dyDescent="0.25">
      <c r="B27" s="13">
        <v>23</v>
      </c>
      <c r="C27" s="6">
        <v>47</v>
      </c>
      <c r="D27" s="6">
        <v>52</v>
      </c>
      <c r="E27" s="6">
        <v>71</v>
      </c>
      <c r="F27" s="6">
        <v>7</v>
      </c>
      <c r="G27" s="6">
        <v>20</v>
      </c>
      <c r="H27" s="6">
        <v>25</v>
      </c>
      <c r="I27" s="6">
        <v>40</v>
      </c>
      <c r="J27" s="6">
        <v>91</v>
      </c>
      <c r="K27" s="6">
        <v>6</v>
      </c>
      <c r="L27" s="6">
        <v>49</v>
      </c>
      <c r="M27" s="6">
        <v>50</v>
      </c>
      <c r="N27" s="6">
        <v>72</v>
      </c>
      <c r="O27" s="6">
        <v>73</v>
      </c>
      <c r="P27" s="6">
        <v>54</v>
      </c>
      <c r="Q27" s="6">
        <v>105</v>
      </c>
      <c r="R27" s="6">
        <v>24</v>
      </c>
      <c r="S27" s="6">
        <v>88</v>
      </c>
      <c r="T27" s="6">
        <v>45</v>
      </c>
      <c r="U27" s="6">
        <v>79</v>
      </c>
      <c r="V27" s="6">
        <v>106</v>
      </c>
      <c r="W27" s="6">
        <v>80</v>
      </c>
      <c r="X27" s="6">
        <v>75</v>
      </c>
      <c r="Y27" s="6">
        <v>50</v>
      </c>
      <c r="Z27" s="6">
        <v>73</v>
      </c>
      <c r="AA27" s="6">
        <v>21</v>
      </c>
      <c r="AB27" s="6">
        <v>68</v>
      </c>
      <c r="AC27" s="6">
        <v>75</v>
      </c>
      <c r="AG27" s="6">
        <v>46</v>
      </c>
      <c r="AH27" s="6">
        <v>50</v>
      </c>
      <c r="AI27" s="6">
        <v>63</v>
      </c>
      <c r="AJ27" s="6">
        <v>3</v>
      </c>
      <c r="AK27" s="6">
        <v>20</v>
      </c>
      <c r="AL27" s="6">
        <v>27</v>
      </c>
      <c r="AM27" s="6">
        <v>27</v>
      </c>
      <c r="AN27" s="6">
        <v>90</v>
      </c>
      <c r="AO27" s="6">
        <v>5</v>
      </c>
      <c r="AP27" s="6">
        <v>48</v>
      </c>
      <c r="AQ27" s="6">
        <v>47</v>
      </c>
      <c r="AR27" s="6">
        <v>73</v>
      </c>
      <c r="AS27" s="6">
        <v>68</v>
      </c>
      <c r="AT27" s="6">
        <v>54</v>
      </c>
      <c r="AU27" s="6">
        <v>92</v>
      </c>
      <c r="AV27" s="6">
        <v>37</v>
      </c>
      <c r="AW27" s="6">
        <v>90</v>
      </c>
      <c r="AX27" s="6">
        <v>43</v>
      </c>
      <c r="AY27" s="6">
        <v>75</v>
      </c>
      <c r="AZ27" s="6">
        <v>112</v>
      </c>
      <c r="BA27" s="6">
        <v>75</v>
      </c>
      <c r="BB27" s="6">
        <v>62</v>
      </c>
      <c r="BC27" s="6">
        <v>47</v>
      </c>
      <c r="BD27" s="6">
        <v>72</v>
      </c>
      <c r="BE27" s="6">
        <v>28</v>
      </c>
      <c r="BF27" s="6">
        <v>62</v>
      </c>
      <c r="BG27" s="6">
        <v>75</v>
      </c>
      <c r="BK27" s="6">
        <v>42</v>
      </c>
      <c r="BL27" s="6">
        <v>41</v>
      </c>
      <c r="BM27" s="6">
        <v>55</v>
      </c>
      <c r="BN27" s="6">
        <v>2</v>
      </c>
      <c r="BO27" s="6">
        <v>37</v>
      </c>
      <c r="BP27" s="6">
        <v>45</v>
      </c>
      <c r="BQ27" s="6">
        <v>48</v>
      </c>
      <c r="BR27" s="6">
        <v>84</v>
      </c>
      <c r="BS27" s="6">
        <v>7</v>
      </c>
      <c r="BT27" s="6">
        <v>47</v>
      </c>
      <c r="BU27" s="6">
        <v>43</v>
      </c>
      <c r="BV27" s="6">
        <v>62</v>
      </c>
      <c r="BW27" s="6">
        <v>64</v>
      </c>
      <c r="BX27" s="6">
        <v>42</v>
      </c>
      <c r="BY27" s="6">
        <v>66</v>
      </c>
      <c r="BZ27" s="6">
        <v>12</v>
      </c>
      <c r="CA27" s="6">
        <v>80</v>
      </c>
      <c r="CB27" s="6">
        <v>67</v>
      </c>
      <c r="CC27" s="6">
        <v>70</v>
      </c>
      <c r="CD27" s="6">
        <v>85</v>
      </c>
      <c r="CE27" s="6">
        <v>60</v>
      </c>
      <c r="CF27" s="6">
        <v>76</v>
      </c>
      <c r="CG27" s="6">
        <v>71</v>
      </c>
      <c r="CH27" s="6">
        <v>75</v>
      </c>
      <c r="CI27" s="6">
        <v>8</v>
      </c>
      <c r="CJ27" s="6">
        <v>49</v>
      </c>
      <c r="CK27" s="6">
        <v>65</v>
      </c>
      <c r="CO27" s="6">
        <v>38</v>
      </c>
      <c r="CP27" s="6">
        <v>37</v>
      </c>
      <c r="CQ27" s="6">
        <v>49</v>
      </c>
      <c r="CR27" s="6">
        <v>1</v>
      </c>
      <c r="CS27" s="6">
        <v>41</v>
      </c>
      <c r="CT27" s="6">
        <v>50</v>
      </c>
      <c r="CU27" s="6">
        <v>48</v>
      </c>
      <c r="CV27" s="6">
        <v>100</v>
      </c>
      <c r="CW27" s="6">
        <v>8</v>
      </c>
      <c r="CX27" s="6">
        <v>42</v>
      </c>
      <c r="CY27" s="6">
        <v>34</v>
      </c>
      <c r="CZ27" s="6">
        <v>55</v>
      </c>
      <c r="DA27" s="6">
        <v>57</v>
      </c>
      <c r="DB27" s="6">
        <v>33</v>
      </c>
      <c r="DC27" s="6">
        <v>64</v>
      </c>
      <c r="DD27" s="6">
        <v>24</v>
      </c>
      <c r="DE27" s="6">
        <v>78</v>
      </c>
      <c r="DF27" s="6">
        <v>70</v>
      </c>
      <c r="DG27" s="6">
        <v>65</v>
      </c>
      <c r="DH27" s="6">
        <v>83</v>
      </c>
      <c r="DI27" s="6">
        <v>56</v>
      </c>
      <c r="DJ27" s="6">
        <v>70</v>
      </c>
      <c r="DK27" s="6">
        <v>74</v>
      </c>
      <c r="DL27" s="6">
        <v>75</v>
      </c>
      <c r="DM27" s="6">
        <v>9</v>
      </c>
      <c r="DN27" s="6">
        <v>42</v>
      </c>
      <c r="DO27" s="6">
        <v>62</v>
      </c>
      <c r="DS27" s="12">
        <v>23</v>
      </c>
      <c r="DT27" s="6">
        <v>57</v>
      </c>
      <c r="DU27" s="6">
        <v>62</v>
      </c>
      <c r="DV27" s="6">
        <v>79</v>
      </c>
      <c r="DW27" s="6">
        <v>34</v>
      </c>
      <c r="DX27" s="6">
        <v>28</v>
      </c>
      <c r="DY27" s="6">
        <v>33</v>
      </c>
      <c r="DZ27" s="6">
        <v>42</v>
      </c>
      <c r="EA27" s="6">
        <v>77</v>
      </c>
      <c r="EB27" s="6">
        <v>33</v>
      </c>
      <c r="EC27" s="6">
        <v>62</v>
      </c>
      <c r="ED27" s="6">
        <v>48</v>
      </c>
      <c r="EE27" s="6">
        <v>87</v>
      </c>
      <c r="EF27" s="6">
        <v>75</v>
      </c>
      <c r="EG27" s="6">
        <v>52</v>
      </c>
      <c r="EH27" s="6">
        <v>97</v>
      </c>
      <c r="EI27" s="6">
        <v>42</v>
      </c>
      <c r="EJ27" s="6">
        <v>96</v>
      </c>
      <c r="EK27" s="6">
        <v>45</v>
      </c>
      <c r="EL27" s="6">
        <v>86</v>
      </c>
      <c r="EM27" s="6">
        <v>87</v>
      </c>
      <c r="EN27" s="6">
        <v>59</v>
      </c>
      <c r="EO27" s="6">
        <v>49</v>
      </c>
      <c r="EP27" s="6">
        <v>52</v>
      </c>
      <c r="EQ27" s="6">
        <v>77</v>
      </c>
      <c r="ER27" s="6">
        <v>49</v>
      </c>
      <c r="ES27" s="6">
        <v>85</v>
      </c>
      <c r="ET27" s="6">
        <v>72</v>
      </c>
      <c r="EX27" s="7">
        <v>23</v>
      </c>
      <c r="EY27" s="6">
        <v>50</v>
      </c>
      <c r="EZ27" s="6">
        <v>37</v>
      </c>
      <c r="FA27" s="6">
        <v>85</v>
      </c>
      <c r="FB27" s="6">
        <v>30</v>
      </c>
      <c r="FC27" s="6">
        <v>37</v>
      </c>
      <c r="FD27" s="6">
        <v>30</v>
      </c>
      <c r="FE27" s="6">
        <v>39</v>
      </c>
      <c r="FF27" s="6">
        <v>74</v>
      </c>
      <c r="FG27" s="6">
        <v>28</v>
      </c>
      <c r="FH27" s="6">
        <v>60</v>
      </c>
      <c r="FI27" s="6">
        <v>56</v>
      </c>
      <c r="FJ27" s="6">
        <v>85</v>
      </c>
      <c r="FK27" s="6">
        <v>75</v>
      </c>
      <c r="FL27" s="6">
        <v>52</v>
      </c>
      <c r="FM27" s="6">
        <v>78</v>
      </c>
      <c r="FN27" s="6">
        <v>45</v>
      </c>
      <c r="FO27" s="6">
        <v>84</v>
      </c>
      <c r="FP27" s="6">
        <v>45</v>
      </c>
      <c r="FQ27" s="6">
        <v>88</v>
      </c>
      <c r="FR27" s="6">
        <v>85</v>
      </c>
      <c r="FS27" s="6">
        <v>57</v>
      </c>
      <c r="FT27" s="6">
        <v>50</v>
      </c>
      <c r="FU27" s="6">
        <v>49</v>
      </c>
      <c r="FV27" s="6">
        <v>69</v>
      </c>
      <c r="FW27" s="6">
        <v>52</v>
      </c>
      <c r="FX27" s="6">
        <v>83</v>
      </c>
      <c r="FY27" s="6">
        <v>75</v>
      </c>
      <c r="GC27" s="7">
        <v>23</v>
      </c>
      <c r="GD27" s="6">
        <v>58</v>
      </c>
      <c r="GE27" s="6">
        <v>51</v>
      </c>
      <c r="GF27" s="6">
        <v>72</v>
      </c>
      <c r="GG27" s="6">
        <v>27</v>
      </c>
      <c r="GH27" s="6">
        <v>46</v>
      </c>
      <c r="GI27" s="6">
        <v>34</v>
      </c>
      <c r="GJ27" s="6">
        <v>57</v>
      </c>
      <c r="GK27" s="6">
        <v>78</v>
      </c>
      <c r="GL27" s="6">
        <v>32</v>
      </c>
      <c r="GM27" s="6">
        <v>71</v>
      </c>
      <c r="GN27" s="6">
        <v>57</v>
      </c>
      <c r="GO27" s="6">
        <v>64</v>
      </c>
      <c r="GP27" s="6">
        <v>66</v>
      </c>
      <c r="GQ27" s="6">
        <v>42</v>
      </c>
      <c r="GR27" s="6">
        <v>66</v>
      </c>
      <c r="GS27" s="6">
        <v>38</v>
      </c>
      <c r="GT27" s="6">
        <v>81</v>
      </c>
      <c r="GU27" s="6">
        <v>53</v>
      </c>
      <c r="GV27" s="6">
        <v>88</v>
      </c>
      <c r="GW27" s="6">
        <v>78</v>
      </c>
      <c r="GX27" s="6">
        <v>53</v>
      </c>
      <c r="GY27" s="6">
        <v>49</v>
      </c>
      <c r="GZ27" s="6">
        <v>55</v>
      </c>
      <c r="HA27" s="6">
        <v>72</v>
      </c>
      <c r="HB27" s="6">
        <v>47</v>
      </c>
      <c r="HC27" s="6">
        <v>78</v>
      </c>
      <c r="HD27" s="6">
        <v>76</v>
      </c>
      <c r="HH27" s="7">
        <v>23</v>
      </c>
      <c r="HI27" s="6">
        <v>46</v>
      </c>
      <c r="HJ27" s="6">
        <v>50</v>
      </c>
      <c r="HK27" s="6">
        <v>69</v>
      </c>
      <c r="HL27" s="6">
        <v>33</v>
      </c>
      <c r="HM27" s="6">
        <v>37</v>
      </c>
      <c r="HN27" s="6">
        <v>36</v>
      </c>
      <c r="HO27" s="6">
        <v>37</v>
      </c>
      <c r="HP27" s="6">
        <v>82</v>
      </c>
      <c r="HQ27" s="6">
        <v>27</v>
      </c>
      <c r="HR27" s="6">
        <v>62</v>
      </c>
      <c r="HS27" s="6">
        <v>52</v>
      </c>
      <c r="HT27" s="6">
        <v>75</v>
      </c>
      <c r="HU27" s="6">
        <v>64</v>
      </c>
      <c r="HV27" s="6">
        <v>44</v>
      </c>
      <c r="HW27" s="6">
        <v>69</v>
      </c>
      <c r="HX27" s="6">
        <v>40</v>
      </c>
      <c r="HY27" s="6">
        <v>83</v>
      </c>
      <c r="HZ27" s="6">
        <v>50</v>
      </c>
      <c r="IA27" s="6">
        <v>87</v>
      </c>
      <c r="IB27" s="6">
        <v>78</v>
      </c>
      <c r="IC27" s="6">
        <v>49</v>
      </c>
      <c r="ID27" s="6">
        <v>53</v>
      </c>
      <c r="IE27" s="6">
        <v>53</v>
      </c>
      <c r="IF27" s="6">
        <v>69</v>
      </c>
      <c r="IG27" s="6">
        <v>46</v>
      </c>
      <c r="IH27" s="6">
        <v>85</v>
      </c>
      <c r="II27" s="6">
        <v>6</v>
      </c>
    </row>
    <row r="28" spans="2:245" x14ac:dyDescent="0.25">
      <c r="B28" s="13">
        <v>24</v>
      </c>
      <c r="C28" s="6">
        <v>49</v>
      </c>
      <c r="D28" s="6">
        <v>56</v>
      </c>
      <c r="E28" s="6">
        <v>73</v>
      </c>
      <c r="F28" s="6">
        <v>8</v>
      </c>
      <c r="G28" s="6">
        <v>21</v>
      </c>
      <c r="H28" s="6">
        <v>27</v>
      </c>
      <c r="I28" s="6">
        <v>42</v>
      </c>
      <c r="J28" s="6">
        <v>92</v>
      </c>
      <c r="K28" s="6">
        <v>7</v>
      </c>
      <c r="L28" s="6">
        <v>50</v>
      </c>
      <c r="M28" s="6">
        <v>52</v>
      </c>
      <c r="N28" s="6">
        <v>75</v>
      </c>
      <c r="O28" s="6">
        <v>75</v>
      </c>
      <c r="P28" s="6">
        <v>57</v>
      </c>
      <c r="Q28" s="6">
        <v>107</v>
      </c>
      <c r="R28" s="6">
        <v>28</v>
      </c>
      <c r="S28" s="6">
        <v>92</v>
      </c>
      <c r="T28" s="6">
        <v>50</v>
      </c>
      <c r="U28" s="6">
        <v>82</v>
      </c>
      <c r="V28" s="6">
        <v>108</v>
      </c>
      <c r="W28" s="6">
        <v>81</v>
      </c>
      <c r="X28" s="6">
        <v>77</v>
      </c>
      <c r="Y28" s="6">
        <v>54</v>
      </c>
      <c r="Z28" s="6">
        <v>75</v>
      </c>
      <c r="AA28" s="6">
        <v>24</v>
      </c>
      <c r="AB28" s="6">
        <v>69</v>
      </c>
      <c r="AC28" s="6">
        <v>76</v>
      </c>
      <c r="AG28" s="6">
        <v>47</v>
      </c>
      <c r="AH28" s="6">
        <v>52</v>
      </c>
      <c r="AI28" s="6">
        <v>63</v>
      </c>
      <c r="AJ28" s="6">
        <v>3</v>
      </c>
      <c r="AK28" s="6">
        <v>22</v>
      </c>
      <c r="AL28" s="6">
        <v>31</v>
      </c>
      <c r="AM28" s="6">
        <v>32</v>
      </c>
      <c r="AN28" s="6">
        <v>90</v>
      </c>
      <c r="AO28" s="6">
        <v>5</v>
      </c>
      <c r="AP28" s="6">
        <v>49</v>
      </c>
      <c r="AQ28" s="6">
        <v>48</v>
      </c>
      <c r="AR28" s="6">
        <v>74</v>
      </c>
      <c r="AS28" s="6">
        <v>71</v>
      </c>
      <c r="AT28" s="6">
        <v>54</v>
      </c>
      <c r="AU28" s="6">
        <v>100</v>
      </c>
      <c r="AV28" s="6">
        <v>40</v>
      </c>
      <c r="AW28" s="6">
        <v>90</v>
      </c>
      <c r="AX28" s="6">
        <v>46</v>
      </c>
      <c r="AY28" s="6">
        <v>79</v>
      </c>
      <c r="AZ28" s="6">
        <v>112</v>
      </c>
      <c r="BA28" s="6">
        <v>77</v>
      </c>
      <c r="BB28" s="6">
        <v>65</v>
      </c>
      <c r="BC28" s="6">
        <v>50</v>
      </c>
      <c r="BD28" s="6">
        <v>75</v>
      </c>
      <c r="BE28" s="6">
        <v>30</v>
      </c>
      <c r="BF28" s="6">
        <v>65</v>
      </c>
      <c r="BG28" s="6">
        <v>81</v>
      </c>
      <c r="BK28" s="6">
        <v>43</v>
      </c>
      <c r="BL28" s="6">
        <v>43</v>
      </c>
      <c r="BM28" s="6">
        <v>58</v>
      </c>
      <c r="BN28" s="6">
        <v>2</v>
      </c>
      <c r="BO28" s="6">
        <v>38</v>
      </c>
      <c r="BP28" s="6">
        <v>47</v>
      </c>
      <c r="BQ28" s="6">
        <v>49</v>
      </c>
      <c r="BR28" s="6">
        <v>85</v>
      </c>
      <c r="BS28" s="6">
        <v>9</v>
      </c>
      <c r="BT28" s="6">
        <v>48</v>
      </c>
      <c r="BU28" s="6">
        <v>44</v>
      </c>
      <c r="BV28" s="6">
        <v>65</v>
      </c>
      <c r="BW28" s="6">
        <v>67</v>
      </c>
      <c r="BX28" s="6">
        <v>42</v>
      </c>
      <c r="BY28" s="6">
        <v>69</v>
      </c>
      <c r="BZ28" s="6">
        <v>14</v>
      </c>
      <c r="CA28" s="6">
        <v>82</v>
      </c>
      <c r="CB28" s="6">
        <v>71</v>
      </c>
      <c r="CC28" s="6">
        <v>72</v>
      </c>
      <c r="CD28" s="6">
        <v>89</v>
      </c>
      <c r="CE28" s="6">
        <v>62</v>
      </c>
      <c r="CF28" s="6">
        <v>78</v>
      </c>
      <c r="CG28" s="6">
        <v>73</v>
      </c>
      <c r="CH28" s="6">
        <v>78</v>
      </c>
      <c r="CI28" s="6">
        <v>9</v>
      </c>
      <c r="CJ28" s="6">
        <v>50</v>
      </c>
      <c r="CK28" s="6">
        <v>66</v>
      </c>
      <c r="CO28" s="6">
        <v>40</v>
      </c>
      <c r="CP28" s="6">
        <v>40</v>
      </c>
      <c r="CQ28" s="6">
        <v>50</v>
      </c>
      <c r="CR28" s="6">
        <v>1</v>
      </c>
      <c r="CS28" s="6">
        <v>42</v>
      </c>
      <c r="CT28" s="6">
        <v>52</v>
      </c>
      <c r="CU28" s="6">
        <v>49</v>
      </c>
      <c r="CV28" s="6">
        <v>100</v>
      </c>
      <c r="CW28" s="6">
        <v>12</v>
      </c>
      <c r="CX28" s="6">
        <v>43</v>
      </c>
      <c r="CY28" s="6">
        <v>35</v>
      </c>
      <c r="CZ28" s="6">
        <v>57</v>
      </c>
      <c r="DA28" s="6">
        <v>59</v>
      </c>
      <c r="DB28" s="6">
        <v>34</v>
      </c>
      <c r="DC28" s="6">
        <v>65</v>
      </c>
      <c r="DD28" s="6">
        <v>26</v>
      </c>
      <c r="DE28" s="6">
        <v>82</v>
      </c>
      <c r="DF28" s="6">
        <v>73</v>
      </c>
      <c r="DG28" s="6">
        <v>68</v>
      </c>
      <c r="DH28" s="6">
        <v>85</v>
      </c>
      <c r="DI28" s="6">
        <v>57</v>
      </c>
      <c r="DJ28" s="6">
        <v>72</v>
      </c>
      <c r="DK28" s="6">
        <v>75</v>
      </c>
      <c r="DL28" s="6">
        <v>79</v>
      </c>
      <c r="DM28" s="6">
        <v>10</v>
      </c>
      <c r="DN28" s="6">
        <v>43</v>
      </c>
      <c r="DO28" s="6">
        <v>63</v>
      </c>
      <c r="DS28" s="12">
        <v>24</v>
      </c>
      <c r="DT28" s="6">
        <v>57</v>
      </c>
      <c r="DU28" s="6">
        <v>65</v>
      </c>
      <c r="DV28" s="6">
        <v>82</v>
      </c>
      <c r="DW28" s="6">
        <v>35</v>
      </c>
      <c r="DX28" s="6">
        <v>37</v>
      </c>
      <c r="DY28" s="6">
        <v>33</v>
      </c>
      <c r="DZ28" s="6">
        <v>49</v>
      </c>
      <c r="EA28" s="6">
        <v>79</v>
      </c>
      <c r="EB28" s="6">
        <v>34</v>
      </c>
      <c r="EC28" s="6">
        <v>66</v>
      </c>
      <c r="ED28" s="6">
        <v>48</v>
      </c>
      <c r="EE28" s="6">
        <v>88</v>
      </c>
      <c r="EF28" s="6">
        <v>76</v>
      </c>
      <c r="EG28" s="6">
        <v>54</v>
      </c>
      <c r="EH28" s="6">
        <v>10</v>
      </c>
      <c r="EI28" s="6">
        <v>44</v>
      </c>
      <c r="EJ28" s="6">
        <v>98</v>
      </c>
      <c r="EK28" s="6">
        <v>47</v>
      </c>
      <c r="EL28" s="6">
        <v>87</v>
      </c>
      <c r="EM28" s="6">
        <v>89</v>
      </c>
      <c r="EN28" s="6">
        <v>62</v>
      </c>
      <c r="EO28" s="6">
        <v>51</v>
      </c>
      <c r="EP28" s="6">
        <v>54</v>
      </c>
      <c r="EQ28" s="6">
        <v>79</v>
      </c>
      <c r="ER28" s="6">
        <v>51</v>
      </c>
      <c r="ES28" s="6">
        <v>87</v>
      </c>
      <c r="ET28" s="6">
        <v>75</v>
      </c>
      <c r="EX28" s="7">
        <v>24</v>
      </c>
      <c r="EY28" s="6">
        <v>50</v>
      </c>
      <c r="EZ28" s="6">
        <v>70</v>
      </c>
      <c r="FA28" s="6">
        <v>89</v>
      </c>
      <c r="FB28" s="6">
        <v>33</v>
      </c>
      <c r="FC28" s="6">
        <v>37</v>
      </c>
      <c r="FD28" s="6">
        <v>33</v>
      </c>
      <c r="FE28" s="6">
        <v>42</v>
      </c>
      <c r="FF28" s="6">
        <v>74</v>
      </c>
      <c r="FG28" s="6">
        <v>31</v>
      </c>
      <c r="FH28" s="6">
        <v>63</v>
      </c>
      <c r="FI28" s="6">
        <v>56</v>
      </c>
      <c r="FJ28" s="6">
        <v>88</v>
      </c>
      <c r="FK28" s="6">
        <v>76</v>
      </c>
      <c r="FL28" s="6">
        <v>54</v>
      </c>
      <c r="FM28" s="6">
        <v>80</v>
      </c>
      <c r="FN28" s="6">
        <v>47</v>
      </c>
      <c r="FO28" s="6">
        <v>85</v>
      </c>
      <c r="FP28" s="6">
        <v>47</v>
      </c>
      <c r="FQ28" s="6">
        <v>89</v>
      </c>
      <c r="FR28" s="6">
        <v>88</v>
      </c>
      <c r="FS28" s="6">
        <v>60</v>
      </c>
      <c r="FT28" s="6">
        <v>52</v>
      </c>
      <c r="FU28" s="6">
        <v>51</v>
      </c>
      <c r="FV28" s="6">
        <v>72</v>
      </c>
      <c r="FW28" s="6">
        <v>54</v>
      </c>
      <c r="FX28" s="6">
        <v>84</v>
      </c>
      <c r="FY28" s="6">
        <v>77</v>
      </c>
      <c r="GC28" s="7">
        <v>24</v>
      </c>
      <c r="GD28" s="6">
        <v>67</v>
      </c>
      <c r="GE28" s="6">
        <v>58</v>
      </c>
      <c r="GF28" s="6">
        <v>72</v>
      </c>
      <c r="GG28" s="6">
        <v>28</v>
      </c>
      <c r="GH28" s="6">
        <v>47</v>
      </c>
      <c r="GI28" s="6">
        <v>34</v>
      </c>
      <c r="GJ28" s="6">
        <v>57</v>
      </c>
      <c r="GK28" s="6">
        <v>79</v>
      </c>
      <c r="GL28" s="6">
        <v>33</v>
      </c>
      <c r="GM28" s="6">
        <v>71</v>
      </c>
      <c r="GN28" s="6">
        <v>64</v>
      </c>
      <c r="GO28" s="6">
        <v>66</v>
      </c>
      <c r="GP28" s="6">
        <v>69</v>
      </c>
      <c r="GQ28" s="6">
        <v>44</v>
      </c>
      <c r="GR28" s="6">
        <v>69</v>
      </c>
      <c r="GS28" s="6">
        <v>39</v>
      </c>
      <c r="GT28" s="6">
        <v>82</v>
      </c>
      <c r="GU28" s="6">
        <v>56</v>
      </c>
      <c r="GV28" s="6">
        <v>89</v>
      </c>
      <c r="GW28" s="6">
        <v>80</v>
      </c>
      <c r="GX28" s="6">
        <v>56</v>
      </c>
      <c r="GY28" s="6">
        <v>51</v>
      </c>
      <c r="GZ28" s="6">
        <v>58</v>
      </c>
      <c r="HA28" s="6">
        <v>75</v>
      </c>
      <c r="HB28" s="6">
        <v>49</v>
      </c>
      <c r="HC28" s="6">
        <v>80</v>
      </c>
      <c r="HD28" s="6">
        <v>77</v>
      </c>
      <c r="HH28" s="7">
        <v>24</v>
      </c>
      <c r="HI28" s="6">
        <v>46</v>
      </c>
      <c r="HJ28" s="6">
        <v>50</v>
      </c>
      <c r="HK28" s="6">
        <v>75</v>
      </c>
      <c r="HL28" s="6">
        <v>34</v>
      </c>
      <c r="HM28" s="6">
        <v>42</v>
      </c>
      <c r="HN28" s="6">
        <v>40</v>
      </c>
      <c r="HO28" s="6">
        <v>45</v>
      </c>
      <c r="HP28" s="6">
        <v>85</v>
      </c>
      <c r="HQ28" s="6">
        <v>32</v>
      </c>
      <c r="HR28" s="6">
        <v>65</v>
      </c>
      <c r="HS28" s="6">
        <v>57</v>
      </c>
      <c r="HT28" s="6">
        <v>85</v>
      </c>
      <c r="HU28" s="6">
        <v>66</v>
      </c>
      <c r="HV28" s="6">
        <v>45</v>
      </c>
      <c r="HW28" s="6">
        <v>72</v>
      </c>
      <c r="HX28" s="6">
        <v>42</v>
      </c>
      <c r="HY28" s="6">
        <v>84</v>
      </c>
      <c r="HZ28" s="6">
        <v>52</v>
      </c>
      <c r="IA28" s="6">
        <v>88</v>
      </c>
      <c r="IB28" s="6">
        <v>84</v>
      </c>
      <c r="IC28" s="6">
        <v>51</v>
      </c>
      <c r="ID28" s="6">
        <v>56</v>
      </c>
      <c r="IE28" s="6">
        <v>56</v>
      </c>
      <c r="IF28" s="6">
        <v>72</v>
      </c>
      <c r="IG28" s="6">
        <v>48</v>
      </c>
      <c r="IH28" s="6">
        <v>86</v>
      </c>
      <c r="II28" s="6">
        <v>69</v>
      </c>
    </row>
    <row r="29" spans="2:245" x14ac:dyDescent="0.25">
      <c r="B29" s="13">
        <v>25</v>
      </c>
      <c r="C29" s="6">
        <v>50</v>
      </c>
      <c r="D29" s="6">
        <v>59</v>
      </c>
      <c r="E29" s="6">
        <v>74</v>
      </c>
      <c r="F29" s="6">
        <v>8</v>
      </c>
      <c r="G29" s="6">
        <v>22</v>
      </c>
      <c r="H29" s="6">
        <v>29</v>
      </c>
      <c r="I29" s="6">
        <v>44</v>
      </c>
      <c r="J29" s="6">
        <v>93</v>
      </c>
      <c r="K29" s="6">
        <v>9</v>
      </c>
      <c r="L29" s="6">
        <v>53</v>
      </c>
      <c r="M29" s="6">
        <v>55</v>
      </c>
      <c r="N29" s="6">
        <v>78</v>
      </c>
      <c r="O29" s="6">
        <v>77</v>
      </c>
      <c r="P29" s="6">
        <v>59</v>
      </c>
      <c r="Q29" s="6">
        <v>110</v>
      </c>
      <c r="R29" s="6">
        <v>31</v>
      </c>
      <c r="S29" s="6">
        <v>98</v>
      </c>
      <c r="T29" s="6">
        <v>54</v>
      </c>
      <c r="U29" s="6">
        <v>85</v>
      </c>
      <c r="V29" s="6">
        <v>114</v>
      </c>
      <c r="W29" s="6">
        <v>85</v>
      </c>
      <c r="X29" s="6">
        <v>79</v>
      </c>
      <c r="Y29" s="6">
        <v>57</v>
      </c>
      <c r="Z29" s="6">
        <v>79</v>
      </c>
      <c r="AA29" s="6">
        <v>28</v>
      </c>
      <c r="AB29" s="6">
        <v>71</v>
      </c>
      <c r="AC29" s="6">
        <v>78</v>
      </c>
      <c r="AG29" s="6">
        <v>48</v>
      </c>
      <c r="AH29" s="6">
        <v>55</v>
      </c>
      <c r="AI29" s="6">
        <v>63</v>
      </c>
      <c r="AJ29" s="6">
        <v>3</v>
      </c>
      <c r="AK29" s="6">
        <v>23</v>
      </c>
      <c r="AL29" s="6">
        <v>33</v>
      </c>
      <c r="AM29" s="6">
        <v>35</v>
      </c>
      <c r="AN29" s="6">
        <v>92</v>
      </c>
      <c r="AO29" s="6">
        <v>5</v>
      </c>
      <c r="AP29" s="6">
        <v>50</v>
      </c>
      <c r="AQ29" s="6">
        <v>49</v>
      </c>
      <c r="AR29" s="6">
        <v>75</v>
      </c>
      <c r="AS29" s="6">
        <v>73</v>
      </c>
      <c r="AT29" s="6">
        <v>57</v>
      </c>
      <c r="AU29" s="6">
        <v>105</v>
      </c>
      <c r="AV29" s="6">
        <v>44</v>
      </c>
      <c r="AW29" s="6">
        <v>92</v>
      </c>
      <c r="AX29" s="6">
        <v>48</v>
      </c>
      <c r="AY29" s="6">
        <v>85</v>
      </c>
      <c r="AZ29" s="6">
        <v>112</v>
      </c>
      <c r="BA29" s="6">
        <v>77</v>
      </c>
      <c r="BB29" s="6">
        <v>68</v>
      </c>
      <c r="BC29" s="6">
        <v>53</v>
      </c>
      <c r="BD29" s="6">
        <v>82</v>
      </c>
      <c r="BE29" s="6">
        <v>37</v>
      </c>
      <c r="BF29" s="6">
        <v>66</v>
      </c>
      <c r="BG29" s="6">
        <v>83</v>
      </c>
      <c r="BK29" s="6">
        <v>45</v>
      </c>
      <c r="BL29" s="6">
        <v>44</v>
      </c>
      <c r="BM29" s="6">
        <v>60</v>
      </c>
      <c r="BN29" s="6">
        <v>3</v>
      </c>
      <c r="BO29" s="6">
        <v>40</v>
      </c>
      <c r="BP29" s="6">
        <v>50</v>
      </c>
      <c r="BQ29" s="6">
        <v>50</v>
      </c>
      <c r="BR29" s="6">
        <v>95</v>
      </c>
      <c r="BS29" s="6">
        <v>11</v>
      </c>
      <c r="BT29" s="6">
        <v>49</v>
      </c>
      <c r="BU29" s="6">
        <v>45</v>
      </c>
      <c r="BV29" s="6">
        <v>67</v>
      </c>
      <c r="BW29" s="6">
        <v>69</v>
      </c>
      <c r="BX29" s="6">
        <v>43</v>
      </c>
      <c r="BY29" s="6">
        <v>72</v>
      </c>
      <c r="BZ29" s="6">
        <v>15</v>
      </c>
      <c r="CA29" s="6">
        <v>85</v>
      </c>
      <c r="CB29" s="6">
        <v>73</v>
      </c>
      <c r="CC29" s="6">
        <v>74</v>
      </c>
      <c r="CD29" s="6">
        <v>95</v>
      </c>
      <c r="CE29" s="6">
        <v>64</v>
      </c>
      <c r="CF29" s="6">
        <v>79</v>
      </c>
      <c r="CG29" s="6">
        <v>75</v>
      </c>
      <c r="CH29" s="6">
        <v>82</v>
      </c>
      <c r="CI29" s="6">
        <v>10</v>
      </c>
      <c r="CJ29" s="6">
        <v>52</v>
      </c>
      <c r="CK29" s="6">
        <v>67</v>
      </c>
      <c r="CO29" s="6">
        <v>42</v>
      </c>
      <c r="CP29" s="6">
        <v>41</v>
      </c>
      <c r="CQ29" s="6">
        <v>51</v>
      </c>
      <c r="CR29" s="6">
        <v>1</v>
      </c>
      <c r="CS29" s="6">
        <v>43</v>
      </c>
      <c r="CT29" s="6">
        <v>54</v>
      </c>
      <c r="CU29" s="6">
        <v>50</v>
      </c>
      <c r="CV29" s="6">
        <v>102</v>
      </c>
      <c r="CW29" s="6">
        <v>13</v>
      </c>
      <c r="CX29" s="6">
        <v>45</v>
      </c>
      <c r="CY29" s="6">
        <v>36</v>
      </c>
      <c r="CZ29" s="6">
        <v>60</v>
      </c>
      <c r="DA29" s="6">
        <v>61</v>
      </c>
      <c r="DB29" s="6">
        <v>37</v>
      </c>
      <c r="DC29" s="6">
        <v>68</v>
      </c>
      <c r="DD29" s="6">
        <v>32</v>
      </c>
      <c r="DE29" s="6">
        <v>85</v>
      </c>
      <c r="DF29" s="6">
        <v>75</v>
      </c>
      <c r="DG29" s="6">
        <v>71</v>
      </c>
      <c r="DH29" s="6">
        <v>89</v>
      </c>
      <c r="DI29" s="6">
        <v>59</v>
      </c>
      <c r="DJ29" s="6">
        <v>73</v>
      </c>
      <c r="DK29" s="6">
        <v>77</v>
      </c>
      <c r="DL29" s="6">
        <v>81</v>
      </c>
      <c r="DM29" s="6">
        <v>17</v>
      </c>
      <c r="DN29" s="6">
        <v>44</v>
      </c>
      <c r="DO29" s="6">
        <v>65</v>
      </c>
      <c r="DS29" s="12">
        <v>25</v>
      </c>
      <c r="DT29" s="6">
        <v>58</v>
      </c>
      <c r="DU29" s="6">
        <v>65</v>
      </c>
      <c r="DV29" s="6">
        <v>85</v>
      </c>
      <c r="DW29" s="6">
        <v>35</v>
      </c>
      <c r="DX29" s="6">
        <v>40</v>
      </c>
      <c r="DY29" s="6">
        <v>33</v>
      </c>
      <c r="DZ29" s="6">
        <v>49</v>
      </c>
      <c r="EA29" s="6">
        <v>81</v>
      </c>
      <c r="EB29" s="6">
        <v>35</v>
      </c>
      <c r="EC29" s="6">
        <v>67</v>
      </c>
      <c r="ED29" s="6">
        <v>49</v>
      </c>
      <c r="EE29" s="6">
        <v>89</v>
      </c>
      <c r="EF29" s="6">
        <v>77</v>
      </c>
      <c r="EG29" s="6">
        <v>56</v>
      </c>
      <c r="EH29" s="6">
        <v>109</v>
      </c>
      <c r="EI29" s="6">
        <v>46</v>
      </c>
      <c r="EJ29" s="6">
        <v>101</v>
      </c>
      <c r="EK29" s="6">
        <v>49</v>
      </c>
      <c r="EL29" s="6">
        <v>88</v>
      </c>
      <c r="EM29" s="6">
        <v>93</v>
      </c>
      <c r="EN29" s="6">
        <v>64</v>
      </c>
      <c r="EO29" s="6">
        <v>53</v>
      </c>
      <c r="EP29" s="6">
        <v>53</v>
      </c>
      <c r="EQ29" s="6">
        <v>81</v>
      </c>
      <c r="ER29" s="6">
        <v>53</v>
      </c>
      <c r="ES29" s="6">
        <v>88</v>
      </c>
      <c r="ET29" s="6">
        <v>77</v>
      </c>
      <c r="EX29" s="7">
        <v>25</v>
      </c>
      <c r="EY29" s="6">
        <v>55</v>
      </c>
      <c r="EZ29" s="6">
        <v>74</v>
      </c>
      <c r="FA29" s="6">
        <v>89</v>
      </c>
      <c r="FB29" s="6">
        <v>33</v>
      </c>
      <c r="FC29" s="6">
        <v>37</v>
      </c>
      <c r="FD29" s="6">
        <v>36</v>
      </c>
      <c r="FE29" s="6">
        <v>44</v>
      </c>
      <c r="FF29" s="6">
        <v>75</v>
      </c>
      <c r="FG29" s="6">
        <v>32</v>
      </c>
      <c r="FH29" s="6">
        <v>64</v>
      </c>
      <c r="FI29" s="6">
        <v>57</v>
      </c>
      <c r="FJ29" s="6">
        <v>91</v>
      </c>
      <c r="FK29" s="6">
        <v>77</v>
      </c>
      <c r="FL29" s="6">
        <v>56</v>
      </c>
      <c r="FM29" s="6">
        <v>82</v>
      </c>
      <c r="FN29" s="6">
        <v>49</v>
      </c>
      <c r="FO29" s="6">
        <v>90</v>
      </c>
      <c r="FP29" s="6">
        <v>49</v>
      </c>
      <c r="FQ29" s="6">
        <v>90</v>
      </c>
      <c r="FR29" s="6">
        <v>91</v>
      </c>
      <c r="FS29" s="6">
        <v>62</v>
      </c>
      <c r="FT29" s="6">
        <v>55</v>
      </c>
      <c r="FU29" s="6">
        <v>53</v>
      </c>
      <c r="FV29" s="6">
        <v>75</v>
      </c>
      <c r="FW29" s="6">
        <v>56</v>
      </c>
      <c r="FX29" s="6">
        <v>85</v>
      </c>
      <c r="FY29" s="6">
        <v>78</v>
      </c>
      <c r="GC29" s="7">
        <v>25</v>
      </c>
      <c r="GD29" s="6">
        <v>67</v>
      </c>
      <c r="GE29" s="6">
        <v>60</v>
      </c>
      <c r="GF29" s="6">
        <v>74</v>
      </c>
      <c r="GG29" s="6">
        <v>31</v>
      </c>
      <c r="GH29" s="6">
        <v>50</v>
      </c>
      <c r="GI29" s="6">
        <v>37</v>
      </c>
      <c r="GJ29" s="6">
        <v>61</v>
      </c>
      <c r="GK29" s="6">
        <v>80</v>
      </c>
      <c r="GL29" s="6">
        <v>35</v>
      </c>
      <c r="GM29" s="6">
        <v>72</v>
      </c>
      <c r="GN29" s="6">
        <v>71</v>
      </c>
      <c r="GO29" s="6">
        <v>69</v>
      </c>
      <c r="GP29" s="6">
        <v>72</v>
      </c>
      <c r="GQ29" s="6">
        <v>46</v>
      </c>
      <c r="GR29" s="6">
        <v>72</v>
      </c>
      <c r="GS29" s="6">
        <v>41</v>
      </c>
      <c r="GT29" s="6">
        <v>83</v>
      </c>
      <c r="GU29" s="6">
        <v>58</v>
      </c>
      <c r="GV29" s="6">
        <v>91</v>
      </c>
      <c r="GW29" s="6">
        <v>81</v>
      </c>
      <c r="GX29" s="6">
        <v>58</v>
      </c>
      <c r="GY29" s="6">
        <v>53</v>
      </c>
      <c r="GZ29" s="6">
        <v>60</v>
      </c>
      <c r="HA29" s="6">
        <v>78</v>
      </c>
      <c r="HB29" s="6">
        <v>51</v>
      </c>
      <c r="HC29" s="6">
        <v>82</v>
      </c>
      <c r="HD29" s="6">
        <v>79</v>
      </c>
      <c r="HH29" s="7">
        <v>25</v>
      </c>
      <c r="HI29" s="6">
        <v>50</v>
      </c>
      <c r="HJ29" s="6">
        <v>58</v>
      </c>
      <c r="HK29" s="6">
        <v>78</v>
      </c>
      <c r="HL29" s="6">
        <v>34</v>
      </c>
      <c r="HM29" s="6">
        <v>43</v>
      </c>
      <c r="HN29" s="6">
        <v>41</v>
      </c>
      <c r="HO29" s="6">
        <v>46</v>
      </c>
      <c r="HP29" s="6">
        <v>88</v>
      </c>
      <c r="HQ29" s="6">
        <v>32</v>
      </c>
      <c r="HR29" s="6">
        <v>65</v>
      </c>
      <c r="HS29" s="6">
        <v>58</v>
      </c>
      <c r="HT29" s="6">
        <v>88</v>
      </c>
      <c r="HU29" s="6">
        <v>69</v>
      </c>
      <c r="HV29" s="6">
        <v>47</v>
      </c>
      <c r="HW29" s="6">
        <v>75</v>
      </c>
      <c r="HX29" s="6">
        <v>4</v>
      </c>
      <c r="HY29" s="6">
        <v>85</v>
      </c>
      <c r="HZ29" s="6">
        <v>55</v>
      </c>
      <c r="IA29" s="6">
        <v>89</v>
      </c>
      <c r="IB29" s="6">
        <v>85</v>
      </c>
      <c r="IC29" s="6">
        <v>53</v>
      </c>
      <c r="ID29" s="6">
        <v>58</v>
      </c>
      <c r="IE29" s="6">
        <v>58</v>
      </c>
      <c r="IF29" s="6">
        <v>75</v>
      </c>
      <c r="IG29" s="6">
        <v>50</v>
      </c>
      <c r="IH29" s="6">
        <v>87</v>
      </c>
      <c r="II29" s="6">
        <v>72</v>
      </c>
    </row>
    <row r="30" spans="2:245" x14ac:dyDescent="0.25">
      <c r="B30" s="13">
        <v>26</v>
      </c>
      <c r="C30" s="6">
        <v>51</v>
      </c>
      <c r="D30" s="6">
        <v>61</v>
      </c>
      <c r="E30" s="6">
        <v>75</v>
      </c>
      <c r="F30" s="6">
        <v>9</v>
      </c>
      <c r="G30" s="6">
        <v>23</v>
      </c>
      <c r="H30" s="6">
        <v>31</v>
      </c>
      <c r="I30" s="6">
        <v>46</v>
      </c>
      <c r="J30" s="6">
        <v>99</v>
      </c>
      <c r="K30" s="6">
        <v>12</v>
      </c>
      <c r="L30" s="6">
        <v>54</v>
      </c>
      <c r="M30" s="6">
        <v>56</v>
      </c>
      <c r="N30" s="6">
        <v>83</v>
      </c>
      <c r="O30" s="6">
        <v>79</v>
      </c>
      <c r="P30" s="6">
        <v>60</v>
      </c>
      <c r="Q30" s="6">
        <v>110</v>
      </c>
      <c r="R30" s="6">
        <v>34</v>
      </c>
      <c r="S30" s="6">
        <v>101</v>
      </c>
      <c r="T30" s="6">
        <v>57</v>
      </c>
      <c r="U30" s="6">
        <v>88</v>
      </c>
      <c r="V30" s="6">
        <v>114</v>
      </c>
      <c r="W30" s="6">
        <v>90</v>
      </c>
      <c r="X30" s="6">
        <v>80</v>
      </c>
      <c r="Y30" s="6">
        <v>60</v>
      </c>
      <c r="Z30" s="6">
        <v>83</v>
      </c>
      <c r="AA30" s="6">
        <v>32</v>
      </c>
      <c r="AB30" s="6">
        <v>72</v>
      </c>
      <c r="AC30" s="6">
        <v>79</v>
      </c>
      <c r="AG30" s="6">
        <v>50</v>
      </c>
      <c r="AH30" s="6">
        <v>58</v>
      </c>
      <c r="AI30" s="6">
        <v>63</v>
      </c>
      <c r="AJ30" s="6">
        <v>3</v>
      </c>
      <c r="AK30" s="6">
        <v>23</v>
      </c>
      <c r="AL30" s="6">
        <v>36</v>
      </c>
      <c r="AM30" s="6">
        <v>40</v>
      </c>
      <c r="AN30" s="6">
        <v>95</v>
      </c>
      <c r="AO30" s="6">
        <v>8</v>
      </c>
      <c r="AP30" s="6">
        <v>52</v>
      </c>
      <c r="AQ30" s="6">
        <v>50</v>
      </c>
      <c r="AR30" s="6">
        <v>77</v>
      </c>
      <c r="AS30" s="6">
        <v>75</v>
      </c>
      <c r="AT30" s="6">
        <v>59</v>
      </c>
      <c r="AU30" s="6">
        <v>110</v>
      </c>
      <c r="AV30" s="6">
        <v>50</v>
      </c>
      <c r="AW30" s="6">
        <v>95</v>
      </c>
      <c r="AX30" s="6">
        <v>50</v>
      </c>
      <c r="AY30" s="6">
        <v>88</v>
      </c>
      <c r="AZ30" s="6">
        <v>112</v>
      </c>
      <c r="BA30" s="6">
        <v>77</v>
      </c>
      <c r="BB30" s="6">
        <v>69</v>
      </c>
      <c r="BC30" s="6">
        <v>55</v>
      </c>
      <c r="BD30" s="6">
        <v>85</v>
      </c>
      <c r="BE30" s="6">
        <v>40</v>
      </c>
      <c r="BF30" s="6">
        <v>67</v>
      </c>
      <c r="BG30" s="6">
        <v>85</v>
      </c>
      <c r="BK30" s="6">
        <v>46</v>
      </c>
      <c r="BL30" s="6">
        <v>45</v>
      </c>
      <c r="BM30" s="6">
        <v>62</v>
      </c>
      <c r="BN30" s="6">
        <v>3</v>
      </c>
      <c r="BO30" s="6">
        <v>41</v>
      </c>
      <c r="BP30" s="6">
        <v>53</v>
      </c>
      <c r="BQ30" s="6">
        <v>52</v>
      </c>
      <c r="BR30" s="6">
        <v>97</v>
      </c>
      <c r="BS30" s="6">
        <v>12</v>
      </c>
      <c r="BT30" s="6">
        <v>50</v>
      </c>
      <c r="BU30" s="6">
        <v>46</v>
      </c>
      <c r="BV30" s="6">
        <v>69</v>
      </c>
      <c r="BW30" s="6">
        <v>71</v>
      </c>
      <c r="BX30" s="6">
        <v>44</v>
      </c>
      <c r="BY30" s="6">
        <v>75</v>
      </c>
      <c r="BZ30" s="6">
        <v>18</v>
      </c>
      <c r="CA30" s="6">
        <v>90</v>
      </c>
      <c r="CB30" s="6">
        <v>75</v>
      </c>
      <c r="CC30" s="6">
        <v>75</v>
      </c>
      <c r="CD30" s="6">
        <v>98</v>
      </c>
      <c r="CE30" s="6">
        <v>66</v>
      </c>
      <c r="CF30" s="6">
        <v>80</v>
      </c>
      <c r="CG30" s="6">
        <v>79</v>
      </c>
      <c r="CH30" s="6">
        <v>85</v>
      </c>
      <c r="CI30" s="6">
        <v>12</v>
      </c>
      <c r="CJ30" s="6">
        <v>54</v>
      </c>
      <c r="CK30" s="6">
        <v>68</v>
      </c>
      <c r="CO30" s="6">
        <v>43</v>
      </c>
      <c r="CP30" s="6">
        <v>42</v>
      </c>
      <c r="CQ30" s="6">
        <v>52</v>
      </c>
      <c r="CR30" s="6">
        <v>2</v>
      </c>
      <c r="CS30" s="6">
        <v>45</v>
      </c>
      <c r="CT30" s="6">
        <v>56</v>
      </c>
      <c r="CU30" s="6">
        <v>52</v>
      </c>
      <c r="CV30" s="6">
        <v>103</v>
      </c>
      <c r="CW30" s="6">
        <v>17</v>
      </c>
      <c r="CX30" s="6">
        <v>47</v>
      </c>
      <c r="CY30" s="6">
        <v>38</v>
      </c>
      <c r="CZ30" s="6">
        <v>63</v>
      </c>
      <c r="DA30" s="6">
        <v>63</v>
      </c>
      <c r="DB30" s="6">
        <v>38</v>
      </c>
      <c r="DC30" s="6">
        <v>72</v>
      </c>
      <c r="DD30" s="6">
        <v>36</v>
      </c>
      <c r="DE30" s="6">
        <v>91</v>
      </c>
      <c r="DF30" s="6">
        <v>80</v>
      </c>
      <c r="DG30" s="6">
        <v>73</v>
      </c>
      <c r="DH30" s="6">
        <v>95</v>
      </c>
      <c r="DI30" s="6">
        <v>61</v>
      </c>
      <c r="DJ30" s="6">
        <v>75</v>
      </c>
      <c r="DK30" s="6">
        <v>81</v>
      </c>
      <c r="DL30" s="6">
        <v>85</v>
      </c>
      <c r="DM30" s="6">
        <v>20</v>
      </c>
      <c r="DN30" s="6">
        <v>45</v>
      </c>
      <c r="DO30" s="6">
        <v>66</v>
      </c>
      <c r="DS30" s="12">
        <v>26</v>
      </c>
      <c r="DT30" s="6">
        <v>58</v>
      </c>
      <c r="DU30" s="6">
        <v>66</v>
      </c>
      <c r="DV30" s="6">
        <v>86</v>
      </c>
      <c r="DW30" s="6">
        <v>36</v>
      </c>
      <c r="DX30" s="6">
        <v>40</v>
      </c>
      <c r="DY30" s="6">
        <v>37</v>
      </c>
      <c r="DZ30" s="6">
        <v>49</v>
      </c>
      <c r="EA30" s="6">
        <v>83</v>
      </c>
      <c r="EB30" s="6">
        <v>35</v>
      </c>
      <c r="EC30" s="6">
        <v>67</v>
      </c>
      <c r="ED30" s="6">
        <v>63</v>
      </c>
      <c r="EE30" s="6">
        <v>90</v>
      </c>
      <c r="EF30" s="6">
        <v>80</v>
      </c>
      <c r="EG30" s="6">
        <v>59</v>
      </c>
      <c r="EH30" s="6">
        <v>115</v>
      </c>
      <c r="EI30" s="6">
        <v>48</v>
      </c>
      <c r="EJ30" s="6">
        <v>104</v>
      </c>
      <c r="EK30" s="6">
        <v>51</v>
      </c>
      <c r="EL30" s="6">
        <v>90</v>
      </c>
      <c r="EM30" s="6">
        <v>98</v>
      </c>
      <c r="EN30" s="6">
        <v>67</v>
      </c>
      <c r="EO30" s="6">
        <v>55</v>
      </c>
      <c r="EP30" s="6">
        <v>59</v>
      </c>
      <c r="EQ30" s="6">
        <v>83</v>
      </c>
      <c r="ER30" s="6">
        <v>55</v>
      </c>
      <c r="ES30" s="6">
        <v>89</v>
      </c>
      <c r="ET30" s="6">
        <v>78</v>
      </c>
      <c r="EX30" s="7">
        <v>26</v>
      </c>
      <c r="EY30" s="6">
        <v>55</v>
      </c>
      <c r="EZ30" s="6">
        <v>74</v>
      </c>
      <c r="FA30" s="6">
        <v>90</v>
      </c>
      <c r="FB30" s="6">
        <v>33</v>
      </c>
      <c r="FC30" s="6">
        <v>42</v>
      </c>
      <c r="FD30" s="6">
        <v>36</v>
      </c>
      <c r="FE30" s="6">
        <v>44</v>
      </c>
      <c r="FF30" s="6">
        <v>77</v>
      </c>
      <c r="FG30" s="6">
        <v>35</v>
      </c>
      <c r="FH30" s="6">
        <v>64</v>
      </c>
      <c r="FI30" s="6">
        <v>57</v>
      </c>
      <c r="FJ30" s="6">
        <v>92</v>
      </c>
      <c r="FK30" s="6">
        <v>78</v>
      </c>
      <c r="FL30" s="6">
        <v>59</v>
      </c>
      <c r="FM30" s="6">
        <v>85</v>
      </c>
      <c r="FN30" s="6">
        <v>51</v>
      </c>
      <c r="FO30" s="6">
        <v>95</v>
      </c>
      <c r="FP30" s="6">
        <v>51</v>
      </c>
      <c r="FQ30" s="6">
        <v>91</v>
      </c>
      <c r="FR30" s="6">
        <v>94</v>
      </c>
      <c r="FS30" s="6">
        <v>65</v>
      </c>
      <c r="FT30" s="6">
        <v>57</v>
      </c>
      <c r="FU30" s="6">
        <v>55</v>
      </c>
      <c r="FV30" s="6">
        <v>77</v>
      </c>
      <c r="FW30" s="6">
        <v>59</v>
      </c>
      <c r="FX30" s="6">
        <v>86</v>
      </c>
      <c r="FY30" s="6">
        <v>80</v>
      </c>
      <c r="GC30" s="7">
        <v>26</v>
      </c>
      <c r="GD30" s="6">
        <v>67</v>
      </c>
      <c r="GE30" s="6">
        <v>60</v>
      </c>
      <c r="GF30" s="6">
        <v>74</v>
      </c>
      <c r="GG30" s="6">
        <v>33</v>
      </c>
      <c r="GH30" s="6">
        <v>5</v>
      </c>
      <c r="GI30" s="6">
        <v>37</v>
      </c>
      <c r="GJ30" s="6">
        <v>61</v>
      </c>
      <c r="GK30" s="6">
        <v>81</v>
      </c>
      <c r="GL30" s="6">
        <v>36</v>
      </c>
      <c r="GM30" s="6">
        <v>72</v>
      </c>
      <c r="GN30" s="6">
        <v>71</v>
      </c>
      <c r="GO30" s="6">
        <v>72</v>
      </c>
      <c r="GP30" s="6">
        <v>75</v>
      </c>
      <c r="GQ30" s="6">
        <v>48</v>
      </c>
      <c r="GR30" s="6">
        <v>75</v>
      </c>
      <c r="GS30" s="6">
        <v>43</v>
      </c>
      <c r="GT30" s="6">
        <v>83</v>
      </c>
      <c r="GU30" s="6">
        <v>60</v>
      </c>
      <c r="GV30" s="6">
        <v>92</v>
      </c>
      <c r="GW30" s="6">
        <v>82</v>
      </c>
      <c r="GX30" s="6">
        <v>60</v>
      </c>
      <c r="GY30" s="6">
        <v>55</v>
      </c>
      <c r="GZ30" s="6">
        <v>62</v>
      </c>
      <c r="HA30" s="6">
        <v>80</v>
      </c>
      <c r="HB30" s="6">
        <v>53</v>
      </c>
      <c r="HC30" s="6">
        <v>83</v>
      </c>
      <c r="HD30" s="6">
        <v>80</v>
      </c>
      <c r="HH30" s="7">
        <v>26</v>
      </c>
      <c r="HI30" s="6">
        <v>51</v>
      </c>
      <c r="HJ30" s="6">
        <v>58</v>
      </c>
      <c r="HK30" s="6">
        <v>81</v>
      </c>
      <c r="HL30" s="6">
        <v>34</v>
      </c>
      <c r="HM30" s="6">
        <v>43</v>
      </c>
      <c r="HN30" s="6">
        <v>43</v>
      </c>
      <c r="HO30" s="6">
        <v>46</v>
      </c>
      <c r="HP30" s="6">
        <v>88</v>
      </c>
      <c r="HQ30" s="6">
        <v>32</v>
      </c>
      <c r="HR30" s="6">
        <v>65</v>
      </c>
      <c r="HS30" s="6">
        <v>58</v>
      </c>
      <c r="HT30" s="6">
        <v>92</v>
      </c>
      <c r="HU30" s="6">
        <v>72</v>
      </c>
      <c r="HV30" s="6">
        <v>49</v>
      </c>
      <c r="HW30" s="6">
        <v>85</v>
      </c>
      <c r="HX30" s="6">
        <v>46</v>
      </c>
      <c r="HY30" s="6">
        <v>88</v>
      </c>
      <c r="HZ30" s="6">
        <v>57</v>
      </c>
      <c r="IA30" s="6">
        <v>90</v>
      </c>
      <c r="IB30" s="6">
        <v>87</v>
      </c>
      <c r="IC30" s="6">
        <v>55</v>
      </c>
      <c r="ID30" s="6">
        <v>60</v>
      </c>
      <c r="IE30" s="6">
        <v>60</v>
      </c>
      <c r="IF30" s="6">
        <v>77</v>
      </c>
      <c r="IG30" s="6">
        <v>52</v>
      </c>
      <c r="IH30" s="6">
        <v>88</v>
      </c>
      <c r="II30" s="6">
        <v>75</v>
      </c>
    </row>
    <row r="31" spans="2:245" x14ac:dyDescent="0.25">
      <c r="B31" s="13">
        <v>27</v>
      </c>
      <c r="C31" s="6">
        <v>54</v>
      </c>
      <c r="D31" s="6">
        <v>62</v>
      </c>
      <c r="E31" s="6">
        <v>76</v>
      </c>
      <c r="F31" s="6">
        <v>9</v>
      </c>
      <c r="G31" s="6">
        <v>24</v>
      </c>
      <c r="H31" s="6">
        <v>34</v>
      </c>
      <c r="I31" s="6">
        <v>47</v>
      </c>
      <c r="J31" s="6">
        <v>103</v>
      </c>
      <c r="K31" s="6">
        <v>14</v>
      </c>
      <c r="L31" s="6">
        <v>57</v>
      </c>
      <c r="M31" s="6">
        <v>58</v>
      </c>
      <c r="N31" s="6">
        <v>85</v>
      </c>
      <c r="O31" s="6">
        <v>82</v>
      </c>
      <c r="P31" s="6">
        <v>61</v>
      </c>
      <c r="Q31" s="6">
        <v>111</v>
      </c>
      <c r="R31" s="6">
        <v>40</v>
      </c>
      <c r="S31" s="6">
        <v>105</v>
      </c>
      <c r="T31" s="6">
        <v>61</v>
      </c>
      <c r="U31" s="6">
        <v>94</v>
      </c>
      <c r="V31" s="6">
        <v>114</v>
      </c>
      <c r="W31" s="6">
        <v>92</v>
      </c>
      <c r="X31" s="6">
        <v>82</v>
      </c>
      <c r="Y31" s="6">
        <v>64</v>
      </c>
      <c r="Z31" s="6">
        <v>85</v>
      </c>
      <c r="AA31" s="6">
        <v>36</v>
      </c>
      <c r="AB31" s="6">
        <v>73</v>
      </c>
      <c r="AC31" s="6">
        <v>81</v>
      </c>
      <c r="AG31" s="6">
        <v>51</v>
      </c>
      <c r="AH31" s="6">
        <v>59</v>
      </c>
      <c r="AI31" s="6">
        <v>65</v>
      </c>
      <c r="AJ31" s="6">
        <v>4</v>
      </c>
      <c r="AK31" s="6">
        <v>24</v>
      </c>
      <c r="AL31" s="6">
        <v>37</v>
      </c>
      <c r="AM31" s="6">
        <v>42</v>
      </c>
      <c r="AN31" s="6">
        <v>98</v>
      </c>
      <c r="AO31" s="6">
        <v>8</v>
      </c>
      <c r="AP31" s="6">
        <v>54</v>
      </c>
      <c r="AQ31" s="6">
        <v>53</v>
      </c>
      <c r="AR31" s="6">
        <v>84</v>
      </c>
      <c r="AS31" s="6">
        <v>77</v>
      </c>
      <c r="AT31" s="6">
        <v>61</v>
      </c>
      <c r="AU31" s="6">
        <v>110</v>
      </c>
      <c r="AV31" s="6">
        <v>55</v>
      </c>
      <c r="AW31" s="6">
        <v>100</v>
      </c>
      <c r="AX31" s="6">
        <v>54</v>
      </c>
      <c r="AY31" s="6">
        <v>98</v>
      </c>
      <c r="AZ31" s="6">
        <v>112</v>
      </c>
      <c r="BA31" s="6">
        <v>80</v>
      </c>
      <c r="BB31" s="6">
        <v>70</v>
      </c>
      <c r="BC31" s="6">
        <v>59</v>
      </c>
      <c r="BD31" s="6">
        <v>89</v>
      </c>
      <c r="BE31" s="6">
        <v>43</v>
      </c>
      <c r="BF31" s="6">
        <v>70</v>
      </c>
      <c r="BG31" s="6">
        <v>89</v>
      </c>
      <c r="BK31" s="6">
        <v>48</v>
      </c>
      <c r="BL31" s="6">
        <v>46</v>
      </c>
      <c r="BM31" s="6">
        <v>64</v>
      </c>
      <c r="BN31" s="6">
        <v>3</v>
      </c>
      <c r="BO31" s="6">
        <v>42</v>
      </c>
      <c r="BP31" s="6">
        <v>56</v>
      </c>
      <c r="BQ31" s="6">
        <v>55</v>
      </c>
      <c r="BR31" s="6">
        <v>102</v>
      </c>
      <c r="BS31" s="6">
        <v>15</v>
      </c>
      <c r="BT31" s="6">
        <v>51</v>
      </c>
      <c r="BU31" s="6">
        <v>47</v>
      </c>
      <c r="BV31" s="6">
        <v>71</v>
      </c>
      <c r="BW31" s="6">
        <v>73</v>
      </c>
      <c r="BX31" s="6">
        <v>45</v>
      </c>
      <c r="BY31" s="6">
        <v>79</v>
      </c>
      <c r="BZ31" s="6">
        <v>23</v>
      </c>
      <c r="CA31" s="6">
        <v>93</v>
      </c>
      <c r="CB31" s="6">
        <v>79</v>
      </c>
      <c r="CC31" s="6">
        <v>78</v>
      </c>
      <c r="CD31" s="6">
        <v>102</v>
      </c>
      <c r="CE31" s="6">
        <v>68</v>
      </c>
      <c r="CF31" s="6">
        <v>81</v>
      </c>
      <c r="CG31" s="6">
        <v>83</v>
      </c>
      <c r="CH31" s="6">
        <v>91</v>
      </c>
      <c r="CI31" s="6">
        <v>13</v>
      </c>
      <c r="CJ31" s="6">
        <v>55</v>
      </c>
      <c r="CK31" s="6">
        <v>69</v>
      </c>
      <c r="CO31" s="6">
        <v>45</v>
      </c>
      <c r="CP31" s="6">
        <v>44</v>
      </c>
      <c r="CQ31" s="6">
        <v>54</v>
      </c>
      <c r="CR31" s="6">
        <v>3</v>
      </c>
      <c r="CS31" s="6">
        <v>46</v>
      </c>
      <c r="CT31" s="6">
        <v>59</v>
      </c>
      <c r="CU31" s="6">
        <v>54</v>
      </c>
      <c r="CV31" s="6">
        <v>105</v>
      </c>
      <c r="CW31" s="6">
        <v>20</v>
      </c>
      <c r="CX31" s="6">
        <v>50</v>
      </c>
      <c r="CY31" s="6">
        <v>40</v>
      </c>
      <c r="CZ31" s="6">
        <v>64</v>
      </c>
      <c r="DA31" s="6">
        <v>65</v>
      </c>
      <c r="DB31" s="6">
        <v>40</v>
      </c>
      <c r="DC31" s="6">
        <v>75</v>
      </c>
      <c r="DD31" s="6">
        <v>40</v>
      </c>
      <c r="DE31" s="6">
        <v>93</v>
      </c>
      <c r="DF31" s="6">
        <v>83</v>
      </c>
      <c r="DG31" s="6">
        <v>75</v>
      </c>
      <c r="DH31" s="6">
        <v>100</v>
      </c>
      <c r="DI31" s="6">
        <v>62</v>
      </c>
      <c r="DJ31" s="6">
        <v>78</v>
      </c>
      <c r="DK31" s="6">
        <v>85</v>
      </c>
      <c r="DL31" s="6">
        <v>92</v>
      </c>
      <c r="DM31" s="6">
        <v>21</v>
      </c>
      <c r="DN31" s="6">
        <v>47</v>
      </c>
      <c r="DO31" s="6">
        <v>67</v>
      </c>
      <c r="DS31" s="12">
        <v>27</v>
      </c>
      <c r="DT31" s="6">
        <v>59</v>
      </c>
      <c r="DU31" s="6">
        <v>69</v>
      </c>
      <c r="DV31" s="6">
        <v>86</v>
      </c>
      <c r="DW31" s="6">
        <v>36</v>
      </c>
      <c r="DX31" s="6">
        <v>40</v>
      </c>
      <c r="DY31" s="6">
        <v>39</v>
      </c>
      <c r="DZ31" s="6">
        <v>50</v>
      </c>
      <c r="EA31" s="6">
        <v>85</v>
      </c>
      <c r="EB31" s="6">
        <v>36</v>
      </c>
      <c r="EC31" s="6">
        <v>71</v>
      </c>
      <c r="ED31" s="6">
        <v>71</v>
      </c>
      <c r="EE31" s="6">
        <v>91</v>
      </c>
      <c r="EF31" s="6">
        <v>82</v>
      </c>
      <c r="EG31" s="6">
        <v>61</v>
      </c>
      <c r="EH31" s="6">
        <v>115</v>
      </c>
      <c r="EI31" s="6">
        <v>50</v>
      </c>
      <c r="EJ31" s="6">
        <v>107</v>
      </c>
      <c r="EK31" s="6">
        <v>5</v>
      </c>
      <c r="EL31" s="6">
        <v>91</v>
      </c>
      <c r="EM31" s="6">
        <v>103</v>
      </c>
      <c r="EN31" s="6">
        <v>69</v>
      </c>
      <c r="EO31" s="6">
        <v>57</v>
      </c>
      <c r="EP31" s="6">
        <v>61</v>
      </c>
      <c r="EQ31" s="6">
        <v>85</v>
      </c>
      <c r="ER31" s="6">
        <v>57</v>
      </c>
      <c r="ES31" s="6">
        <v>90</v>
      </c>
      <c r="ET31" s="6">
        <v>79</v>
      </c>
      <c r="EX31" s="7">
        <v>27</v>
      </c>
      <c r="EY31" s="6">
        <v>55</v>
      </c>
      <c r="EZ31" s="6">
        <v>75</v>
      </c>
      <c r="FA31" s="6">
        <v>90</v>
      </c>
      <c r="FB31" s="6">
        <v>35</v>
      </c>
      <c r="FC31" s="6">
        <v>42</v>
      </c>
      <c r="FD31" s="6">
        <v>38</v>
      </c>
      <c r="FE31" s="6">
        <v>48</v>
      </c>
      <c r="FF31" s="6">
        <v>80</v>
      </c>
      <c r="FG31" s="6">
        <v>35</v>
      </c>
      <c r="FH31" s="6">
        <v>64</v>
      </c>
      <c r="FI31" s="6">
        <v>57</v>
      </c>
      <c r="FJ31" s="6">
        <v>93</v>
      </c>
      <c r="FK31" s="6">
        <v>79</v>
      </c>
      <c r="FL31" s="6">
        <v>61</v>
      </c>
      <c r="FM31" s="6">
        <v>95</v>
      </c>
      <c r="FN31" s="6">
        <v>56</v>
      </c>
      <c r="FO31" s="6">
        <v>100</v>
      </c>
      <c r="FP31" s="6">
        <v>53</v>
      </c>
      <c r="FQ31" s="6">
        <v>92</v>
      </c>
      <c r="FR31" s="6">
        <v>98</v>
      </c>
      <c r="FS31" s="6">
        <v>67</v>
      </c>
      <c r="FT31" s="6">
        <v>59</v>
      </c>
      <c r="FU31" s="6">
        <v>57</v>
      </c>
      <c r="FV31" s="6">
        <v>79</v>
      </c>
      <c r="FW31" s="6">
        <v>61</v>
      </c>
      <c r="FX31" s="6">
        <v>88</v>
      </c>
      <c r="FY31" s="6">
        <v>81</v>
      </c>
      <c r="GC31" s="7">
        <v>27</v>
      </c>
      <c r="GD31" s="6">
        <v>8</v>
      </c>
      <c r="GE31" s="6">
        <v>70</v>
      </c>
      <c r="GF31" s="6">
        <v>75</v>
      </c>
      <c r="GG31" s="6">
        <v>38</v>
      </c>
      <c r="GH31" s="6">
        <v>53</v>
      </c>
      <c r="GI31" s="6">
        <v>40</v>
      </c>
      <c r="GJ31" s="6">
        <v>61</v>
      </c>
      <c r="GK31" s="6">
        <v>82</v>
      </c>
      <c r="GL31" s="6">
        <v>36</v>
      </c>
      <c r="GM31" s="6">
        <v>72</v>
      </c>
      <c r="GN31" s="6">
        <v>72</v>
      </c>
      <c r="GO31" s="6">
        <v>75</v>
      </c>
      <c r="GP31" s="6">
        <v>77</v>
      </c>
      <c r="GQ31" s="6">
        <v>50</v>
      </c>
      <c r="GR31" s="6">
        <v>80</v>
      </c>
      <c r="GS31" s="6">
        <v>44</v>
      </c>
      <c r="GT31" s="6">
        <v>84</v>
      </c>
      <c r="GU31" s="6">
        <v>63</v>
      </c>
      <c r="GV31" s="6">
        <v>93</v>
      </c>
      <c r="GW31" s="6">
        <v>84</v>
      </c>
      <c r="GX31" s="6">
        <v>63</v>
      </c>
      <c r="GY31" s="6">
        <v>57</v>
      </c>
      <c r="GZ31" s="6">
        <v>65</v>
      </c>
      <c r="HA31" s="6">
        <v>82</v>
      </c>
      <c r="HB31" s="6">
        <v>56</v>
      </c>
      <c r="HC31" s="6">
        <v>84</v>
      </c>
      <c r="HD31" s="6">
        <v>82</v>
      </c>
      <c r="HH31" s="7">
        <v>27</v>
      </c>
      <c r="HI31" s="6">
        <v>51</v>
      </c>
      <c r="HJ31" s="6">
        <v>61</v>
      </c>
      <c r="HK31" s="6">
        <v>85</v>
      </c>
      <c r="HL31" s="6">
        <v>35</v>
      </c>
      <c r="HM31" s="6">
        <v>43</v>
      </c>
      <c r="HN31" s="6">
        <v>43</v>
      </c>
      <c r="HO31" s="6">
        <v>49</v>
      </c>
      <c r="HP31" s="6">
        <v>89</v>
      </c>
      <c r="HQ31" s="6">
        <v>35</v>
      </c>
      <c r="HR31" s="6">
        <v>66</v>
      </c>
      <c r="HS31" s="6">
        <v>62</v>
      </c>
      <c r="HT31" s="6">
        <v>95</v>
      </c>
      <c r="HU31" s="6">
        <v>75</v>
      </c>
      <c r="HV31" s="6">
        <v>51</v>
      </c>
      <c r="HW31" s="6">
        <v>88</v>
      </c>
      <c r="HX31" s="6">
        <v>47</v>
      </c>
      <c r="HY31" s="6">
        <v>95</v>
      </c>
      <c r="HZ31" s="6">
        <v>59</v>
      </c>
      <c r="IA31" s="6">
        <v>92</v>
      </c>
      <c r="IB31" s="6">
        <v>91</v>
      </c>
      <c r="IC31" s="6">
        <v>57</v>
      </c>
      <c r="ID31" s="6">
        <v>63</v>
      </c>
      <c r="IE31" s="6">
        <v>63</v>
      </c>
      <c r="IF31" s="6">
        <v>80</v>
      </c>
      <c r="IG31" s="6">
        <v>54</v>
      </c>
      <c r="IH31" s="6">
        <v>89</v>
      </c>
      <c r="II31" s="6">
        <v>78</v>
      </c>
    </row>
    <row r="32" spans="2:245" x14ac:dyDescent="0.25">
      <c r="B32" s="13">
        <v>28</v>
      </c>
      <c r="C32" s="6">
        <v>56</v>
      </c>
      <c r="D32" s="6">
        <v>63</v>
      </c>
      <c r="E32" s="6">
        <v>77</v>
      </c>
      <c r="F32" s="6">
        <v>10</v>
      </c>
      <c r="G32" s="6">
        <v>26</v>
      </c>
      <c r="H32" s="6">
        <v>37</v>
      </c>
      <c r="I32" s="6">
        <v>48</v>
      </c>
      <c r="J32" s="6">
        <v>105</v>
      </c>
      <c r="K32" s="6">
        <v>15</v>
      </c>
      <c r="L32" s="6">
        <v>60</v>
      </c>
      <c r="M32" s="6">
        <v>60</v>
      </c>
      <c r="N32" s="6">
        <v>90</v>
      </c>
      <c r="O32" s="6">
        <v>85</v>
      </c>
      <c r="P32" s="6">
        <v>62</v>
      </c>
      <c r="Q32" s="6">
        <v>111</v>
      </c>
      <c r="R32" s="6">
        <v>44</v>
      </c>
      <c r="S32" s="6">
        <v>109</v>
      </c>
      <c r="T32" s="6">
        <v>65</v>
      </c>
      <c r="U32" s="6">
        <v>97</v>
      </c>
      <c r="V32" s="6">
        <v>114</v>
      </c>
      <c r="W32" s="6">
        <v>95</v>
      </c>
      <c r="X32" s="6">
        <v>83</v>
      </c>
      <c r="Y32" s="6">
        <v>68</v>
      </c>
      <c r="Z32" s="6">
        <v>89</v>
      </c>
      <c r="AA32" s="6">
        <v>40</v>
      </c>
      <c r="AB32" s="6">
        <v>74</v>
      </c>
      <c r="AC32" s="6">
        <v>84</v>
      </c>
      <c r="AG32" s="6">
        <v>53</v>
      </c>
      <c r="AH32" s="6">
        <v>60</v>
      </c>
      <c r="AI32" s="6">
        <v>67</v>
      </c>
      <c r="AJ32" s="6">
        <v>6</v>
      </c>
      <c r="AK32" s="6">
        <v>27</v>
      </c>
      <c r="AL32" s="6">
        <v>40</v>
      </c>
      <c r="AM32" s="6">
        <v>45</v>
      </c>
      <c r="AN32" s="6">
        <v>105</v>
      </c>
      <c r="AO32" s="6">
        <v>10</v>
      </c>
      <c r="AP32" s="6">
        <v>56</v>
      </c>
      <c r="AQ32" s="6">
        <v>55</v>
      </c>
      <c r="AR32" s="6">
        <v>85</v>
      </c>
      <c r="AS32" s="6">
        <v>83</v>
      </c>
      <c r="AT32" s="6">
        <v>62</v>
      </c>
      <c r="AU32" s="6">
        <v>110</v>
      </c>
      <c r="AV32" s="6">
        <v>59</v>
      </c>
      <c r="AW32" s="6">
        <v>105</v>
      </c>
      <c r="AX32" s="6">
        <v>60</v>
      </c>
      <c r="AY32" s="6">
        <v>101</v>
      </c>
      <c r="AZ32" s="6">
        <v>112</v>
      </c>
      <c r="BA32" s="6">
        <v>85</v>
      </c>
      <c r="BB32" s="6">
        <v>71</v>
      </c>
      <c r="BC32" s="6">
        <v>62</v>
      </c>
      <c r="BD32" s="6">
        <v>96</v>
      </c>
      <c r="BE32" s="6">
        <v>45</v>
      </c>
      <c r="BF32" s="6">
        <v>72</v>
      </c>
      <c r="BG32" s="6">
        <v>96</v>
      </c>
      <c r="BK32" s="6">
        <v>49</v>
      </c>
      <c r="BL32" s="6">
        <v>47</v>
      </c>
      <c r="BM32" s="6">
        <v>66</v>
      </c>
      <c r="BN32" s="6">
        <v>4</v>
      </c>
      <c r="BO32" s="6">
        <v>43</v>
      </c>
      <c r="BP32" s="6">
        <v>59</v>
      </c>
      <c r="BQ32" s="6">
        <v>58</v>
      </c>
      <c r="BR32" s="6">
        <v>104</v>
      </c>
      <c r="BS32" s="6">
        <v>16</v>
      </c>
      <c r="BT32" s="6">
        <v>54</v>
      </c>
      <c r="BU32" s="6">
        <v>48</v>
      </c>
      <c r="BV32" s="6">
        <v>73</v>
      </c>
      <c r="BW32" s="6">
        <v>75</v>
      </c>
      <c r="BX32" s="6">
        <v>46</v>
      </c>
      <c r="BY32" s="6">
        <v>85</v>
      </c>
      <c r="BZ32" s="6">
        <v>28</v>
      </c>
      <c r="CA32" s="6">
        <v>99</v>
      </c>
      <c r="CB32" s="6">
        <v>81</v>
      </c>
      <c r="CC32" s="6">
        <v>81</v>
      </c>
      <c r="CD32" s="6">
        <v>103</v>
      </c>
      <c r="CE32" s="6">
        <v>70</v>
      </c>
      <c r="CF32" s="6">
        <v>82</v>
      </c>
      <c r="CG32" s="6">
        <v>85</v>
      </c>
      <c r="CH32" s="6">
        <v>95</v>
      </c>
      <c r="CI32" s="6">
        <v>16</v>
      </c>
      <c r="CJ32" s="6">
        <v>57</v>
      </c>
      <c r="CK32" s="6">
        <v>70</v>
      </c>
      <c r="CO32" s="6">
        <v>46</v>
      </c>
      <c r="CP32" s="6">
        <v>46</v>
      </c>
      <c r="CQ32" s="6">
        <v>57</v>
      </c>
      <c r="CR32" s="6">
        <v>3</v>
      </c>
      <c r="CS32" s="6">
        <v>47</v>
      </c>
      <c r="CT32" s="6">
        <v>62</v>
      </c>
      <c r="CU32" s="6">
        <v>57</v>
      </c>
      <c r="CV32" s="6">
        <v>106</v>
      </c>
      <c r="CW32" s="6">
        <v>21</v>
      </c>
      <c r="CX32" s="6">
        <v>53</v>
      </c>
      <c r="CY32" s="6">
        <v>41</v>
      </c>
      <c r="CZ32" s="6">
        <v>69</v>
      </c>
      <c r="DA32" s="6">
        <v>68</v>
      </c>
      <c r="DB32" s="6">
        <v>41</v>
      </c>
      <c r="DC32" s="6">
        <v>85</v>
      </c>
      <c r="DD32" s="6">
        <v>42</v>
      </c>
      <c r="DE32" s="6">
        <v>99</v>
      </c>
      <c r="DF32" s="6">
        <v>85</v>
      </c>
      <c r="DG32" s="6">
        <v>80</v>
      </c>
      <c r="DH32" s="6">
        <v>102</v>
      </c>
      <c r="DI32" s="6">
        <v>63</v>
      </c>
      <c r="DJ32" s="6">
        <v>80</v>
      </c>
      <c r="DK32" s="6">
        <v>92</v>
      </c>
      <c r="DL32" s="6">
        <v>97</v>
      </c>
      <c r="DM32" s="6">
        <v>22</v>
      </c>
      <c r="DN32" s="6">
        <v>48</v>
      </c>
      <c r="DO32" s="6">
        <v>69</v>
      </c>
      <c r="DS32" s="12">
        <v>28</v>
      </c>
      <c r="DT32" s="6">
        <v>67</v>
      </c>
      <c r="DU32" s="6">
        <v>69</v>
      </c>
      <c r="DV32" s="6">
        <v>92</v>
      </c>
      <c r="DW32" s="6">
        <v>39</v>
      </c>
      <c r="DX32" s="6">
        <v>41</v>
      </c>
      <c r="DY32" s="6">
        <v>39</v>
      </c>
      <c r="DZ32" s="6">
        <v>55</v>
      </c>
      <c r="EA32" s="6">
        <v>88</v>
      </c>
      <c r="EB32" s="6">
        <v>36</v>
      </c>
      <c r="EC32" s="6">
        <v>71</v>
      </c>
      <c r="ED32" s="6">
        <v>72</v>
      </c>
      <c r="EE32" s="6">
        <v>93</v>
      </c>
      <c r="EF32" s="6">
        <v>85</v>
      </c>
      <c r="EG32" s="6">
        <v>63</v>
      </c>
      <c r="EH32" s="6">
        <v>115</v>
      </c>
      <c r="EI32" s="6">
        <v>52</v>
      </c>
      <c r="EJ32" s="6">
        <v>109</v>
      </c>
      <c r="EK32" s="6">
        <v>54</v>
      </c>
      <c r="EL32" s="6">
        <v>92</v>
      </c>
      <c r="EM32" s="6">
        <v>107</v>
      </c>
      <c r="EN32" s="6">
        <v>72</v>
      </c>
      <c r="EO32" s="6">
        <v>59</v>
      </c>
      <c r="EP32" s="6">
        <v>63</v>
      </c>
      <c r="EQ32" s="6">
        <v>89</v>
      </c>
      <c r="ER32" s="6">
        <v>59</v>
      </c>
      <c r="ES32" s="6">
        <v>92</v>
      </c>
      <c r="ET32" s="6">
        <v>80</v>
      </c>
      <c r="EX32" s="7">
        <v>28</v>
      </c>
      <c r="EY32" s="6">
        <v>60</v>
      </c>
      <c r="EZ32" s="6">
        <v>78</v>
      </c>
      <c r="FA32" s="6">
        <v>90</v>
      </c>
      <c r="FB32" s="6">
        <v>35</v>
      </c>
      <c r="FC32" s="6">
        <v>42</v>
      </c>
      <c r="FD32" s="6">
        <v>42</v>
      </c>
      <c r="FE32" s="6">
        <v>48</v>
      </c>
      <c r="FF32" s="6">
        <v>82</v>
      </c>
      <c r="FG32" s="6">
        <v>35</v>
      </c>
      <c r="FH32" s="6">
        <v>69</v>
      </c>
      <c r="FI32" s="6">
        <v>65</v>
      </c>
      <c r="FJ32" s="6">
        <v>95</v>
      </c>
      <c r="FK32" s="6">
        <v>81</v>
      </c>
      <c r="FL32" s="6">
        <v>63</v>
      </c>
      <c r="FM32" s="6">
        <v>105</v>
      </c>
      <c r="FN32" s="6">
        <v>54</v>
      </c>
      <c r="FO32" s="6">
        <v>105</v>
      </c>
      <c r="FP32" s="6">
        <v>54</v>
      </c>
      <c r="FQ32" s="6">
        <v>94</v>
      </c>
      <c r="FR32" s="6">
        <v>101</v>
      </c>
      <c r="FS32" s="6">
        <v>70</v>
      </c>
      <c r="FT32" s="6">
        <v>61</v>
      </c>
      <c r="FU32" s="6">
        <v>59</v>
      </c>
      <c r="FV32" s="6">
        <v>81</v>
      </c>
      <c r="FW32" s="6">
        <v>63</v>
      </c>
      <c r="FX32" s="6">
        <v>90</v>
      </c>
      <c r="FY32" s="6">
        <v>82</v>
      </c>
      <c r="GC32" s="7">
        <v>28</v>
      </c>
      <c r="GD32" s="6">
        <v>68</v>
      </c>
      <c r="GE32" s="6">
        <v>70</v>
      </c>
      <c r="GF32" s="6">
        <v>79</v>
      </c>
      <c r="GG32" s="6">
        <v>41</v>
      </c>
      <c r="GH32" s="6">
        <v>54</v>
      </c>
      <c r="GI32" s="6">
        <v>40</v>
      </c>
      <c r="GJ32" s="6">
        <v>62</v>
      </c>
      <c r="GK32" s="6">
        <v>83</v>
      </c>
      <c r="GL32" s="6">
        <v>36</v>
      </c>
      <c r="GM32" s="6">
        <v>73</v>
      </c>
      <c r="GN32" s="6">
        <v>72</v>
      </c>
      <c r="GO32" s="6">
        <v>85</v>
      </c>
      <c r="GP32" s="6">
        <v>79</v>
      </c>
      <c r="GQ32" s="6">
        <v>52</v>
      </c>
      <c r="GR32" s="6">
        <v>85</v>
      </c>
      <c r="GS32" s="6">
        <v>46</v>
      </c>
      <c r="GT32" s="6">
        <v>85</v>
      </c>
      <c r="GU32" s="6">
        <v>65</v>
      </c>
      <c r="GV32" s="6">
        <v>94</v>
      </c>
      <c r="GW32" s="6">
        <v>85</v>
      </c>
      <c r="GX32" s="6">
        <v>65</v>
      </c>
      <c r="GY32" s="6">
        <v>59</v>
      </c>
      <c r="GZ32" s="6">
        <v>67</v>
      </c>
      <c r="HA32" s="6">
        <v>84</v>
      </c>
      <c r="HB32" s="6">
        <v>58</v>
      </c>
      <c r="HC32" s="6">
        <v>85</v>
      </c>
      <c r="HD32" s="6">
        <v>83</v>
      </c>
      <c r="HH32" s="7">
        <v>28</v>
      </c>
      <c r="HI32" s="6">
        <v>52</v>
      </c>
      <c r="HJ32" s="6">
        <v>63</v>
      </c>
      <c r="HK32" s="6">
        <v>86</v>
      </c>
      <c r="HL32" s="6">
        <v>35</v>
      </c>
      <c r="HM32" s="6">
        <v>48</v>
      </c>
      <c r="HN32" s="6">
        <v>46</v>
      </c>
      <c r="HO32" s="6">
        <v>50</v>
      </c>
      <c r="HP32" s="6">
        <v>99</v>
      </c>
      <c r="HQ32" s="6">
        <v>35</v>
      </c>
      <c r="HR32" s="6">
        <v>66</v>
      </c>
      <c r="HS32" s="6">
        <v>62</v>
      </c>
      <c r="HT32" s="6">
        <v>98</v>
      </c>
      <c r="HU32" s="6">
        <v>78</v>
      </c>
      <c r="HV32" s="6">
        <v>53</v>
      </c>
      <c r="HW32" s="6">
        <v>95</v>
      </c>
      <c r="HX32" s="6">
        <v>49</v>
      </c>
      <c r="HY32" s="6">
        <v>100</v>
      </c>
      <c r="HZ32" s="6">
        <v>61</v>
      </c>
      <c r="IA32" s="6">
        <v>94</v>
      </c>
      <c r="IB32" s="6">
        <v>94</v>
      </c>
      <c r="IC32" s="6">
        <v>59</v>
      </c>
      <c r="ID32" s="6">
        <v>65</v>
      </c>
      <c r="IE32" s="6">
        <v>65</v>
      </c>
      <c r="IF32" s="6">
        <v>82</v>
      </c>
      <c r="IG32" s="6">
        <v>56</v>
      </c>
      <c r="IH32" s="6">
        <v>91</v>
      </c>
      <c r="II32" s="6">
        <v>81</v>
      </c>
    </row>
    <row r="33" spans="2:243" x14ac:dyDescent="0.25">
      <c r="B33" s="13">
        <v>29</v>
      </c>
      <c r="C33" s="6">
        <v>59</v>
      </c>
      <c r="D33" s="6">
        <v>65</v>
      </c>
      <c r="E33" s="6">
        <v>78</v>
      </c>
      <c r="F33" s="6">
        <v>11</v>
      </c>
      <c r="G33" s="6">
        <v>28</v>
      </c>
      <c r="H33" s="6">
        <v>40</v>
      </c>
      <c r="I33" s="6">
        <v>49</v>
      </c>
      <c r="J33" s="6">
        <v>105</v>
      </c>
      <c r="K33" s="6">
        <v>18</v>
      </c>
      <c r="L33" s="6">
        <v>63</v>
      </c>
      <c r="M33" s="6">
        <v>62</v>
      </c>
      <c r="N33" s="6">
        <v>97</v>
      </c>
      <c r="O33" s="6">
        <v>91</v>
      </c>
      <c r="P33" s="6">
        <v>65</v>
      </c>
      <c r="Q33" s="6">
        <v>114</v>
      </c>
      <c r="R33" s="6">
        <v>48</v>
      </c>
      <c r="S33" s="6">
        <v>111</v>
      </c>
      <c r="T33" s="6">
        <v>69</v>
      </c>
      <c r="U33" s="6">
        <v>102</v>
      </c>
      <c r="V33" s="6">
        <v>114</v>
      </c>
      <c r="W33" s="6">
        <v>95</v>
      </c>
      <c r="X33" s="6">
        <v>84</v>
      </c>
      <c r="Y33" s="6">
        <v>72</v>
      </c>
      <c r="Z33" s="6">
        <v>93</v>
      </c>
      <c r="AA33" s="6">
        <v>43</v>
      </c>
      <c r="AB33" s="6">
        <v>75</v>
      </c>
      <c r="AC33" s="6">
        <v>85</v>
      </c>
      <c r="AG33" s="6">
        <v>57</v>
      </c>
      <c r="AH33" s="6">
        <v>63</v>
      </c>
      <c r="AI33" s="6">
        <v>71</v>
      </c>
      <c r="AJ33" s="6">
        <v>8</v>
      </c>
      <c r="AK33" s="6">
        <v>29</v>
      </c>
      <c r="AL33" s="6">
        <v>41</v>
      </c>
      <c r="AM33" s="6">
        <v>46</v>
      </c>
      <c r="AN33" s="6">
        <v>110</v>
      </c>
      <c r="AO33" s="6">
        <v>13</v>
      </c>
      <c r="AP33" s="6">
        <v>57</v>
      </c>
      <c r="AQ33" s="6">
        <v>57</v>
      </c>
      <c r="AR33" s="6">
        <v>88</v>
      </c>
      <c r="AS33" s="6">
        <v>85</v>
      </c>
      <c r="AT33" s="6">
        <v>63</v>
      </c>
      <c r="AU33" s="6">
        <v>113</v>
      </c>
      <c r="AV33" s="6">
        <v>63</v>
      </c>
      <c r="AW33" s="6">
        <v>108</v>
      </c>
      <c r="AX33" s="6">
        <v>64</v>
      </c>
      <c r="AY33" s="6">
        <v>105</v>
      </c>
      <c r="AZ33" s="6">
        <v>112</v>
      </c>
      <c r="BA33" s="6">
        <v>98</v>
      </c>
      <c r="BB33" s="6">
        <v>72</v>
      </c>
      <c r="BC33" s="6">
        <v>64</v>
      </c>
      <c r="BD33" s="6">
        <v>106</v>
      </c>
      <c r="BE33" s="6">
        <v>48</v>
      </c>
      <c r="BF33" s="6">
        <v>73</v>
      </c>
      <c r="BG33" s="6">
        <v>96</v>
      </c>
      <c r="BK33" s="6">
        <v>50</v>
      </c>
      <c r="BL33" s="6">
        <v>48</v>
      </c>
      <c r="BM33" s="6">
        <v>68</v>
      </c>
      <c r="BN33" s="6">
        <v>5</v>
      </c>
      <c r="BO33" s="6">
        <v>46</v>
      </c>
      <c r="BP33" s="6">
        <v>61</v>
      </c>
      <c r="BQ33" s="6">
        <v>59</v>
      </c>
      <c r="BR33" s="6">
        <v>106</v>
      </c>
      <c r="BS33" s="6">
        <v>17</v>
      </c>
      <c r="BT33" s="6">
        <v>56</v>
      </c>
      <c r="BU33" s="6">
        <v>49</v>
      </c>
      <c r="BV33" s="6">
        <v>75</v>
      </c>
      <c r="BW33" s="6">
        <v>80</v>
      </c>
      <c r="BX33" s="6">
        <v>47</v>
      </c>
      <c r="BY33" s="6">
        <v>98</v>
      </c>
      <c r="BZ33" s="6">
        <v>34</v>
      </c>
      <c r="CA33" s="6">
        <v>105</v>
      </c>
      <c r="CB33" s="6">
        <v>83</v>
      </c>
      <c r="CC33" s="6">
        <v>85</v>
      </c>
      <c r="CD33" s="6">
        <v>105</v>
      </c>
      <c r="CE33" s="6">
        <v>72</v>
      </c>
      <c r="CF33" s="6">
        <v>83</v>
      </c>
      <c r="CG33" s="6">
        <v>90</v>
      </c>
      <c r="CH33" s="6">
        <v>101</v>
      </c>
      <c r="CI33" s="6">
        <v>19</v>
      </c>
      <c r="CJ33" s="6">
        <v>58</v>
      </c>
      <c r="CK33" s="6">
        <v>71</v>
      </c>
      <c r="CO33" s="6">
        <v>48</v>
      </c>
      <c r="CP33" s="6">
        <v>47</v>
      </c>
      <c r="CQ33" s="6">
        <v>59</v>
      </c>
      <c r="CR33" s="6">
        <v>4</v>
      </c>
      <c r="CS33" s="6">
        <v>48</v>
      </c>
      <c r="CT33" s="6">
        <v>64</v>
      </c>
      <c r="CU33" s="6">
        <v>59</v>
      </c>
      <c r="CV33" s="6">
        <v>108</v>
      </c>
      <c r="CW33" s="6">
        <v>23</v>
      </c>
      <c r="CX33" s="6">
        <v>55</v>
      </c>
      <c r="CY33" s="6">
        <v>42</v>
      </c>
      <c r="CZ33" s="6">
        <v>72</v>
      </c>
      <c r="DA33" s="6">
        <v>71</v>
      </c>
      <c r="DB33" s="6">
        <v>42</v>
      </c>
      <c r="DC33" s="6">
        <v>97</v>
      </c>
      <c r="DD33" s="6">
        <v>44</v>
      </c>
      <c r="DE33" s="6">
        <v>105</v>
      </c>
      <c r="DF33" s="6">
        <v>92</v>
      </c>
      <c r="DG33" s="6">
        <v>83</v>
      </c>
      <c r="DH33" s="6">
        <v>105</v>
      </c>
      <c r="DI33" s="6">
        <v>66</v>
      </c>
      <c r="DJ33" s="6">
        <v>80</v>
      </c>
      <c r="DK33" s="6">
        <v>102</v>
      </c>
      <c r="DL33" s="6">
        <v>104</v>
      </c>
      <c r="DM33" s="6">
        <v>24</v>
      </c>
      <c r="DN33" s="6">
        <v>49</v>
      </c>
      <c r="DO33" s="6">
        <v>70</v>
      </c>
      <c r="DS33" s="12">
        <v>29</v>
      </c>
      <c r="DT33" s="6">
        <v>69</v>
      </c>
      <c r="DU33" s="6">
        <v>74</v>
      </c>
      <c r="DV33" s="6">
        <v>92</v>
      </c>
      <c r="DW33" s="6">
        <v>39</v>
      </c>
      <c r="DX33" s="6">
        <v>47</v>
      </c>
      <c r="DY33" s="6">
        <v>39</v>
      </c>
      <c r="DZ33" s="6">
        <v>57</v>
      </c>
      <c r="EA33" s="6">
        <v>89</v>
      </c>
      <c r="EB33" s="6">
        <v>36</v>
      </c>
      <c r="EC33" s="6">
        <v>72</v>
      </c>
      <c r="ED33" s="6">
        <v>72</v>
      </c>
      <c r="EE33" s="6">
        <v>95</v>
      </c>
      <c r="EF33" s="6">
        <v>89</v>
      </c>
      <c r="EG33" s="6">
        <v>65</v>
      </c>
      <c r="EH33" s="6">
        <v>115</v>
      </c>
      <c r="EI33" s="6">
        <v>54</v>
      </c>
      <c r="EJ33" s="6">
        <v>112</v>
      </c>
      <c r="EK33" s="6">
        <v>56</v>
      </c>
      <c r="EL33" s="6">
        <v>94</v>
      </c>
      <c r="EM33" s="6">
        <v>111</v>
      </c>
      <c r="EN33" s="6">
        <v>75</v>
      </c>
      <c r="EO33" s="6">
        <v>61</v>
      </c>
      <c r="EP33" s="6">
        <v>65</v>
      </c>
      <c r="EQ33" s="6">
        <v>91</v>
      </c>
      <c r="ER33" s="6">
        <v>61</v>
      </c>
      <c r="ES33" s="6">
        <v>93</v>
      </c>
      <c r="ET33" s="6">
        <v>81</v>
      </c>
      <c r="EX33" s="7">
        <v>29</v>
      </c>
      <c r="EY33" s="6">
        <v>60</v>
      </c>
      <c r="EZ33" s="6">
        <v>81</v>
      </c>
      <c r="FA33" s="6">
        <v>92</v>
      </c>
      <c r="FB33" s="6">
        <v>37</v>
      </c>
      <c r="FC33" s="6">
        <v>44</v>
      </c>
      <c r="FD33" s="6">
        <v>44</v>
      </c>
      <c r="FE33" s="6">
        <v>50</v>
      </c>
      <c r="FF33" s="6">
        <v>85</v>
      </c>
      <c r="FG33" s="6">
        <v>36</v>
      </c>
      <c r="FH33" s="6">
        <v>71</v>
      </c>
      <c r="FI33" s="6">
        <v>69</v>
      </c>
      <c r="FJ33" s="6">
        <v>97</v>
      </c>
      <c r="FK33" s="6">
        <v>82</v>
      </c>
      <c r="FL33" s="6">
        <v>65</v>
      </c>
      <c r="FM33" s="6">
        <v>115</v>
      </c>
      <c r="FN33" s="6">
        <v>56</v>
      </c>
      <c r="FO33" s="6">
        <v>110</v>
      </c>
      <c r="FP33" s="6">
        <v>56</v>
      </c>
      <c r="FQ33" s="6">
        <v>95</v>
      </c>
      <c r="FR33" s="6">
        <v>104</v>
      </c>
      <c r="FS33" s="6">
        <v>72</v>
      </c>
      <c r="FT33" s="6">
        <v>63</v>
      </c>
      <c r="FU33" s="6">
        <v>61</v>
      </c>
      <c r="FV33" s="6">
        <v>83</v>
      </c>
      <c r="FW33" s="6">
        <v>65</v>
      </c>
      <c r="FX33" s="6">
        <v>91</v>
      </c>
      <c r="FY33" s="6">
        <v>84</v>
      </c>
      <c r="GC33" s="7">
        <v>29</v>
      </c>
      <c r="GD33" s="6">
        <v>69</v>
      </c>
      <c r="GE33" s="6">
        <v>70</v>
      </c>
      <c r="GF33" s="6">
        <v>82</v>
      </c>
      <c r="GG33" s="6">
        <v>41</v>
      </c>
      <c r="GH33" s="6">
        <v>54</v>
      </c>
      <c r="GI33" s="6">
        <v>42</v>
      </c>
      <c r="GJ33" s="6">
        <v>63</v>
      </c>
      <c r="GK33" s="6">
        <v>85</v>
      </c>
      <c r="GL33" s="6">
        <v>37</v>
      </c>
      <c r="GM33" s="6">
        <v>73</v>
      </c>
      <c r="GN33" s="6">
        <v>72</v>
      </c>
      <c r="GO33" s="6">
        <v>90</v>
      </c>
      <c r="GP33" s="6">
        <v>81</v>
      </c>
      <c r="GQ33" s="6">
        <v>54</v>
      </c>
      <c r="GR33" s="6">
        <v>92</v>
      </c>
      <c r="GS33" s="6">
        <v>47</v>
      </c>
      <c r="GT33" s="6">
        <v>97</v>
      </c>
      <c r="GU33" s="6">
        <v>67</v>
      </c>
      <c r="GV33" s="6">
        <v>96</v>
      </c>
      <c r="GW33" s="6">
        <v>90</v>
      </c>
      <c r="GX33" s="6">
        <v>67</v>
      </c>
      <c r="GY33" s="6">
        <v>61</v>
      </c>
      <c r="GZ33" s="6">
        <v>70</v>
      </c>
      <c r="HA33" s="6">
        <v>85</v>
      </c>
      <c r="HB33" s="6">
        <v>60</v>
      </c>
      <c r="HC33" s="6">
        <v>87</v>
      </c>
      <c r="HD33" s="6">
        <v>85</v>
      </c>
      <c r="HH33" s="7">
        <v>29</v>
      </c>
      <c r="HI33" s="6">
        <v>57</v>
      </c>
      <c r="HJ33" s="6">
        <v>65</v>
      </c>
      <c r="HK33" s="6">
        <v>86</v>
      </c>
      <c r="HL33" s="6">
        <v>35</v>
      </c>
      <c r="HM33" s="6">
        <v>48</v>
      </c>
      <c r="HN33" s="6">
        <v>48</v>
      </c>
      <c r="HO33" s="6">
        <v>52</v>
      </c>
      <c r="HP33" s="6">
        <v>101</v>
      </c>
      <c r="HQ33" s="6">
        <v>36</v>
      </c>
      <c r="HR33" s="6">
        <v>66</v>
      </c>
      <c r="HS33" s="6">
        <v>69</v>
      </c>
      <c r="HT33" s="6">
        <v>102</v>
      </c>
      <c r="HU33" s="6">
        <v>81</v>
      </c>
      <c r="HV33" s="6">
        <v>55</v>
      </c>
      <c r="HW33" s="6">
        <v>100</v>
      </c>
      <c r="HX33" s="6">
        <v>51</v>
      </c>
      <c r="HY33" s="6">
        <v>105</v>
      </c>
      <c r="HZ33" s="6">
        <v>63</v>
      </c>
      <c r="IA33" s="6">
        <v>95</v>
      </c>
      <c r="IB33" s="6">
        <v>96</v>
      </c>
      <c r="IC33" s="6">
        <v>61</v>
      </c>
      <c r="ID33" s="6">
        <v>67</v>
      </c>
      <c r="IE33" s="6">
        <v>67</v>
      </c>
      <c r="IF33" s="6">
        <v>85</v>
      </c>
      <c r="IG33" s="6">
        <v>58</v>
      </c>
      <c r="IH33" s="6">
        <v>93</v>
      </c>
      <c r="II33" s="6">
        <v>83</v>
      </c>
    </row>
    <row r="34" spans="2:243" x14ac:dyDescent="0.25">
      <c r="B34" s="13">
        <v>30</v>
      </c>
      <c r="C34" s="6">
        <v>62</v>
      </c>
      <c r="D34" s="6">
        <v>69</v>
      </c>
      <c r="E34" s="6">
        <v>79</v>
      </c>
      <c r="F34" s="6">
        <v>13</v>
      </c>
      <c r="G34" s="6">
        <v>31</v>
      </c>
      <c r="H34" s="6">
        <v>43</v>
      </c>
      <c r="I34" s="6">
        <v>50</v>
      </c>
      <c r="J34" s="6">
        <v>106</v>
      </c>
      <c r="K34" s="6">
        <v>20</v>
      </c>
      <c r="L34" s="6">
        <v>64</v>
      </c>
      <c r="M34" s="6">
        <v>63</v>
      </c>
      <c r="N34" s="6">
        <v>99</v>
      </c>
      <c r="O34" s="6">
        <v>95</v>
      </c>
      <c r="P34" s="6">
        <v>67</v>
      </c>
      <c r="Q34" s="6">
        <v>115</v>
      </c>
      <c r="R34" s="6">
        <v>50</v>
      </c>
      <c r="S34" s="6">
        <v>112</v>
      </c>
      <c r="T34" s="6">
        <v>71</v>
      </c>
      <c r="U34" s="6">
        <v>105</v>
      </c>
      <c r="V34" s="6">
        <v>115</v>
      </c>
      <c r="W34" s="6">
        <v>95</v>
      </c>
      <c r="X34" s="6">
        <v>84</v>
      </c>
      <c r="Y34" s="6">
        <v>74</v>
      </c>
      <c r="Z34" s="6">
        <v>103</v>
      </c>
      <c r="AA34" s="6">
        <v>47</v>
      </c>
      <c r="AB34" s="6">
        <v>76</v>
      </c>
      <c r="AC34" s="6">
        <v>90</v>
      </c>
      <c r="AG34" s="6">
        <v>60</v>
      </c>
      <c r="AH34" s="6">
        <v>63</v>
      </c>
      <c r="AI34" s="6">
        <v>75</v>
      </c>
      <c r="AJ34" s="6">
        <v>8</v>
      </c>
      <c r="AK34" s="6">
        <v>30</v>
      </c>
      <c r="AL34" s="6">
        <v>43</v>
      </c>
      <c r="AM34" s="6">
        <v>47</v>
      </c>
      <c r="AN34" s="6">
        <v>110</v>
      </c>
      <c r="AO34" s="6">
        <v>20</v>
      </c>
      <c r="AP34" s="6">
        <v>59</v>
      </c>
      <c r="AQ34" s="6">
        <v>58</v>
      </c>
      <c r="AR34" s="6">
        <v>95</v>
      </c>
      <c r="AS34" s="6">
        <v>91</v>
      </c>
      <c r="AT34" s="6">
        <v>64</v>
      </c>
      <c r="AU34" s="6">
        <v>115</v>
      </c>
      <c r="AV34" s="6">
        <v>65</v>
      </c>
      <c r="AW34" s="6">
        <v>113</v>
      </c>
      <c r="AX34" s="6">
        <v>65</v>
      </c>
      <c r="AY34" s="6">
        <v>105</v>
      </c>
      <c r="AZ34" s="6">
        <v>112</v>
      </c>
      <c r="BA34" s="6">
        <v>102</v>
      </c>
      <c r="BB34" s="6">
        <v>75</v>
      </c>
      <c r="BC34" s="6">
        <v>66</v>
      </c>
      <c r="BD34" s="6">
        <v>106</v>
      </c>
      <c r="BE34" s="6">
        <v>50</v>
      </c>
      <c r="BF34" s="6">
        <v>73</v>
      </c>
      <c r="BG34" s="6">
        <v>96</v>
      </c>
      <c r="BK34" s="6">
        <v>53</v>
      </c>
      <c r="BL34" s="6">
        <v>49</v>
      </c>
      <c r="BM34" s="6">
        <v>69</v>
      </c>
      <c r="BN34" s="6">
        <v>6</v>
      </c>
      <c r="BO34" s="6">
        <v>48</v>
      </c>
      <c r="BP34" s="6">
        <v>64</v>
      </c>
      <c r="BQ34" s="6">
        <v>63</v>
      </c>
      <c r="BR34" s="6">
        <v>107</v>
      </c>
      <c r="BS34" s="6">
        <v>20</v>
      </c>
      <c r="BT34" s="6">
        <v>57</v>
      </c>
      <c r="BU34" s="6">
        <v>49</v>
      </c>
      <c r="BV34" s="6">
        <v>79</v>
      </c>
      <c r="BW34" s="6">
        <v>85</v>
      </c>
      <c r="BX34" s="6">
        <v>48</v>
      </c>
      <c r="BY34" s="6">
        <v>109</v>
      </c>
      <c r="BZ34" s="6">
        <v>40</v>
      </c>
      <c r="CA34" s="6">
        <v>110</v>
      </c>
      <c r="CB34" s="6">
        <v>85</v>
      </c>
      <c r="CC34" s="6">
        <v>95</v>
      </c>
      <c r="CD34" s="6">
        <v>106</v>
      </c>
      <c r="CE34" s="6">
        <v>73</v>
      </c>
      <c r="CF34" s="6">
        <v>84</v>
      </c>
      <c r="CG34" s="6">
        <v>92</v>
      </c>
      <c r="CH34" s="6">
        <v>109</v>
      </c>
      <c r="CI34" s="6">
        <v>22</v>
      </c>
      <c r="CJ34" s="6">
        <v>59</v>
      </c>
      <c r="CK34" s="6">
        <v>73</v>
      </c>
      <c r="CO34" s="6">
        <v>49</v>
      </c>
      <c r="CP34" s="6">
        <v>48</v>
      </c>
      <c r="CQ34" s="6">
        <v>61</v>
      </c>
      <c r="CR34" s="6">
        <v>5</v>
      </c>
      <c r="CS34" s="6">
        <v>49</v>
      </c>
      <c r="CT34" s="6">
        <v>67</v>
      </c>
      <c r="CU34" s="6">
        <v>60</v>
      </c>
      <c r="CV34" s="6">
        <v>108</v>
      </c>
      <c r="CW34" s="6">
        <v>24</v>
      </c>
      <c r="CX34" s="6">
        <v>57</v>
      </c>
      <c r="CY34" s="6">
        <v>43</v>
      </c>
      <c r="CZ34" s="6">
        <v>75</v>
      </c>
      <c r="DA34" s="6">
        <v>75</v>
      </c>
      <c r="DB34" s="6">
        <v>43</v>
      </c>
      <c r="DC34" s="6">
        <v>108</v>
      </c>
      <c r="DD34" s="6">
        <v>47</v>
      </c>
      <c r="DE34" s="6">
        <v>108</v>
      </c>
      <c r="DF34" s="6">
        <v>94</v>
      </c>
      <c r="DG34" s="6">
        <v>85</v>
      </c>
      <c r="DH34" s="6">
        <v>106</v>
      </c>
      <c r="DI34" s="6">
        <v>67</v>
      </c>
      <c r="DJ34" s="6">
        <v>83</v>
      </c>
      <c r="DK34" s="6">
        <v>105</v>
      </c>
      <c r="DL34" s="6">
        <v>105</v>
      </c>
      <c r="DM34" s="6">
        <v>28</v>
      </c>
      <c r="DN34" s="6">
        <v>50</v>
      </c>
      <c r="DO34" s="6">
        <v>71</v>
      </c>
      <c r="DS34" s="12">
        <v>30</v>
      </c>
      <c r="DT34" s="6">
        <v>69</v>
      </c>
      <c r="DU34" s="6">
        <v>74</v>
      </c>
      <c r="DV34" s="6">
        <v>93</v>
      </c>
      <c r="DW34" s="6">
        <v>47</v>
      </c>
      <c r="DX34" s="6">
        <v>47</v>
      </c>
      <c r="DY34" s="6">
        <v>40</v>
      </c>
      <c r="DZ34" s="6">
        <v>57</v>
      </c>
      <c r="EA34" s="6">
        <v>89</v>
      </c>
      <c r="EB34" s="6">
        <v>37</v>
      </c>
      <c r="EC34" s="6">
        <v>74</v>
      </c>
      <c r="ED34" s="6">
        <v>72</v>
      </c>
      <c r="EE34" s="6">
        <v>96</v>
      </c>
      <c r="EF34" s="6">
        <v>93</v>
      </c>
      <c r="EG34" s="6">
        <v>68</v>
      </c>
      <c r="EH34" s="6">
        <v>115</v>
      </c>
      <c r="EI34" s="6">
        <v>55</v>
      </c>
      <c r="EJ34" s="6">
        <v>115</v>
      </c>
      <c r="EK34" s="6">
        <v>58</v>
      </c>
      <c r="EL34" s="6">
        <v>95</v>
      </c>
      <c r="EM34" s="6">
        <v>115</v>
      </c>
      <c r="EN34" s="6">
        <v>80</v>
      </c>
      <c r="EO34" s="6">
        <v>64</v>
      </c>
      <c r="EP34" s="6">
        <v>68</v>
      </c>
      <c r="EQ34" s="6">
        <v>94</v>
      </c>
      <c r="ER34" s="6">
        <v>64</v>
      </c>
      <c r="ES34" s="6">
        <v>95</v>
      </c>
      <c r="ET34" s="6">
        <v>82</v>
      </c>
      <c r="EX34" s="7">
        <v>30</v>
      </c>
      <c r="EY34" s="6">
        <v>73</v>
      </c>
      <c r="EZ34" s="6">
        <v>85</v>
      </c>
      <c r="FA34" s="6">
        <v>92</v>
      </c>
      <c r="FB34" s="6">
        <v>37</v>
      </c>
      <c r="FC34" s="6">
        <v>44</v>
      </c>
      <c r="FD34" s="6">
        <v>44</v>
      </c>
      <c r="FE34" s="6">
        <v>50</v>
      </c>
      <c r="FF34" s="6">
        <v>86</v>
      </c>
      <c r="FG34" s="6">
        <v>36</v>
      </c>
      <c r="FH34" s="6">
        <v>74</v>
      </c>
      <c r="FI34" s="6">
        <v>70</v>
      </c>
      <c r="FJ34" s="6">
        <v>99</v>
      </c>
      <c r="FK34" s="6">
        <v>83</v>
      </c>
      <c r="FL34" s="6">
        <v>68</v>
      </c>
      <c r="FM34" s="6">
        <v>115</v>
      </c>
      <c r="FN34" s="6">
        <v>58</v>
      </c>
      <c r="FO34" s="6">
        <v>115</v>
      </c>
      <c r="FP34" s="6">
        <v>58</v>
      </c>
      <c r="FQ34" s="6">
        <v>97</v>
      </c>
      <c r="FR34" s="6">
        <v>107</v>
      </c>
      <c r="FS34" s="6">
        <v>75</v>
      </c>
      <c r="FT34" s="6">
        <v>65</v>
      </c>
      <c r="FU34" s="6">
        <v>64</v>
      </c>
      <c r="FV34" s="6">
        <v>85</v>
      </c>
      <c r="FW34" s="6">
        <v>68</v>
      </c>
      <c r="FX34" s="6">
        <v>93</v>
      </c>
      <c r="FY34" s="6">
        <v>85</v>
      </c>
      <c r="GC34" s="7">
        <v>30</v>
      </c>
      <c r="GD34" s="6">
        <v>69</v>
      </c>
      <c r="GE34" s="6">
        <v>71</v>
      </c>
      <c r="GF34" s="6">
        <v>85</v>
      </c>
      <c r="GG34" s="6">
        <v>41</v>
      </c>
      <c r="GH34" s="6">
        <v>58</v>
      </c>
      <c r="GI34" s="6">
        <v>42</v>
      </c>
      <c r="GJ34" s="6">
        <v>63</v>
      </c>
      <c r="GK34" s="6">
        <v>88</v>
      </c>
      <c r="GL34" s="6">
        <v>43</v>
      </c>
      <c r="GM34" s="6">
        <v>74</v>
      </c>
      <c r="GN34" s="6">
        <v>73</v>
      </c>
      <c r="GO34" s="6">
        <v>98</v>
      </c>
      <c r="GP34" s="6">
        <v>83</v>
      </c>
      <c r="GQ34" s="6">
        <v>55</v>
      </c>
      <c r="GR34" s="6">
        <v>103</v>
      </c>
      <c r="GS34" s="6">
        <v>49</v>
      </c>
      <c r="GT34" s="6">
        <v>100</v>
      </c>
      <c r="GU34" s="6">
        <v>70</v>
      </c>
      <c r="GV34" s="6">
        <v>97</v>
      </c>
      <c r="GW34" s="6">
        <v>95</v>
      </c>
      <c r="GX34" s="6">
        <v>70</v>
      </c>
      <c r="GY34" s="6">
        <v>64</v>
      </c>
      <c r="GZ34" s="6">
        <v>72</v>
      </c>
      <c r="HA34" s="6">
        <v>93</v>
      </c>
      <c r="HB34" s="6">
        <v>62</v>
      </c>
      <c r="HC34" s="6">
        <v>88</v>
      </c>
      <c r="HD34" s="6">
        <v>88</v>
      </c>
      <c r="HH34" s="7">
        <v>30</v>
      </c>
      <c r="HI34" s="6">
        <v>64</v>
      </c>
      <c r="HJ34" s="6">
        <v>65</v>
      </c>
      <c r="HK34" s="6">
        <v>89</v>
      </c>
      <c r="HL34" s="6">
        <v>38</v>
      </c>
      <c r="HM34" s="6">
        <v>48</v>
      </c>
      <c r="HN34" s="6">
        <v>49</v>
      </c>
      <c r="HO34" s="6">
        <v>56</v>
      </c>
      <c r="HP34" s="6">
        <v>101</v>
      </c>
      <c r="HQ34" s="6">
        <v>40</v>
      </c>
      <c r="HR34" s="6">
        <v>73</v>
      </c>
      <c r="HS34" s="6">
        <v>69</v>
      </c>
      <c r="HT34" s="6">
        <v>106</v>
      </c>
      <c r="HU34" s="6">
        <v>83</v>
      </c>
      <c r="HV34" s="6">
        <v>57</v>
      </c>
      <c r="HW34" s="6">
        <v>105</v>
      </c>
      <c r="HX34" s="6">
        <v>53</v>
      </c>
      <c r="HY34" s="6">
        <v>110</v>
      </c>
      <c r="HZ34" s="6">
        <v>65</v>
      </c>
      <c r="IA34" s="6">
        <v>97</v>
      </c>
      <c r="IB34" s="6">
        <v>99</v>
      </c>
      <c r="IC34" s="6">
        <v>64</v>
      </c>
      <c r="ID34" s="6">
        <v>70</v>
      </c>
      <c r="IE34" s="6">
        <v>70</v>
      </c>
      <c r="IF34" s="6">
        <v>90</v>
      </c>
      <c r="IG34" s="6">
        <v>60</v>
      </c>
      <c r="IH34" s="6">
        <v>95</v>
      </c>
      <c r="II34" s="6">
        <v>85</v>
      </c>
    </row>
    <row r="35" spans="2:243" x14ac:dyDescent="0.25">
      <c r="B35" s="13">
        <v>31</v>
      </c>
      <c r="C35" s="6">
        <v>64</v>
      </c>
      <c r="D35" s="6">
        <v>70</v>
      </c>
      <c r="E35" s="6">
        <v>80</v>
      </c>
      <c r="F35" s="6">
        <v>14</v>
      </c>
      <c r="G35" s="6">
        <v>34</v>
      </c>
      <c r="H35" s="6">
        <v>45</v>
      </c>
      <c r="I35" s="6">
        <v>52</v>
      </c>
      <c r="J35" s="6">
        <v>106</v>
      </c>
      <c r="K35" s="6">
        <v>21</v>
      </c>
      <c r="L35" s="6">
        <v>66</v>
      </c>
      <c r="M35" s="6">
        <v>64</v>
      </c>
      <c r="N35" s="6">
        <v>102</v>
      </c>
      <c r="O35" s="6">
        <v>99</v>
      </c>
      <c r="P35" s="6">
        <v>68</v>
      </c>
      <c r="Q35" s="6">
        <v>115</v>
      </c>
      <c r="R35" s="6">
        <v>54</v>
      </c>
      <c r="S35" s="6">
        <v>112</v>
      </c>
      <c r="T35" s="6">
        <v>73</v>
      </c>
      <c r="U35" s="6">
        <v>108</v>
      </c>
      <c r="V35" s="6">
        <v>115</v>
      </c>
      <c r="W35" s="6">
        <v>97</v>
      </c>
      <c r="X35" s="6">
        <v>85</v>
      </c>
      <c r="Y35" s="6">
        <v>75</v>
      </c>
      <c r="Z35" s="6">
        <v>107</v>
      </c>
      <c r="AA35" s="6">
        <v>50</v>
      </c>
      <c r="AB35" s="6">
        <v>78</v>
      </c>
      <c r="AC35" s="6">
        <v>92</v>
      </c>
      <c r="AG35" s="6">
        <v>64</v>
      </c>
      <c r="AH35" s="6">
        <v>66</v>
      </c>
      <c r="AI35" s="6">
        <v>77</v>
      </c>
      <c r="AJ35" s="6">
        <v>11</v>
      </c>
      <c r="AK35" s="6">
        <v>33</v>
      </c>
      <c r="AL35" s="6">
        <v>45</v>
      </c>
      <c r="AM35" s="6">
        <v>48</v>
      </c>
      <c r="AN35" s="6">
        <v>110</v>
      </c>
      <c r="AO35" s="6">
        <v>23</v>
      </c>
      <c r="AP35" s="6">
        <v>63</v>
      </c>
      <c r="AQ35" s="6">
        <v>60</v>
      </c>
      <c r="AR35" s="6">
        <v>98</v>
      </c>
      <c r="AS35" s="6">
        <v>96</v>
      </c>
      <c r="AT35" s="6">
        <v>65</v>
      </c>
      <c r="AU35" s="6">
        <v>115</v>
      </c>
      <c r="AV35" s="6">
        <v>68</v>
      </c>
      <c r="AW35" s="6">
        <v>115</v>
      </c>
      <c r="AX35" s="6">
        <v>69</v>
      </c>
      <c r="AY35" s="6">
        <v>105</v>
      </c>
      <c r="AZ35" s="6">
        <v>112</v>
      </c>
      <c r="BA35" s="6">
        <v>106</v>
      </c>
      <c r="BB35" s="6">
        <v>80</v>
      </c>
      <c r="BC35" s="6">
        <v>71</v>
      </c>
      <c r="BD35" s="6">
        <v>106</v>
      </c>
      <c r="BE35" s="6">
        <v>53</v>
      </c>
      <c r="BF35" s="6">
        <v>74</v>
      </c>
      <c r="BG35" s="6">
        <v>96</v>
      </c>
      <c r="BK35" s="6">
        <v>55</v>
      </c>
      <c r="BL35" s="6">
        <v>50</v>
      </c>
      <c r="BM35" s="6">
        <v>71</v>
      </c>
      <c r="BN35" s="6">
        <v>6</v>
      </c>
      <c r="BO35" s="6">
        <v>50</v>
      </c>
      <c r="BP35" s="6">
        <v>67</v>
      </c>
      <c r="BQ35" s="6">
        <v>65</v>
      </c>
      <c r="BR35" s="6">
        <v>109</v>
      </c>
      <c r="BS35" s="6">
        <v>21</v>
      </c>
      <c r="BT35" s="6">
        <v>58</v>
      </c>
      <c r="BU35" s="6">
        <v>50</v>
      </c>
      <c r="BV35" s="6">
        <v>82</v>
      </c>
      <c r="BW35" s="6">
        <v>94</v>
      </c>
      <c r="BX35" s="6">
        <v>49</v>
      </c>
      <c r="BY35" s="6">
        <v>113</v>
      </c>
      <c r="BZ35" s="6">
        <v>43</v>
      </c>
      <c r="CA35" s="6">
        <v>114</v>
      </c>
      <c r="CB35" s="6">
        <v>92</v>
      </c>
      <c r="CC35" s="6">
        <v>97</v>
      </c>
      <c r="CD35" s="6">
        <v>111</v>
      </c>
      <c r="CE35" s="6">
        <v>75</v>
      </c>
      <c r="CF35" s="6">
        <v>85</v>
      </c>
      <c r="CG35" s="6">
        <v>99</v>
      </c>
      <c r="CH35" s="6">
        <v>110</v>
      </c>
      <c r="CI35" s="6">
        <v>25</v>
      </c>
      <c r="CJ35" s="6">
        <v>60</v>
      </c>
      <c r="CK35" s="6">
        <v>74</v>
      </c>
      <c r="CO35" s="6">
        <v>50</v>
      </c>
      <c r="CP35" s="6">
        <v>49</v>
      </c>
      <c r="CQ35" s="6">
        <v>62</v>
      </c>
      <c r="CR35" s="6">
        <v>5</v>
      </c>
      <c r="CS35" s="6">
        <v>50</v>
      </c>
      <c r="CT35" s="6">
        <v>70</v>
      </c>
      <c r="CU35" s="6">
        <v>61</v>
      </c>
      <c r="CV35" s="6">
        <v>109</v>
      </c>
      <c r="CW35" s="6">
        <v>25</v>
      </c>
      <c r="CX35" s="6">
        <v>58</v>
      </c>
      <c r="CY35" s="6">
        <v>44</v>
      </c>
      <c r="CZ35" s="6">
        <v>82</v>
      </c>
      <c r="DA35" s="6">
        <v>79</v>
      </c>
      <c r="DB35" s="6">
        <v>44</v>
      </c>
      <c r="DC35" s="6">
        <v>114</v>
      </c>
      <c r="DD35" s="6">
        <v>50</v>
      </c>
      <c r="DE35" s="6">
        <v>112</v>
      </c>
      <c r="DF35" s="6">
        <v>96</v>
      </c>
      <c r="DG35" s="6">
        <v>92</v>
      </c>
      <c r="DH35" s="6">
        <v>109</v>
      </c>
      <c r="DI35" s="6">
        <v>68</v>
      </c>
      <c r="DJ35" s="6">
        <v>84</v>
      </c>
      <c r="DK35" s="6">
        <v>107</v>
      </c>
      <c r="DL35" s="6">
        <v>112</v>
      </c>
      <c r="DM35" s="6">
        <v>31</v>
      </c>
      <c r="DN35" s="6">
        <v>51</v>
      </c>
      <c r="DO35" s="6">
        <v>72</v>
      </c>
      <c r="DS35" s="12">
        <v>31</v>
      </c>
      <c r="DT35" s="6">
        <v>74</v>
      </c>
      <c r="DU35" s="6">
        <v>74</v>
      </c>
      <c r="DV35" s="6">
        <v>95</v>
      </c>
      <c r="DW35" s="6">
        <v>47</v>
      </c>
      <c r="DX35" s="6">
        <v>48</v>
      </c>
      <c r="DY35" s="6">
        <v>40</v>
      </c>
      <c r="DZ35" s="6">
        <v>63</v>
      </c>
      <c r="EA35" s="6">
        <v>89</v>
      </c>
      <c r="EB35" s="6">
        <v>37</v>
      </c>
      <c r="EC35" s="6">
        <v>74</v>
      </c>
      <c r="ED35" s="6">
        <v>73</v>
      </c>
      <c r="EE35" s="6">
        <v>98</v>
      </c>
      <c r="EF35" s="6">
        <v>97</v>
      </c>
      <c r="EG35" s="6">
        <v>70</v>
      </c>
      <c r="EH35" s="6">
        <v>115</v>
      </c>
      <c r="EI35" s="6">
        <v>57</v>
      </c>
      <c r="EJ35" s="6">
        <v>115</v>
      </c>
      <c r="EK35" s="6">
        <v>60</v>
      </c>
      <c r="EL35" s="6">
        <v>97</v>
      </c>
      <c r="EM35" s="6">
        <v>115</v>
      </c>
      <c r="EN35" s="6">
        <v>85</v>
      </c>
      <c r="EO35" s="6">
        <v>66</v>
      </c>
      <c r="EP35" s="6">
        <v>70</v>
      </c>
      <c r="EQ35" s="6">
        <v>97</v>
      </c>
      <c r="ER35" s="6">
        <v>66</v>
      </c>
      <c r="ES35" s="6">
        <v>96</v>
      </c>
      <c r="ET35" s="6">
        <v>83</v>
      </c>
      <c r="EX35" s="7">
        <v>31</v>
      </c>
      <c r="EY35" s="6">
        <v>73</v>
      </c>
      <c r="EZ35" s="6">
        <v>86</v>
      </c>
      <c r="FA35" s="6">
        <v>93</v>
      </c>
      <c r="FB35" s="6">
        <v>41</v>
      </c>
      <c r="FC35" s="6">
        <v>45</v>
      </c>
      <c r="FD35" s="6">
        <v>44</v>
      </c>
      <c r="FE35" s="6">
        <v>54</v>
      </c>
      <c r="FF35" s="6">
        <v>92</v>
      </c>
      <c r="FG35" s="6">
        <v>39</v>
      </c>
      <c r="FH35" s="6">
        <v>74</v>
      </c>
      <c r="FI35" s="6">
        <v>71</v>
      </c>
      <c r="FJ35" s="6">
        <v>101</v>
      </c>
      <c r="FK35" s="6">
        <v>84</v>
      </c>
      <c r="FL35" s="6">
        <v>70</v>
      </c>
      <c r="FM35" s="6">
        <v>115</v>
      </c>
      <c r="FN35" s="6">
        <v>60</v>
      </c>
      <c r="FO35" s="6">
        <v>115</v>
      </c>
      <c r="FP35" s="6">
        <v>60</v>
      </c>
      <c r="FQ35" s="6">
        <v>98</v>
      </c>
      <c r="FR35" s="6">
        <v>111</v>
      </c>
      <c r="FS35" s="6">
        <v>78</v>
      </c>
      <c r="FT35" s="6">
        <v>68</v>
      </c>
      <c r="FU35" s="6">
        <v>66</v>
      </c>
      <c r="FV35" s="6">
        <v>89</v>
      </c>
      <c r="FW35" s="6">
        <v>70</v>
      </c>
      <c r="FX35" s="6">
        <v>95</v>
      </c>
      <c r="FY35" s="6">
        <v>90</v>
      </c>
      <c r="GC35" s="7">
        <v>31</v>
      </c>
      <c r="GD35" s="6">
        <v>70</v>
      </c>
      <c r="GE35" s="6">
        <v>71</v>
      </c>
      <c r="GF35" s="6">
        <v>90</v>
      </c>
      <c r="GG35" s="6">
        <v>42</v>
      </c>
      <c r="GH35" s="6">
        <v>66</v>
      </c>
      <c r="GI35" s="6">
        <v>44</v>
      </c>
      <c r="GJ35" s="6">
        <v>63</v>
      </c>
      <c r="GK35" s="6">
        <v>88</v>
      </c>
      <c r="GL35" s="6">
        <v>44</v>
      </c>
      <c r="GM35" s="6">
        <v>74</v>
      </c>
      <c r="GN35" s="6">
        <v>73</v>
      </c>
      <c r="GO35" s="6">
        <v>105</v>
      </c>
      <c r="GP35" s="6">
        <v>85</v>
      </c>
      <c r="GQ35" s="6">
        <v>57</v>
      </c>
      <c r="GR35" s="6">
        <v>115</v>
      </c>
      <c r="GS35" s="6">
        <v>51</v>
      </c>
      <c r="GT35" s="6">
        <v>103</v>
      </c>
      <c r="GU35" s="6">
        <v>72</v>
      </c>
      <c r="GV35" s="6">
        <v>98</v>
      </c>
      <c r="GW35" s="6">
        <v>100</v>
      </c>
      <c r="GX35" s="6">
        <v>72</v>
      </c>
      <c r="GY35" s="6">
        <v>66</v>
      </c>
      <c r="GZ35" s="6">
        <v>75</v>
      </c>
      <c r="HA35" s="6">
        <v>97</v>
      </c>
      <c r="HB35" s="6">
        <v>64</v>
      </c>
      <c r="HC35" s="6">
        <v>89</v>
      </c>
      <c r="HD35" s="6">
        <v>91</v>
      </c>
      <c r="HH35" s="7">
        <v>31</v>
      </c>
      <c r="HI35" s="6">
        <v>64</v>
      </c>
      <c r="HJ35" s="6">
        <v>66</v>
      </c>
      <c r="HK35" s="6">
        <v>91</v>
      </c>
      <c r="HL35" s="6">
        <v>38</v>
      </c>
      <c r="HM35" s="6">
        <v>49</v>
      </c>
      <c r="HN35" s="6">
        <v>50</v>
      </c>
      <c r="HO35" s="6">
        <v>56</v>
      </c>
      <c r="HP35" s="6">
        <v>101</v>
      </c>
      <c r="HQ35" s="6">
        <v>40</v>
      </c>
      <c r="HR35" s="6">
        <v>74</v>
      </c>
      <c r="HS35" s="6">
        <v>69</v>
      </c>
      <c r="HT35" s="6">
        <v>109</v>
      </c>
      <c r="HU35" s="6">
        <v>85</v>
      </c>
      <c r="HV35" s="6">
        <v>59</v>
      </c>
      <c r="HW35" s="6">
        <v>110</v>
      </c>
      <c r="HX35" s="6">
        <v>54</v>
      </c>
      <c r="HY35" s="6">
        <v>115</v>
      </c>
      <c r="HZ35" s="6">
        <v>68</v>
      </c>
      <c r="IA35" s="6">
        <v>99</v>
      </c>
      <c r="IB35" s="6">
        <v>102</v>
      </c>
      <c r="IC35" s="6">
        <v>66</v>
      </c>
      <c r="ID35" s="6">
        <v>72</v>
      </c>
      <c r="IE35" s="6">
        <v>72</v>
      </c>
      <c r="IF35" s="6">
        <v>97</v>
      </c>
      <c r="IG35" s="6">
        <v>62</v>
      </c>
      <c r="IH35" s="6">
        <v>97</v>
      </c>
      <c r="II35" s="6">
        <v>89</v>
      </c>
    </row>
    <row r="36" spans="2:243" x14ac:dyDescent="0.25">
      <c r="B36" s="13">
        <v>32</v>
      </c>
      <c r="C36" s="6">
        <v>67</v>
      </c>
      <c r="D36" s="6">
        <v>72</v>
      </c>
      <c r="E36" s="6">
        <v>81</v>
      </c>
      <c r="F36" s="6">
        <v>15</v>
      </c>
      <c r="G36" s="6">
        <v>36</v>
      </c>
      <c r="H36" s="6">
        <v>47</v>
      </c>
      <c r="I36" s="6">
        <v>54</v>
      </c>
      <c r="J36" s="6">
        <v>108</v>
      </c>
      <c r="K36" s="6">
        <v>22</v>
      </c>
      <c r="L36" s="6">
        <v>67</v>
      </c>
      <c r="M36" s="6">
        <v>65</v>
      </c>
      <c r="N36" s="6">
        <v>107</v>
      </c>
      <c r="O36" s="6">
        <v>101</v>
      </c>
      <c r="P36" s="6">
        <v>69</v>
      </c>
      <c r="Q36" s="6">
        <v>115</v>
      </c>
      <c r="R36" s="6">
        <v>57</v>
      </c>
      <c r="S36" s="6">
        <v>112</v>
      </c>
      <c r="T36" s="6">
        <v>75</v>
      </c>
      <c r="U36" s="6">
        <v>110</v>
      </c>
      <c r="V36" s="6">
        <v>115</v>
      </c>
      <c r="W36" s="6">
        <v>100</v>
      </c>
      <c r="X36" s="6">
        <v>86</v>
      </c>
      <c r="Y36" s="6">
        <v>77</v>
      </c>
      <c r="Z36" s="6">
        <v>110</v>
      </c>
      <c r="AA36" s="6">
        <v>54</v>
      </c>
      <c r="AB36" s="6">
        <v>82</v>
      </c>
      <c r="AC36" s="6">
        <v>97</v>
      </c>
      <c r="AG36" s="6">
        <v>64</v>
      </c>
      <c r="AH36" s="6">
        <v>67</v>
      </c>
      <c r="AI36" s="6">
        <v>78</v>
      </c>
      <c r="AJ36" s="6">
        <v>13</v>
      </c>
      <c r="AK36" s="6">
        <v>35</v>
      </c>
      <c r="AL36" s="6">
        <v>48</v>
      </c>
      <c r="AM36" s="6">
        <v>50</v>
      </c>
      <c r="AN36" s="6">
        <v>113</v>
      </c>
      <c r="AO36" s="6">
        <v>26</v>
      </c>
      <c r="AP36" s="6">
        <v>65</v>
      </c>
      <c r="AQ36" s="6">
        <v>61</v>
      </c>
      <c r="AR36" s="6">
        <v>102</v>
      </c>
      <c r="AS36" s="6">
        <v>106</v>
      </c>
      <c r="AT36" s="6">
        <v>65</v>
      </c>
      <c r="AU36" s="6">
        <v>115</v>
      </c>
      <c r="AV36" s="6">
        <v>72</v>
      </c>
      <c r="AW36" s="6">
        <v>115</v>
      </c>
      <c r="AX36" s="6">
        <v>74</v>
      </c>
      <c r="AY36" s="6">
        <v>105</v>
      </c>
      <c r="AZ36" s="6">
        <v>115</v>
      </c>
      <c r="BA36" s="6">
        <v>111</v>
      </c>
      <c r="BB36" s="6">
        <v>81</v>
      </c>
      <c r="BC36" s="6">
        <v>73</v>
      </c>
      <c r="BD36" s="6">
        <v>113</v>
      </c>
      <c r="BE36" s="6">
        <v>58</v>
      </c>
      <c r="BF36" s="6">
        <v>75</v>
      </c>
      <c r="BG36" s="6">
        <v>100</v>
      </c>
      <c r="BK36" s="6">
        <v>58</v>
      </c>
      <c r="BL36" s="6">
        <v>51</v>
      </c>
      <c r="BM36" s="6">
        <v>73</v>
      </c>
      <c r="BN36" s="6">
        <v>7</v>
      </c>
      <c r="BO36" s="6">
        <v>52</v>
      </c>
      <c r="BP36" s="6">
        <v>70</v>
      </c>
      <c r="BQ36" s="6">
        <v>67</v>
      </c>
      <c r="BR36" s="6">
        <v>109</v>
      </c>
      <c r="BS36" s="6">
        <v>23</v>
      </c>
      <c r="BT36" s="6">
        <v>60</v>
      </c>
      <c r="BU36" s="6">
        <v>51</v>
      </c>
      <c r="BV36" s="6">
        <v>85</v>
      </c>
      <c r="BW36" s="6">
        <v>97</v>
      </c>
      <c r="BX36" s="6">
        <v>50</v>
      </c>
      <c r="BY36" s="6">
        <v>115</v>
      </c>
      <c r="BZ36" s="6">
        <v>46</v>
      </c>
      <c r="CA36" s="6">
        <v>115</v>
      </c>
      <c r="CB36" s="6">
        <v>96</v>
      </c>
      <c r="CC36" s="6">
        <v>102</v>
      </c>
      <c r="CD36" s="6">
        <v>112</v>
      </c>
      <c r="CE36" s="6">
        <v>78</v>
      </c>
      <c r="CF36" s="6">
        <v>87</v>
      </c>
      <c r="CG36" s="6">
        <v>103</v>
      </c>
      <c r="CH36" s="6">
        <v>114</v>
      </c>
      <c r="CI36" s="6">
        <v>32</v>
      </c>
      <c r="CJ36" s="6">
        <v>61</v>
      </c>
      <c r="CK36" s="6">
        <v>75</v>
      </c>
      <c r="CO36" s="6">
        <v>55</v>
      </c>
      <c r="CP36" s="6">
        <v>50</v>
      </c>
      <c r="CQ36" s="6">
        <v>64</v>
      </c>
      <c r="CR36" s="6">
        <v>6</v>
      </c>
      <c r="CS36" s="6">
        <v>52</v>
      </c>
      <c r="CT36" s="6">
        <v>72</v>
      </c>
      <c r="CU36" s="6">
        <v>63</v>
      </c>
      <c r="CV36" s="6">
        <v>111</v>
      </c>
      <c r="CW36" s="6">
        <v>27</v>
      </c>
      <c r="CX36" s="6">
        <v>60</v>
      </c>
      <c r="CY36" s="6">
        <v>46</v>
      </c>
      <c r="CZ36" s="6">
        <v>85</v>
      </c>
      <c r="DA36" s="6">
        <v>85</v>
      </c>
      <c r="DB36" s="6">
        <v>45</v>
      </c>
      <c r="DC36" s="6">
        <v>115</v>
      </c>
      <c r="DD36" s="6">
        <v>54</v>
      </c>
      <c r="DE36" s="6">
        <v>115</v>
      </c>
      <c r="DF36" s="6">
        <v>100</v>
      </c>
      <c r="DG36" s="6">
        <v>98</v>
      </c>
      <c r="DH36" s="6">
        <v>114</v>
      </c>
      <c r="DI36" s="6">
        <v>71</v>
      </c>
      <c r="DJ36" s="6">
        <v>85</v>
      </c>
      <c r="DK36" s="6">
        <v>107</v>
      </c>
      <c r="DL36" s="6">
        <v>114</v>
      </c>
      <c r="DM36" s="6">
        <v>37</v>
      </c>
      <c r="DN36" s="6">
        <v>52</v>
      </c>
      <c r="DO36" s="6">
        <v>73</v>
      </c>
      <c r="DS36" s="12">
        <v>32</v>
      </c>
      <c r="DT36" s="6">
        <v>74</v>
      </c>
      <c r="DU36" s="6">
        <v>75</v>
      </c>
      <c r="DV36" s="6">
        <v>98</v>
      </c>
      <c r="DW36" s="6">
        <v>47</v>
      </c>
      <c r="DX36" s="6">
        <v>49</v>
      </c>
      <c r="DY36" s="6">
        <v>43</v>
      </c>
      <c r="DZ36" s="6">
        <v>64</v>
      </c>
      <c r="EA36" s="6">
        <v>90</v>
      </c>
      <c r="EB36" s="6">
        <v>37</v>
      </c>
      <c r="EC36" s="6">
        <v>74</v>
      </c>
      <c r="ED36" s="6">
        <v>73</v>
      </c>
      <c r="EE36" s="6">
        <v>99</v>
      </c>
      <c r="EF36" s="6">
        <v>100</v>
      </c>
      <c r="EG36" s="6">
        <v>72</v>
      </c>
      <c r="EH36" s="6">
        <v>115</v>
      </c>
      <c r="EI36" s="6">
        <v>59</v>
      </c>
      <c r="EJ36" s="6">
        <v>115</v>
      </c>
      <c r="EK36" s="6">
        <v>62</v>
      </c>
      <c r="EL36" s="6">
        <v>96</v>
      </c>
      <c r="EM36" s="6">
        <v>115</v>
      </c>
      <c r="EN36" s="6">
        <v>95</v>
      </c>
      <c r="EO36" s="6">
        <v>68</v>
      </c>
      <c r="EP36" s="6">
        <v>72</v>
      </c>
      <c r="EQ36" s="6">
        <v>100</v>
      </c>
      <c r="ER36" s="6">
        <v>68</v>
      </c>
      <c r="ES36" s="6">
        <v>98</v>
      </c>
      <c r="ET36" s="6">
        <v>85</v>
      </c>
      <c r="EX36" s="7">
        <v>32</v>
      </c>
      <c r="EY36" s="6">
        <v>74</v>
      </c>
      <c r="EZ36" s="6">
        <v>86</v>
      </c>
      <c r="FA36" s="6">
        <v>93</v>
      </c>
      <c r="FB36" s="6">
        <v>43</v>
      </c>
      <c r="FC36" s="6">
        <v>45</v>
      </c>
      <c r="FD36" s="6">
        <v>45</v>
      </c>
      <c r="FE36" s="6">
        <v>56</v>
      </c>
      <c r="FF36" s="6">
        <v>92</v>
      </c>
      <c r="FG36" s="6">
        <v>44</v>
      </c>
      <c r="FH36" s="6">
        <v>74</v>
      </c>
      <c r="FI36" s="6">
        <v>71</v>
      </c>
      <c r="FJ36" s="6">
        <v>104</v>
      </c>
      <c r="FK36" s="6">
        <v>85</v>
      </c>
      <c r="FL36" s="6">
        <v>72</v>
      </c>
      <c r="FM36" s="6">
        <v>115</v>
      </c>
      <c r="FN36" s="6">
        <v>62</v>
      </c>
      <c r="FO36" s="6">
        <v>115</v>
      </c>
      <c r="FP36" s="6">
        <v>62</v>
      </c>
      <c r="FQ36" s="6">
        <v>100</v>
      </c>
      <c r="FR36" s="6">
        <v>115</v>
      </c>
      <c r="FS36" s="6">
        <v>81</v>
      </c>
      <c r="FT36" s="6">
        <v>70</v>
      </c>
      <c r="FU36" s="6">
        <v>68</v>
      </c>
      <c r="FV36" s="6">
        <v>93</v>
      </c>
      <c r="FW36" s="6">
        <v>72</v>
      </c>
      <c r="FX36" s="6">
        <v>96</v>
      </c>
      <c r="FY36" s="6">
        <v>95</v>
      </c>
      <c r="GC36" s="7">
        <v>32</v>
      </c>
      <c r="GD36" s="6">
        <v>70</v>
      </c>
      <c r="GE36" s="6">
        <v>71</v>
      </c>
      <c r="GF36" s="6">
        <v>90</v>
      </c>
      <c r="GG36" s="6">
        <v>42</v>
      </c>
      <c r="GH36" s="6">
        <v>66</v>
      </c>
      <c r="GI36" s="6">
        <v>46</v>
      </c>
      <c r="GJ36" s="6">
        <v>64</v>
      </c>
      <c r="GK36" s="6">
        <v>88</v>
      </c>
      <c r="GL36" s="6">
        <v>44</v>
      </c>
      <c r="GM36" s="6">
        <v>75</v>
      </c>
      <c r="GN36" s="6">
        <v>73</v>
      </c>
      <c r="GO36" s="6">
        <v>110</v>
      </c>
      <c r="GP36" s="6">
        <v>90</v>
      </c>
      <c r="GQ36" s="6">
        <v>59</v>
      </c>
      <c r="GR36" s="6">
        <v>115</v>
      </c>
      <c r="GS36" s="6">
        <v>52</v>
      </c>
      <c r="GT36" s="6">
        <v>109</v>
      </c>
      <c r="GU36" s="6">
        <v>75</v>
      </c>
      <c r="GV36" s="6">
        <v>99</v>
      </c>
      <c r="GW36" s="6">
        <v>105</v>
      </c>
      <c r="GX36" s="6">
        <v>75</v>
      </c>
      <c r="GY36" s="6">
        <v>68</v>
      </c>
      <c r="GZ36" s="6">
        <v>78</v>
      </c>
      <c r="HA36" s="6">
        <v>100</v>
      </c>
      <c r="HB36" s="6">
        <v>66</v>
      </c>
      <c r="HC36" s="6">
        <v>90</v>
      </c>
      <c r="HD36" s="6">
        <v>94</v>
      </c>
      <c r="HH36" s="7">
        <v>32</v>
      </c>
      <c r="HI36" s="6">
        <v>64</v>
      </c>
      <c r="HJ36" s="6">
        <v>75</v>
      </c>
      <c r="HK36" s="6">
        <v>94</v>
      </c>
      <c r="HL36" s="6">
        <v>39</v>
      </c>
      <c r="HM36" s="6">
        <v>49</v>
      </c>
      <c r="HN36" s="6">
        <v>50</v>
      </c>
      <c r="HO36" s="6">
        <v>56</v>
      </c>
      <c r="HP36" s="6">
        <v>102</v>
      </c>
      <c r="HQ36" s="6">
        <v>40</v>
      </c>
      <c r="HR36" s="6">
        <v>74</v>
      </c>
      <c r="HS36" s="6">
        <v>70</v>
      </c>
      <c r="HT36" s="6">
        <v>111</v>
      </c>
      <c r="HU36" s="6">
        <v>90</v>
      </c>
      <c r="HV36" s="6">
        <v>61</v>
      </c>
      <c r="HW36" s="6">
        <v>115</v>
      </c>
      <c r="HX36" s="6">
        <v>56</v>
      </c>
      <c r="HY36" s="6">
        <v>115</v>
      </c>
      <c r="HZ36" s="6">
        <v>70</v>
      </c>
      <c r="IA36" s="6">
        <v>100</v>
      </c>
      <c r="IB36" s="6">
        <v>105</v>
      </c>
      <c r="IC36" s="6">
        <v>68</v>
      </c>
      <c r="ID36" s="6">
        <v>75</v>
      </c>
      <c r="IE36" s="6">
        <v>75</v>
      </c>
      <c r="IF36" s="6">
        <v>103</v>
      </c>
      <c r="IG36" s="6">
        <v>64</v>
      </c>
      <c r="IH36" s="6">
        <v>98</v>
      </c>
      <c r="II36" s="6">
        <v>93</v>
      </c>
    </row>
    <row r="37" spans="2:243" x14ac:dyDescent="0.25">
      <c r="B37" s="13">
        <v>33</v>
      </c>
      <c r="C37" s="6">
        <v>69</v>
      </c>
      <c r="D37" s="6">
        <v>74</v>
      </c>
      <c r="E37" s="6">
        <v>83</v>
      </c>
      <c r="F37" s="6">
        <v>17</v>
      </c>
      <c r="G37" s="6">
        <v>40</v>
      </c>
      <c r="H37" s="6">
        <v>50</v>
      </c>
      <c r="I37" s="6">
        <v>57</v>
      </c>
      <c r="J37" s="6">
        <v>110</v>
      </c>
      <c r="K37" s="6">
        <v>23</v>
      </c>
      <c r="L37" s="6">
        <v>69</v>
      </c>
      <c r="M37" s="6">
        <v>66</v>
      </c>
      <c r="N37" s="6">
        <v>109</v>
      </c>
      <c r="O37" s="6">
        <v>105</v>
      </c>
      <c r="P37" s="6">
        <v>70</v>
      </c>
      <c r="R37" s="6">
        <v>60</v>
      </c>
      <c r="S37" s="6">
        <v>113</v>
      </c>
      <c r="T37" s="6">
        <v>77</v>
      </c>
      <c r="U37" s="6">
        <v>112</v>
      </c>
      <c r="V37" s="6">
        <v>115</v>
      </c>
      <c r="W37" s="6">
        <v>105</v>
      </c>
      <c r="X37" s="6">
        <v>95</v>
      </c>
      <c r="Y37" s="6">
        <v>80</v>
      </c>
      <c r="Z37" s="6">
        <v>113</v>
      </c>
      <c r="AA37" s="6">
        <v>58</v>
      </c>
      <c r="AB37" s="6">
        <v>83</v>
      </c>
      <c r="AC37" s="6">
        <v>100</v>
      </c>
      <c r="AG37" s="6">
        <v>65</v>
      </c>
      <c r="AH37" s="6">
        <v>68</v>
      </c>
      <c r="AI37" s="6">
        <v>80</v>
      </c>
      <c r="AJ37" s="6">
        <v>16</v>
      </c>
      <c r="AK37" s="6">
        <v>37</v>
      </c>
      <c r="AL37" s="6">
        <v>50</v>
      </c>
      <c r="AM37" s="6">
        <v>52</v>
      </c>
      <c r="AN37" s="6">
        <v>113</v>
      </c>
      <c r="AO37" s="6">
        <v>29</v>
      </c>
      <c r="AP37" s="6">
        <v>67</v>
      </c>
      <c r="AQ37" s="6">
        <v>62</v>
      </c>
      <c r="AR37" s="6">
        <v>105</v>
      </c>
      <c r="AS37" s="6">
        <v>108</v>
      </c>
      <c r="AT37" s="6">
        <v>67</v>
      </c>
      <c r="AV37" s="6">
        <v>75</v>
      </c>
      <c r="AW37" s="6">
        <v>115</v>
      </c>
      <c r="AX37" s="6">
        <v>75</v>
      </c>
      <c r="AY37" s="6">
        <v>113</v>
      </c>
      <c r="AZ37" s="6">
        <v>115</v>
      </c>
      <c r="BA37" s="6">
        <v>111</v>
      </c>
      <c r="BB37" s="6">
        <v>81</v>
      </c>
      <c r="BC37" s="6">
        <v>75</v>
      </c>
      <c r="BD37" s="6">
        <v>115</v>
      </c>
      <c r="BE37" s="6">
        <v>60</v>
      </c>
      <c r="BF37" s="6">
        <v>77</v>
      </c>
      <c r="BG37" s="6">
        <v>104</v>
      </c>
      <c r="BK37" s="6">
        <v>60</v>
      </c>
      <c r="BL37" s="6">
        <v>52</v>
      </c>
      <c r="BM37" s="6">
        <v>75</v>
      </c>
      <c r="BN37" s="6">
        <v>8</v>
      </c>
      <c r="BO37" s="6">
        <v>54</v>
      </c>
      <c r="BP37" s="6">
        <v>72</v>
      </c>
      <c r="BQ37" s="6">
        <v>68</v>
      </c>
      <c r="BR37" s="6">
        <v>110</v>
      </c>
      <c r="BS37" s="6">
        <v>25</v>
      </c>
      <c r="BT37" s="6">
        <v>62</v>
      </c>
      <c r="BU37" s="6">
        <v>52</v>
      </c>
      <c r="BV37" s="6">
        <v>91</v>
      </c>
      <c r="BW37" s="6">
        <v>100</v>
      </c>
      <c r="BX37" s="6">
        <v>51</v>
      </c>
      <c r="BZ37" s="6">
        <v>48</v>
      </c>
      <c r="CA37" s="6">
        <v>115</v>
      </c>
      <c r="CB37" s="6">
        <v>100</v>
      </c>
      <c r="CC37" s="6">
        <v>105</v>
      </c>
      <c r="CD37" s="6">
        <v>112</v>
      </c>
      <c r="CE37" s="6">
        <v>81</v>
      </c>
      <c r="CF37" s="6">
        <v>90</v>
      </c>
      <c r="CG37" s="6">
        <v>105</v>
      </c>
      <c r="CH37" s="6">
        <v>114</v>
      </c>
      <c r="CI37" s="6">
        <v>40</v>
      </c>
      <c r="CJ37" s="6">
        <v>62</v>
      </c>
      <c r="CK37" s="6">
        <v>79</v>
      </c>
      <c r="CO37" s="6">
        <v>57</v>
      </c>
      <c r="CP37" s="6">
        <v>52</v>
      </c>
      <c r="CQ37" s="6">
        <v>67</v>
      </c>
      <c r="CR37" s="6">
        <v>6</v>
      </c>
      <c r="CS37" s="6">
        <v>55</v>
      </c>
      <c r="CT37" s="6">
        <v>74</v>
      </c>
      <c r="CU37" s="6">
        <v>66</v>
      </c>
      <c r="CV37" s="6">
        <v>111</v>
      </c>
      <c r="CW37" s="6">
        <v>29</v>
      </c>
      <c r="CX37" s="6">
        <v>63</v>
      </c>
      <c r="CY37" s="6">
        <v>47</v>
      </c>
      <c r="CZ37" s="6">
        <v>91</v>
      </c>
      <c r="DA37" s="6">
        <v>89</v>
      </c>
      <c r="DB37" s="6">
        <v>46</v>
      </c>
      <c r="DD37" s="6">
        <v>58</v>
      </c>
      <c r="DE37" s="6">
        <v>115</v>
      </c>
      <c r="DF37" s="6">
        <v>104</v>
      </c>
      <c r="DG37" s="6">
        <v>105</v>
      </c>
      <c r="DH37" s="6">
        <v>115</v>
      </c>
      <c r="DI37" s="6">
        <v>72</v>
      </c>
      <c r="DJ37" s="6">
        <v>87</v>
      </c>
      <c r="DK37" s="6">
        <v>107</v>
      </c>
      <c r="DL37" s="6">
        <v>114</v>
      </c>
      <c r="DM37" s="6">
        <v>40</v>
      </c>
      <c r="DN37" s="6">
        <v>55</v>
      </c>
      <c r="DO37" s="6">
        <v>75</v>
      </c>
      <c r="DS37" s="12">
        <v>33</v>
      </c>
      <c r="DT37" s="6">
        <v>74</v>
      </c>
      <c r="DU37" s="6">
        <v>77</v>
      </c>
      <c r="DV37" s="6">
        <v>98</v>
      </c>
      <c r="DW37" s="6">
        <v>48</v>
      </c>
      <c r="DX37" s="6">
        <v>49</v>
      </c>
      <c r="DY37" s="6">
        <v>43</v>
      </c>
      <c r="DZ37" s="6">
        <v>64</v>
      </c>
      <c r="EA37" s="6">
        <v>97</v>
      </c>
      <c r="EB37" s="6">
        <v>38</v>
      </c>
      <c r="EC37" s="6">
        <v>75</v>
      </c>
      <c r="ED37" s="6">
        <v>73</v>
      </c>
      <c r="EE37" s="6">
        <v>101</v>
      </c>
      <c r="EF37" s="6">
        <v>104</v>
      </c>
      <c r="EG37" s="6">
        <v>75</v>
      </c>
      <c r="EI37" s="6">
        <v>61</v>
      </c>
      <c r="EJ37" s="6">
        <v>115</v>
      </c>
      <c r="EK37" s="6">
        <v>64</v>
      </c>
      <c r="EL37" s="6">
        <v>100</v>
      </c>
      <c r="EM37" s="6">
        <v>115</v>
      </c>
      <c r="EN37" s="6">
        <v>105</v>
      </c>
      <c r="EO37" s="6">
        <v>70</v>
      </c>
      <c r="EP37" s="6">
        <v>75</v>
      </c>
      <c r="EQ37" s="6">
        <v>103</v>
      </c>
      <c r="ER37" s="6">
        <v>70</v>
      </c>
      <c r="ES37" s="6">
        <v>99</v>
      </c>
      <c r="ET37" s="6">
        <v>100</v>
      </c>
      <c r="EX37" s="7">
        <v>33</v>
      </c>
      <c r="EY37" s="6">
        <v>74</v>
      </c>
      <c r="EZ37" s="6">
        <v>86</v>
      </c>
      <c r="FA37" s="6">
        <v>93</v>
      </c>
      <c r="FB37" s="6">
        <v>43</v>
      </c>
      <c r="FC37" s="6">
        <v>48</v>
      </c>
      <c r="FD37" s="6">
        <v>49</v>
      </c>
      <c r="FE37" s="6">
        <v>56</v>
      </c>
      <c r="FF37" s="6">
        <v>95</v>
      </c>
      <c r="FG37" s="6">
        <v>44</v>
      </c>
      <c r="FH37" s="6">
        <v>75</v>
      </c>
      <c r="FI37" s="6">
        <v>71</v>
      </c>
      <c r="FJ37" s="6">
        <v>107</v>
      </c>
      <c r="FK37" s="6">
        <v>93</v>
      </c>
      <c r="FL37" s="6">
        <v>75</v>
      </c>
      <c r="FM37" s="6">
        <v>115</v>
      </c>
      <c r="FN37" s="6">
        <v>64</v>
      </c>
      <c r="FO37" s="6">
        <v>115</v>
      </c>
      <c r="FP37" s="6">
        <v>64</v>
      </c>
      <c r="FQ37" s="6">
        <v>102</v>
      </c>
      <c r="FR37" s="6">
        <v>115</v>
      </c>
      <c r="FS37" s="6">
        <v>85</v>
      </c>
      <c r="FT37" s="6">
        <v>72</v>
      </c>
      <c r="FU37" s="6">
        <v>70</v>
      </c>
      <c r="FV37" s="6">
        <v>97</v>
      </c>
      <c r="FW37" s="6">
        <v>75</v>
      </c>
      <c r="FX37" s="6">
        <v>98</v>
      </c>
      <c r="FY37" s="6">
        <v>100</v>
      </c>
      <c r="GC37" s="7">
        <v>33</v>
      </c>
      <c r="GD37" s="6">
        <v>72</v>
      </c>
      <c r="GE37" s="6">
        <v>72</v>
      </c>
      <c r="GF37" s="6">
        <v>90</v>
      </c>
      <c r="GG37" s="6">
        <v>42</v>
      </c>
      <c r="GH37" s="6">
        <v>66</v>
      </c>
      <c r="GI37" s="6">
        <v>46</v>
      </c>
      <c r="GJ37" s="6">
        <v>64</v>
      </c>
      <c r="GK37" s="6">
        <v>91</v>
      </c>
      <c r="GL37" s="6">
        <v>44</v>
      </c>
      <c r="GM37" s="6">
        <v>75</v>
      </c>
      <c r="GN37" s="6">
        <v>74</v>
      </c>
      <c r="GO37" s="6">
        <v>115</v>
      </c>
      <c r="GP37" s="6">
        <v>95</v>
      </c>
      <c r="GQ37" s="6">
        <v>61</v>
      </c>
      <c r="GS37" s="6">
        <v>54</v>
      </c>
      <c r="GT37" s="6">
        <v>115</v>
      </c>
      <c r="GU37" s="6">
        <v>76</v>
      </c>
      <c r="GV37" s="6">
        <v>101</v>
      </c>
      <c r="GW37" s="6">
        <v>110</v>
      </c>
      <c r="GX37" s="6">
        <v>77</v>
      </c>
      <c r="GY37" s="6">
        <v>70</v>
      </c>
      <c r="GZ37" s="6">
        <v>81</v>
      </c>
      <c r="HA37" s="6">
        <v>104</v>
      </c>
      <c r="HB37" s="6">
        <v>68</v>
      </c>
      <c r="HC37" s="6">
        <v>91</v>
      </c>
      <c r="HD37" s="6">
        <v>97</v>
      </c>
      <c r="HH37" s="7">
        <v>33</v>
      </c>
      <c r="HI37" s="6">
        <v>74</v>
      </c>
      <c r="HJ37" s="6">
        <v>78</v>
      </c>
      <c r="HK37" s="6">
        <v>94</v>
      </c>
      <c r="HL37" s="6">
        <v>39</v>
      </c>
      <c r="HM37" s="6">
        <v>49</v>
      </c>
      <c r="HN37" s="6">
        <v>55</v>
      </c>
      <c r="HO37" s="6">
        <v>63</v>
      </c>
      <c r="HP37" s="6">
        <v>106</v>
      </c>
      <c r="HQ37" s="6">
        <v>41</v>
      </c>
      <c r="HR37" s="6">
        <v>74</v>
      </c>
      <c r="HS37" s="6">
        <v>70</v>
      </c>
      <c r="HT37" s="6">
        <v>115</v>
      </c>
      <c r="HU37" s="6">
        <v>95</v>
      </c>
      <c r="HV37" s="6">
        <v>63</v>
      </c>
      <c r="HX37" s="6">
        <v>58</v>
      </c>
      <c r="HY37" s="6">
        <v>115</v>
      </c>
      <c r="HZ37" s="6">
        <v>72</v>
      </c>
      <c r="IA37" s="6">
        <v>102</v>
      </c>
      <c r="IB37" s="6">
        <v>107</v>
      </c>
      <c r="IC37" s="6">
        <v>70</v>
      </c>
      <c r="ID37" s="6">
        <v>76</v>
      </c>
      <c r="IE37" s="6">
        <v>78</v>
      </c>
      <c r="IF37" s="6">
        <v>109</v>
      </c>
      <c r="IG37" s="6">
        <v>66</v>
      </c>
      <c r="IH37" s="6">
        <v>99</v>
      </c>
      <c r="II37" s="6">
        <v>97</v>
      </c>
    </row>
    <row r="38" spans="2:243" x14ac:dyDescent="0.25">
      <c r="B38" s="13">
        <v>34</v>
      </c>
      <c r="C38" s="6">
        <v>72</v>
      </c>
      <c r="D38" s="6">
        <v>75</v>
      </c>
      <c r="E38" s="6">
        <v>84</v>
      </c>
      <c r="F38" s="6">
        <v>20</v>
      </c>
      <c r="G38" s="6">
        <v>41</v>
      </c>
      <c r="H38" s="6">
        <v>55</v>
      </c>
      <c r="I38" s="6">
        <v>60</v>
      </c>
      <c r="J38" s="6">
        <v>113</v>
      </c>
      <c r="K38" s="6">
        <v>25</v>
      </c>
      <c r="L38" s="6">
        <v>72</v>
      </c>
      <c r="M38" s="6">
        <v>67</v>
      </c>
      <c r="N38" s="6">
        <v>114</v>
      </c>
      <c r="O38" s="6">
        <v>108</v>
      </c>
      <c r="P38" s="6">
        <v>71</v>
      </c>
      <c r="R38" s="6">
        <v>62</v>
      </c>
      <c r="S38" s="6">
        <v>115</v>
      </c>
      <c r="T38" s="6">
        <v>81</v>
      </c>
      <c r="U38" s="6">
        <v>114</v>
      </c>
      <c r="V38" s="6">
        <v>115</v>
      </c>
      <c r="W38" s="6">
        <v>107</v>
      </c>
      <c r="X38" s="6">
        <v>95</v>
      </c>
      <c r="Y38" s="6">
        <v>81</v>
      </c>
      <c r="Z38" s="6">
        <v>115</v>
      </c>
      <c r="AA38" s="6">
        <v>61</v>
      </c>
      <c r="AB38" s="6">
        <v>85</v>
      </c>
      <c r="AC38" s="6">
        <v>107</v>
      </c>
      <c r="AG38" s="6">
        <v>68</v>
      </c>
      <c r="AH38" s="6">
        <v>70</v>
      </c>
      <c r="AI38" s="6">
        <v>85</v>
      </c>
      <c r="AJ38" s="6">
        <v>20</v>
      </c>
      <c r="AK38" s="6">
        <v>40</v>
      </c>
      <c r="AL38" s="6">
        <v>55</v>
      </c>
      <c r="AM38" s="6">
        <v>59</v>
      </c>
      <c r="AN38" s="6">
        <v>113</v>
      </c>
      <c r="AO38" s="6">
        <v>31</v>
      </c>
      <c r="AP38" s="6">
        <v>68</v>
      </c>
      <c r="AQ38" s="6">
        <v>64</v>
      </c>
      <c r="AR38" s="6">
        <v>109</v>
      </c>
      <c r="AS38" s="6">
        <v>108</v>
      </c>
      <c r="AT38" s="6">
        <v>69</v>
      </c>
      <c r="AV38" s="6">
        <v>83</v>
      </c>
      <c r="AW38" s="6">
        <v>115</v>
      </c>
      <c r="AX38" s="6">
        <v>79</v>
      </c>
      <c r="AY38" s="6">
        <v>113</v>
      </c>
      <c r="AZ38" s="6">
        <v>115</v>
      </c>
      <c r="BA38" s="6">
        <v>111</v>
      </c>
      <c r="BB38" s="6">
        <v>82</v>
      </c>
      <c r="BC38" s="6">
        <v>77</v>
      </c>
      <c r="BD38" s="6">
        <v>115</v>
      </c>
      <c r="BE38" s="6">
        <v>53</v>
      </c>
      <c r="BF38" s="6">
        <v>77</v>
      </c>
      <c r="BG38" s="6">
        <v>108</v>
      </c>
      <c r="BK38" s="6">
        <v>61</v>
      </c>
      <c r="BL38" s="6">
        <v>54</v>
      </c>
      <c r="BM38" s="6">
        <v>78</v>
      </c>
      <c r="BN38" s="6">
        <v>9</v>
      </c>
      <c r="BO38" s="6">
        <v>57</v>
      </c>
      <c r="BP38" s="6">
        <v>73</v>
      </c>
      <c r="BQ38" s="6">
        <v>70</v>
      </c>
      <c r="BR38" s="6">
        <v>111</v>
      </c>
      <c r="BS38" s="6">
        <v>27</v>
      </c>
      <c r="BT38" s="6">
        <v>65</v>
      </c>
      <c r="BU38" s="6">
        <v>54</v>
      </c>
      <c r="BV38" s="6">
        <v>98</v>
      </c>
      <c r="BW38" s="6">
        <v>103</v>
      </c>
      <c r="BX38" s="6">
        <v>52</v>
      </c>
      <c r="BZ38" s="6">
        <v>50</v>
      </c>
      <c r="CA38" s="6">
        <v>115</v>
      </c>
      <c r="CB38" s="6">
        <v>101</v>
      </c>
      <c r="CC38" s="6">
        <v>110</v>
      </c>
      <c r="CD38" s="6">
        <v>114</v>
      </c>
      <c r="CE38" s="6">
        <v>85</v>
      </c>
      <c r="CF38" s="6">
        <v>93</v>
      </c>
      <c r="CG38" s="6">
        <v>106</v>
      </c>
      <c r="CH38" s="6">
        <v>114</v>
      </c>
      <c r="CI38" s="6">
        <v>42</v>
      </c>
      <c r="CJ38" s="6">
        <v>64</v>
      </c>
      <c r="CK38" s="6">
        <v>85</v>
      </c>
      <c r="CO38" s="6">
        <v>58</v>
      </c>
      <c r="CP38" s="6">
        <v>53</v>
      </c>
      <c r="CQ38" s="6">
        <v>70</v>
      </c>
      <c r="CR38" s="6">
        <v>7</v>
      </c>
      <c r="CS38" s="6">
        <v>57</v>
      </c>
      <c r="CT38" s="6">
        <v>75</v>
      </c>
      <c r="CU38" s="6">
        <v>68</v>
      </c>
      <c r="CV38" s="6">
        <v>111</v>
      </c>
      <c r="CW38" s="6">
        <v>30</v>
      </c>
      <c r="CX38" s="6">
        <v>64</v>
      </c>
      <c r="CY38" s="6">
        <v>48</v>
      </c>
      <c r="CZ38" s="6">
        <v>95</v>
      </c>
      <c r="DA38" s="6">
        <v>98</v>
      </c>
      <c r="DB38" s="6">
        <v>47</v>
      </c>
      <c r="DD38" s="6">
        <v>62</v>
      </c>
      <c r="DE38" s="6">
        <v>115</v>
      </c>
      <c r="DF38" s="6">
        <v>107</v>
      </c>
      <c r="DG38" s="6">
        <v>108</v>
      </c>
      <c r="DH38" s="6">
        <v>115</v>
      </c>
      <c r="DI38" s="6">
        <v>75</v>
      </c>
      <c r="DJ38" s="6">
        <v>90</v>
      </c>
      <c r="DK38" s="6">
        <v>108</v>
      </c>
      <c r="DL38" s="6">
        <v>115</v>
      </c>
      <c r="DM38" s="6">
        <v>42</v>
      </c>
      <c r="DN38" s="6">
        <v>57</v>
      </c>
      <c r="DO38" s="6">
        <v>81</v>
      </c>
      <c r="DS38" s="12">
        <v>34</v>
      </c>
      <c r="DT38" s="6">
        <v>75</v>
      </c>
      <c r="DU38" s="6">
        <v>80</v>
      </c>
      <c r="DV38" s="6">
        <v>98</v>
      </c>
      <c r="DW38" s="6">
        <v>48</v>
      </c>
      <c r="DX38" s="6">
        <v>49</v>
      </c>
      <c r="DY38" s="6">
        <v>48</v>
      </c>
      <c r="DZ38" s="6">
        <v>64</v>
      </c>
      <c r="EA38" s="6">
        <v>104</v>
      </c>
      <c r="EB38" s="6">
        <v>38</v>
      </c>
      <c r="EC38" s="6">
        <v>76</v>
      </c>
      <c r="ED38" s="6">
        <v>74</v>
      </c>
      <c r="EE38" s="6">
        <v>103</v>
      </c>
      <c r="EF38" s="6">
        <v>108</v>
      </c>
      <c r="EG38" s="6">
        <v>77</v>
      </c>
      <c r="EI38" s="6">
        <v>63</v>
      </c>
      <c r="EJ38" s="6">
        <v>115</v>
      </c>
      <c r="EK38" s="6">
        <v>66</v>
      </c>
      <c r="EL38" s="6">
        <v>101</v>
      </c>
      <c r="EM38" s="6">
        <v>115</v>
      </c>
      <c r="EN38" s="6">
        <v>115</v>
      </c>
      <c r="EO38" s="6">
        <v>72</v>
      </c>
      <c r="EP38" s="6">
        <v>78</v>
      </c>
      <c r="EQ38" s="6">
        <v>106</v>
      </c>
      <c r="ER38" s="6">
        <v>72</v>
      </c>
      <c r="ES38" s="6">
        <v>101</v>
      </c>
      <c r="ET38" s="6">
        <v>115</v>
      </c>
      <c r="EX38" s="7">
        <v>34</v>
      </c>
      <c r="EY38" s="6">
        <v>74</v>
      </c>
      <c r="EZ38" s="6">
        <v>87</v>
      </c>
      <c r="FA38" s="6">
        <v>94</v>
      </c>
      <c r="FB38" s="6">
        <v>43</v>
      </c>
      <c r="FC38" s="6">
        <v>48</v>
      </c>
      <c r="FD38" s="6">
        <v>51</v>
      </c>
      <c r="FE38" s="6">
        <v>59</v>
      </c>
      <c r="FF38" s="6">
        <v>95</v>
      </c>
      <c r="FG38" s="6">
        <v>44</v>
      </c>
      <c r="FH38" s="6">
        <v>76</v>
      </c>
      <c r="FI38" s="6">
        <v>72</v>
      </c>
      <c r="FJ38" s="6">
        <v>111</v>
      </c>
      <c r="FK38" s="6">
        <v>97</v>
      </c>
      <c r="FL38" s="6">
        <v>76</v>
      </c>
      <c r="FN38" s="6">
        <v>66</v>
      </c>
      <c r="FO38" s="6">
        <v>115</v>
      </c>
      <c r="FP38" s="6">
        <v>66</v>
      </c>
      <c r="FQ38" s="6">
        <v>103</v>
      </c>
      <c r="FR38" s="6">
        <v>115</v>
      </c>
      <c r="FS38" s="6">
        <v>115</v>
      </c>
      <c r="FT38" s="6">
        <v>75</v>
      </c>
      <c r="FU38" s="6">
        <v>72</v>
      </c>
      <c r="FV38" s="6">
        <v>102</v>
      </c>
      <c r="FW38" s="6">
        <v>80</v>
      </c>
      <c r="FX38" s="6">
        <v>100</v>
      </c>
      <c r="FY38" s="6">
        <v>105</v>
      </c>
      <c r="GC38" s="7">
        <v>34</v>
      </c>
      <c r="GD38" s="6">
        <v>73</v>
      </c>
      <c r="GE38" s="6">
        <v>72</v>
      </c>
      <c r="GF38" s="6">
        <v>91</v>
      </c>
      <c r="GG38" s="6">
        <v>43</v>
      </c>
      <c r="GH38" s="6">
        <v>67</v>
      </c>
      <c r="GI38" s="6">
        <v>49</v>
      </c>
      <c r="GJ38" s="6">
        <v>64</v>
      </c>
      <c r="GK38" s="6">
        <v>91</v>
      </c>
      <c r="GL38" s="6">
        <v>45</v>
      </c>
      <c r="GM38" s="6">
        <v>76</v>
      </c>
      <c r="GN38" s="6">
        <v>74</v>
      </c>
      <c r="GO38" s="6">
        <v>115</v>
      </c>
      <c r="GP38" s="6">
        <v>100</v>
      </c>
      <c r="GQ38" s="6">
        <v>63</v>
      </c>
      <c r="GS38" s="6">
        <v>56</v>
      </c>
      <c r="GT38" s="6">
        <v>115</v>
      </c>
      <c r="GU38" s="6">
        <v>76</v>
      </c>
      <c r="GV38" s="6">
        <v>102</v>
      </c>
      <c r="GW38" s="6">
        <v>115</v>
      </c>
      <c r="GX38" s="6">
        <v>78</v>
      </c>
      <c r="GY38" s="6">
        <v>72</v>
      </c>
      <c r="GZ38" s="6">
        <v>85</v>
      </c>
      <c r="HA38" s="6">
        <v>107</v>
      </c>
      <c r="HB38" s="6">
        <v>70</v>
      </c>
      <c r="HC38" s="6">
        <v>93</v>
      </c>
      <c r="HD38" s="6">
        <v>100</v>
      </c>
      <c r="HH38" s="7">
        <v>34</v>
      </c>
      <c r="HI38" s="6">
        <v>74</v>
      </c>
      <c r="HJ38" s="6">
        <v>81</v>
      </c>
      <c r="HK38" s="6">
        <v>101</v>
      </c>
      <c r="HL38" s="6">
        <v>44</v>
      </c>
      <c r="HM38" s="6">
        <v>55</v>
      </c>
      <c r="HN38" s="6">
        <v>57</v>
      </c>
      <c r="HO38" s="6">
        <v>63</v>
      </c>
      <c r="HP38" s="6">
        <v>106</v>
      </c>
      <c r="HQ38" s="6">
        <v>42</v>
      </c>
      <c r="HR38" s="6">
        <v>75</v>
      </c>
      <c r="HS38" s="6">
        <v>74</v>
      </c>
      <c r="HT38" s="6">
        <v>115</v>
      </c>
      <c r="HU38" s="6">
        <v>100</v>
      </c>
      <c r="HV38" s="6">
        <v>64</v>
      </c>
      <c r="HX38" s="6">
        <v>60</v>
      </c>
      <c r="HY38" s="6">
        <v>115</v>
      </c>
      <c r="HZ38" s="6">
        <v>75</v>
      </c>
      <c r="IA38" s="6">
        <v>104</v>
      </c>
      <c r="IB38" s="6">
        <v>110</v>
      </c>
      <c r="IC38" s="6">
        <v>72</v>
      </c>
      <c r="ID38" s="6">
        <v>77</v>
      </c>
      <c r="IE38" s="6">
        <v>81</v>
      </c>
      <c r="IF38" s="6">
        <v>115</v>
      </c>
      <c r="IG38" s="6">
        <v>68</v>
      </c>
      <c r="IH38" s="6">
        <v>101</v>
      </c>
      <c r="II38" s="6">
        <v>100</v>
      </c>
    </row>
    <row r="39" spans="2:243" x14ac:dyDescent="0.25">
      <c r="B39" s="13">
        <v>35</v>
      </c>
      <c r="C39" s="6">
        <v>74</v>
      </c>
      <c r="D39" s="6">
        <v>77</v>
      </c>
      <c r="E39" s="6">
        <v>85</v>
      </c>
      <c r="F39" s="6">
        <v>21</v>
      </c>
      <c r="G39" s="6">
        <v>44</v>
      </c>
      <c r="H39" s="6">
        <v>59</v>
      </c>
      <c r="I39" s="6">
        <v>63</v>
      </c>
      <c r="J39" s="6">
        <v>114</v>
      </c>
      <c r="K39" s="6">
        <v>29</v>
      </c>
      <c r="L39" s="6">
        <v>74</v>
      </c>
      <c r="M39" s="6">
        <v>69</v>
      </c>
      <c r="N39" s="6">
        <v>115</v>
      </c>
      <c r="O39" s="6">
        <v>109</v>
      </c>
      <c r="P39" s="6">
        <v>73</v>
      </c>
      <c r="R39" s="6">
        <v>66</v>
      </c>
      <c r="T39" s="6">
        <v>83</v>
      </c>
      <c r="U39" s="6">
        <v>114</v>
      </c>
      <c r="V39" s="6">
        <v>115</v>
      </c>
      <c r="W39" s="6">
        <v>110</v>
      </c>
      <c r="X39" s="6">
        <v>95</v>
      </c>
      <c r="Y39" s="6">
        <v>83</v>
      </c>
      <c r="Z39" s="6">
        <v>115</v>
      </c>
      <c r="AA39" s="6">
        <v>65</v>
      </c>
      <c r="AB39" s="6">
        <v>89</v>
      </c>
      <c r="AC39" s="6">
        <v>110</v>
      </c>
      <c r="AG39" s="6">
        <v>70</v>
      </c>
      <c r="AH39" s="6">
        <v>73</v>
      </c>
      <c r="AI39" s="6">
        <v>88</v>
      </c>
      <c r="AJ39" s="6">
        <v>21</v>
      </c>
      <c r="AK39" s="6">
        <v>42</v>
      </c>
      <c r="AL39" s="6">
        <v>57</v>
      </c>
      <c r="AM39" s="6">
        <v>60</v>
      </c>
      <c r="AN39" s="6">
        <v>113</v>
      </c>
      <c r="AO39" s="6">
        <v>33</v>
      </c>
      <c r="AP39" s="6">
        <v>69</v>
      </c>
      <c r="AQ39" s="6">
        <v>65</v>
      </c>
      <c r="AR39" s="6">
        <v>112</v>
      </c>
      <c r="AS39" s="6">
        <v>110</v>
      </c>
      <c r="AT39" s="6">
        <v>70</v>
      </c>
      <c r="AV39" s="6">
        <v>85</v>
      </c>
      <c r="AX39" s="6">
        <v>81</v>
      </c>
      <c r="AY39" s="6">
        <v>115</v>
      </c>
      <c r="AZ39" s="6">
        <v>115</v>
      </c>
      <c r="BA39" s="6">
        <v>111</v>
      </c>
      <c r="BB39" s="6">
        <v>85</v>
      </c>
      <c r="BC39" s="6">
        <v>80</v>
      </c>
      <c r="BD39" s="6">
        <v>115</v>
      </c>
      <c r="BE39" s="6">
        <v>66</v>
      </c>
      <c r="BF39" s="6">
        <v>81</v>
      </c>
      <c r="BG39" s="6">
        <v>112</v>
      </c>
      <c r="BK39" s="6">
        <v>64</v>
      </c>
      <c r="BL39" s="6">
        <v>55</v>
      </c>
      <c r="BM39" s="6">
        <v>79</v>
      </c>
      <c r="BN39" s="6">
        <v>12</v>
      </c>
      <c r="BO39" s="6">
        <v>61</v>
      </c>
      <c r="BP39" s="6">
        <v>75</v>
      </c>
      <c r="BQ39" s="6">
        <v>71</v>
      </c>
      <c r="BR39" s="6">
        <v>111</v>
      </c>
      <c r="BS39" s="6">
        <v>29</v>
      </c>
      <c r="BT39" s="6">
        <v>67</v>
      </c>
      <c r="BU39" s="6">
        <v>55</v>
      </c>
      <c r="BV39" s="6">
        <v>107</v>
      </c>
      <c r="BW39" s="6">
        <v>108</v>
      </c>
      <c r="BX39" s="6">
        <v>54</v>
      </c>
      <c r="BZ39" s="6">
        <v>54</v>
      </c>
      <c r="CB39" s="6">
        <v>102</v>
      </c>
      <c r="CC39" s="6">
        <v>112</v>
      </c>
      <c r="CD39" s="6">
        <v>115</v>
      </c>
      <c r="CE39" s="6">
        <v>94</v>
      </c>
      <c r="CF39" s="6">
        <v>97</v>
      </c>
      <c r="CG39" s="6">
        <v>107</v>
      </c>
      <c r="CH39" s="6">
        <v>115</v>
      </c>
      <c r="CI39" s="6">
        <v>47</v>
      </c>
      <c r="CJ39" s="6">
        <v>66</v>
      </c>
      <c r="CK39" s="6">
        <v>94</v>
      </c>
      <c r="CO39" s="6">
        <v>60</v>
      </c>
      <c r="CP39" s="6">
        <v>55</v>
      </c>
      <c r="CQ39" s="6">
        <v>71</v>
      </c>
      <c r="CR39" s="6">
        <v>10</v>
      </c>
      <c r="CS39" s="6">
        <v>60</v>
      </c>
      <c r="CT39" s="6">
        <v>78</v>
      </c>
      <c r="CU39" s="6">
        <v>71</v>
      </c>
      <c r="CV39" s="6">
        <v>111</v>
      </c>
      <c r="CW39" s="6">
        <v>32</v>
      </c>
      <c r="CX39" s="6">
        <v>67</v>
      </c>
      <c r="CY39" s="6">
        <v>49</v>
      </c>
      <c r="CZ39" s="6">
        <v>101</v>
      </c>
      <c r="DA39" s="6">
        <v>101</v>
      </c>
      <c r="DB39" s="6">
        <v>48</v>
      </c>
      <c r="DD39" s="6">
        <v>66</v>
      </c>
      <c r="DF39" s="6">
        <v>109</v>
      </c>
      <c r="DG39" s="6">
        <v>110</v>
      </c>
      <c r="DH39" s="6">
        <v>115</v>
      </c>
      <c r="DI39" s="6">
        <v>84</v>
      </c>
      <c r="DJ39" s="6">
        <v>92</v>
      </c>
      <c r="DK39" s="6">
        <v>108</v>
      </c>
      <c r="DL39" s="6">
        <v>115</v>
      </c>
      <c r="DM39" s="6">
        <v>43</v>
      </c>
      <c r="DN39" s="6">
        <v>59</v>
      </c>
      <c r="DO39" s="6">
        <v>85</v>
      </c>
      <c r="DS39" s="12">
        <v>35</v>
      </c>
      <c r="DT39" s="6">
        <v>76</v>
      </c>
      <c r="DU39" s="6">
        <v>82</v>
      </c>
      <c r="DV39" s="6">
        <v>99</v>
      </c>
      <c r="DW39" s="6">
        <v>48</v>
      </c>
      <c r="DX39" s="6">
        <v>50</v>
      </c>
      <c r="DY39" s="6">
        <v>48</v>
      </c>
      <c r="DZ39" s="6">
        <v>68</v>
      </c>
      <c r="EA39" s="6">
        <v>108</v>
      </c>
      <c r="EB39" s="6">
        <v>38</v>
      </c>
      <c r="EC39" s="6">
        <v>77</v>
      </c>
      <c r="ED39" s="6">
        <v>74</v>
      </c>
      <c r="EE39" s="6">
        <v>105</v>
      </c>
      <c r="EF39" s="6">
        <v>112</v>
      </c>
      <c r="EG39" s="6">
        <v>79</v>
      </c>
      <c r="EI39" s="6">
        <v>65</v>
      </c>
      <c r="EK39" s="6">
        <v>68</v>
      </c>
      <c r="EL39" s="6">
        <v>103</v>
      </c>
      <c r="EM39" s="6">
        <v>115</v>
      </c>
      <c r="EN39" s="6">
        <v>115</v>
      </c>
      <c r="EO39" s="6">
        <v>75</v>
      </c>
      <c r="EP39" s="6">
        <v>82</v>
      </c>
      <c r="EQ39" s="6">
        <v>109</v>
      </c>
      <c r="ER39" s="6">
        <v>75</v>
      </c>
      <c r="ES39" s="6">
        <v>102</v>
      </c>
      <c r="ET39" s="6">
        <v>115</v>
      </c>
      <c r="EX39" s="7">
        <v>35</v>
      </c>
      <c r="EY39" s="6">
        <v>75</v>
      </c>
      <c r="EZ39" s="6">
        <v>87</v>
      </c>
      <c r="FA39" s="6">
        <v>94</v>
      </c>
      <c r="FB39" s="6">
        <v>44</v>
      </c>
      <c r="FC39" s="6">
        <v>48</v>
      </c>
      <c r="FD39" s="6">
        <v>51</v>
      </c>
      <c r="FE39" s="6">
        <v>60</v>
      </c>
      <c r="FF39" s="6">
        <v>95</v>
      </c>
      <c r="FG39" s="6">
        <v>45</v>
      </c>
      <c r="FH39" s="6">
        <v>77</v>
      </c>
      <c r="FI39" s="6">
        <v>75</v>
      </c>
      <c r="FJ39" s="6">
        <v>115</v>
      </c>
      <c r="FK39" s="6">
        <v>102</v>
      </c>
      <c r="FL39" s="6">
        <v>77</v>
      </c>
      <c r="FN39" s="6">
        <v>68</v>
      </c>
      <c r="FP39" s="6">
        <v>68</v>
      </c>
      <c r="FQ39" s="6">
        <v>105</v>
      </c>
      <c r="FR39" s="6">
        <v>115</v>
      </c>
      <c r="FS39" s="6">
        <v>115</v>
      </c>
      <c r="FT39" s="6">
        <v>78</v>
      </c>
      <c r="FU39" s="6">
        <v>75</v>
      </c>
      <c r="FV39" s="6">
        <v>106</v>
      </c>
      <c r="FW39" s="6">
        <v>85</v>
      </c>
      <c r="FX39" s="6">
        <v>101</v>
      </c>
      <c r="FY39" s="6">
        <v>110</v>
      </c>
      <c r="GC39" s="7">
        <v>35</v>
      </c>
      <c r="GD39" s="6">
        <v>74</v>
      </c>
      <c r="GE39" s="6">
        <v>75</v>
      </c>
      <c r="GF39" s="6">
        <v>91</v>
      </c>
      <c r="GG39" s="6">
        <v>44</v>
      </c>
      <c r="GH39" s="6">
        <v>67</v>
      </c>
      <c r="GI39" s="6">
        <v>49</v>
      </c>
      <c r="GJ39" s="6">
        <v>69</v>
      </c>
      <c r="GK39" s="6">
        <v>101</v>
      </c>
      <c r="GL39" s="6">
        <v>47</v>
      </c>
      <c r="GM39" s="6">
        <v>77</v>
      </c>
      <c r="GN39" s="6">
        <v>74</v>
      </c>
      <c r="GO39" s="6">
        <v>115</v>
      </c>
      <c r="GP39" s="6">
        <v>105</v>
      </c>
      <c r="GQ39" s="6">
        <v>65</v>
      </c>
      <c r="GS39" s="6">
        <v>57</v>
      </c>
      <c r="GU39" s="6">
        <v>77</v>
      </c>
      <c r="GV39" s="6">
        <v>103</v>
      </c>
      <c r="GW39" s="6">
        <v>115</v>
      </c>
      <c r="GX39" s="6">
        <v>80</v>
      </c>
      <c r="GY39" s="6">
        <v>75</v>
      </c>
      <c r="GZ39" s="6">
        <v>87</v>
      </c>
      <c r="HA39" s="6">
        <v>111</v>
      </c>
      <c r="HB39" s="6">
        <v>72</v>
      </c>
      <c r="HC39" s="6">
        <v>94</v>
      </c>
      <c r="HD39" s="6">
        <v>103</v>
      </c>
      <c r="HH39" s="7">
        <v>35</v>
      </c>
      <c r="HI39" s="6">
        <v>74</v>
      </c>
      <c r="HJ39" s="6">
        <v>85</v>
      </c>
      <c r="HK39" s="6">
        <v>105</v>
      </c>
      <c r="HL39" s="6">
        <v>45</v>
      </c>
      <c r="HM39" s="6">
        <v>60</v>
      </c>
      <c r="HN39" s="6">
        <v>57</v>
      </c>
      <c r="HO39" s="6">
        <v>68</v>
      </c>
      <c r="HP39" s="6">
        <v>106</v>
      </c>
      <c r="HQ39" s="6">
        <v>42</v>
      </c>
      <c r="HR39" s="6">
        <v>76</v>
      </c>
      <c r="HS39" s="6">
        <v>74</v>
      </c>
      <c r="HT39" s="6">
        <v>115</v>
      </c>
      <c r="HU39" s="6">
        <v>105</v>
      </c>
      <c r="HV39" s="6">
        <v>66</v>
      </c>
      <c r="HX39" s="6">
        <v>61</v>
      </c>
      <c r="HZ39" s="6">
        <v>77</v>
      </c>
      <c r="IA39" s="6">
        <v>105</v>
      </c>
      <c r="IB39" s="6">
        <v>113</v>
      </c>
      <c r="IC39" s="6">
        <v>75</v>
      </c>
      <c r="ID39" s="6">
        <v>78</v>
      </c>
      <c r="IE39" s="6">
        <v>83</v>
      </c>
      <c r="IF39" s="6">
        <v>115</v>
      </c>
      <c r="IG39" s="6">
        <v>70</v>
      </c>
      <c r="IH39" s="6">
        <v>102</v>
      </c>
      <c r="II39" s="6">
        <v>104</v>
      </c>
    </row>
    <row r="40" spans="2:243" x14ac:dyDescent="0.25">
      <c r="B40" s="13">
        <v>36</v>
      </c>
      <c r="C40" s="6">
        <v>75</v>
      </c>
      <c r="D40" s="6">
        <v>78</v>
      </c>
      <c r="E40" s="6">
        <v>87</v>
      </c>
      <c r="F40" s="6">
        <v>23</v>
      </c>
      <c r="G40" s="6">
        <v>46</v>
      </c>
      <c r="H40" s="6">
        <v>64</v>
      </c>
      <c r="I40" s="6">
        <v>66</v>
      </c>
      <c r="J40" s="6">
        <v>114</v>
      </c>
      <c r="K40" s="6">
        <v>34</v>
      </c>
      <c r="L40" s="6">
        <v>75</v>
      </c>
      <c r="M40" s="6">
        <v>70</v>
      </c>
      <c r="N40" s="6">
        <v>115</v>
      </c>
      <c r="O40" s="6">
        <v>111</v>
      </c>
      <c r="P40" s="6">
        <v>74</v>
      </c>
      <c r="R40" s="6">
        <v>70</v>
      </c>
      <c r="T40" s="6">
        <v>85</v>
      </c>
      <c r="U40" s="6">
        <v>114</v>
      </c>
      <c r="V40" s="6">
        <v>115</v>
      </c>
      <c r="W40" s="6">
        <v>113</v>
      </c>
      <c r="X40" s="6">
        <v>97</v>
      </c>
      <c r="Y40" s="6">
        <v>85</v>
      </c>
      <c r="Z40" s="6">
        <v>115</v>
      </c>
      <c r="AA40" s="6">
        <v>70</v>
      </c>
      <c r="AB40" s="6">
        <v>93</v>
      </c>
      <c r="AC40" s="6">
        <v>113</v>
      </c>
      <c r="AG40" s="6">
        <v>72</v>
      </c>
      <c r="AH40" s="6">
        <v>75</v>
      </c>
      <c r="AI40" s="6">
        <v>91</v>
      </c>
      <c r="AJ40" s="6">
        <v>22</v>
      </c>
      <c r="AK40" s="6">
        <v>44</v>
      </c>
      <c r="AL40" s="6">
        <v>59</v>
      </c>
      <c r="AM40" s="6">
        <v>62</v>
      </c>
      <c r="AN40" s="6">
        <v>113</v>
      </c>
      <c r="AO40" s="6">
        <v>35</v>
      </c>
      <c r="AP40" s="6">
        <v>72</v>
      </c>
      <c r="AQ40" s="6">
        <v>66</v>
      </c>
      <c r="AR40" s="6">
        <v>112</v>
      </c>
      <c r="AS40" s="6">
        <v>113</v>
      </c>
      <c r="AT40" s="6">
        <v>71</v>
      </c>
      <c r="AV40" s="6">
        <v>92</v>
      </c>
      <c r="AX40" s="6">
        <v>85</v>
      </c>
      <c r="AY40" s="6">
        <v>115</v>
      </c>
      <c r="AZ40" s="6">
        <v>115</v>
      </c>
      <c r="BA40" s="6">
        <v>111</v>
      </c>
      <c r="BB40" s="6">
        <v>88</v>
      </c>
      <c r="BC40" s="6">
        <v>85</v>
      </c>
      <c r="BD40" s="6">
        <v>115</v>
      </c>
      <c r="BE40" s="6">
        <v>68</v>
      </c>
      <c r="BF40" s="6">
        <v>85</v>
      </c>
      <c r="BG40" s="6">
        <v>112</v>
      </c>
      <c r="BK40" s="6">
        <v>66</v>
      </c>
      <c r="BL40" s="6">
        <v>57</v>
      </c>
      <c r="BM40" s="6">
        <v>80</v>
      </c>
      <c r="BN40" s="6">
        <v>13</v>
      </c>
      <c r="BO40" s="6">
        <v>63</v>
      </c>
      <c r="BP40" s="6">
        <v>79</v>
      </c>
      <c r="BQ40" s="6">
        <v>73</v>
      </c>
      <c r="BR40" s="6">
        <v>113</v>
      </c>
      <c r="BS40" s="6">
        <v>32</v>
      </c>
      <c r="BT40" s="6">
        <v>70</v>
      </c>
      <c r="BU40" s="6">
        <v>56</v>
      </c>
      <c r="BV40" s="6">
        <v>109</v>
      </c>
      <c r="BW40" s="6">
        <v>110</v>
      </c>
      <c r="BX40" s="6">
        <v>56</v>
      </c>
      <c r="BZ40" s="6">
        <v>58</v>
      </c>
      <c r="CB40" s="6">
        <v>103</v>
      </c>
      <c r="CC40" s="6">
        <v>113</v>
      </c>
      <c r="CD40" s="6">
        <v>115</v>
      </c>
      <c r="CE40" s="6">
        <v>95</v>
      </c>
      <c r="CF40" s="6">
        <v>100</v>
      </c>
      <c r="CG40" s="6">
        <v>108</v>
      </c>
      <c r="CH40" s="6">
        <v>115</v>
      </c>
      <c r="CI40" s="6">
        <v>50</v>
      </c>
      <c r="CJ40" s="6">
        <v>68</v>
      </c>
      <c r="CK40" s="6">
        <v>96</v>
      </c>
      <c r="CO40" s="6">
        <v>62</v>
      </c>
      <c r="CP40" s="6">
        <v>57</v>
      </c>
      <c r="CQ40" s="6">
        <v>73</v>
      </c>
      <c r="CR40" s="6">
        <v>13</v>
      </c>
      <c r="CS40" s="6">
        <v>62</v>
      </c>
      <c r="CT40" s="6">
        <v>81</v>
      </c>
      <c r="CU40" s="6">
        <v>73</v>
      </c>
      <c r="CV40" s="6">
        <v>113</v>
      </c>
      <c r="CW40" s="6">
        <v>36</v>
      </c>
      <c r="CX40" s="6">
        <v>68</v>
      </c>
      <c r="CY40" s="6">
        <v>50</v>
      </c>
      <c r="CZ40" s="6">
        <v>104</v>
      </c>
      <c r="DA40" s="6">
        <v>105</v>
      </c>
      <c r="DB40" s="6">
        <v>50</v>
      </c>
      <c r="DD40" s="6">
        <v>70</v>
      </c>
      <c r="DF40" s="6">
        <v>109</v>
      </c>
      <c r="DG40" s="6">
        <v>110</v>
      </c>
      <c r="DH40" s="6">
        <v>115</v>
      </c>
      <c r="DI40" s="6">
        <v>85</v>
      </c>
      <c r="DJ40" s="6">
        <v>96</v>
      </c>
      <c r="DK40" s="6">
        <v>109</v>
      </c>
      <c r="DL40" s="6">
        <v>115</v>
      </c>
      <c r="DM40" s="6">
        <v>45</v>
      </c>
      <c r="DN40" s="6">
        <v>61</v>
      </c>
      <c r="DO40" s="6">
        <v>97</v>
      </c>
      <c r="DS40" s="12">
        <v>36</v>
      </c>
      <c r="DT40" s="6">
        <v>77</v>
      </c>
      <c r="DU40" s="6">
        <v>85</v>
      </c>
      <c r="DV40" s="6">
        <v>102</v>
      </c>
      <c r="DW40" s="6">
        <v>49</v>
      </c>
      <c r="DX40" s="6">
        <v>51</v>
      </c>
      <c r="DY40" s="6">
        <v>50</v>
      </c>
      <c r="DZ40" s="6">
        <v>72</v>
      </c>
      <c r="EA40" s="6">
        <v>113</v>
      </c>
      <c r="EB40" s="6">
        <v>43</v>
      </c>
      <c r="EC40" s="6">
        <v>79</v>
      </c>
      <c r="ED40" s="6">
        <v>74</v>
      </c>
      <c r="EE40" s="6">
        <v>107</v>
      </c>
      <c r="EF40" s="6">
        <v>115</v>
      </c>
      <c r="EG40" s="6">
        <v>81</v>
      </c>
      <c r="EI40" s="6">
        <v>66</v>
      </c>
      <c r="EK40" s="6">
        <v>70</v>
      </c>
      <c r="EL40" s="6">
        <v>104</v>
      </c>
      <c r="EM40" s="6">
        <v>115</v>
      </c>
      <c r="EN40" s="6">
        <v>115</v>
      </c>
      <c r="EO40" s="6">
        <v>77</v>
      </c>
      <c r="EP40" s="6">
        <v>85</v>
      </c>
      <c r="EQ40" s="6">
        <v>112</v>
      </c>
      <c r="ER40" s="6">
        <v>77</v>
      </c>
      <c r="ES40" s="6">
        <v>104</v>
      </c>
      <c r="ET40" s="6">
        <v>115</v>
      </c>
      <c r="EX40" s="7">
        <v>36</v>
      </c>
      <c r="EY40" s="6">
        <v>76</v>
      </c>
      <c r="EZ40" s="6">
        <v>88</v>
      </c>
      <c r="FA40" s="6">
        <v>95</v>
      </c>
      <c r="FB40" s="6">
        <v>44</v>
      </c>
      <c r="FC40" s="6">
        <v>52</v>
      </c>
      <c r="FD40" s="6">
        <v>52</v>
      </c>
      <c r="FE40" s="6">
        <v>60</v>
      </c>
      <c r="FF40" s="6">
        <v>96</v>
      </c>
      <c r="FG40" s="6">
        <v>47</v>
      </c>
      <c r="FH40" s="6">
        <v>78</v>
      </c>
      <c r="FI40" s="6">
        <v>79</v>
      </c>
      <c r="FJ40" s="6">
        <v>115</v>
      </c>
      <c r="FK40" s="6">
        <v>106</v>
      </c>
      <c r="FL40" s="6">
        <v>78</v>
      </c>
      <c r="FN40" s="6">
        <v>70</v>
      </c>
      <c r="FP40" s="6">
        <v>70</v>
      </c>
      <c r="FQ40" s="6">
        <v>10</v>
      </c>
      <c r="FR40" s="6">
        <v>115</v>
      </c>
      <c r="FS40" s="6">
        <v>115</v>
      </c>
      <c r="FT40" s="6">
        <v>81</v>
      </c>
      <c r="FU40" s="6">
        <v>78</v>
      </c>
      <c r="FV40" s="6">
        <v>110</v>
      </c>
      <c r="FW40" s="6">
        <v>88</v>
      </c>
      <c r="FX40" s="6">
        <v>103</v>
      </c>
      <c r="FY40" s="6">
        <v>115</v>
      </c>
      <c r="GC40" s="7">
        <v>36</v>
      </c>
      <c r="GD40" s="6">
        <v>74</v>
      </c>
      <c r="GE40" s="6">
        <v>75</v>
      </c>
      <c r="GF40" s="6">
        <v>105</v>
      </c>
      <c r="GG40" s="6">
        <v>44</v>
      </c>
      <c r="GH40" s="6">
        <v>67</v>
      </c>
      <c r="GI40" s="6">
        <v>51</v>
      </c>
      <c r="GJ40" s="6">
        <v>72</v>
      </c>
      <c r="GK40" s="6">
        <v>104</v>
      </c>
      <c r="GL40" s="6">
        <v>50</v>
      </c>
      <c r="GM40" s="6">
        <v>77</v>
      </c>
      <c r="GN40" s="6">
        <v>75</v>
      </c>
      <c r="GO40" s="6">
        <v>115</v>
      </c>
      <c r="GP40" s="6">
        <v>110</v>
      </c>
      <c r="GQ40" s="6">
        <v>66</v>
      </c>
      <c r="GS40" s="6">
        <v>59</v>
      </c>
      <c r="GU40" s="6">
        <v>78</v>
      </c>
      <c r="GV40" s="6">
        <v>105</v>
      </c>
      <c r="GW40" s="6">
        <v>115</v>
      </c>
      <c r="GX40" s="6">
        <v>81</v>
      </c>
      <c r="GY40" s="6">
        <v>79</v>
      </c>
      <c r="GZ40" s="6">
        <v>89</v>
      </c>
      <c r="HA40" s="6">
        <v>115</v>
      </c>
      <c r="HB40" s="6">
        <v>75</v>
      </c>
      <c r="HC40" s="6">
        <v>96</v>
      </c>
      <c r="HD40" s="6">
        <v>406</v>
      </c>
      <c r="HH40" s="7">
        <v>36</v>
      </c>
      <c r="HI40" s="6">
        <v>75</v>
      </c>
      <c r="HJ40" s="6">
        <v>87</v>
      </c>
      <c r="HK40" s="6">
        <v>105</v>
      </c>
      <c r="HL40" s="6">
        <v>45</v>
      </c>
      <c r="HM40" s="6">
        <v>60</v>
      </c>
      <c r="HN40" s="6">
        <v>57</v>
      </c>
      <c r="HO40" s="6">
        <v>68</v>
      </c>
      <c r="HP40" s="6">
        <v>110</v>
      </c>
      <c r="HQ40" s="6">
        <v>44</v>
      </c>
      <c r="HR40" s="6">
        <v>78</v>
      </c>
      <c r="HS40" s="6">
        <v>74</v>
      </c>
      <c r="HT40" s="6">
        <v>115</v>
      </c>
      <c r="HU40" s="6">
        <v>110</v>
      </c>
      <c r="HV40" s="6">
        <v>68</v>
      </c>
      <c r="HX40" s="6">
        <v>63</v>
      </c>
      <c r="HZ40" s="6">
        <v>78</v>
      </c>
      <c r="IA40" s="6">
        <v>106</v>
      </c>
      <c r="IB40" s="6">
        <v>115</v>
      </c>
      <c r="IC40" s="6">
        <v>77</v>
      </c>
      <c r="ID40" s="6">
        <v>79</v>
      </c>
      <c r="IE40" s="6">
        <v>85</v>
      </c>
      <c r="IF40" s="6">
        <v>115</v>
      </c>
      <c r="IG40" s="6">
        <v>72</v>
      </c>
      <c r="IH40" s="6">
        <v>103</v>
      </c>
      <c r="II40" s="6">
        <v>106</v>
      </c>
    </row>
    <row r="41" spans="2:243" x14ac:dyDescent="0.25">
      <c r="B41" s="13">
        <v>37</v>
      </c>
      <c r="C41" s="6">
        <v>76</v>
      </c>
      <c r="D41" s="6">
        <v>81</v>
      </c>
      <c r="E41" s="6">
        <v>90</v>
      </c>
      <c r="F41" s="6">
        <v>25</v>
      </c>
      <c r="G41" s="6">
        <v>48</v>
      </c>
      <c r="H41" s="6">
        <v>67</v>
      </c>
      <c r="I41" s="6">
        <v>69</v>
      </c>
      <c r="J41" s="6">
        <v>114</v>
      </c>
      <c r="K41" s="6">
        <v>35</v>
      </c>
      <c r="L41" s="6">
        <v>79</v>
      </c>
      <c r="M41" s="6">
        <v>71</v>
      </c>
      <c r="N41" s="6">
        <v>115</v>
      </c>
      <c r="O41" s="6">
        <v>114</v>
      </c>
      <c r="P41" s="6">
        <v>75</v>
      </c>
      <c r="R41" s="6">
        <v>73</v>
      </c>
      <c r="T41" s="6">
        <v>90</v>
      </c>
      <c r="U41" s="6">
        <v>114</v>
      </c>
      <c r="V41" s="6">
        <v>115</v>
      </c>
      <c r="W41" s="6">
        <v>113</v>
      </c>
      <c r="X41" s="6">
        <v>100</v>
      </c>
      <c r="Y41" s="6">
        <v>89</v>
      </c>
      <c r="Z41" s="6">
        <v>115</v>
      </c>
      <c r="AA41" s="6">
        <v>72</v>
      </c>
      <c r="AB41" s="6">
        <v>97</v>
      </c>
      <c r="AC41" s="6">
        <v>113</v>
      </c>
      <c r="AG41" s="6">
        <v>73</v>
      </c>
      <c r="AH41" s="6">
        <v>79</v>
      </c>
      <c r="AI41" s="6">
        <v>91</v>
      </c>
      <c r="AJ41" s="6">
        <v>26</v>
      </c>
      <c r="AK41" s="6">
        <v>47</v>
      </c>
      <c r="AL41" s="6">
        <v>64</v>
      </c>
      <c r="AM41" s="6">
        <v>65</v>
      </c>
      <c r="AN41" s="6">
        <v>115</v>
      </c>
      <c r="AO41" s="6">
        <v>40</v>
      </c>
      <c r="AP41" s="6">
        <v>73</v>
      </c>
      <c r="AQ41" s="6">
        <v>69</v>
      </c>
      <c r="AR41" s="6">
        <v>112</v>
      </c>
      <c r="AS41" s="6">
        <v>113</v>
      </c>
      <c r="AT41" s="6">
        <v>72</v>
      </c>
      <c r="AV41" s="6">
        <v>97</v>
      </c>
      <c r="AX41" s="6">
        <v>96</v>
      </c>
      <c r="AY41" s="6">
        <v>115</v>
      </c>
      <c r="AZ41" s="6">
        <v>115</v>
      </c>
      <c r="BA41" s="6">
        <v>111</v>
      </c>
      <c r="BB41" s="6">
        <v>88</v>
      </c>
      <c r="BC41" s="6">
        <v>88</v>
      </c>
      <c r="BD41" s="6">
        <v>115</v>
      </c>
      <c r="BE41" s="6">
        <v>71</v>
      </c>
      <c r="BF41" s="6">
        <v>86</v>
      </c>
      <c r="BG41" s="6">
        <v>112</v>
      </c>
      <c r="BK41" s="6">
        <v>68</v>
      </c>
      <c r="BL41" s="6">
        <v>59</v>
      </c>
      <c r="BM41" s="6">
        <v>81</v>
      </c>
      <c r="BN41" s="6">
        <v>15</v>
      </c>
      <c r="BO41" s="6">
        <v>66</v>
      </c>
      <c r="BP41" s="6">
        <v>82</v>
      </c>
      <c r="BQ41" s="6">
        <v>74</v>
      </c>
      <c r="BR41" s="6">
        <v>113</v>
      </c>
      <c r="BS41" s="6">
        <v>35</v>
      </c>
      <c r="BT41" s="6">
        <v>72</v>
      </c>
      <c r="BU41" s="6">
        <v>57</v>
      </c>
      <c r="BV41" s="6">
        <v>111</v>
      </c>
      <c r="BW41" s="6">
        <v>111</v>
      </c>
      <c r="BX41" s="6">
        <v>57</v>
      </c>
      <c r="BZ41" s="6">
        <v>62</v>
      </c>
      <c r="CB41" s="6">
        <v>107</v>
      </c>
      <c r="CC41" s="6">
        <v>113</v>
      </c>
      <c r="CD41" s="6">
        <v>115</v>
      </c>
      <c r="CE41" s="6">
        <v>97</v>
      </c>
      <c r="CF41" s="6">
        <v>101</v>
      </c>
      <c r="CG41" s="6">
        <v>110</v>
      </c>
      <c r="CH41" s="6">
        <v>115</v>
      </c>
      <c r="CI41" s="6">
        <v>54</v>
      </c>
      <c r="CJ41" s="6">
        <v>70</v>
      </c>
      <c r="CK41" s="6">
        <v>103</v>
      </c>
      <c r="CO41" s="6">
        <v>65</v>
      </c>
      <c r="CP41" s="6">
        <v>59</v>
      </c>
      <c r="CQ41" s="6">
        <v>75</v>
      </c>
      <c r="CR41" s="6">
        <v>15</v>
      </c>
      <c r="CS41" s="6">
        <v>64</v>
      </c>
      <c r="CT41" s="6">
        <v>85</v>
      </c>
      <c r="CU41" s="6">
        <v>75</v>
      </c>
      <c r="CV41" s="6">
        <v>113</v>
      </c>
      <c r="CW41" s="6">
        <v>40</v>
      </c>
      <c r="CX41" s="6">
        <v>69</v>
      </c>
      <c r="CY41" s="6">
        <v>51</v>
      </c>
      <c r="CZ41" s="6">
        <v>108</v>
      </c>
      <c r="DA41" s="6">
        <v>107</v>
      </c>
      <c r="DB41" s="6">
        <v>51</v>
      </c>
      <c r="DD41" s="6">
        <v>73</v>
      </c>
      <c r="DF41" s="6">
        <v>111</v>
      </c>
      <c r="DG41" s="6">
        <v>112</v>
      </c>
      <c r="DH41" s="6">
        <v>115</v>
      </c>
      <c r="DI41" s="6">
        <v>92</v>
      </c>
      <c r="DJ41" s="6">
        <v>98</v>
      </c>
      <c r="DK41" s="6">
        <v>110</v>
      </c>
      <c r="DL41" s="6">
        <v>115</v>
      </c>
      <c r="DM41" s="6">
        <v>48</v>
      </c>
      <c r="DN41" s="6">
        <v>64</v>
      </c>
      <c r="DO41" s="6">
        <v>102</v>
      </c>
      <c r="DS41" s="12">
        <v>37</v>
      </c>
      <c r="DT41" s="6">
        <v>78</v>
      </c>
      <c r="DU41" s="6">
        <v>86</v>
      </c>
      <c r="DV41" s="6">
        <v>102</v>
      </c>
      <c r="DW41" s="6">
        <v>49</v>
      </c>
      <c r="DX41" s="6">
        <v>51</v>
      </c>
      <c r="DY41" s="6">
        <v>52</v>
      </c>
      <c r="DZ41" s="6">
        <v>73</v>
      </c>
      <c r="EA41" s="6">
        <v>115</v>
      </c>
      <c r="EB41" s="6">
        <v>43</v>
      </c>
      <c r="EC41" s="6">
        <v>80</v>
      </c>
      <c r="ED41" s="6">
        <v>75</v>
      </c>
      <c r="EE41" s="6">
        <v>108</v>
      </c>
      <c r="EF41" s="6">
        <v>115</v>
      </c>
      <c r="EG41" s="6">
        <v>82</v>
      </c>
      <c r="EI41" s="6">
        <v>68</v>
      </c>
      <c r="EK41" s="6">
        <v>72</v>
      </c>
      <c r="EL41" s="6">
        <v>106</v>
      </c>
      <c r="EM41" s="6">
        <v>115</v>
      </c>
      <c r="EN41" s="6">
        <v>115</v>
      </c>
      <c r="EO41" s="6">
        <v>79</v>
      </c>
      <c r="EP41" s="6">
        <v>87</v>
      </c>
      <c r="EQ41" s="6">
        <v>115</v>
      </c>
      <c r="ER41" s="6">
        <v>79</v>
      </c>
      <c r="ES41" s="6">
        <v>105</v>
      </c>
      <c r="ET41" s="6">
        <v>115</v>
      </c>
      <c r="EX41" s="7">
        <v>37</v>
      </c>
      <c r="EY41" s="6">
        <v>78</v>
      </c>
      <c r="EZ41" s="6">
        <v>88</v>
      </c>
      <c r="FA41" s="6">
        <v>95</v>
      </c>
      <c r="FB41" s="6">
        <v>44</v>
      </c>
      <c r="FC41" s="6">
        <v>54</v>
      </c>
      <c r="FD41" s="6">
        <v>53</v>
      </c>
      <c r="FE41" s="6">
        <v>68</v>
      </c>
      <c r="FF41" s="6">
        <v>96</v>
      </c>
      <c r="FG41" s="6">
        <v>47</v>
      </c>
      <c r="FH41" s="6">
        <v>79</v>
      </c>
      <c r="FI41" s="6">
        <v>82</v>
      </c>
      <c r="FJ41" s="6">
        <v>115</v>
      </c>
      <c r="FK41" s="6">
        <v>110</v>
      </c>
      <c r="FL41" s="6">
        <v>80</v>
      </c>
      <c r="FN41" s="6">
        <v>72</v>
      </c>
      <c r="FP41" s="6">
        <v>72</v>
      </c>
      <c r="FQ41" s="6">
        <v>108</v>
      </c>
      <c r="FR41" s="6">
        <v>115</v>
      </c>
      <c r="FS41" s="6">
        <v>115</v>
      </c>
      <c r="FT41" s="6">
        <v>83</v>
      </c>
      <c r="FU41" s="6">
        <v>82</v>
      </c>
      <c r="FV41" s="6">
        <v>115</v>
      </c>
      <c r="FW41" s="6">
        <v>92</v>
      </c>
      <c r="FX41" s="6">
        <v>105</v>
      </c>
      <c r="FY41" s="6">
        <v>115</v>
      </c>
      <c r="GC41" s="7">
        <v>37</v>
      </c>
      <c r="GD41" s="6">
        <v>74</v>
      </c>
      <c r="GE41" s="6">
        <v>76</v>
      </c>
      <c r="GF41" s="6">
        <v>115</v>
      </c>
      <c r="GG41" s="6">
        <v>44</v>
      </c>
      <c r="GH41" s="6">
        <v>68</v>
      </c>
      <c r="GI41" s="6">
        <v>51</v>
      </c>
      <c r="GJ41" s="6">
        <v>72</v>
      </c>
      <c r="GK41" s="6">
        <v>106</v>
      </c>
      <c r="GL41" s="6">
        <v>51</v>
      </c>
      <c r="GM41" s="6">
        <v>78</v>
      </c>
      <c r="GN41" s="6">
        <v>75</v>
      </c>
      <c r="GO41" s="6">
        <v>115</v>
      </c>
      <c r="GP41" s="6">
        <v>115</v>
      </c>
      <c r="GQ41" s="6">
        <v>68</v>
      </c>
      <c r="GS41" s="6">
        <v>61</v>
      </c>
      <c r="GU41" s="6">
        <v>79</v>
      </c>
      <c r="GV41" s="6">
        <v>106</v>
      </c>
      <c r="GW41" s="6">
        <v>115</v>
      </c>
      <c r="GX41" s="6">
        <v>82</v>
      </c>
      <c r="GY41" s="6">
        <v>83</v>
      </c>
      <c r="GZ41" s="6">
        <v>91</v>
      </c>
      <c r="HA41" s="6">
        <v>115</v>
      </c>
      <c r="HB41" s="6">
        <v>76</v>
      </c>
      <c r="HC41" s="6">
        <v>97</v>
      </c>
      <c r="HD41" s="6">
        <v>109</v>
      </c>
      <c r="HH41" s="7">
        <v>37</v>
      </c>
      <c r="HI41" s="6">
        <v>77</v>
      </c>
      <c r="HJ41" s="6">
        <v>87</v>
      </c>
      <c r="HK41" s="6">
        <v>111</v>
      </c>
      <c r="HL41" s="6">
        <v>46</v>
      </c>
      <c r="HM41" s="6">
        <v>61</v>
      </c>
      <c r="HN41" s="6">
        <v>58</v>
      </c>
      <c r="HO41" s="6">
        <v>68</v>
      </c>
      <c r="HP41" s="6">
        <v>111</v>
      </c>
      <c r="HQ41" s="6">
        <v>44</v>
      </c>
      <c r="HR41" s="6">
        <v>80</v>
      </c>
      <c r="HS41" s="6">
        <v>75</v>
      </c>
      <c r="HT41" s="6">
        <v>115</v>
      </c>
      <c r="HU41" s="6">
        <v>115</v>
      </c>
      <c r="HV41" s="6">
        <v>70</v>
      </c>
      <c r="HX41" s="6">
        <v>65</v>
      </c>
      <c r="HZ41" s="6">
        <v>79</v>
      </c>
      <c r="IA41" s="6">
        <v>108</v>
      </c>
      <c r="IB41" s="6">
        <v>115</v>
      </c>
      <c r="IC41" s="6">
        <v>80</v>
      </c>
      <c r="ID41" s="6">
        <v>80</v>
      </c>
      <c r="IE41" s="6">
        <v>88</v>
      </c>
      <c r="IF41" s="6">
        <v>115</v>
      </c>
      <c r="IG41" s="6">
        <v>75</v>
      </c>
      <c r="IH41" s="6">
        <v>105</v>
      </c>
      <c r="II41" s="6">
        <v>112</v>
      </c>
    </row>
    <row r="42" spans="2:243" x14ac:dyDescent="0.25">
      <c r="B42" s="13">
        <v>38</v>
      </c>
      <c r="C42" s="6">
        <v>79</v>
      </c>
      <c r="D42" s="6">
        <v>82</v>
      </c>
      <c r="E42" s="6">
        <v>95</v>
      </c>
      <c r="F42" s="6">
        <v>26</v>
      </c>
      <c r="G42" s="6">
        <v>50</v>
      </c>
      <c r="H42" s="6">
        <v>70</v>
      </c>
      <c r="I42" s="6">
        <v>70</v>
      </c>
      <c r="J42" s="6">
        <v>114</v>
      </c>
      <c r="K42" s="6">
        <v>38</v>
      </c>
      <c r="L42" s="6">
        <v>83</v>
      </c>
      <c r="M42" s="6">
        <v>73</v>
      </c>
      <c r="N42" s="6">
        <v>115</v>
      </c>
      <c r="O42" s="6">
        <v>115</v>
      </c>
      <c r="P42" s="6">
        <v>78</v>
      </c>
      <c r="R42" s="6">
        <v>75</v>
      </c>
      <c r="T42" s="6">
        <v>93</v>
      </c>
      <c r="U42" s="6">
        <v>114</v>
      </c>
      <c r="W42" s="6">
        <v>115</v>
      </c>
      <c r="X42" s="6">
        <v>103</v>
      </c>
      <c r="Y42" s="6">
        <v>93</v>
      </c>
      <c r="Z42" s="6">
        <v>115</v>
      </c>
      <c r="AA42" s="6">
        <v>75</v>
      </c>
      <c r="AB42" s="6">
        <v>98</v>
      </c>
      <c r="AC42" s="6">
        <v>115</v>
      </c>
      <c r="AG42" s="6">
        <v>74</v>
      </c>
      <c r="AH42" s="6">
        <v>79</v>
      </c>
      <c r="AI42" s="6">
        <v>94</v>
      </c>
      <c r="AJ42" s="6">
        <v>32</v>
      </c>
      <c r="AK42" s="6">
        <v>50</v>
      </c>
      <c r="AL42" s="6">
        <v>65</v>
      </c>
      <c r="AM42" s="6">
        <v>66</v>
      </c>
      <c r="AN42" s="6">
        <v>115</v>
      </c>
      <c r="AO42" s="6">
        <v>43</v>
      </c>
      <c r="AP42" s="6">
        <v>75</v>
      </c>
      <c r="AQ42" s="6">
        <v>70</v>
      </c>
      <c r="AR42" s="6">
        <v>112</v>
      </c>
      <c r="AS42" s="6">
        <v>113</v>
      </c>
      <c r="AT42" s="6">
        <v>73</v>
      </c>
      <c r="AV42" s="6">
        <v>97</v>
      </c>
      <c r="AX42" s="6">
        <v>99</v>
      </c>
      <c r="AY42" s="6">
        <v>115</v>
      </c>
      <c r="BA42" s="6">
        <v>111</v>
      </c>
      <c r="BB42" s="6">
        <v>91</v>
      </c>
      <c r="BC42" s="6">
        <v>91</v>
      </c>
      <c r="BD42" s="6">
        <v>115</v>
      </c>
      <c r="BE42" s="6">
        <v>75</v>
      </c>
      <c r="BF42" s="6">
        <v>87</v>
      </c>
      <c r="BG42" s="6">
        <v>112</v>
      </c>
      <c r="BK42" s="6">
        <v>72</v>
      </c>
      <c r="BL42" s="6">
        <v>60</v>
      </c>
      <c r="BM42" s="6">
        <v>83</v>
      </c>
      <c r="BN42" s="6">
        <v>16</v>
      </c>
      <c r="BO42" s="6">
        <v>68</v>
      </c>
      <c r="BP42" s="6">
        <v>83</v>
      </c>
      <c r="BQ42" s="6">
        <v>75</v>
      </c>
      <c r="BR42" s="6">
        <v>113</v>
      </c>
      <c r="BS42" s="6">
        <v>37</v>
      </c>
      <c r="BT42" s="6">
        <v>74</v>
      </c>
      <c r="BU42" s="6">
        <v>58</v>
      </c>
      <c r="BV42" s="6">
        <v>112</v>
      </c>
      <c r="BW42" s="6">
        <v>115</v>
      </c>
      <c r="BX42" s="6">
        <v>58</v>
      </c>
      <c r="BZ42" s="6">
        <v>67</v>
      </c>
      <c r="CB42" s="6">
        <v>108</v>
      </c>
      <c r="CC42" s="6">
        <v>114</v>
      </c>
      <c r="CE42" s="6">
        <v>105</v>
      </c>
      <c r="CF42" s="6">
        <v>102</v>
      </c>
      <c r="CG42" s="6">
        <v>110</v>
      </c>
      <c r="CH42" s="6">
        <v>115</v>
      </c>
      <c r="CI42" s="6">
        <v>58</v>
      </c>
      <c r="CJ42" s="6">
        <v>71</v>
      </c>
      <c r="CK42" s="6">
        <v>110</v>
      </c>
      <c r="CO42" s="6">
        <v>67</v>
      </c>
      <c r="CP42" s="6">
        <v>61</v>
      </c>
      <c r="CQ42" s="6">
        <v>77</v>
      </c>
      <c r="CR42" s="6">
        <v>17</v>
      </c>
      <c r="CS42" s="6">
        <v>66</v>
      </c>
      <c r="CT42" s="6">
        <v>86</v>
      </c>
      <c r="CU42" s="6">
        <v>76</v>
      </c>
      <c r="CV42" s="6">
        <v>115</v>
      </c>
      <c r="CW42" s="6">
        <v>42</v>
      </c>
      <c r="CX42" s="6">
        <v>71</v>
      </c>
      <c r="CY42" s="6">
        <v>53</v>
      </c>
      <c r="CZ42" s="6">
        <v>110</v>
      </c>
      <c r="DA42" s="6">
        <v>114</v>
      </c>
      <c r="DB42" s="6">
        <v>52</v>
      </c>
      <c r="DD42" s="6">
        <v>75</v>
      </c>
      <c r="DF42" s="6">
        <v>111</v>
      </c>
      <c r="DG42" s="6">
        <v>114</v>
      </c>
      <c r="DI42" s="6">
        <v>101</v>
      </c>
      <c r="DJ42" s="6">
        <v>102</v>
      </c>
      <c r="DK42" s="6">
        <v>112</v>
      </c>
      <c r="DL42" s="6">
        <v>115</v>
      </c>
      <c r="DM42" s="6">
        <v>50</v>
      </c>
      <c r="DN42" s="6">
        <v>66</v>
      </c>
      <c r="DO42" s="6">
        <v>109</v>
      </c>
      <c r="DS42" s="12">
        <v>38</v>
      </c>
      <c r="DT42" s="6">
        <v>79</v>
      </c>
      <c r="DU42" s="6">
        <v>86</v>
      </c>
      <c r="DV42" s="6">
        <v>103</v>
      </c>
      <c r="DW42" s="6">
        <v>49</v>
      </c>
      <c r="DX42" s="6">
        <v>53</v>
      </c>
      <c r="DY42" s="6">
        <v>52</v>
      </c>
      <c r="DZ42" s="6">
        <v>73</v>
      </c>
      <c r="EA42" s="6">
        <v>115</v>
      </c>
      <c r="EB42" s="6">
        <v>45</v>
      </c>
      <c r="EC42" s="6">
        <v>82</v>
      </c>
      <c r="ED42" s="6">
        <v>76</v>
      </c>
      <c r="EE42" s="6">
        <v>110</v>
      </c>
      <c r="EF42" s="6">
        <v>115</v>
      </c>
      <c r="EG42" s="6">
        <v>83</v>
      </c>
      <c r="EI42" s="6">
        <v>70</v>
      </c>
      <c r="EK42" s="6">
        <v>75</v>
      </c>
      <c r="EL42" s="6">
        <v>107</v>
      </c>
      <c r="EN42" s="6">
        <v>115</v>
      </c>
      <c r="EO42" s="6">
        <v>80</v>
      </c>
      <c r="EP42" s="6">
        <v>91</v>
      </c>
      <c r="EQ42" s="6">
        <v>115</v>
      </c>
      <c r="ER42" s="6">
        <v>85</v>
      </c>
      <c r="ES42" s="6">
        <v>107</v>
      </c>
      <c r="ET42" s="6">
        <v>115</v>
      </c>
      <c r="EX42" s="7">
        <v>38</v>
      </c>
      <c r="EY42" s="6">
        <v>80</v>
      </c>
      <c r="EZ42" s="6">
        <v>88</v>
      </c>
      <c r="FA42" s="6">
        <v>96</v>
      </c>
      <c r="FB42" s="6">
        <v>45</v>
      </c>
      <c r="FC42" s="6">
        <v>54</v>
      </c>
      <c r="FD42" s="6">
        <v>54</v>
      </c>
      <c r="FE42" s="6">
        <v>68</v>
      </c>
      <c r="FF42" s="6">
        <v>98</v>
      </c>
      <c r="FG42" s="6">
        <v>48</v>
      </c>
      <c r="FH42" s="6">
        <v>80</v>
      </c>
      <c r="FI42" s="6">
        <v>85</v>
      </c>
      <c r="FJ42" s="6">
        <v>115</v>
      </c>
      <c r="FK42" s="6">
        <v>115</v>
      </c>
      <c r="FL42" s="6">
        <v>81</v>
      </c>
      <c r="FN42" s="6">
        <v>75</v>
      </c>
      <c r="FP42" s="6">
        <v>75</v>
      </c>
      <c r="FQ42" s="6">
        <v>109</v>
      </c>
      <c r="FS42" s="6">
        <v>115</v>
      </c>
      <c r="FT42" s="6">
        <v>84</v>
      </c>
      <c r="FU42" s="6">
        <v>85</v>
      </c>
      <c r="FV42" s="6">
        <v>115</v>
      </c>
      <c r="FW42" s="6">
        <v>95</v>
      </c>
      <c r="FX42" s="6">
        <v>106</v>
      </c>
      <c r="FY42" s="6">
        <v>115</v>
      </c>
      <c r="GC42" s="7">
        <v>38</v>
      </c>
      <c r="GD42" s="6">
        <v>75</v>
      </c>
      <c r="GE42" s="6">
        <v>77</v>
      </c>
      <c r="GF42" s="6">
        <v>115</v>
      </c>
      <c r="GG42" s="6">
        <v>4</v>
      </c>
      <c r="GH42" s="6">
        <v>68</v>
      </c>
      <c r="GI42" s="6">
        <v>51</v>
      </c>
      <c r="GJ42" s="6">
        <v>74</v>
      </c>
      <c r="GK42" s="6">
        <v>106</v>
      </c>
      <c r="GL42" s="6">
        <v>52</v>
      </c>
      <c r="GM42" s="6">
        <v>79</v>
      </c>
      <c r="GN42" s="6">
        <v>76</v>
      </c>
      <c r="GO42" s="6">
        <v>115</v>
      </c>
      <c r="GP42" s="6">
        <v>115</v>
      </c>
      <c r="GQ42" s="6">
        <v>70</v>
      </c>
      <c r="GS42" s="6">
        <v>62</v>
      </c>
      <c r="GU42" s="6">
        <v>79</v>
      </c>
      <c r="GV42" s="6">
        <v>107</v>
      </c>
      <c r="GX42" s="6">
        <v>83</v>
      </c>
      <c r="GY42" s="6">
        <v>85</v>
      </c>
      <c r="GZ42" s="6">
        <v>93</v>
      </c>
      <c r="HA42" s="6">
        <v>115</v>
      </c>
      <c r="HB42" s="6">
        <v>77</v>
      </c>
      <c r="HC42" s="6">
        <v>99</v>
      </c>
      <c r="HD42" s="6">
        <v>112</v>
      </c>
      <c r="HH42" s="7">
        <v>38</v>
      </c>
      <c r="HI42" s="6">
        <v>79</v>
      </c>
      <c r="HJ42" s="6">
        <v>87</v>
      </c>
      <c r="HK42" s="6">
        <v>11</v>
      </c>
      <c r="HL42" s="6">
        <v>46</v>
      </c>
      <c r="HM42" s="6">
        <v>61</v>
      </c>
      <c r="HN42" s="6">
        <v>58</v>
      </c>
      <c r="HO42" s="6">
        <v>71</v>
      </c>
      <c r="HP42" s="6">
        <v>115</v>
      </c>
      <c r="HQ42" s="6">
        <v>46</v>
      </c>
      <c r="HR42" s="6">
        <v>81</v>
      </c>
      <c r="HS42" s="6">
        <v>77</v>
      </c>
      <c r="HT42" s="6">
        <v>115</v>
      </c>
      <c r="HU42" s="6">
        <v>115</v>
      </c>
      <c r="HV42" s="6">
        <v>72</v>
      </c>
      <c r="HX42" s="6">
        <v>67</v>
      </c>
      <c r="HZ42" s="6">
        <v>80</v>
      </c>
      <c r="IA42" s="6">
        <v>110</v>
      </c>
      <c r="IC42" s="6">
        <v>82</v>
      </c>
      <c r="ID42" s="6">
        <v>81</v>
      </c>
      <c r="IE42" s="6">
        <v>91</v>
      </c>
      <c r="IF42" s="6">
        <v>115</v>
      </c>
      <c r="IG42" s="6">
        <v>77</v>
      </c>
      <c r="IH42" s="6">
        <v>106</v>
      </c>
      <c r="II42" s="6">
        <v>115</v>
      </c>
    </row>
    <row r="43" spans="2:243" x14ac:dyDescent="0.25">
      <c r="B43" s="13">
        <v>39</v>
      </c>
      <c r="C43" s="6">
        <v>82</v>
      </c>
      <c r="D43" s="6">
        <v>83</v>
      </c>
      <c r="E43" s="6">
        <v>100</v>
      </c>
      <c r="F43" s="6">
        <v>28</v>
      </c>
      <c r="G43" s="6">
        <v>53</v>
      </c>
      <c r="H43" s="6">
        <v>73</v>
      </c>
      <c r="I43" s="6">
        <v>72</v>
      </c>
      <c r="J43" s="6">
        <v>114</v>
      </c>
      <c r="K43" s="6">
        <v>40</v>
      </c>
      <c r="L43" s="6">
        <v>85</v>
      </c>
      <c r="M43" s="6">
        <v>74</v>
      </c>
      <c r="N43" s="6">
        <v>115</v>
      </c>
      <c r="O43" s="6">
        <v>115</v>
      </c>
      <c r="P43" s="6">
        <v>79</v>
      </c>
      <c r="R43" s="6">
        <v>82</v>
      </c>
      <c r="T43" s="6">
        <v>96</v>
      </c>
      <c r="U43" s="6">
        <v>114</v>
      </c>
      <c r="W43" s="6">
        <v>115</v>
      </c>
      <c r="X43" s="6">
        <v>104</v>
      </c>
      <c r="Y43" s="6">
        <v>95</v>
      </c>
      <c r="AA43" s="6">
        <v>79</v>
      </c>
      <c r="AB43" s="6">
        <v>100</v>
      </c>
      <c r="AC43" s="6">
        <v>115</v>
      </c>
      <c r="AG43" s="6">
        <v>75</v>
      </c>
      <c r="AH43" s="6">
        <v>81</v>
      </c>
      <c r="AI43" s="6">
        <v>94</v>
      </c>
      <c r="AJ43" s="6">
        <v>33</v>
      </c>
      <c r="AK43" s="6">
        <v>53</v>
      </c>
      <c r="AL43" s="6">
        <v>68</v>
      </c>
      <c r="AM43" s="6">
        <v>68</v>
      </c>
      <c r="AN43" s="6">
        <v>115</v>
      </c>
      <c r="AO43" s="6">
        <v>45</v>
      </c>
      <c r="AP43" s="6">
        <v>82</v>
      </c>
      <c r="AQ43" s="6">
        <v>70</v>
      </c>
      <c r="AR43" s="6">
        <v>115</v>
      </c>
      <c r="AS43" s="6">
        <v>115</v>
      </c>
      <c r="AT43" s="6">
        <v>74</v>
      </c>
      <c r="AV43" s="6">
        <v>100</v>
      </c>
      <c r="AX43" s="6">
        <v>104</v>
      </c>
      <c r="AY43" s="6">
        <v>115</v>
      </c>
      <c r="BA43" s="6">
        <v>111</v>
      </c>
      <c r="BB43" s="6">
        <v>95</v>
      </c>
      <c r="BC43" s="6">
        <v>95</v>
      </c>
      <c r="BE43" s="6">
        <v>77</v>
      </c>
      <c r="BF43" s="6">
        <v>92</v>
      </c>
      <c r="BG43" s="6">
        <v>115</v>
      </c>
      <c r="BK43" s="6">
        <v>73</v>
      </c>
      <c r="BL43" s="6">
        <v>62</v>
      </c>
      <c r="BM43" s="6">
        <v>85</v>
      </c>
      <c r="BN43" s="6">
        <v>20</v>
      </c>
      <c r="BO43" s="6">
        <v>70</v>
      </c>
      <c r="BP43" s="6">
        <v>85</v>
      </c>
      <c r="BQ43" s="6">
        <v>76</v>
      </c>
      <c r="BR43" s="6">
        <v>113</v>
      </c>
      <c r="BS43" s="6">
        <v>40</v>
      </c>
      <c r="BT43" s="6">
        <v>75</v>
      </c>
      <c r="BU43" s="6">
        <v>59</v>
      </c>
      <c r="BV43" s="6">
        <v>113</v>
      </c>
      <c r="BW43" s="6">
        <v>115</v>
      </c>
      <c r="BX43" s="6">
        <v>60</v>
      </c>
      <c r="BZ43" s="6">
        <v>71</v>
      </c>
      <c r="CB43" s="6">
        <v>109</v>
      </c>
      <c r="CC43" s="6">
        <v>114</v>
      </c>
      <c r="CE43" s="6">
        <v>106</v>
      </c>
      <c r="CF43" s="6">
        <v>105</v>
      </c>
      <c r="CG43" s="6">
        <v>110</v>
      </c>
      <c r="CI43" s="6">
        <v>61</v>
      </c>
      <c r="CJ43" s="6">
        <v>73</v>
      </c>
      <c r="CK43" s="6">
        <v>113</v>
      </c>
      <c r="CO43" s="6">
        <v>68</v>
      </c>
      <c r="CP43" s="6">
        <v>63</v>
      </c>
      <c r="CQ43" s="6">
        <v>80</v>
      </c>
      <c r="CR43" s="6">
        <v>20</v>
      </c>
      <c r="CS43" s="6">
        <v>68</v>
      </c>
      <c r="CT43" s="6">
        <v>91</v>
      </c>
      <c r="CU43" s="6">
        <v>78</v>
      </c>
      <c r="CV43" s="6">
        <v>115</v>
      </c>
      <c r="CW43" s="6">
        <v>45</v>
      </c>
      <c r="CX43" s="6">
        <v>72</v>
      </c>
      <c r="CY43" s="6">
        <v>54</v>
      </c>
      <c r="CZ43" s="6">
        <v>112</v>
      </c>
      <c r="DA43" s="6">
        <v>114</v>
      </c>
      <c r="DB43" s="6">
        <v>53</v>
      </c>
      <c r="DD43" s="6">
        <v>79</v>
      </c>
      <c r="DF43" s="6">
        <v>111</v>
      </c>
      <c r="DG43" s="6">
        <v>115</v>
      </c>
      <c r="DI43" s="6">
        <v>103</v>
      </c>
      <c r="DJ43" s="6">
        <v>103</v>
      </c>
      <c r="DK43" s="6">
        <v>112</v>
      </c>
      <c r="DM43" s="6">
        <v>53</v>
      </c>
      <c r="DN43" s="6">
        <v>68</v>
      </c>
      <c r="DO43" s="6">
        <v>114</v>
      </c>
      <c r="DS43" s="12">
        <v>39</v>
      </c>
      <c r="DT43" s="6">
        <v>80</v>
      </c>
      <c r="DU43" s="6">
        <v>95</v>
      </c>
      <c r="DV43" s="6">
        <v>104</v>
      </c>
      <c r="DW43" s="6">
        <v>50</v>
      </c>
      <c r="DX43" s="6">
        <v>55</v>
      </c>
      <c r="DY43" s="6">
        <v>56</v>
      </c>
      <c r="DZ43" s="6">
        <v>74</v>
      </c>
      <c r="EA43" s="6">
        <v>115</v>
      </c>
      <c r="EB43" s="6">
        <v>46</v>
      </c>
      <c r="EC43" s="6">
        <v>83</v>
      </c>
      <c r="ED43" s="6">
        <v>77</v>
      </c>
      <c r="EE43" s="6">
        <v>112</v>
      </c>
      <c r="EF43" s="6">
        <v>115</v>
      </c>
      <c r="EG43" s="6">
        <v>84</v>
      </c>
      <c r="EI43" s="6">
        <v>72</v>
      </c>
      <c r="EK43" s="6">
        <v>76</v>
      </c>
      <c r="EL43" s="6">
        <v>109</v>
      </c>
      <c r="EN43" s="6">
        <v>115</v>
      </c>
      <c r="EO43" s="6">
        <v>81</v>
      </c>
      <c r="EP43" s="6">
        <v>94</v>
      </c>
      <c r="ER43" s="6">
        <v>90</v>
      </c>
      <c r="ES43" s="6">
        <v>108</v>
      </c>
      <c r="ET43" s="6">
        <v>115</v>
      </c>
      <c r="EX43" s="7">
        <v>39</v>
      </c>
      <c r="EY43" s="6">
        <v>81</v>
      </c>
      <c r="EZ43" s="6">
        <v>89</v>
      </c>
      <c r="FA43" s="6">
        <v>96</v>
      </c>
      <c r="FB43" s="6">
        <v>51</v>
      </c>
      <c r="FC43" s="6">
        <v>54</v>
      </c>
      <c r="FD43" s="6">
        <v>54</v>
      </c>
      <c r="FE43" s="6">
        <v>68</v>
      </c>
      <c r="FF43" s="6">
        <v>103</v>
      </c>
      <c r="FG43" s="6">
        <v>48</v>
      </c>
      <c r="FH43" s="6">
        <v>81</v>
      </c>
      <c r="FI43" s="6">
        <v>86</v>
      </c>
      <c r="FJ43" s="6">
        <v>115</v>
      </c>
      <c r="FK43" s="6">
        <v>115</v>
      </c>
      <c r="FL43" s="6">
        <v>82</v>
      </c>
      <c r="FN43" s="6">
        <v>78</v>
      </c>
      <c r="FP43" s="6">
        <v>85</v>
      </c>
      <c r="FQ43" s="6">
        <v>111</v>
      </c>
      <c r="FS43" s="6">
        <v>115</v>
      </c>
      <c r="FT43" s="6">
        <v>85</v>
      </c>
      <c r="FU43" s="6">
        <v>87</v>
      </c>
      <c r="FW43" s="6">
        <v>99</v>
      </c>
      <c r="FX43" s="6">
        <v>108</v>
      </c>
      <c r="FY43" s="6">
        <v>115</v>
      </c>
      <c r="GC43" s="7">
        <v>39</v>
      </c>
      <c r="GD43" s="6">
        <v>76</v>
      </c>
      <c r="GE43" s="6">
        <v>78</v>
      </c>
      <c r="GF43" s="6">
        <v>115</v>
      </c>
      <c r="GG43" s="6">
        <v>50</v>
      </c>
      <c r="GH43" s="6">
        <v>68</v>
      </c>
      <c r="GI43" s="6">
        <v>52</v>
      </c>
      <c r="GJ43" s="6">
        <v>74</v>
      </c>
      <c r="GK43" s="6">
        <v>113</v>
      </c>
      <c r="GL43" s="6">
        <v>52</v>
      </c>
      <c r="GM43" s="6">
        <v>80</v>
      </c>
      <c r="GN43" s="6">
        <v>76</v>
      </c>
      <c r="GO43" s="6">
        <v>115</v>
      </c>
      <c r="GP43" s="6">
        <v>115</v>
      </c>
      <c r="GQ43" s="6">
        <v>72</v>
      </c>
      <c r="GS43" s="6">
        <v>64</v>
      </c>
      <c r="GU43" s="6">
        <v>80</v>
      </c>
      <c r="GV43" s="6">
        <v>109</v>
      </c>
      <c r="GX43" s="6">
        <v>84</v>
      </c>
      <c r="GY43" s="6">
        <v>89</v>
      </c>
      <c r="GZ43" s="6">
        <v>95</v>
      </c>
      <c r="HB43" s="6">
        <v>78</v>
      </c>
      <c r="HC43" s="6">
        <v>100</v>
      </c>
      <c r="HD43" s="6">
        <v>115</v>
      </c>
      <c r="HH43" s="7">
        <v>39</v>
      </c>
      <c r="HI43" s="6">
        <v>81</v>
      </c>
      <c r="HJ43" s="6">
        <v>90</v>
      </c>
      <c r="HK43" s="6">
        <v>11</v>
      </c>
      <c r="HL43" s="6">
        <v>51</v>
      </c>
      <c r="HM43" s="6">
        <v>61</v>
      </c>
      <c r="HN43" s="6">
        <v>63</v>
      </c>
      <c r="HO43" s="6">
        <v>71</v>
      </c>
      <c r="HP43" s="6">
        <v>115</v>
      </c>
      <c r="HQ43" s="6">
        <v>51</v>
      </c>
      <c r="HR43" s="6">
        <v>83</v>
      </c>
      <c r="HS43" s="6">
        <v>79</v>
      </c>
      <c r="HT43" s="6">
        <v>115</v>
      </c>
      <c r="HU43" s="6">
        <v>115</v>
      </c>
      <c r="HV43" s="6">
        <v>75</v>
      </c>
      <c r="HX43" s="6">
        <v>68</v>
      </c>
      <c r="HZ43" s="6">
        <v>81</v>
      </c>
      <c r="IA43" s="6">
        <v>112</v>
      </c>
      <c r="IC43" s="6">
        <v>85</v>
      </c>
      <c r="ID43" s="6">
        <v>82</v>
      </c>
      <c r="IE43" s="6">
        <v>93</v>
      </c>
      <c r="IG43" s="6">
        <v>81</v>
      </c>
      <c r="IH43" s="6">
        <v>107</v>
      </c>
      <c r="II43" s="6">
        <v>115</v>
      </c>
    </row>
    <row r="44" spans="2:243" x14ac:dyDescent="0.25">
      <c r="B44" s="13">
        <v>40</v>
      </c>
      <c r="C44" s="6">
        <v>83</v>
      </c>
      <c r="D44" s="6">
        <v>85</v>
      </c>
      <c r="E44" s="6">
        <v>103</v>
      </c>
      <c r="F44" s="6">
        <v>31</v>
      </c>
      <c r="G44" s="6">
        <v>56</v>
      </c>
      <c r="H44" s="6">
        <v>75</v>
      </c>
      <c r="I44" s="6">
        <v>73</v>
      </c>
      <c r="J44" s="6">
        <v>115</v>
      </c>
      <c r="K44" s="6">
        <v>42</v>
      </c>
      <c r="L44" s="6">
        <v>87</v>
      </c>
      <c r="M44" s="6">
        <v>75</v>
      </c>
      <c r="N44" s="6">
        <v>115</v>
      </c>
      <c r="O44" s="6">
        <v>115</v>
      </c>
      <c r="P44" s="6">
        <v>81</v>
      </c>
      <c r="R44" s="6">
        <v>85</v>
      </c>
      <c r="T44" s="6">
        <v>99</v>
      </c>
      <c r="U44" s="6">
        <v>115</v>
      </c>
      <c r="W44" s="6">
        <v>115</v>
      </c>
      <c r="X44" s="6">
        <v>104</v>
      </c>
      <c r="Y44" s="6">
        <v>97</v>
      </c>
      <c r="AA44" s="6">
        <v>83</v>
      </c>
      <c r="AB44" s="6">
        <v>101</v>
      </c>
      <c r="AC44" s="6">
        <v>115</v>
      </c>
      <c r="AG44" s="6">
        <v>76</v>
      </c>
      <c r="AH44" s="6">
        <v>81</v>
      </c>
      <c r="AI44" s="6">
        <v>97</v>
      </c>
      <c r="AJ44" s="6">
        <v>35</v>
      </c>
      <c r="AK44" s="6">
        <v>56</v>
      </c>
      <c r="AL44" s="6">
        <v>71</v>
      </c>
      <c r="AM44" s="6">
        <v>71</v>
      </c>
      <c r="AN44" s="6">
        <v>115</v>
      </c>
      <c r="AO44" s="6">
        <v>45</v>
      </c>
      <c r="AP44" s="6">
        <v>85</v>
      </c>
      <c r="AQ44" s="6">
        <v>71</v>
      </c>
      <c r="AR44" s="6">
        <v>115</v>
      </c>
      <c r="AS44" s="6">
        <v>115</v>
      </c>
      <c r="AT44" s="6">
        <v>74</v>
      </c>
      <c r="AV44" s="6">
        <v>105</v>
      </c>
      <c r="AX44" s="6">
        <v>110</v>
      </c>
      <c r="AY44" s="6">
        <v>115</v>
      </c>
      <c r="BA44" s="6">
        <v>111</v>
      </c>
      <c r="BB44" s="6">
        <v>98</v>
      </c>
      <c r="BC44" s="6">
        <v>108</v>
      </c>
      <c r="BE44" s="6">
        <v>79</v>
      </c>
      <c r="BF44" s="6">
        <v>92</v>
      </c>
      <c r="BG44" s="6">
        <v>115</v>
      </c>
      <c r="BK44" s="6">
        <v>74</v>
      </c>
      <c r="BL44" s="6">
        <v>64</v>
      </c>
      <c r="BM44" s="6">
        <v>90</v>
      </c>
      <c r="BN44" s="6">
        <v>21</v>
      </c>
      <c r="BO44" s="6">
        <v>72</v>
      </c>
      <c r="BP44" s="6">
        <v>92</v>
      </c>
      <c r="BQ44" s="6">
        <v>79</v>
      </c>
      <c r="BR44" s="6">
        <v>114</v>
      </c>
      <c r="BS44" s="6">
        <v>42</v>
      </c>
      <c r="BT44" s="6">
        <v>78</v>
      </c>
      <c r="BU44" s="6">
        <v>61</v>
      </c>
      <c r="BV44" s="6">
        <v>115</v>
      </c>
      <c r="BW44" s="6">
        <v>115</v>
      </c>
      <c r="BX44" s="6">
        <v>62</v>
      </c>
      <c r="BZ44" s="6">
        <v>73</v>
      </c>
      <c r="CB44" s="6">
        <v>111</v>
      </c>
      <c r="CC44" s="6">
        <v>114</v>
      </c>
      <c r="CE44" s="6">
        <v>107</v>
      </c>
      <c r="CF44" s="6">
        <v>107</v>
      </c>
      <c r="CG44" s="6">
        <v>111</v>
      </c>
      <c r="CI44" s="6">
        <v>64</v>
      </c>
      <c r="CJ44" s="6">
        <v>75</v>
      </c>
      <c r="CK44" s="6">
        <v>114</v>
      </c>
      <c r="CO44" s="6">
        <v>70</v>
      </c>
      <c r="CP44" s="6">
        <v>64</v>
      </c>
      <c r="CQ44" s="6">
        <v>85</v>
      </c>
      <c r="CR44" s="6">
        <v>23</v>
      </c>
      <c r="CS44" s="6">
        <v>70</v>
      </c>
      <c r="CT44" s="6">
        <v>97</v>
      </c>
      <c r="CU44" s="6">
        <v>80</v>
      </c>
      <c r="CV44" s="6">
        <v>115</v>
      </c>
      <c r="CW44" s="6">
        <v>48</v>
      </c>
      <c r="CX44" s="6">
        <v>73</v>
      </c>
      <c r="CY44" s="6">
        <v>56</v>
      </c>
      <c r="CZ44" s="6">
        <v>115</v>
      </c>
      <c r="DA44" s="6">
        <v>114</v>
      </c>
      <c r="DB44" s="6">
        <v>55</v>
      </c>
      <c r="DD44" s="6">
        <v>83</v>
      </c>
      <c r="DF44" s="6">
        <v>111</v>
      </c>
      <c r="DG44" s="6">
        <v>115</v>
      </c>
      <c r="DI44" s="6">
        <v>103</v>
      </c>
      <c r="DJ44" s="6">
        <v>103</v>
      </c>
      <c r="DK44" s="6">
        <v>113</v>
      </c>
      <c r="DM44" s="6">
        <v>57</v>
      </c>
      <c r="DN44" s="6">
        <v>69</v>
      </c>
      <c r="DO44" s="6">
        <v>114</v>
      </c>
      <c r="DS44" s="12">
        <v>40</v>
      </c>
      <c r="DT44" s="6">
        <v>81</v>
      </c>
      <c r="DU44" s="6">
        <v>97</v>
      </c>
      <c r="DV44" s="6">
        <v>104</v>
      </c>
      <c r="DW44" s="6">
        <v>50</v>
      </c>
      <c r="DX44" s="6">
        <v>56</v>
      </c>
      <c r="DY44" s="6">
        <v>56</v>
      </c>
      <c r="DZ44" s="6">
        <v>75</v>
      </c>
      <c r="EA44" s="6">
        <v>115</v>
      </c>
      <c r="EB44" s="6">
        <v>46</v>
      </c>
      <c r="EC44" s="6">
        <v>85</v>
      </c>
      <c r="ED44" s="6">
        <v>78</v>
      </c>
      <c r="EE44" s="6">
        <v>115</v>
      </c>
      <c r="EF44" s="6">
        <v>115</v>
      </c>
      <c r="EG44" s="6">
        <v>85</v>
      </c>
      <c r="EI44" s="6">
        <v>75</v>
      </c>
      <c r="EK44" s="6">
        <v>77</v>
      </c>
      <c r="EL44" s="6">
        <v>110</v>
      </c>
      <c r="EN44" s="6">
        <v>115</v>
      </c>
      <c r="EO44" s="6">
        <v>83</v>
      </c>
      <c r="EP44" s="6">
        <v>96</v>
      </c>
      <c r="ER44" s="6">
        <v>95</v>
      </c>
      <c r="ES44" s="6">
        <v>110</v>
      </c>
      <c r="ET44" s="6">
        <v>115</v>
      </c>
      <c r="EX44" s="7">
        <v>40</v>
      </c>
      <c r="EY44" s="6">
        <v>83</v>
      </c>
      <c r="EZ44" s="6">
        <v>89</v>
      </c>
      <c r="FA44" s="6">
        <v>96</v>
      </c>
      <c r="FB44" s="6">
        <v>52</v>
      </c>
      <c r="FC44" s="6">
        <v>56</v>
      </c>
      <c r="FD44" s="6">
        <v>55</v>
      </c>
      <c r="FE44" s="6">
        <v>69</v>
      </c>
      <c r="FF44" s="6">
        <v>105</v>
      </c>
      <c r="FG44" s="6">
        <v>50</v>
      </c>
      <c r="FH44" s="6">
        <v>82</v>
      </c>
      <c r="FI44" s="6">
        <v>86</v>
      </c>
      <c r="FJ44" s="6">
        <v>115</v>
      </c>
      <c r="FK44" s="6">
        <v>115</v>
      </c>
      <c r="FL44" s="6">
        <v>84</v>
      </c>
      <c r="FN44" s="6">
        <v>81</v>
      </c>
      <c r="FP44" s="6">
        <v>87</v>
      </c>
      <c r="FQ44" s="6">
        <v>112</v>
      </c>
      <c r="FS44" s="6">
        <v>115</v>
      </c>
      <c r="FT44" s="6">
        <v>89</v>
      </c>
      <c r="FU44" s="6">
        <v>89</v>
      </c>
      <c r="FW44" s="6">
        <v>103</v>
      </c>
      <c r="FX44" s="6">
        <v>110</v>
      </c>
      <c r="FY44" s="6">
        <v>115</v>
      </c>
      <c r="GC44" s="7">
        <v>40</v>
      </c>
      <c r="GD44" s="6">
        <v>77</v>
      </c>
      <c r="GE44" s="6">
        <v>79</v>
      </c>
      <c r="GF44" s="6">
        <v>115</v>
      </c>
      <c r="GG44" s="6">
        <v>50</v>
      </c>
      <c r="GH44" s="6">
        <v>69</v>
      </c>
      <c r="GI44" s="6">
        <v>58</v>
      </c>
      <c r="GJ44" s="6">
        <v>74</v>
      </c>
      <c r="GK44" s="6">
        <v>113</v>
      </c>
      <c r="GL44" s="6">
        <v>52</v>
      </c>
      <c r="GM44" s="6">
        <v>80</v>
      </c>
      <c r="GN44" s="6">
        <v>77</v>
      </c>
      <c r="GO44" s="6">
        <v>115</v>
      </c>
      <c r="GP44" s="6">
        <v>115</v>
      </c>
      <c r="GQ44" s="6">
        <v>75</v>
      </c>
      <c r="GS44" s="6">
        <v>65</v>
      </c>
      <c r="GU44" s="6">
        <v>81</v>
      </c>
      <c r="GV44" s="6">
        <v>110</v>
      </c>
      <c r="GX44" s="6">
        <v>85</v>
      </c>
      <c r="GY44" s="6">
        <v>92</v>
      </c>
      <c r="GZ44" s="6">
        <v>97</v>
      </c>
      <c r="HB44" s="6">
        <v>79</v>
      </c>
      <c r="HC44" s="6">
        <v>102</v>
      </c>
      <c r="HD44" s="6">
        <v>115</v>
      </c>
      <c r="HH44" s="7">
        <v>40</v>
      </c>
      <c r="HI44" s="6">
        <v>83</v>
      </c>
      <c r="HJ44" s="6">
        <v>94</v>
      </c>
      <c r="HK44" s="6">
        <v>115</v>
      </c>
      <c r="HL44" s="6">
        <v>52</v>
      </c>
      <c r="HM44" s="6">
        <v>62</v>
      </c>
      <c r="HN44" s="6">
        <v>65</v>
      </c>
      <c r="HO44" s="6">
        <v>72</v>
      </c>
      <c r="HP44" s="6">
        <v>115</v>
      </c>
      <c r="HQ44" s="6">
        <v>51</v>
      </c>
      <c r="HR44" s="6">
        <v>85</v>
      </c>
      <c r="HS44" s="6">
        <v>81</v>
      </c>
      <c r="HT44" s="6">
        <v>115</v>
      </c>
      <c r="HU44" s="6">
        <v>115</v>
      </c>
      <c r="HV44" s="6">
        <v>76</v>
      </c>
      <c r="HX44" s="6">
        <v>70</v>
      </c>
      <c r="HZ44" s="6">
        <v>82</v>
      </c>
      <c r="IA44" s="6">
        <v>114</v>
      </c>
      <c r="IC44" s="6">
        <v>91</v>
      </c>
      <c r="ID44" s="6">
        <v>83</v>
      </c>
      <c r="IE44" s="6">
        <v>96</v>
      </c>
      <c r="IG44" s="6">
        <v>85</v>
      </c>
      <c r="IH44" s="6">
        <v>109</v>
      </c>
      <c r="II44" s="6">
        <v>115</v>
      </c>
    </row>
    <row r="45" spans="2:243" x14ac:dyDescent="0.25">
      <c r="B45" s="13">
        <v>41</v>
      </c>
      <c r="C45" s="6">
        <v>84</v>
      </c>
      <c r="D45" s="6">
        <v>86</v>
      </c>
      <c r="E45" s="6">
        <v>107</v>
      </c>
      <c r="F45" s="6">
        <v>34</v>
      </c>
      <c r="G45" s="6">
        <v>58</v>
      </c>
      <c r="H45" s="6">
        <v>80</v>
      </c>
      <c r="I45" s="6">
        <v>74</v>
      </c>
      <c r="J45" s="6">
        <v>115</v>
      </c>
      <c r="K45" s="6">
        <v>43</v>
      </c>
      <c r="L45" s="6">
        <v>90</v>
      </c>
      <c r="M45" s="6">
        <v>77</v>
      </c>
      <c r="O45" s="6">
        <v>115</v>
      </c>
      <c r="P45" s="6">
        <v>82</v>
      </c>
      <c r="R45" s="6">
        <v>93</v>
      </c>
      <c r="T45" s="6">
        <v>102</v>
      </c>
      <c r="U45" s="6">
        <v>115</v>
      </c>
      <c r="W45" s="6">
        <v>115</v>
      </c>
      <c r="X45" s="6">
        <v>105</v>
      </c>
      <c r="Y45" s="6">
        <v>99</v>
      </c>
      <c r="AA45" s="6">
        <v>85</v>
      </c>
      <c r="AB45" s="6">
        <v>102</v>
      </c>
      <c r="AC45" s="6">
        <v>115</v>
      </c>
      <c r="AG45" s="6">
        <v>78</v>
      </c>
      <c r="AH45" s="6">
        <v>83</v>
      </c>
      <c r="AI45" s="6">
        <v>100</v>
      </c>
      <c r="AJ45" s="6">
        <v>37</v>
      </c>
      <c r="AK45" s="6">
        <v>59</v>
      </c>
      <c r="AL45" s="6">
        <v>72</v>
      </c>
      <c r="AM45" s="6">
        <v>73</v>
      </c>
      <c r="AN45" s="6">
        <v>115</v>
      </c>
      <c r="AO45" s="6">
        <v>46</v>
      </c>
      <c r="AP45" s="6">
        <v>92</v>
      </c>
      <c r="AQ45" s="6">
        <v>72</v>
      </c>
      <c r="AS45" s="6">
        <v>115</v>
      </c>
      <c r="AT45" s="6">
        <v>74</v>
      </c>
      <c r="AV45" s="6">
        <v>108</v>
      </c>
      <c r="AX45" s="6">
        <v>113</v>
      </c>
      <c r="AY45" s="6">
        <v>115</v>
      </c>
      <c r="BA45" s="6">
        <v>115</v>
      </c>
      <c r="BB45" s="6">
        <v>103</v>
      </c>
      <c r="BC45" s="6">
        <v>108</v>
      </c>
      <c r="BE45" s="6">
        <v>85</v>
      </c>
      <c r="BF45" s="6">
        <v>99</v>
      </c>
      <c r="BG45" s="6">
        <v>115</v>
      </c>
      <c r="BK45" s="6">
        <v>75</v>
      </c>
      <c r="BL45" s="6">
        <v>67</v>
      </c>
      <c r="BM45" s="6">
        <v>97</v>
      </c>
      <c r="BN45" s="6">
        <v>23</v>
      </c>
      <c r="BO45" s="6">
        <v>74</v>
      </c>
      <c r="BP45" s="6">
        <v>96</v>
      </c>
      <c r="BQ45" s="6">
        <v>82</v>
      </c>
      <c r="BR45" s="6">
        <v>114</v>
      </c>
      <c r="BS45" s="6">
        <v>45</v>
      </c>
      <c r="BT45" s="6">
        <v>80</v>
      </c>
      <c r="BU45" s="6">
        <v>63</v>
      </c>
      <c r="BW45" s="6">
        <v>115</v>
      </c>
      <c r="BX45" s="6">
        <v>63</v>
      </c>
      <c r="BZ45" s="6">
        <v>75</v>
      </c>
      <c r="CB45" s="6">
        <v>111</v>
      </c>
      <c r="CC45" s="6">
        <v>114</v>
      </c>
      <c r="CE45" s="6">
        <v>113</v>
      </c>
      <c r="CF45" s="6">
        <v>110</v>
      </c>
      <c r="CG45" s="6">
        <v>112</v>
      </c>
      <c r="CI45" s="6">
        <v>68</v>
      </c>
      <c r="CJ45" s="6">
        <v>78</v>
      </c>
      <c r="CK45" s="6">
        <v>115</v>
      </c>
      <c r="CO45" s="6">
        <v>72</v>
      </c>
      <c r="CP45" s="6">
        <v>65</v>
      </c>
      <c r="CQ45" s="6">
        <v>94</v>
      </c>
      <c r="CR45" s="6">
        <v>24</v>
      </c>
      <c r="CS45" s="6">
        <v>72</v>
      </c>
      <c r="CT45" s="6">
        <v>99</v>
      </c>
      <c r="CU45" s="6">
        <v>82</v>
      </c>
      <c r="CV45" s="6">
        <v>115</v>
      </c>
      <c r="CW45" s="6">
        <v>49</v>
      </c>
      <c r="CX45" s="6">
        <v>75</v>
      </c>
      <c r="CY45" s="6">
        <v>57</v>
      </c>
      <c r="DA45" s="6">
        <v>115</v>
      </c>
      <c r="DB45" s="6">
        <v>57</v>
      </c>
      <c r="DD45" s="6">
        <v>85</v>
      </c>
      <c r="DF45" s="6">
        <v>114</v>
      </c>
      <c r="DG45" s="6">
        <v>115</v>
      </c>
      <c r="DI45" s="6">
        <v>110</v>
      </c>
      <c r="DJ45" s="6">
        <v>108</v>
      </c>
      <c r="DK45" s="6">
        <v>115</v>
      </c>
      <c r="DM45" s="6">
        <v>62</v>
      </c>
      <c r="DN45" s="6">
        <v>71</v>
      </c>
      <c r="DO45" s="6">
        <v>115</v>
      </c>
      <c r="DS45" s="12">
        <v>41</v>
      </c>
      <c r="DT45" s="6">
        <v>82</v>
      </c>
      <c r="DU45" s="6">
        <v>97</v>
      </c>
      <c r="DV45" s="6">
        <v>104</v>
      </c>
      <c r="DW45" s="6">
        <v>50</v>
      </c>
      <c r="DX45" s="6">
        <v>56</v>
      </c>
      <c r="DY45" s="6">
        <v>56</v>
      </c>
      <c r="DZ45" s="6">
        <v>78</v>
      </c>
      <c r="EA45" s="6">
        <v>115</v>
      </c>
      <c r="EB45" s="6">
        <v>48</v>
      </c>
      <c r="EC45" s="6">
        <v>86</v>
      </c>
      <c r="ED45" s="6">
        <v>79</v>
      </c>
      <c r="EF45" s="6">
        <v>115</v>
      </c>
      <c r="EG45" s="6">
        <v>88</v>
      </c>
      <c r="EI45" s="6">
        <v>80</v>
      </c>
      <c r="EK45" s="6">
        <v>79</v>
      </c>
      <c r="EL45" s="6">
        <v>112</v>
      </c>
      <c r="EN45" s="6">
        <v>115</v>
      </c>
      <c r="EO45" s="6">
        <v>84</v>
      </c>
      <c r="EP45" s="6">
        <v>98</v>
      </c>
      <c r="ER45" s="6">
        <v>100</v>
      </c>
      <c r="ES45" s="6">
        <v>111</v>
      </c>
      <c r="ET45" s="6">
        <v>115</v>
      </c>
      <c r="EX45" s="7">
        <v>41</v>
      </c>
      <c r="EY45" s="6">
        <v>85</v>
      </c>
      <c r="EZ45" s="6">
        <v>89</v>
      </c>
      <c r="FA45" s="6">
        <v>97</v>
      </c>
      <c r="FB45" s="6">
        <v>53</v>
      </c>
      <c r="FC45" s="6">
        <v>56</v>
      </c>
      <c r="FD45" s="6">
        <v>55</v>
      </c>
      <c r="FE45" s="6">
        <v>69</v>
      </c>
      <c r="FF45" s="6">
        <v>107</v>
      </c>
      <c r="FG45" s="6">
        <v>55</v>
      </c>
      <c r="FH45" s="6">
        <v>83</v>
      </c>
      <c r="FI45" s="6">
        <v>87</v>
      </c>
      <c r="FK45" s="6">
        <v>115</v>
      </c>
      <c r="FL45" s="6">
        <v>85</v>
      </c>
      <c r="FN45" s="6">
        <v>85</v>
      </c>
      <c r="FP45" s="6">
        <v>88</v>
      </c>
      <c r="FQ45" s="6">
        <v>114</v>
      </c>
      <c r="FS45" s="6">
        <v>115</v>
      </c>
      <c r="FT45" s="6">
        <v>93</v>
      </c>
      <c r="FU45" s="6">
        <v>91</v>
      </c>
      <c r="FW45" s="6">
        <v>107</v>
      </c>
      <c r="FX45" s="6">
        <v>111</v>
      </c>
      <c r="FY45" s="6">
        <v>115</v>
      </c>
      <c r="GC45" s="7">
        <v>41</v>
      </c>
      <c r="GD45" s="6">
        <v>78</v>
      </c>
      <c r="GE45" s="6">
        <v>80</v>
      </c>
      <c r="GF45" s="6">
        <v>115</v>
      </c>
      <c r="GG45" s="6">
        <v>50</v>
      </c>
      <c r="GH45" s="6">
        <v>69</v>
      </c>
      <c r="GI45" s="6">
        <v>58</v>
      </c>
      <c r="GJ45" s="6">
        <v>75</v>
      </c>
      <c r="GK45" s="6">
        <v>115</v>
      </c>
      <c r="GL45" s="6">
        <v>53</v>
      </c>
      <c r="GM45" s="6">
        <v>81</v>
      </c>
      <c r="GN45" s="6">
        <v>77</v>
      </c>
      <c r="GP45" s="6">
        <v>115</v>
      </c>
      <c r="GQ45" s="6">
        <v>76</v>
      </c>
      <c r="GS45" s="6">
        <v>67</v>
      </c>
      <c r="GU45" s="6">
        <v>81</v>
      </c>
      <c r="GV45" s="6">
        <v>111</v>
      </c>
      <c r="GX45" s="6">
        <v>92</v>
      </c>
      <c r="GY45" s="6">
        <v>95</v>
      </c>
      <c r="GZ45" s="6">
        <v>99</v>
      </c>
      <c r="HB45" s="6">
        <v>80</v>
      </c>
      <c r="HC45" s="6">
        <v>103</v>
      </c>
      <c r="HD45" s="6">
        <v>115</v>
      </c>
      <c r="HH45" s="7">
        <v>41</v>
      </c>
      <c r="HI45" s="6">
        <v>85</v>
      </c>
      <c r="HJ45" s="6">
        <v>95</v>
      </c>
      <c r="HK45" s="6">
        <v>115</v>
      </c>
      <c r="HL45" s="6">
        <v>52</v>
      </c>
      <c r="HM45" s="6">
        <v>63</v>
      </c>
      <c r="HN45" s="6">
        <v>72</v>
      </c>
      <c r="HO45" s="6">
        <v>72</v>
      </c>
      <c r="HP45" s="6">
        <v>115</v>
      </c>
      <c r="HQ45" s="6">
        <v>51</v>
      </c>
      <c r="HR45" s="6">
        <v>86</v>
      </c>
      <c r="HS45" s="6">
        <v>83</v>
      </c>
      <c r="HU45" s="6">
        <v>115</v>
      </c>
      <c r="HV45" s="6">
        <v>77</v>
      </c>
      <c r="HX45" s="6">
        <v>72</v>
      </c>
      <c r="HZ45" s="6">
        <v>83</v>
      </c>
      <c r="IA45" s="6">
        <v>115</v>
      </c>
      <c r="IC45" s="6">
        <v>97</v>
      </c>
      <c r="ID45" s="6">
        <v>84</v>
      </c>
      <c r="IE45" s="6">
        <v>99</v>
      </c>
      <c r="IG45" s="6">
        <v>87</v>
      </c>
      <c r="IH45" s="6">
        <v>110</v>
      </c>
      <c r="II45" s="6">
        <v>115</v>
      </c>
    </row>
    <row r="46" spans="2:243" x14ac:dyDescent="0.25">
      <c r="B46" s="13">
        <v>42</v>
      </c>
      <c r="C46" s="6">
        <v>85</v>
      </c>
      <c r="D46" s="6">
        <v>88</v>
      </c>
      <c r="E46" s="6">
        <v>109</v>
      </c>
      <c r="F46" s="6">
        <v>37</v>
      </c>
      <c r="G46" s="6">
        <v>61</v>
      </c>
      <c r="H46" s="6">
        <v>83</v>
      </c>
      <c r="I46" s="6">
        <v>75</v>
      </c>
      <c r="J46" s="6">
        <v>115</v>
      </c>
      <c r="K46" s="6">
        <v>45</v>
      </c>
      <c r="L46" s="6">
        <v>92</v>
      </c>
      <c r="M46" s="6">
        <v>77</v>
      </c>
      <c r="O46" s="6">
        <v>115</v>
      </c>
      <c r="P46" s="6">
        <v>84</v>
      </c>
      <c r="R46" s="6">
        <v>101</v>
      </c>
      <c r="T46" s="6">
        <v>103</v>
      </c>
      <c r="U46" s="6">
        <v>115</v>
      </c>
      <c r="W46" s="6">
        <v>115</v>
      </c>
      <c r="X46" s="6">
        <v>106</v>
      </c>
      <c r="Y46" s="6">
        <v>101</v>
      </c>
      <c r="AA46" s="6">
        <v>99</v>
      </c>
      <c r="AB46" s="6">
        <v>104</v>
      </c>
      <c r="AG46" s="6">
        <v>79</v>
      </c>
      <c r="AH46" s="6">
        <v>84</v>
      </c>
      <c r="AI46" s="6">
        <v>103</v>
      </c>
      <c r="AJ46" s="6">
        <v>40</v>
      </c>
      <c r="AK46" s="6">
        <v>63</v>
      </c>
      <c r="AL46" s="6">
        <v>75</v>
      </c>
      <c r="AM46" s="6">
        <v>74</v>
      </c>
      <c r="AN46" s="6">
        <v>115</v>
      </c>
      <c r="AO46" s="6">
        <v>48</v>
      </c>
      <c r="AP46" s="6">
        <v>92</v>
      </c>
      <c r="AQ46" s="6">
        <v>72</v>
      </c>
      <c r="AS46" s="6">
        <v>115</v>
      </c>
      <c r="AT46" s="6">
        <v>75</v>
      </c>
      <c r="AV46" s="6">
        <v>110</v>
      </c>
      <c r="AX46" s="6">
        <v>113</v>
      </c>
      <c r="AY46" s="6">
        <v>115</v>
      </c>
      <c r="BA46" s="6">
        <v>115</v>
      </c>
      <c r="BB46" s="6">
        <v>106</v>
      </c>
      <c r="BC46" s="6">
        <v>112</v>
      </c>
      <c r="BE46" s="6">
        <v>88</v>
      </c>
      <c r="BF46" s="6">
        <v>104</v>
      </c>
      <c r="BK46" s="6">
        <v>78</v>
      </c>
      <c r="BL46" s="6">
        <v>69</v>
      </c>
      <c r="BM46" s="6">
        <v>103</v>
      </c>
      <c r="BN46" s="6">
        <v>25</v>
      </c>
      <c r="BO46" s="6">
        <v>75</v>
      </c>
      <c r="BP46" s="6">
        <v>103</v>
      </c>
      <c r="BQ46" s="6">
        <v>84</v>
      </c>
      <c r="BR46" s="6">
        <v>115</v>
      </c>
      <c r="BS46" s="6">
        <v>46</v>
      </c>
      <c r="BT46" s="6">
        <v>83</v>
      </c>
      <c r="BU46" s="6">
        <v>65</v>
      </c>
      <c r="BW46" s="6">
        <v>115</v>
      </c>
      <c r="BX46" s="6">
        <v>64</v>
      </c>
      <c r="BZ46" s="6">
        <v>80</v>
      </c>
      <c r="CB46" s="6">
        <v>113</v>
      </c>
      <c r="CC46" s="6">
        <v>115</v>
      </c>
      <c r="CE46" s="6">
        <v>114</v>
      </c>
      <c r="CF46" s="6">
        <v>110</v>
      </c>
      <c r="CG46" s="6">
        <v>112</v>
      </c>
      <c r="CI46" s="6">
        <v>72</v>
      </c>
      <c r="CJ46" s="6">
        <v>80</v>
      </c>
      <c r="CO46" s="6">
        <v>73</v>
      </c>
      <c r="CP46" s="6">
        <v>66</v>
      </c>
      <c r="CQ46" s="6">
        <v>97</v>
      </c>
      <c r="CR46" s="6">
        <v>25</v>
      </c>
      <c r="CS46" s="6">
        <v>74</v>
      </c>
      <c r="CT46" s="6">
        <v>102</v>
      </c>
      <c r="CU46" s="6">
        <v>84</v>
      </c>
      <c r="CV46" s="6">
        <v>115</v>
      </c>
      <c r="CW46" s="6">
        <v>50</v>
      </c>
      <c r="CX46" s="6">
        <v>79</v>
      </c>
      <c r="CY46" s="6">
        <v>58</v>
      </c>
      <c r="DA46" s="6">
        <v>115</v>
      </c>
      <c r="DB46" s="6">
        <v>58</v>
      </c>
      <c r="DD46" s="6">
        <v>88</v>
      </c>
      <c r="DF46" s="6">
        <v>114</v>
      </c>
      <c r="DG46" s="6">
        <v>115</v>
      </c>
      <c r="DI46" s="6">
        <v>112</v>
      </c>
      <c r="DJ46" s="6">
        <v>109</v>
      </c>
      <c r="DK46" s="6">
        <v>115</v>
      </c>
      <c r="DM46" s="6">
        <v>65</v>
      </c>
      <c r="DN46" s="6">
        <v>72</v>
      </c>
      <c r="DS46" s="12">
        <v>42</v>
      </c>
      <c r="DT46" s="6">
        <v>83</v>
      </c>
      <c r="DU46" s="6">
        <v>97</v>
      </c>
      <c r="DV46" s="6">
        <v>105</v>
      </c>
      <c r="DW46" s="6">
        <v>51</v>
      </c>
      <c r="DX46" s="6">
        <v>56</v>
      </c>
      <c r="DY46" s="6">
        <v>58</v>
      </c>
      <c r="DZ46" s="6">
        <v>81</v>
      </c>
      <c r="EA46" s="6">
        <v>115</v>
      </c>
      <c r="EB46" s="6">
        <v>48</v>
      </c>
      <c r="EC46" s="6">
        <v>88</v>
      </c>
      <c r="ED46" s="6">
        <v>80</v>
      </c>
      <c r="EF46" s="6">
        <v>115</v>
      </c>
      <c r="EG46" s="6">
        <v>91</v>
      </c>
      <c r="EI46" s="6">
        <v>85</v>
      </c>
      <c r="EK46" s="6">
        <v>81</v>
      </c>
      <c r="EL46" s="6">
        <v>113</v>
      </c>
      <c r="EN46" s="6">
        <v>115</v>
      </c>
      <c r="EO46" s="6">
        <v>85</v>
      </c>
      <c r="EP46" s="6">
        <v>101</v>
      </c>
      <c r="ER46" s="6">
        <v>105</v>
      </c>
      <c r="ES46" s="6">
        <v>113</v>
      </c>
      <c r="EX46" s="7">
        <v>42</v>
      </c>
      <c r="EY46" s="6">
        <v>88</v>
      </c>
      <c r="EZ46" s="6">
        <v>90</v>
      </c>
      <c r="FA46" s="6">
        <v>97</v>
      </c>
      <c r="FB46" s="6">
        <v>53</v>
      </c>
      <c r="FC46" s="6">
        <v>56</v>
      </c>
      <c r="FD46" s="6">
        <v>55</v>
      </c>
      <c r="FE46" s="6">
        <v>73</v>
      </c>
      <c r="FF46" s="6">
        <v>115</v>
      </c>
      <c r="FG46" s="6">
        <v>55</v>
      </c>
      <c r="FH46" s="6">
        <v>84</v>
      </c>
      <c r="FI46" s="6">
        <v>88</v>
      </c>
      <c r="FK46" s="6">
        <v>115</v>
      </c>
      <c r="FL46" s="6">
        <v>86</v>
      </c>
      <c r="FN46" s="6">
        <v>100</v>
      </c>
      <c r="FP46" s="6">
        <v>89</v>
      </c>
      <c r="FQ46" s="6">
        <v>115</v>
      </c>
      <c r="FS46" s="6">
        <v>115</v>
      </c>
      <c r="FT46" s="6">
        <v>98</v>
      </c>
      <c r="FU46" s="6">
        <v>94</v>
      </c>
      <c r="FW46" s="6">
        <v>111</v>
      </c>
      <c r="FX46" s="6">
        <v>113</v>
      </c>
      <c r="GC46" s="7">
        <v>42</v>
      </c>
      <c r="GD46" s="6">
        <v>79</v>
      </c>
      <c r="GE46" s="6">
        <v>81</v>
      </c>
      <c r="GF46" s="6">
        <v>115</v>
      </c>
      <c r="GG46" s="6">
        <v>51</v>
      </c>
      <c r="GH46" s="6">
        <v>69</v>
      </c>
      <c r="GI46" s="6">
        <v>59</v>
      </c>
      <c r="GJ46" s="6">
        <v>76</v>
      </c>
      <c r="GK46" s="6">
        <v>115</v>
      </c>
      <c r="GL46" s="6">
        <v>53</v>
      </c>
      <c r="GM46" s="6">
        <v>82</v>
      </c>
      <c r="GN46" s="6">
        <v>78</v>
      </c>
      <c r="GP46" s="6">
        <v>115</v>
      </c>
      <c r="GQ46" s="6">
        <v>76</v>
      </c>
      <c r="GS46" s="6">
        <v>69</v>
      </c>
      <c r="GU46" s="6">
        <v>82</v>
      </c>
      <c r="GV46" s="6">
        <v>113</v>
      </c>
      <c r="GX46" s="6">
        <v>100</v>
      </c>
      <c r="GY46" s="6">
        <v>97</v>
      </c>
      <c r="GZ46" s="6">
        <v>101</v>
      </c>
      <c r="HB46" s="6">
        <v>82</v>
      </c>
      <c r="HC46" s="6">
        <v>105</v>
      </c>
      <c r="HH46" s="7">
        <v>42</v>
      </c>
      <c r="HI46" s="6">
        <v>88</v>
      </c>
      <c r="HJ46" s="6">
        <v>95</v>
      </c>
      <c r="HK46" s="6">
        <v>115</v>
      </c>
      <c r="HL46" s="6">
        <v>52</v>
      </c>
      <c r="HM46" s="6">
        <v>63</v>
      </c>
      <c r="HN46" s="6">
        <v>72</v>
      </c>
      <c r="HO46" s="6">
        <v>72</v>
      </c>
      <c r="HP46" s="6">
        <v>115</v>
      </c>
      <c r="HQ46" s="6">
        <v>52</v>
      </c>
      <c r="HR46" s="6">
        <v>87</v>
      </c>
      <c r="HS46" s="6">
        <v>85</v>
      </c>
      <c r="HU46" s="6">
        <v>115</v>
      </c>
      <c r="HV46" s="6">
        <v>78</v>
      </c>
      <c r="HX46" s="6">
        <v>75</v>
      </c>
      <c r="HZ46" s="6">
        <v>85</v>
      </c>
      <c r="IA46" s="6">
        <v>115</v>
      </c>
      <c r="IC46" s="6">
        <v>103</v>
      </c>
      <c r="ID46" s="6">
        <v>85</v>
      </c>
      <c r="IE46" s="6">
        <v>101</v>
      </c>
      <c r="IG46" s="6">
        <v>89</v>
      </c>
      <c r="IH46" s="6">
        <v>111</v>
      </c>
    </row>
    <row r="47" spans="2:243" x14ac:dyDescent="0.25">
      <c r="B47" s="13">
        <v>43</v>
      </c>
      <c r="C47" s="6">
        <v>88</v>
      </c>
      <c r="D47" s="6">
        <v>93</v>
      </c>
      <c r="E47" s="6">
        <v>109</v>
      </c>
      <c r="F47" s="6">
        <v>40</v>
      </c>
      <c r="G47" s="6">
        <v>64</v>
      </c>
      <c r="H47" s="6">
        <v>85</v>
      </c>
      <c r="I47" s="6">
        <v>78</v>
      </c>
      <c r="J47" s="6">
        <v>115</v>
      </c>
      <c r="K47" s="6">
        <v>46</v>
      </c>
      <c r="L47" s="6">
        <v>94</v>
      </c>
      <c r="M47" s="6">
        <v>78</v>
      </c>
      <c r="O47" s="6">
        <v>115</v>
      </c>
      <c r="P47" s="6">
        <v>85</v>
      </c>
      <c r="R47" s="6">
        <v>105</v>
      </c>
      <c r="T47" s="6">
        <v>105</v>
      </c>
      <c r="U47" s="6">
        <v>115</v>
      </c>
      <c r="W47" s="6">
        <v>115</v>
      </c>
      <c r="X47" s="6">
        <v>107</v>
      </c>
      <c r="Y47" s="6">
        <v>105</v>
      </c>
      <c r="AA47" s="6">
        <v>103</v>
      </c>
      <c r="AB47" s="6">
        <v>104</v>
      </c>
      <c r="AG47" s="6">
        <v>80</v>
      </c>
      <c r="AH47" s="6">
        <v>84</v>
      </c>
      <c r="AI47" s="6">
        <v>115</v>
      </c>
      <c r="AJ47" s="6">
        <v>44</v>
      </c>
      <c r="AK47" s="6">
        <v>65</v>
      </c>
      <c r="AL47" s="6">
        <v>82</v>
      </c>
      <c r="AM47" s="6">
        <v>75</v>
      </c>
      <c r="AN47" s="6">
        <v>115</v>
      </c>
      <c r="AO47" s="6">
        <v>50</v>
      </c>
      <c r="AP47" s="6">
        <v>108</v>
      </c>
      <c r="AQ47" s="6">
        <v>73</v>
      </c>
      <c r="AS47" s="6">
        <v>115</v>
      </c>
      <c r="AT47" s="6">
        <v>76</v>
      </c>
      <c r="AV47" s="6">
        <v>113</v>
      </c>
      <c r="AX47" s="6">
        <v>113</v>
      </c>
      <c r="AY47" s="6">
        <v>115</v>
      </c>
      <c r="BA47" s="6">
        <v>115</v>
      </c>
      <c r="BB47" s="6">
        <v>106</v>
      </c>
      <c r="BC47" s="6">
        <v>112</v>
      </c>
      <c r="BE47" s="6">
        <v>97</v>
      </c>
      <c r="BF47" s="6">
        <v>108</v>
      </c>
      <c r="BK47" s="6">
        <v>82</v>
      </c>
      <c r="BL47" s="6">
        <v>71</v>
      </c>
      <c r="BM47" s="6">
        <v>106</v>
      </c>
      <c r="BN47" s="6">
        <v>27</v>
      </c>
      <c r="BO47" s="6">
        <v>77</v>
      </c>
      <c r="BP47" s="6">
        <v>104</v>
      </c>
      <c r="BQ47" s="6">
        <v>85</v>
      </c>
      <c r="BR47" s="6">
        <v>115</v>
      </c>
      <c r="BS47" s="6">
        <v>48</v>
      </c>
      <c r="BT47" s="6">
        <v>85</v>
      </c>
      <c r="BU47" s="6">
        <v>66</v>
      </c>
      <c r="BW47" s="6">
        <v>115</v>
      </c>
      <c r="BX47" s="6">
        <v>65</v>
      </c>
      <c r="BZ47" s="6">
        <v>83</v>
      </c>
      <c r="CB47" s="6">
        <v>113</v>
      </c>
      <c r="CC47" s="6">
        <v>115</v>
      </c>
      <c r="CE47" s="6">
        <v>114</v>
      </c>
      <c r="CF47" s="6">
        <v>110</v>
      </c>
      <c r="CG47" s="6">
        <v>114</v>
      </c>
      <c r="CI47" s="6">
        <v>75</v>
      </c>
      <c r="CJ47" s="6">
        <v>82</v>
      </c>
      <c r="CO47" s="6">
        <v>74</v>
      </c>
      <c r="CP47" s="6">
        <v>68</v>
      </c>
      <c r="CQ47" s="6">
        <v>102</v>
      </c>
      <c r="CR47" s="6">
        <v>26</v>
      </c>
      <c r="CS47" s="6">
        <v>75</v>
      </c>
      <c r="CT47" s="6">
        <v>103</v>
      </c>
      <c r="CU47" s="6">
        <v>85</v>
      </c>
      <c r="CV47" s="6">
        <v>115</v>
      </c>
      <c r="CW47" s="6">
        <v>53</v>
      </c>
      <c r="CX47" s="6">
        <v>82</v>
      </c>
      <c r="CY47" s="6">
        <v>59</v>
      </c>
      <c r="DA47" s="6">
        <v>115</v>
      </c>
      <c r="DB47" s="6">
        <v>59</v>
      </c>
      <c r="DD47" s="6">
        <v>97</v>
      </c>
      <c r="DF47" s="6">
        <v>114</v>
      </c>
      <c r="DG47" s="6">
        <v>115</v>
      </c>
      <c r="DI47" s="6">
        <v>112</v>
      </c>
      <c r="DJ47" s="6">
        <v>109</v>
      </c>
      <c r="DK47" s="6">
        <v>115</v>
      </c>
      <c r="DM47" s="6">
        <v>68</v>
      </c>
      <c r="DN47" s="6">
        <v>74</v>
      </c>
      <c r="DS47" s="12">
        <v>43</v>
      </c>
      <c r="DT47" s="6">
        <v>84</v>
      </c>
      <c r="DU47" s="6">
        <v>99</v>
      </c>
      <c r="DV47" s="6">
        <v>112</v>
      </c>
      <c r="DW47" s="6">
        <v>51</v>
      </c>
      <c r="DX47" s="6">
        <v>57</v>
      </c>
      <c r="DY47" s="6">
        <v>58</v>
      </c>
      <c r="DZ47" s="6">
        <v>85</v>
      </c>
      <c r="EA47" s="6">
        <v>115</v>
      </c>
      <c r="EB47" s="6">
        <v>48</v>
      </c>
      <c r="EC47" s="6">
        <v>88</v>
      </c>
      <c r="ED47" s="6">
        <v>81</v>
      </c>
      <c r="EF47" s="6">
        <v>115</v>
      </c>
      <c r="EG47" s="6">
        <v>93</v>
      </c>
      <c r="EI47" s="6">
        <v>95</v>
      </c>
      <c r="EK47" s="6">
        <v>82</v>
      </c>
      <c r="EL47" s="6">
        <v>115</v>
      </c>
      <c r="EN47" s="6">
        <v>115</v>
      </c>
      <c r="EO47" s="6">
        <v>91</v>
      </c>
      <c r="EP47" s="6">
        <v>104</v>
      </c>
      <c r="ER47" s="6">
        <v>115</v>
      </c>
      <c r="ES47" s="6">
        <v>115</v>
      </c>
      <c r="EX47" s="7">
        <v>43</v>
      </c>
      <c r="EY47" s="6">
        <v>86</v>
      </c>
      <c r="EZ47" s="6">
        <v>90</v>
      </c>
      <c r="FA47" s="6">
        <v>97</v>
      </c>
      <c r="FB47" s="6">
        <v>54</v>
      </c>
      <c r="FC47" s="6">
        <v>57</v>
      </c>
      <c r="FD47" s="6">
        <v>61</v>
      </c>
      <c r="FE47" s="6">
        <v>73</v>
      </c>
      <c r="FF47" s="6">
        <v>115</v>
      </c>
      <c r="FG47" s="6">
        <v>55</v>
      </c>
      <c r="FH47" s="6">
        <v>85</v>
      </c>
      <c r="FI47" s="6">
        <v>88</v>
      </c>
      <c r="FK47" s="6">
        <v>115</v>
      </c>
      <c r="FL47" s="6">
        <v>87</v>
      </c>
      <c r="FN47" s="6">
        <v>115</v>
      </c>
      <c r="FP47" s="6">
        <v>90</v>
      </c>
      <c r="FQ47" s="6">
        <v>115</v>
      </c>
      <c r="FS47" s="6">
        <v>115</v>
      </c>
      <c r="FT47" s="6">
        <v>102</v>
      </c>
      <c r="FU47" s="6">
        <v>96</v>
      </c>
      <c r="FW47" s="6">
        <v>115</v>
      </c>
      <c r="FX47" s="6">
        <v>114</v>
      </c>
      <c r="GC47" s="7">
        <v>43</v>
      </c>
      <c r="GD47" s="6">
        <v>80</v>
      </c>
      <c r="GE47" s="6">
        <v>82</v>
      </c>
      <c r="GF47" s="6">
        <v>115</v>
      </c>
      <c r="GG47" s="6">
        <v>51</v>
      </c>
      <c r="GH47" s="6">
        <v>70</v>
      </c>
      <c r="GI47" s="6">
        <v>59</v>
      </c>
      <c r="GJ47" s="6">
        <v>77</v>
      </c>
      <c r="GK47" s="6">
        <v>115</v>
      </c>
      <c r="GL47" s="6">
        <v>56</v>
      </c>
      <c r="GM47" s="6">
        <v>82</v>
      </c>
      <c r="GN47" s="6">
        <v>78</v>
      </c>
      <c r="GP47" s="6">
        <v>115</v>
      </c>
      <c r="GQ47" s="6">
        <v>77</v>
      </c>
      <c r="GS47" s="6">
        <v>70</v>
      </c>
      <c r="GU47" s="6">
        <v>83</v>
      </c>
      <c r="GV47" s="6">
        <v>115</v>
      </c>
      <c r="GX47" s="6">
        <v>108</v>
      </c>
      <c r="GY47" s="6">
        <v>100</v>
      </c>
      <c r="GZ47" s="6">
        <v>103</v>
      </c>
      <c r="HB47" s="6">
        <v>85</v>
      </c>
      <c r="HC47" s="6">
        <v>106</v>
      </c>
      <c r="HH47" s="7">
        <v>43</v>
      </c>
      <c r="HI47" s="6">
        <v>88</v>
      </c>
      <c r="HJ47" s="6">
        <v>95</v>
      </c>
      <c r="HK47" s="6">
        <v>115</v>
      </c>
      <c r="HL47" s="6">
        <v>54</v>
      </c>
      <c r="HM47" s="6">
        <v>63</v>
      </c>
      <c r="HN47" s="6">
        <v>73</v>
      </c>
      <c r="HO47" s="6">
        <v>73</v>
      </c>
      <c r="HP47" s="6">
        <v>115</v>
      </c>
      <c r="HQ47" s="6">
        <v>54</v>
      </c>
      <c r="HR47" s="6">
        <v>88</v>
      </c>
      <c r="HS47" s="6">
        <v>86</v>
      </c>
      <c r="HU47" s="6">
        <v>115</v>
      </c>
      <c r="HV47" s="6">
        <v>79</v>
      </c>
      <c r="HX47" s="6">
        <v>76</v>
      </c>
      <c r="HZ47" s="6">
        <v>90</v>
      </c>
      <c r="IA47" s="6">
        <v>115</v>
      </c>
      <c r="IC47" s="6">
        <v>109</v>
      </c>
      <c r="ID47" s="6">
        <v>88</v>
      </c>
      <c r="IE47" s="6">
        <v>104</v>
      </c>
      <c r="IG47" s="6">
        <v>91</v>
      </c>
      <c r="IH47" s="6">
        <v>113</v>
      </c>
    </row>
    <row r="48" spans="2:243" x14ac:dyDescent="0.25">
      <c r="B48" s="13">
        <v>44</v>
      </c>
      <c r="C48" s="6">
        <v>91</v>
      </c>
      <c r="D48" s="6">
        <v>93</v>
      </c>
      <c r="E48" s="6">
        <v>111</v>
      </c>
      <c r="F48" s="6">
        <v>42</v>
      </c>
      <c r="G48" s="6">
        <v>67</v>
      </c>
      <c r="H48" s="6">
        <v>89</v>
      </c>
      <c r="I48" s="6">
        <v>81</v>
      </c>
      <c r="J48" s="6">
        <v>115</v>
      </c>
      <c r="K48" s="6">
        <v>49</v>
      </c>
      <c r="L48" s="6">
        <v>97</v>
      </c>
      <c r="M48" s="6">
        <v>80</v>
      </c>
      <c r="O48" s="6">
        <v>115</v>
      </c>
      <c r="P48" s="6">
        <v>91</v>
      </c>
      <c r="R48" s="6">
        <v>108</v>
      </c>
      <c r="T48" s="6">
        <v>105</v>
      </c>
      <c r="U48" s="6">
        <v>115</v>
      </c>
      <c r="X48" s="6">
        <v>108</v>
      </c>
      <c r="Y48" s="6">
        <v>107</v>
      </c>
      <c r="AA48" s="6">
        <v>106</v>
      </c>
      <c r="AB48" s="6">
        <v>106</v>
      </c>
      <c r="AG48" s="6">
        <v>82</v>
      </c>
      <c r="AH48" s="6">
        <v>85</v>
      </c>
      <c r="AI48" s="6">
        <v>115</v>
      </c>
      <c r="AJ48" s="6">
        <v>47</v>
      </c>
      <c r="AK48" s="6">
        <v>68</v>
      </c>
      <c r="AL48" s="6">
        <v>84</v>
      </c>
      <c r="AM48" s="6">
        <v>80</v>
      </c>
      <c r="AN48" s="6">
        <v>115</v>
      </c>
      <c r="AO48" s="6">
        <v>55</v>
      </c>
      <c r="AP48" s="6">
        <v>108</v>
      </c>
      <c r="AQ48" s="6">
        <v>73</v>
      </c>
      <c r="AS48" s="6">
        <v>115</v>
      </c>
      <c r="AT48" s="6">
        <v>80</v>
      </c>
      <c r="AV48" s="6">
        <v>113</v>
      </c>
      <c r="AX48" s="6">
        <v>113</v>
      </c>
      <c r="AY48" s="6">
        <v>115</v>
      </c>
      <c r="BA48" s="6">
        <v>115</v>
      </c>
      <c r="BB48" s="6">
        <v>106</v>
      </c>
      <c r="BC48" s="6">
        <v>112</v>
      </c>
      <c r="BE48" s="6">
        <v>106</v>
      </c>
      <c r="BF48" s="6">
        <v>108</v>
      </c>
      <c r="BK48" s="6">
        <v>83</v>
      </c>
      <c r="BL48" s="6">
        <v>72</v>
      </c>
      <c r="BM48" s="6">
        <v>111</v>
      </c>
      <c r="BN48" s="6">
        <v>28</v>
      </c>
      <c r="BO48" s="6">
        <v>81</v>
      </c>
      <c r="BP48" s="6">
        <v>106</v>
      </c>
      <c r="BQ48" s="6">
        <v>88</v>
      </c>
      <c r="BR48" s="6">
        <v>115</v>
      </c>
      <c r="BS48" s="6">
        <v>50</v>
      </c>
      <c r="BT48" s="6">
        <v>91</v>
      </c>
      <c r="BU48" s="6">
        <v>67</v>
      </c>
      <c r="BW48" s="6">
        <v>115</v>
      </c>
      <c r="BX48" s="6">
        <v>66</v>
      </c>
      <c r="BZ48" s="6">
        <v>85</v>
      </c>
      <c r="CB48" s="6">
        <v>113</v>
      </c>
      <c r="CC48" s="6">
        <v>115</v>
      </c>
      <c r="CE48" s="6">
        <v>115</v>
      </c>
      <c r="CF48" s="6">
        <v>110</v>
      </c>
      <c r="CG48" s="6">
        <v>114</v>
      </c>
      <c r="CI48" s="6">
        <v>78</v>
      </c>
      <c r="CJ48" s="6">
        <v>85</v>
      </c>
      <c r="CO48" s="6">
        <v>75</v>
      </c>
      <c r="CP48" s="6">
        <v>70</v>
      </c>
      <c r="CQ48" s="6">
        <v>107</v>
      </c>
      <c r="CR48" s="6">
        <v>28</v>
      </c>
      <c r="CS48" s="6">
        <v>77</v>
      </c>
      <c r="CT48" s="6">
        <v>104</v>
      </c>
      <c r="CU48" s="6">
        <v>88</v>
      </c>
      <c r="CV48" s="6">
        <v>115</v>
      </c>
      <c r="CW48" s="6">
        <v>57</v>
      </c>
      <c r="CX48" s="6">
        <v>85</v>
      </c>
      <c r="CY48" s="6">
        <v>60</v>
      </c>
      <c r="DA48" s="6">
        <v>115</v>
      </c>
      <c r="DB48" s="6">
        <v>60</v>
      </c>
      <c r="DD48" s="6">
        <v>101</v>
      </c>
      <c r="DF48" s="6">
        <v>114</v>
      </c>
      <c r="DG48" s="6">
        <v>115</v>
      </c>
      <c r="DI48" s="6">
        <v>115</v>
      </c>
      <c r="DJ48" s="6">
        <v>110</v>
      </c>
      <c r="DK48" s="6">
        <v>115</v>
      </c>
      <c r="DM48" s="6">
        <v>72</v>
      </c>
      <c r="DN48" s="6">
        <v>75</v>
      </c>
      <c r="DS48" s="12">
        <v>44</v>
      </c>
      <c r="DT48" s="6">
        <v>85</v>
      </c>
      <c r="DU48" s="6">
        <v>105</v>
      </c>
      <c r="DV48" s="6">
        <v>112</v>
      </c>
      <c r="DW48" s="6">
        <v>54</v>
      </c>
      <c r="DX48" s="6">
        <v>57</v>
      </c>
      <c r="DY48" s="6">
        <v>62</v>
      </c>
      <c r="DZ48" s="6">
        <v>86</v>
      </c>
      <c r="EA48" s="6">
        <v>115</v>
      </c>
      <c r="EB48" s="6">
        <v>49</v>
      </c>
      <c r="EC48" s="6">
        <v>92</v>
      </c>
      <c r="ED48" s="6">
        <v>82</v>
      </c>
      <c r="EF48" s="6">
        <v>115</v>
      </c>
      <c r="EG48" s="6">
        <v>95</v>
      </c>
      <c r="EI48" s="6">
        <v>105</v>
      </c>
      <c r="EK48" s="6">
        <v>84</v>
      </c>
      <c r="EL48" s="6">
        <v>115</v>
      </c>
      <c r="EN48" s="6">
        <v>115</v>
      </c>
      <c r="EO48" s="6">
        <v>97</v>
      </c>
      <c r="EP48" s="6">
        <v>107</v>
      </c>
      <c r="ER48" s="6">
        <v>115</v>
      </c>
      <c r="ES48" s="6">
        <v>115</v>
      </c>
      <c r="EX48" s="7">
        <v>44</v>
      </c>
      <c r="EY48" s="6">
        <v>95</v>
      </c>
      <c r="EZ48" s="6">
        <v>90</v>
      </c>
      <c r="FA48" s="6">
        <v>98</v>
      </c>
      <c r="FB48" s="6">
        <v>56</v>
      </c>
      <c r="FC48" s="6">
        <v>57</v>
      </c>
      <c r="FD48" s="6">
        <v>61</v>
      </c>
      <c r="FE48" s="6">
        <v>74</v>
      </c>
      <c r="FF48" s="6">
        <v>115</v>
      </c>
      <c r="FG48" s="6">
        <v>56</v>
      </c>
      <c r="FH48" s="6">
        <v>85</v>
      </c>
      <c r="FI48" s="6">
        <v>88</v>
      </c>
      <c r="FK48" s="6">
        <v>115</v>
      </c>
      <c r="FL48" s="6">
        <v>88</v>
      </c>
      <c r="FN48" s="6">
        <v>115</v>
      </c>
      <c r="FP48" s="6">
        <v>91</v>
      </c>
      <c r="FQ48" s="6">
        <v>115</v>
      </c>
      <c r="FS48" s="6">
        <v>115</v>
      </c>
      <c r="FT48" s="6">
        <v>106</v>
      </c>
      <c r="FU48" s="6">
        <v>98</v>
      </c>
      <c r="FW48" s="6">
        <v>115</v>
      </c>
      <c r="FX48" s="6">
        <v>115</v>
      </c>
      <c r="GC48" s="7">
        <v>44</v>
      </c>
      <c r="GD48" s="6">
        <v>81</v>
      </c>
      <c r="GE48" s="6">
        <v>83</v>
      </c>
      <c r="GF48" s="6">
        <v>115</v>
      </c>
      <c r="GG48" s="6">
        <v>51</v>
      </c>
      <c r="GH48" s="6">
        <v>71</v>
      </c>
      <c r="GI48" s="6">
        <v>63</v>
      </c>
      <c r="GJ48" s="6">
        <v>78</v>
      </c>
      <c r="GK48" s="6">
        <v>115</v>
      </c>
      <c r="GL48" s="6">
        <v>56</v>
      </c>
      <c r="GM48" s="6">
        <v>83</v>
      </c>
      <c r="GN48" s="6">
        <v>79</v>
      </c>
      <c r="GP48" s="6">
        <v>115</v>
      </c>
      <c r="GQ48" s="6">
        <v>77</v>
      </c>
      <c r="GS48" s="6">
        <v>72</v>
      </c>
      <c r="GU48" s="6">
        <v>84</v>
      </c>
      <c r="GV48" s="6">
        <v>115</v>
      </c>
      <c r="GX48" s="6">
        <v>115</v>
      </c>
      <c r="GY48" s="6">
        <v>102</v>
      </c>
      <c r="GZ48" s="6">
        <v>105</v>
      </c>
      <c r="HB48" s="6">
        <v>87</v>
      </c>
      <c r="HC48" s="6">
        <v>108</v>
      </c>
      <c r="HH48" s="7">
        <v>44</v>
      </c>
      <c r="HI48" s="6">
        <v>88</v>
      </c>
      <c r="HJ48" s="6">
        <v>97</v>
      </c>
      <c r="HK48" s="6">
        <v>115</v>
      </c>
      <c r="HL48" s="6">
        <v>55</v>
      </c>
      <c r="HM48" s="6">
        <v>66</v>
      </c>
      <c r="HN48" s="6">
        <v>73</v>
      </c>
      <c r="HO48" s="6">
        <v>73</v>
      </c>
      <c r="HP48" s="6">
        <v>115</v>
      </c>
      <c r="HQ48" s="6">
        <v>58</v>
      </c>
      <c r="HR48" s="6">
        <v>88</v>
      </c>
      <c r="HS48" s="6">
        <v>87</v>
      </c>
      <c r="HU48" s="6">
        <v>115</v>
      </c>
      <c r="HV48" s="6">
        <v>80</v>
      </c>
      <c r="HX48" s="6">
        <v>78</v>
      </c>
      <c r="HZ48" s="6">
        <v>95</v>
      </c>
      <c r="IA48" s="6">
        <v>115</v>
      </c>
      <c r="IC48" s="6">
        <v>115</v>
      </c>
      <c r="ID48" s="6">
        <v>91</v>
      </c>
      <c r="IE48" s="6">
        <v>107</v>
      </c>
      <c r="IG48" s="6">
        <v>93</v>
      </c>
      <c r="IH48" s="6">
        <v>115</v>
      </c>
    </row>
    <row r="49" spans="2:242" x14ac:dyDescent="0.25">
      <c r="B49" s="13">
        <v>45</v>
      </c>
      <c r="C49" s="6">
        <v>91</v>
      </c>
      <c r="D49" s="6">
        <v>93</v>
      </c>
      <c r="E49" s="6">
        <v>113</v>
      </c>
      <c r="F49" s="6">
        <v>45</v>
      </c>
      <c r="G49" s="6">
        <v>70</v>
      </c>
      <c r="H49" s="6">
        <v>92</v>
      </c>
      <c r="I49" s="6">
        <v>83</v>
      </c>
      <c r="J49" s="6">
        <v>115</v>
      </c>
      <c r="K49" s="6">
        <v>50</v>
      </c>
      <c r="L49" s="6">
        <v>100</v>
      </c>
      <c r="M49" s="6">
        <v>81</v>
      </c>
      <c r="O49" s="6">
        <v>115</v>
      </c>
      <c r="P49" s="6">
        <v>92</v>
      </c>
      <c r="R49" s="6">
        <v>112</v>
      </c>
      <c r="T49" s="6">
        <v>107</v>
      </c>
      <c r="X49" s="6">
        <v>108</v>
      </c>
      <c r="Y49" s="6">
        <v>109</v>
      </c>
      <c r="AA49" s="6">
        <v>107</v>
      </c>
      <c r="AB49" s="6">
        <v>108</v>
      </c>
      <c r="AG49" s="6">
        <v>83</v>
      </c>
      <c r="AH49" s="6">
        <v>91</v>
      </c>
      <c r="AI49" s="6">
        <v>115</v>
      </c>
      <c r="AJ49" s="6">
        <v>48</v>
      </c>
      <c r="AK49" s="6">
        <v>71</v>
      </c>
      <c r="AL49" s="6">
        <v>85</v>
      </c>
      <c r="AM49" s="6">
        <v>83</v>
      </c>
      <c r="AN49" s="6">
        <v>115</v>
      </c>
      <c r="AO49" s="6">
        <v>59</v>
      </c>
      <c r="AP49" s="6">
        <v>108</v>
      </c>
      <c r="AQ49" s="6">
        <v>75</v>
      </c>
      <c r="AS49" s="6">
        <v>115</v>
      </c>
      <c r="AT49" s="6">
        <v>83</v>
      </c>
      <c r="AV49" s="6">
        <v>113</v>
      </c>
      <c r="AX49" s="6">
        <v>113</v>
      </c>
      <c r="BB49" s="6">
        <v>108</v>
      </c>
      <c r="BC49" s="6">
        <v>112</v>
      </c>
      <c r="BE49" s="6">
        <v>109</v>
      </c>
      <c r="BF49" s="6">
        <v>111</v>
      </c>
      <c r="BK49" s="6">
        <v>85</v>
      </c>
      <c r="BL49" s="6">
        <v>74</v>
      </c>
      <c r="BM49" s="6">
        <v>113</v>
      </c>
      <c r="BN49" s="6">
        <v>31</v>
      </c>
      <c r="BO49" s="6">
        <v>85</v>
      </c>
      <c r="BP49" s="6">
        <v>108</v>
      </c>
      <c r="BQ49" s="6">
        <v>91</v>
      </c>
      <c r="BR49" s="6">
        <v>115</v>
      </c>
      <c r="BS49" s="6">
        <v>51</v>
      </c>
      <c r="BT49" s="6">
        <v>94</v>
      </c>
      <c r="BU49" s="6">
        <v>68</v>
      </c>
      <c r="BW49" s="6">
        <v>115</v>
      </c>
      <c r="BX49" s="6">
        <v>68</v>
      </c>
      <c r="BZ49" s="6">
        <v>93</v>
      </c>
      <c r="CB49" s="6">
        <v>113</v>
      </c>
      <c r="CF49" s="6">
        <v>110</v>
      </c>
      <c r="CG49" s="6">
        <v>114</v>
      </c>
      <c r="CI49" s="6">
        <v>82</v>
      </c>
      <c r="CJ49" s="6">
        <v>94</v>
      </c>
      <c r="CO49" s="6">
        <v>78</v>
      </c>
      <c r="CP49" s="6">
        <v>72</v>
      </c>
      <c r="CQ49" s="6">
        <v>110</v>
      </c>
      <c r="CR49" s="6">
        <v>29</v>
      </c>
      <c r="CS49" s="6">
        <v>82</v>
      </c>
      <c r="CT49" s="6">
        <v>109</v>
      </c>
      <c r="CU49" s="6">
        <v>92</v>
      </c>
      <c r="CV49" s="6">
        <v>115</v>
      </c>
      <c r="CW49" s="6">
        <v>59</v>
      </c>
      <c r="CX49" s="6">
        <v>93</v>
      </c>
      <c r="CY49" s="6">
        <v>62</v>
      </c>
      <c r="DA49" s="6">
        <v>115</v>
      </c>
      <c r="DB49" s="6">
        <v>63</v>
      </c>
      <c r="DD49" s="6">
        <v>107</v>
      </c>
      <c r="DF49" s="6">
        <v>114</v>
      </c>
      <c r="DJ49" s="6">
        <v>112</v>
      </c>
      <c r="DK49" s="6">
        <v>115</v>
      </c>
      <c r="DM49" s="6">
        <v>75</v>
      </c>
      <c r="DN49" s="6">
        <v>78</v>
      </c>
      <c r="DS49" s="12">
        <v>45</v>
      </c>
      <c r="DT49" s="6">
        <v>86</v>
      </c>
      <c r="DU49" s="6">
        <v>110</v>
      </c>
      <c r="DV49" s="6">
        <v>112</v>
      </c>
      <c r="DW49" s="6">
        <v>54</v>
      </c>
      <c r="DX49" s="6">
        <v>58</v>
      </c>
      <c r="DY49" s="6">
        <v>62</v>
      </c>
      <c r="DZ49" s="6">
        <v>86</v>
      </c>
      <c r="EA49" s="6">
        <v>115</v>
      </c>
      <c r="EB49" s="6">
        <v>49</v>
      </c>
      <c r="EC49" s="6">
        <v>93</v>
      </c>
      <c r="ED49" s="6">
        <v>83</v>
      </c>
      <c r="EF49" s="6">
        <v>115</v>
      </c>
      <c r="EG49" s="6">
        <v>97</v>
      </c>
      <c r="EI49" s="6">
        <v>115</v>
      </c>
      <c r="EK49" s="6">
        <v>85</v>
      </c>
      <c r="EO49" s="6">
        <v>103</v>
      </c>
      <c r="EP49" s="6">
        <v>109</v>
      </c>
      <c r="ER49" s="6">
        <v>115</v>
      </c>
      <c r="ES49" s="6">
        <v>115</v>
      </c>
      <c r="EX49" s="7">
        <v>45</v>
      </c>
      <c r="EY49" s="6">
        <v>101</v>
      </c>
      <c r="EZ49" s="6">
        <v>91</v>
      </c>
      <c r="FA49" s="6">
        <v>98</v>
      </c>
      <c r="FB49" s="6">
        <v>59</v>
      </c>
      <c r="FC49" s="6">
        <v>57</v>
      </c>
      <c r="FD49" s="6">
        <v>61</v>
      </c>
      <c r="FE49" s="6">
        <v>74</v>
      </c>
      <c r="FF49" s="6">
        <v>115</v>
      </c>
      <c r="FG49" s="6">
        <v>56</v>
      </c>
      <c r="FH49" s="6">
        <v>88</v>
      </c>
      <c r="FI49" s="6">
        <v>89</v>
      </c>
      <c r="FK49" s="6">
        <v>115</v>
      </c>
      <c r="FL49" s="6">
        <v>89</v>
      </c>
      <c r="FN49" s="6">
        <v>115</v>
      </c>
      <c r="FP49" s="6">
        <v>93</v>
      </c>
      <c r="FT49" s="6">
        <v>109</v>
      </c>
      <c r="FU49" s="6">
        <v>100</v>
      </c>
      <c r="FW49" s="6">
        <v>115</v>
      </c>
      <c r="FX49" s="6">
        <v>115</v>
      </c>
      <c r="GC49" s="7">
        <v>45</v>
      </c>
      <c r="GD49" s="6">
        <v>82</v>
      </c>
      <c r="GE49" s="6">
        <v>84</v>
      </c>
      <c r="GF49" s="6">
        <v>115</v>
      </c>
      <c r="GG49" s="6">
        <v>52</v>
      </c>
      <c r="GH49" s="6">
        <v>71</v>
      </c>
      <c r="GI49" s="6">
        <v>71</v>
      </c>
      <c r="GJ49" s="6">
        <v>79</v>
      </c>
      <c r="GK49" s="6">
        <v>115</v>
      </c>
      <c r="GL49" s="6">
        <v>56</v>
      </c>
      <c r="GM49" s="6">
        <v>84</v>
      </c>
      <c r="GN49" s="6">
        <v>79</v>
      </c>
      <c r="GP49" s="6">
        <v>115</v>
      </c>
      <c r="GQ49" s="6">
        <v>78</v>
      </c>
      <c r="GS49" s="6">
        <v>75</v>
      </c>
      <c r="GU49" s="6">
        <v>84</v>
      </c>
      <c r="GY49" s="6">
        <v>105</v>
      </c>
      <c r="GZ49" s="6">
        <v>107</v>
      </c>
      <c r="HB49" s="6">
        <v>89</v>
      </c>
      <c r="HC49" s="6">
        <v>109</v>
      </c>
      <c r="HH49" s="7">
        <v>45</v>
      </c>
      <c r="HI49" s="6">
        <v>95</v>
      </c>
      <c r="HJ49" s="6">
        <v>105</v>
      </c>
      <c r="HK49" s="6">
        <v>115</v>
      </c>
      <c r="HL49" s="6">
        <v>57</v>
      </c>
      <c r="HM49" s="6">
        <v>71</v>
      </c>
      <c r="HN49" s="6">
        <v>74</v>
      </c>
      <c r="HO49" s="6">
        <v>75</v>
      </c>
      <c r="HP49" s="6">
        <v>115</v>
      </c>
      <c r="HQ49" s="6">
        <v>58</v>
      </c>
      <c r="HR49" s="6">
        <v>94</v>
      </c>
      <c r="HS49" s="6">
        <v>87</v>
      </c>
      <c r="HU49" s="6">
        <v>115</v>
      </c>
      <c r="HV49" s="6">
        <v>81</v>
      </c>
      <c r="HX49" s="6">
        <v>79</v>
      </c>
      <c r="HZ49" s="6">
        <v>100</v>
      </c>
      <c r="ID49" s="6">
        <v>94</v>
      </c>
      <c r="IE49" s="6">
        <v>109</v>
      </c>
      <c r="IG49" s="6">
        <v>94</v>
      </c>
      <c r="IH49" s="6">
        <v>115</v>
      </c>
    </row>
    <row r="50" spans="2:242" x14ac:dyDescent="0.25">
      <c r="B50" s="13">
        <v>46</v>
      </c>
      <c r="C50" s="6">
        <v>95</v>
      </c>
      <c r="D50" s="6">
        <v>95</v>
      </c>
      <c r="E50" s="6">
        <v>115</v>
      </c>
      <c r="F50" s="6">
        <v>46</v>
      </c>
      <c r="G50" s="6">
        <v>73</v>
      </c>
      <c r="H50" s="6">
        <v>98</v>
      </c>
      <c r="I50" s="6">
        <v>85</v>
      </c>
      <c r="K50" s="6">
        <v>53</v>
      </c>
      <c r="L50" s="6">
        <v>102</v>
      </c>
      <c r="M50" s="6">
        <v>82</v>
      </c>
      <c r="O50" s="6">
        <v>115</v>
      </c>
      <c r="P50" s="6">
        <v>93</v>
      </c>
      <c r="R50" s="6">
        <v>115</v>
      </c>
      <c r="T50" s="6">
        <v>107</v>
      </c>
      <c r="X50" s="6">
        <v>109</v>
      </c>
      <c r="Y50" s="6">
        <v>113</v>
      </c>
      <c r="AA50" s="6">
        <v>109</v>
      </c>
      <c r="AB50" s="6">
        <v>109</v>
      </c>
      <c r="AG50" s="6">
        <v>85</v>
      </c>
      <c r="AH50" s="6">
        <v>91</v>
      </c>
      <c r="AI50" s="6">
        <v>115</v>
      </c>
      <c r="AJ50" s="6">
        <v>50</v>
      </c>
      <c r="AK50" s="6">
        <v>73</v>
      </c>
      <c r="AL50" s="6">
        <v>93</v>
      </c>
      <c r="AM50" s="6">
        <v>85</v>
      </c>
      <c r="AO50" s="6">
        <v>63</v>
      </c>
      <c r="AP50" s="6">
        <v>111</v>
      </c>
      <c r="AQ50" s="6">
        <v>79</v>
      </c>
      <c r="AS50" s="6">
        <v>115</v>
      </c>
      <c r="AT50" s="6">
        <v>85</v>
      </c>
      <c r="AV50" s="6">
        <v>113</v>
      </c>
      <c r="AX50" s="6">
        <v>113</v>
      </c>
      <c r="BB50" s="6">
        <v>110</v>
      </c>
      <c r="BC50" s="6">
        <v>112</v>
      </c>
      <c r="BE50" s="6">
        <v>109</v>
      </c>
      <c r="BF50" s="6">
        <v>111</v>
      </c>
      <c r="BK50" s="6">
        <v>89</v>
      </c>
      <c r="BL50" s="6">
        <v>75</v>
      </c>
      <c r="BM50" s="6">
        <v>114</v>
      </c>
      <c r="BN50" s="6">
        <v>36</v>
      </c>
      <c r="BO50" s="6">
        <v>90</v>
      </c>
      <c r="BP50" s="6">
        <v>110</v>
      </c>
      <c r="BQ50" s="6">
        <v>94</v>
      </c>
      <c r="BS50" s="6">
        <v>54</v>
      </c>
      <c r="BT50" s="6">
        <v>95</v>
      </c>
      <c r="BU50" s="6">
        <v>69</v>
      </c>
      <c r="BW50" s="6">
        <v>115</v>
      </c>
      <c r="BX50" s="6">
        <v>69</v>
      </c>
      <c r="BZ50" s="6">
        <v>99</v>
      </c>
      <c r="CB50" s="6">
        <v>113</v>
      </c>
      <c r="CF50" s="6">
        <v>110</v>
      </c>
      <c r="CG50" s="6">
        <v>114</v>
      </c>
      <c r="CI50" s="6">
        <v>85</v>
      </c>
      <c r="CJ50" s="6">
        <v>96</v>
      </c>
      <c r="CO50" s="6">
        <v>82</v>
      </c>
      <c r="CP50" s="6">
        <v>73</v>
      </c>
      <c r="CQ50" s="6">
        <v>112</v>
      </c>
      <c r="CR50" s="6">
        <v>34</v>
      </c>
      <c r="CS50" s="6">
        <v>85</v>
      </c>
      <c r="CT50" s="6">
        <v>109</v>
      </c>
      <c r="CU50" s="6">
        <v>96</v>
      </c>
      <c r="CW50" s="6">
        <v>61</v>
      </c>
      <c r="CX50" s="6">
        <v>97</v>
      </c>
      <c r="CY50" s="6">
        <v>64</v>
      </c>
      <c r="DA50" s="6">
        <v>115</v>
      </c>
      <c r="DB50" s="6">
        <v>64</v>
      </c>
      <c r="DD50" s="6">
        <v>110</v>
      </c>
      <c r="DF50" s="6">
        <v>114</v>
      </c>
      <c r="DJ50" s="6">
        <v>113</v>
      </c>
      <c r="DK50" s="6">
        <v>115</v>
      </c>
      <c r="DM50" s="6">
        <v>82</v>
      </c>
      <c r="DN50" s="6">
        <v>81</v>
      </c>
      <c r="DS50" s="12">
        <v>46</v>
      </c>
      <c r="DT50" s="6">
        <v>102</v>
      </c>
      <c r="DU50" s="6">
        <v>110</v>
      </c>
      <c r="DV50" s="6">
        <v>115</v>
      </c>
      <c r="DW50" s="6">
        <v>54</v>
      </c>
      <c r="DX50" s="6">
        <v>58</v>
      </c>
      <c r="DY50" s="6">
        <v>63</v>
      </c>
      <c r="DZ50" s="6">
        <v>86</v>
      </c>
      <c r="EB50" s="6">
        <v>53</v>
      </c>
      <c r="EC50" s="6">
        <v>93</v>
      </c>
      <c r="ED50" s="6">
        <v>85</v>
      </c>
      <c r="EF50" s="6">
        <v>115</v>
      </c>
      <c r="EG50" s="6">
        <v>100</v>
      </c>
      <c r="EI50" s="6">
        <v>115</v>
      </c>
      <c r="EK50" s="6">
        <v>88</v>
      </c>
      <c r="EO50" s="6">
        <v>107</v>
      </c>
      <c r="EP50" s="6">
        <v>112</v>
      </c>
      <c r="ER50" s="6">
        <v>115</v>
      </c>
      <c r="ES50" s="6">
        <v>115</v>
      </c>
      <c r="EX50" s="7">
        <v>46</v>
      </c>
      <c r="EY50" s="6">
        <v>101</v>
      </c>
      <c r="EZ50" s="6">
        <v>91</v>
      </c>
      <c r="FA50" s="6">
        <v>98</v>
      </c>
      <c r="FB50" s="6">
        <v>63</v>
      </c>
      <c r="FC50" s="6">
        <v>59</v>
      </c>
      <c r="FD50" s="6">
        <v>63</v>
      </c>
      <c r="FE50" s="6">
        <v>75</v>
      </c>
      <c r="FG50" s="6">
        <v>56</v>
      </c>
      <c r="FH50" s="6">
        <v>91</v>
      </c>
      <c r="FI50" s="6">
        <v>89</v>
      </c>
      <c r="FK50" s="6">
        <v>115</v>
      </c>
      <c r="FL50" s="6">
        <v>91</v>
      </c>
      <c r="FN50" s="6">
        <v>115</v>
      </c>
      <c r="FP50" s="6">
        <v>95</v>
      </c>
      <c r="FT50" s="6">
        <v>112</v>
      </c>
      <c r="FU50" s="6">
        <v>102</v>
      </c>
      <c r="FW50" s="6">
        <v>115</v>
      </c>
      <c r="FX50" s="6">
        <v>115</v>
      </c>
      <c r="GC50" s="7">
        <v>46</v>
      </c>
      <c r="GD50" s="6">
        <v>83</v>
      </c>
      <c r="GE50" s="6">
        <v>85</v>
      </c>
      <c r="GF50" s="6">
        <v>115</v>
      </c>
      <c r="GG50" s="6">
        <v>52</v>
      </c>
      <c r="GH50" s="6">
        <v>71</v>
      </c>
      <c r="GI50" s="6">
        <v>71</v>
      </c>
      <c r="GJ50" s="6">
        <v>80</v>
      </c>
      <c r="GL50" s="6">
        <v>57</v>
      </c>
      <c r="GM50" s="6">
        <v>85</v>
      </c>
      <c r="GN50" s="6">
        <v>80</v>
      </c>
      <c r="GP50" s="6">
        <v>115</v>
      </c>
      <c r="GQ50" s="6">
        <v>79</v>
      </c>
      <c r="GS50" s="6">
        <v>80</v>
      </c>
      <c r="GU50" s="6">
        <v>84</v>
      </c>
      <c r="GY50" s="6">
        <v>107</v>
      </c>
      <c r="GZ50" s="6">
        <v>109</v>
      </c>
      <c r="HB50" s="6">
        <v>91</v>
      </c>
      <c r="HC50" s="6">
        <v>111</v>
      </c>
      <c r="HH50" s="7">
        <v>46</v>
      </c>
      <c r="HI50" s="6">
        <v>95</v>
      </c>
      <c r="HJ50" s="6">
        <v>105</v>
      </c>
      <c r="HK50" s="6">
        <v>115</v>
      </c>
      <c r="HL50" s="6">
        <v>57</v>
      </c>
      <c r="HM50" s="6">
        <v>71</v>
      </c>
      <c r="HN50" s="6">
        <v>74</v>
      </c>
      <c r="HO50" s="6">
        <v>79</v>
      </c>
      <c r="HQ50" s="6">
        <v>58</v>
      </c>
      <c r="HR50" s="6">
        <v>94</v>
      </c>
      <c r="HS50" s="6">
        <v>87</v>
      </c>
      <c r="HU50" s="6">
        <v>115</v>
      </c>
      <c r="HV50" s="6">
        <v>82</v>
      </c>
      <c r="HX50" s="6">
        <v>80</v>
      </c>
      <c r="HZ50" s="6">
        <v>105</v>
      </c>
      <c r="ID50" s="6">
        <v>97</v>
      </c>
      <c r="IE50" s="6">
        <v>112</v>
      </c>
      <c r="IG50" s="6">
        <v>97</v>
      </c>
      <c r="IH50" s="6">
        <v>115</v>
      </c>
    </row>
    <row r="51" spans="2:242" x14ac:dyDescent="0.25">
      <c r="B51" s="13">
        <v>47</v>
      </c>
      <c r="C51" s="6">
        <v>100</v>
      </c>
      <c r="D51" s="6">
        <v>97</v>
      </c>
      <c r="E51" s="6">
        <v>115</v>
      </c>
      <c r="F51" s="6">
        <v>50</v>
      </c>
      <c r="G51" s="6">
        <v>75</v>
      </c>
      <c r="H51" s="6">
        <v>102</v>
      </c>
      <c r="I51" s="6">
        <v>90</v>
      </c>
      <c r="K51" s="6">
        <v>55</v>
      </c>
      <c r="L51" s="6">
        <v>105</v>
      </c>
      <c r="M51" s="6">
        <v>83</v>
      </c>
      <c r="O51" s="6">
        <v>115</v>
      </c>
      <c r="P51" s="6">
        <v>96</v>
      </c>
      <c r="R51" s="6">
        <v>115</v>
      </c>
      <c r="T51" s="6">
        <v>110</v>
      </c>
      <c r="X51" s="6">
        <v>111</v>
      </c>
      <c r="Y51" s="6">
        <v>113</v>
      </c>
      <c r="AA51" s="6">
        <v>110</v>
      </c>
      <c r="AB51" s="6">
        <v>110</v>
      </c>
      <c r="AG51" s="6">
        <v>96</v>
      </c>
      <c r="AH51" s="6">
        <v>91</v>
      </c>
      <c r="AI51" s="6">
        <v>115</v>
      </c>
      <c r="AJ51" s="6">
        <v>53</v>
      </c>
      <c r="AK51" s="6">
        <v>75</v>
      </c>
      <c r="AL51" s="6">
        <v>96</v>
      </c>
      <c r="AM51" s="6">
        <v>87</v>
      </c>
      <c r="AO51" s="6">
        <v>65</v>
      </c>
      <c r="AP51" s="6">
        <v>114</v>
      </c>
      <c r="AQ51" s="6">
        <v>81</v>
      </c>
      <c r="AS51" s="6">
        <v>115</v>
      </c>
      <c r="AT51" s="6">
        <v>88</v>
      </c>
      <c r="AV51" s="6">
        <v>113</v>
      </c>
      <c r="AX51" s="6">
        <v>113</v>
      </c>
      <c r="BB51" s="6">
        <v>113</v>
      </c>
      <c r="BC51" s="6">
        <v>115</v>
      </c>
      <c r="BE51" s="6">
        <v>109</v>
      </c>
      <c r="BF51" s="6">
        <v>111</v>
      </c>
      <c r="BK51" s="6">
        <v>94</v>
      </c>
      <c r="BL51" s="6">
        <v>81</v>
      </c>
      <c r="BM51" s="6">
        <v>115</v>
      </c>
      <c r="BN51" s="6">
        <v>37</v>
      </c>
      <c r="BO51" s="6">
        <v>92</v>
      </c>
      <c r="BP51" s="6">
        <v>111</v>
      </c>
      <c r="BQ51" s="6">
        <v>96</v>
      </c>
      <c r="BS51" s="6">
        <v>57</v>
      </c>
      <c r="BT51" s="6">
        <v>97</v>
      </c>
      <c r="BU51" s="6">
        <v>70</v>
      </c>
      <c r="BW51" s="6">
        <v>115</v>
      </c>
      <c r="BX51" s="6">
        <v>70</v>
      </c>
      <c r="BZ51" s="6">
        <v>105</v>
      </c>
      <c r="CB51" s="6">
        <v>114</v>
      </c>
      <c r="CF51" s="6">
        <v>111</v>
      </c>
      <c r="CG51" s="6">
        <v>114</v>
      </c>
      <c r="CI51" s="6">
        <v>94</v>
      </c>
      <c r="CJ51" s="6">
        <v>99</v>
      </c>
      <c r="CO51" s="6">
        <v>83</v>
      </c>
      <c r="CP51" s="6">
        <v>75</v>
      </c>
      <c r="CQ51" s="6">
        <v>113</v>
      </c>
      <c r="CR51" s="6">
        <v>37</v>
      </c>
      <c r="CS51" s="6">
        <v>92</v>
      </c>
      <c r="CT51" s="6">
        <v>109</v>
      </c>
      <c r="CU51" s="6">
        <v>97</v>
      </c>
      <c r="CW51" s="6">
        <v>65</v>
      </c>
      <c r="CX51" s="6">
        <v>99</v>
      </c>
      <c r="CY51" s="6">
        <v>66</v>
      </c>
      <c r="DA51" s="6">
        <v>115</v>
      </c>
      <c r="DB51" s="6">
        <v>65</v>
      </c>
      <c r="DD51" s="6">
        <v>112</v>
      </c>
      <c r="DF51" s="6">
        <v>114</v>
      </c>
      <c r="DJ51" s="6">
        <v>114</v>
      </c>
      <c r="DK51" s="6">
        <v>115</v>
      </c>
      <c r="DM51" s="6">
        <v>85</v>
      </c>
      <c r="DN51" s="6">
        <v>85</v>
      </c>
      <c r="DS51" s="12">
        <v>47</v>
      </c>
      <c r="DT51" s="6">
        <v>103</v>
      </c>
      <c r="DU51" s="6">
        <v>110</v>
      </c>
      <c r="DV51" s="6">
        <v>115</v>
      </c>
      <c r="DW51" s="6">
        <v>56</v>
      </c>
      <c r="DX51" s="6">
        <v>58</v>
      </c>
      <c r="DY51" s="6">
        <v>68</v>
      </c>
      <c r="DZ51" s="6">
        <v>87</v>
      </c>
      <c r="EB51" s="6">
        <v>53</v>
      </c>
      <c r="EC51" s="6">
        <v>9</v>
      </c>
      <c r="ED51" s="6">
        <v>93</v>
      </c>
      <c r="EF51" s="6">
        <v>115</v>
      </c>
      <c r="EG51" s="6">
        <v>102</v>
      </c>
      <c r="EI51" s="6">
        <v>115</v>
      </c>
      <c r="EK51" s="6">
        <v>91</v>
      </c>
      <c r="EO51" s="6">
        <v>111</v>
      </c>
      <c r="EP51" s="6">
        <v>115</v>
      </c>
      <c r="ER51" s="6">
        <v>115</v>
      </c>
      <c r="ES51" s="6">
        <v>115</v>
      </c>
      <c r="EX51" s="7">
        <v>47</v>
      </c>
      <c r="EY51" s="6">
        <v>101</v>
      </c>
      <c r="EZ51" s="6">
        <v>91</v>
      </c>
      <c r="FA51" s="6">
        <v>99</v>
      </c>
      <c r="FB51" s="6">
        <v>63</v>
      </c>
      <c r="FC51" s="6">
        <v>59</v>
      </c>
      <c r="FD51" s="6">
        <v>67</v>
      </c>
      <c r="FE51" s="6">
        <v>77</v>
      </c>
      <c r="FG51" s="6">
        <v>57</v>
      </c>
      <c r="FH51" s="6">
        <v>91</v>
      </c>
      <c r="FI51" s="6">
        <v>89</v>
      </c>
      <c r="FK51" s="6">
        <v>115</v>
      </c>
      <c r="FL51" s="6">
        <v>93</v>
      </c>
      <c r="FN51" s="6">
        <v>115</v>
      </c>
      <c r="FP51" s="6">
        <v>96</v>
      </c>
      <c r="FT51" s="6">
        <v>115</v>
      </c>
      <c r="FU51" s="6">
        <v>105</v>
      </c>
      <c r="FW51" s="6">
        <v>115</v>
      </c>
      <c r="FX51" s="6">
        <v>115</v>
      </c>
      <c r="GC51" s="7">
        <v>47</v>
      </c>
      <c r="GD51" s="6">
        <v>85</v>
      </c>
      <c r="GE51" s="6">
        <v>90</v>
      </c>
      <c r="GF51" s="6">
        <v>115</v>
      </c>
      <c r="GG51" s="6">
        <v>52</v>
      </c>
      <c r="GH51" s="6">
        <v>72</v>
      </c>
      <c r="GI51" s="6">
        <v>75</v>
      </c>
      <c r="GJ51" s="6">
        <v>81</v>
      </c>
      <c r="GL51" s="6">
        <v>57</v>
      </c>
      <c r="GM51" s="6">
        <v>101</v>
      </c>
      <c r="GN51" s="6">
        <v>80</v>
      </c>
      <c r="GP51" s="6">
        <v>115</v>
      </c>
      <c r="GQ51" s="6">
        <v>79</v>
      </c>
      <c r="GS51" s="6">
        <v>85</v>
      </c>
      <c r="GU51" s="6">
        <v>85</v>
      </c>
      <c r="GY51" s="6">
        <v>110</v>
      </c>
      <c r="GZ51" s="6">
        <v>111</v>
      </c>
      <c r="HB51" s="6">
        <v>93</v>
      </c>
      <c r="HC51" s="6">
        <v>112</v>
      </c>
      <c r="HH51" s="7">
        <v>47</v>
      </c>
      <c r="HI51" s="6">
        <v>101</v>
      </c>
      <c r="HJ51" s="6">
        <v>105</v>
      </c>
      <c r="HK51" s="6">
        <v>115</v>
      </c>
      <c r="HL51" s="6">
        <v>57</v>
      </c>
      <c r="HM51" s="6">
        <v>72</v>
      </c>
      <c r="HN51" s="6">
        <v>75</v>
      </c>
      <c r="HO51" s="6">
        <v>82</v>
      </c>
      <c r="HQ51" s="6">
        <v>59</v>
      </c>
      <c r="HR51" s="6">
        <v>97</v>
      </c>
      <c r="HS51" s="6">
        <v>88</v>
      </c>
      <c r="HU51" s="6">
        <v>115</v>
      </c>
      <c r="HV51" s="6">
        <v>83</v>
      </c>
      <c r="HX51" s="6">
        <v>81</v>
      </c>
      <c r="HZ51" s="6">
        <v>110</v>
      </c>
      <c r="ID51" s="6">
        <v>100</v>
      </c>
      <c r="IE51" s="6">
        <v>115</v>
      </c>
      <c r="IG51" s="6">
        <v>100</v>
      </c>
      <c r="IH51" s="6">
        <v>115</v>
      </c>
    </row>
    <row r="52" spans="2:242" x14ac:dyDescent="0.25">
      <c r="B52" s="13">
        <v>48</v>
      </c>
      <c r="C52" s="6">
        <v>103</v>
      </c>
      <c r="D52" s="6">
        <v>99</v>
      </c>
      <c r="E52" s="6">
        <v>115</v>
      </c>
      <c r="F52" s="6">
        <v>54</v>
      </c>
      <c r="G52" s="6">
        <v>79</v>
      </c>
      <c r="H52" s="6">
        <v>105</v>
      </c>
      <c r="I52" s="6">
        <v>94</v>
      </c>
      <c r="K52" s="6">
        <v>58</v>
      </c>
      <c r="L52" s="6">
        <v>110</v>
      </c>
      <c r="M52" s="6">
        <v>84</v>
      </c>
      <c r="O52" s="6">
        <v>115</v>
      </c>
      <c r="P52" s="6">
        <v>97</v>
      </c>
      <c r="R52" s="6">
        <v>115</v>
      </c>
      <c r="T52" s="6">
        <v>110</v>
      </c>
      <c r="X52" s="6">
        <v>111</v>
      </c>
      <c r="Y52" s="6">
        <v>113</v>
      </c>
      <c r="AA52" s="6">
        <v>111</v>
      </c>
      <c r="AB52" s="6">
        <v>112</v>
      </c>
      <c r="AG52" s="6">
        <v>96</v>
      </c>
      <c r="AH52" s="6">
        <v>95</v>
      </c>
      <c r="AI52" s="6">
        <v>115</v>
      </c>
      <c r="AJ52" s="6">
        <v>55</v>
      </c>
      <c r="AK52" s="6">
        <v>80</v>
      </c>
      <c r="AL52" s="6">
        <v>99</v>
      </c>
      <c r="AM52" s="6">
        <v>89</v>
      </c>
      <c r="AO52" s="6">
        <v>65</v>
      </c>
      <c r="AP52" s="6">
        <v>114</v>
      </c>
      <c r="AQ52" s="6">
        <v>83</v>
      </c>
      <c r="AS52" s="6">
        <v>115</v>
      </c>
      <c r="AT52" s="6">
        <v>88</v>
      </c>
      <c r="AV52" s="6">
        <v>113</v>
      </c>
      <c r="AX52" s="6">
        <v>113</v>
      </c>
      <c r="BB52" s="6">
        <v>113</v>
      </c>
      <c r="BC52" s="6">
        <v>115</v>
      </c>
      <c r="BE52" s="6">
        <v>109</v>
      </c>
      <c r="BF52" s="6">
        <v>111</v>
      </c>
      <c r="BK52" s="6">
        <v>99</v>
      </c>
      <c r="BL52" s="6">
        <v>83</v>
      </c>
      <c r="BM52" s="6">
        <v>115</v>
      </c>
      <c r="BN52" s="6">
        <v>40</v>
      </c>
      <c r="BO52" s="6">
        <v>97</v>
      </c>
      <c r="BP52" s="6">
        <v>112</v>
      </c>
      <c r="BQ52" s="6">
        <v>98</v>
      </c>
      <c r="BS52" s="6">
        <v>59</v>
      </c>
      <c r="BT52" s="6">
        <v>101</v>
      </c>
      <c r="BU52" s="6">
        <v>72</v>
      </c>
      <c r="BW52" s="6">
        <v>115</v>
      </c>
      <c r="BX52" s="6">
        <v>72</v>
      </c>
      <c r="BZ52" s="6">
        <v>110</v>
      </c>
      <c r="CB52" s="6">
        <v>114</v>
      </c>
      <c r="CF52" s="6">
        <v>111</v>
      </c>
      <c r="CG52" s="6">
        <v>114</v>
      </c>
      <c r="CI52" s="6">
        <v>97</v>
      </c>
      <c r="CJ52" s="6">
        <v>103</v>
      </c>
      <c r="CO52" s="6">
        <v>85</v>
      </c>
      <c r="CP52" s="6">
        <v>77</v>
      </c>
      <c r="CQ52" s="6">
        <v>115</v>
      </c>
      <c r="CR52" s="6">
        <v>40</v>
      </c>
      <c r="CS52" s="6">
        <v>99</v>
      </c>
      <c r="CT52" s="6">
        <v>109</v>
      </c>
      <c r="CU52" s="6">
        <v>97</v>
      </c>
      <c r="CW52" s="6">
        <v>67</v>
      </c>
      <c r="CX52" s="6">
        <v>104</v>
      </c>
      <c r="CY52" s="6">
        <v>68</v>
      </c>
      <c r="DA52" s="6">
        <v>115</v>
      </c>
      <c r="DB52" s="6">
        <v>66</v>
      </c>
      <c r="DD52" s="6">
        <v>112</v>
      </c>
      <c r="DF52" s="6">
        <v>114</v>
      </c>
      <c r="DJ52" s="6">
        <v>114</v>
      </c>
      <c r="DK52" s="6">
        <v>115</v>
      </c>
      <c r="DM52" s="6">
        <v>92</v>
      </c>
      <c r="DN52" s="6">
        <v>92</v>
      </c>
      <c r="DS52" s="12">
        <v>48</v>
      </c>
      <c r="DT52" s="6">
        <v>104</v>
      </c>
      <c r="DU52" s="6">
        <v>113</v>
      </c>
      <c r="DV52" s="6">
        <v>115</v>
      </c>
      <c r="DW52" s="6">
        <v>57</v>
      </c>
      <c r="DX52" s="6">
        <v>59</v>
      </c>
      <c r="DY52" s="6">
        <v>68</v>
      </c>
      <c r="DZ52" s="6">
        <v>87</v>
      </c>
      <c r="EB52" s="6">
        <v>53</v>
      </c>
      <c r="EC52" s="6">
        <v>98</v>
      </c>
      <c r="ED52" s="6">
        <v>107</v>
      </c>
      <c r="EF52" s="6">
        <v>115</v>
      </c>
      <c r="EG52" s="6">
        <v>104</v>
      </c>
      <c r="EI52" s="6">
        <v>115</v>
      </c>
      <c r="EK52" s="6">
        <v>93</v>
      </c>
      <c r="EO52" s="6">
        <v>115</v>
      </c>
      <c r="EP52" s="6">
        <v>115</v>
      </c>
      <c r="ER52" s="6">
        <v>115</v>
      </c>
      <c r="ES52" s="6">
        <v>115</v>
      </c>
      <c r="EX52" s="7">
        <v>48</v>
      </c>
      <c r="EY52" s="6">
        <v>108</v>
      </c>
      <c r="EZ52" s="6">
        <v>92</v>
      </c>
      <c r="FA52" s="6">
        <v>102</v>
      </c>
      <c r="FB52" s="6">
        <v>67</v>
      </c>
      <c r="FC52" s="6">
        <v>59</v>
      </c>
      <c r="FD52" s="6">
        <v>70</v>
      </c>
      <c r="FE52" s="6">
        <v>79</v>
      </c>
      <c r="FG52" s="6">
        <v>57</v>
      </c>
      <c r="FH52" s="6">
        <v>94</v>
      </c>
      <c r="FI52" s="6">
        <v>90</v>
      </c>
      <c r="FK52" s="6">
        <v>115</v>
      </c>
      <c r="FL52" s="6">
        <v>95</v>
      </c>
      <c r="FN52" s="6">
        <v>115</v>
      </c>
      <c r="FP52" s="6">
        <v>98</v>
      </c>
      <c r="FT52" s="6">
        <v>115</v>
      </c>
      <c r="FU52" s="6">
        <v>107</v>
      </c>
      <c r="FW52" s="6">
        <v>115</v>
      </c>
      <c r="FX52" s="6">
        <v>115</v>
      </c>
      <c r="GC52" s="7">
        <v>48</v>
      </c>
      <c r="GD52" s="6">
        <v>86</v>
      </c>
      <c r="GE52" s="6">
        <v>90</v>
      </c>
      <c r="GF52" s="6">
        <v>115</v>
      </c>
      <c r="GG52" s="6">
        <v>53</v>
      </c>
      <c r="GH52" s="6">
        <v>73</v>
      </c>
      <c r="GI52" s="6">
        <v>77</v>
      </c>
      <c r="GJ52" s="6">
        <v>82</v>
      </c>
      <c r="GL52" s="6">
        <v>57</v>
      </c>
      <c r="GM52" s="6">
        <v>102</v>
      </c>
      <c r="GN52" s="6">
        <v>81</v>
      </c>
      <c r="GP52" s="6">
        <v>115</v>
      </c>
      <c r="GQ52" s="6">
        <v>8</v>
      </c>
      <c r="GS52" s="6">
        <v>90</v>
      </c>
      <c r="GU52" s="6">
        <v>89</v>
      </c>
      <c r="GY52" s="6">
        <v>112</v>
      </c>
      <c r="GZ52" s="6">
        <v>113</v>
      </c>
      <c r="HB52" s="6">
        <v>95</v>
      </c>
      <c r="HC52" s="6">
        <v>114</v>
      </c>
      <c r="HH52" s="7">
        <v>48</v>
      </c>
      <c r="HI52" s="6">
        <v>105</v>
      </c>
      <c r="HJ52" s="6">
        <v>106</v>
      </c>
      <c r="HK52" s="6">
        <v>115</v>
      </c>
      <c r="HL52" s="6">
        <v>58</v>
      </c>
      <c r="HM52" s="6">
        <v>73</v>
      </c>
      <c r="HN52" s="6">
        <v>77</v>
      </c>
      <c r="HO52" s="6">
        <v>85</v>
      </c>
      <c r="HQ52" s="6">
        <v>59</v>
      </c>
      <c r="HR52" s="6">
        <v>99</v>
      </c>
      <c r="HS52" s="6">
        <v>88</v>
      </c>
      <c r="HU52" s="6">
        <v>115</v>
      </c>
      <c r="HV52" s="6">
        <v>84</v>
      </c>
      <c r="HX52" s="6">
        <v>82</v>
      </c>
      <c r="HZ52" s="6">
        <v>115</v>
      </c>
      <c r="ID52" s="6">
        <v>103</v>
      </c>
      <c r="IE52" s="6">
        <v>115</v>
      </c>
      <c r="IG52" s="6">
        <v>103</v>
      </c>
      <c r="IH52" s="6">
        <v>115</v>
      </c>
    </row>
    <row r="53" spans="2:242" x14ac:dyDescent="0.25">
      <c r="B53" s="13">
        <v>49</v>
      </c>
      <c r="C53" s="6">
        <v>106</v>
      </c>
      <c r="D53" s="6">
        <v>99</v>
      </c>
      <c r="E53" s="6">
        <v>115</v>
      </c>
      <c r="F53" s="6">
        <v>56</v>
      </c>
      <c r="G53" s="6">
        <v>82</v>
      </c>
      <c r="H53" s="6">
        <v>106</v>
      </c>
      <c r="I53" s="6">
        <v>96</v>
      </c>
      <c r="K53" s="6">
        <v>61</v>
      </c>
      <c r="L53" s="6">
        <v>110</v>
      </c>
      <c r="M53" s="6">
        <v>85</v>
      </c>
      <c r="O53" s="6">
        <v>115</v>
      </c>
      <c r="P53" s="6">
        <v>98</v>
      </c>
      <c r="R53" s="6">
        <v>115</v>
      </c>
      <c r="T53" s="6">
        <v>110</v>
      </c>
      <c r="X53" s="6">
        <v>112</v>
      </c>
      <c r="Y53" s="6">
        <v>115</v>
      </c>
      <c r="AA53" s="6">
        <v>111</v>
      </c>
      <c r="AB53" s="6">
        <v>112</v>
      </c>
      <c r="AG53" s="6">
        <v>100</v>
      </c>
      <c r="AH53" s="6">
        <v>101</v>
      </c>
      <c r="AI53" s="6">
        <v>115</v>
      </c>
      <c r="AJ53" s="6">
        <v>57</v>
      </c>
      <c r="AK53" s="6">
        <v>85</v>
      </c>
      <c r="AL53" s="6">
        <v>107</v>
      </c>
      <c r="AM53" s="6">
        <v>91</v>
      </c>
      <c r="AO53" s="6">
        <v>68</v>
      </c>
      <c r="AP53" s="6">
        <v>115</v>
      </c>
      <c r="AQ53" s="6">
        <v>85</v>
      </c>
      <c r="AS53" s="6">
        <v>115</v>
      </c>
      <c r="AT53" s="6">
        <v>91</v>
      </c>
      <c r="AV53" s="6">
        <v>113</v>
      </c>
      <c r="AX53" s="6">
        <v>113</v>
      </c>
      <c r="BB53" s="6">
        <v>113</v>
      </c>
      <c r="BC53" s="6">
        <v>115</v>
      </c>
      <c r="BE53" s="6">
        <v>109</v>
      </c>
      <c r="BF53" s="6">
        <v>113</v>
      </c>
      <c r="BK53" s="6">
        <v>102</v>
      </c>
      <c r="BL53" s="6">
        <v>85</v>
      </c>
      <c r="BM53" s="6">
        <v>115</v>
      </c>
      <c r="BN53" s="6">
        <v>42</v>
      </c>
      <c r="BO53" s="6">
        <v>102</v>
      </c>
      <c r="BP53" s="6">
        <v>113</v>
      </c>
      <c r="BQ53" s="6">
        <v>100</v>
      </c>
      <c r="BS53" s="6">
        <v>62</v>
      </c>
      <c r="BT53" s="6">
        <v>104</v>
      </c>
      <c r="BU53" s="6">
        <v>73</v>
      </c>
      <c r="BW53" s="6">
        <v>115</v>
      </c>
      <c r="BX53" s="6">
        <v>73</v>
      </c>
      <c r="BZ53" s="6">
        <v>111</v>
      </c>
      <c r="CB53" s="6">
        <v>114</v>
      </c>
      <c r="CF53" s="6">
        <v>112</v>
      </c>
      <c r="CG53" s="6">
        <v>115</v>
      </c>
      <c r="CI53" s="6">
        <v>103</v>
      </c>
      <c r="CJ53" s="6">
        <v>105</v>
      </c>
      <c r="CO53" s="6">
        <v>89</v>
      </c>
      <c r="CP53" s="6">
        <v>78</v>
      </c>
      <c r="CQ53" s="6">
        <v>115</v>
      </c>
      <c r="CR53" s="6">
        <v>42</v>
      </c>
      <c r="CS53" s="6">
        <v>103</v>
      </c>
      <c r="CT53" s="6">
        <v>113</v>
      </c>
      <c r="CU53" s="6">
        <v>102</v>
      </c>
      <c r="CW53" s="6">
        <v>71</v>
      </c>
      <c r="CX53" s="6">
        <v>110</v>
      </c>
      <c r="CY53" s="6">
        <v>69</v>
      </c>
      <c r="DA53" s="6">
        <v>115</v>
      </c>
      <c r="DB53" s="6">
        <v>68</v>
      </c>
      <c r="DD53" s="6">
        <v>113</v>
      </c>
      <c r="DF53" s="6">
        <v>114</v>
      </c>
      <c r="DJ53" s="6">
        <v>114</v>
      </c>
      <c r="DK53" s="6">
        <v>115</v>
      </c>
      <c r="DM53" s="6">
        <v>98</v>
      </c>
      <c r="DN53" s="6">
        <v>100</v>
      </c>
      <c r="DS53" s="12">
        <v>49</v>
      </c>
      <c r="DT53" s="6">
        <v>108</v>
      </c>
      <c r="DU53" s="6">
        <v>113</v>
      </c>
      <c r="DV53" s="6">
        <v>115</v>
      </c>
      <c r="DW53" s="6">
        <v>59</v>
      </c>
      <c r="DX53" s="6">
        <v>66</v>
      </c>
      <c r="DY53" s="6">
        <v>68</v>
      </c>
      <c r="DZ53" s="6">
        <v>87</v>
      </c>
      <c r="EB53" s="6">
        <v>54</v>
      </c>
      <c r="EC53" s="6">
        <v>98</v>
      </c>
      <c r="ED53" s="6">
        <v>108</v>
      </c>
      <c r="EF53" s="6">
        <v>115</v>
      </c>
      <c r="EG53" s="6">
        <v>108</v>
      </c>
      <c r="EI53" s="6">
        <v>115</v>
      </c>
      <c r="EK53" s="6">
        <v>95</v>
      </c>
      <c r="EO53" s="6">
        <v>115</v>
      </c>
      <c r="EP53" s="6">
        <v>115</v>
      </c>
      <c r="ER53" s="6">
        <v>115</v>
      </c>
      <c r="ES53" s="6">
        <v>115</v>
      </c>
      <c r="EX53" s="7">
        <v>49</v>
      </c>
      <c r="EY53" s="6">
        <v>108</v>
      </c>
      <c r="EZ53" s="6">
        <v>92</v>
      </c>
      <c r="FA53" s="6">
        <v>102</v>
      </c>
      <c r="FB53" s="6">
        <v>68</v>
      </c>
      <c r="FC53" s="6">
        <v>73</v>
      </c>
      <c r="FD53" s="6">
        <v>74</v>
      </c>
      <c r="FE53" s="6">
        <v>81</v>
      </c>
      <c r="FG53" s="6">
        <v>57</v>
      </c>
      <c r="FH53" s="6">
        <v>94</v>
      </c>
      <c r="FI53" s="6">
        <v>90</v>
      </c>
      <c r="FK53" s="6">
        <v>115</v>
      </c>
      <c r="FL53" s="6">
        <v>97</v>
      </c>
      <c r="FN53" s="6">
        <v>115</v>
      </c>
      <c r="FP53" s="6">
        <v>100</v>
      </c>
      <c r="FT53" s="6">
        <v>115</v>
      </c>
      <c r="FU53" s="6">
        <v>109</v>
      </c>
      <c r="FW53" s="6">
        <v>115</v>
      </c>
      <c r="FX53" s="6">
        <v>115</v>
      </c>
      <c r="GC53" s="7">
        <v>49</v>
      </c>
      <c r="GD53" s="6">
        <v>114</v>
      </c>
      <c r="GE53" s="6">
        <v>90</v>
      </c>
      <c r="GF53" s="6">
        <v>115</v>
      </c>
      <c r="GG53" s="6">
        <v>53</v>
      </c>
      <c r="GH53" s="6">
        <v>75</v>
      </c>
      <c r="GI53" s="6">
        <v>79</v>
      </c>
      <c r="GJ53" s="6">
        <v>83</v>
      </c>
      <c r="GL53" s="6">
        <v>58</v>
      </c>
      <c r="GM53" s="6">
        <v>102</v>
      </c>
      <c r="GN53" s="6">
        <v>81</v>
      </c>
      <c r="GP53" s="6">
        <v>115</v>
      </c>
      <c r="GQ53" s="6">
        <v>81</v>
      </c>
      <c r="GS53" s="6">
        <v>95</v>
      </c>
      <c r="GU53" s="6">
        <v>93</v>
      </c>
      <c r="GY53" s="6">
        <v>115</v>
      </c>
      <c r="GZ53" s="6">
        <v>114</v>
      </c>
      <c r="HB53" s="6">
        <v>97</v>
      </c>
      <c r="HC53" s="6">
        <v>115</v>
      </c>
      <c r="HH53" s="7">
        <v>49</v>
      </c>
      <c r="HI53" s="6">
        <v>107</v>
      </c>
      <c r="HJ53" s="6">
        <v>106</v>
      </c>
      <c r="HK53" s="6">
        <v>115</v>
      </c>
      <c r="HL53" s="6">
        <v>60</v>
      </c>
      <c r="HM53" s="6">
        <v>73</v>
      </c>
      <c r="HN53" s="6">
        <v>80</v>
      </c>
      <c r="HO53" s="6">
        <v>86</v>
      </c>
      <c r="HQ53" s="6">
        <v>59</v>
      </c>
      <c r="HR53" s="6">
        <v>99</v>
      </c>
      <c r="HS53" s="6">
        <v>88</v>
      </c>
      <c r="HU53" s="6">
        <v>115</v>
      </c>
      <c r="HV53" s="6">
        <v>85</v>
      </c>
      <c r="HX53" s="6">
        <v>83</v>
      </c>
      <c r="HZ53" s="6">
        <v>115</v>
      </c>
      <c r="ID53" s="6">
        <v>106</v>
      </c>
      <c r="IE53" s="6">
        <v>115</v>
      </c>
      <c r="IG53" s="6">
        <v>106</v>
      </c>
      <c r="IH53" s="6">
        <v>115</v>
      </c>
    </row>
    <row r="54" spans="2:242" x14ac:dyDescent="0.25">
      <c r="B54" s="13">
        <v>50</v>
      </c>
      <c r="C54" s="6">
        <v>107</v>
      </c>
      <c r="D54" s="6">
        <v>100</v>
      </c>
      <c r="F54" s="6">
        <v>59</v>
      </c>
      <c r="G54" s="6">
        <v>85</v>
      </c>
      <c r="H54" s="6">
        <v>110</v>
      </c>
      <c r="I54" s="6">
        <v>100</v>
      </c>
      <c r="K54" s="6">
        <v>63</v>
      </c>
      <c r="L54" s="6">
        <v>111</v>
      </c>
      <c r="M54" s="6">
        <v>86</v>
      </c>
      <c r="P54" s="6">
        <v>100</v>
      </c>
      <c r="R54" s="6">
        <v>115</v>
      </c>
      <c r="T54" s="6">
        <v>114</v>
      </c>
      <c r="X54" s="6">
        <v>114</v>
      </c>
      <c r="Y54" s="6">
        <v>115</v>
      </c>
      <c r="AA54" s="6">
        <v>112</v>
      </c>
      <c r="AB54" s="6">
        <v>112</v>
      </c>
      <c r="AG54" s="6">
        <v>100</v>
      </c>
      <c r="AH54" s="6">
        <v>101</v>
      </c>
      <c r="AJ54" s="6">
        <v>59</v>
      </c>
      <c r="AK54" s="6">
        <v>93</v>
      </c>
      <c r="AL54" s="6">
        <v>110</v>
      </c>
      <c r="AM54" s="6">
        <v>96</v>
      </c>
      <c r="AO54" s="6">
        <v>69</v>
      </c>
      <c r="AP54" s="6">
        <v>115</v>
      </c>
      <c r="AQ54" s="6">
        <v>86</v>
      </c>
      <c r="AT54" s="6">
        <v>94</v>
      </c>
      <c r="AV54" s="6">
        <v>113</v>
      </c>
      <c r="AX54" s="6">
        <v>113</v>
      </c>
      <c r="BB54" s="6">
        <v>113</v>
      </c>
      <c r="BC54" s="6">
        <v>115</v>
      </c>
      <c r="BE54" s="6">
        <v>112</v>
      </c>
      <c r="BF54" s="6">
        <v>113</v>
      </c>
      <c r="BK54" s="6">
        <v>105</v>
      </c>
      <c r="BL54" s="6">
        <v>88</v>
      </c>
      <c r="BN54" s="6">
        <v>45</v>
      </c>
      <c r="BO54" s="6">
        <v>106</v>
      </c>
      <c r="BP54" s="6">
        <v>114</v>
      </c>
      <c r="BQ54" s="6">
        <v>101</v>
      </c>
      <c r="BS54" s="6">
        <v>65</v>
      </c>
      <c r="BT54" s="6">
        <v>106</v>
      </c>
      <c r="BU54" s="6">
        <v>74</v>
      </c>
      <c r="BX54" s="6">
        <v>74</v>
      </c>
      <c r="BZ54" s="6">
        <v>111</v>
      </c>
      <c r="CB54" s="6">
        <v>114</v>
      </c>
      <c r="CF54" s="6">
        <v>112</v>
      </c>
      <c r="CG54" s="6">
        <v>115</v>
      </c>
      <c r="CI54" s="6">
        <v>105</v>
      </c>
      <c r="CJ54" s="6">
        <v>109</v>
      </c>
      <c r="CO54" s="6">
        <v>91</v>
      </c>
      <c r="CP54" s="6">
        <v>81</v>
      </c>
      <c r="CR54" s="6">
        <v>44</v>
      </c>
      <c r="CS54" s="6">
        <v>106</v>
      </c>
      <c r="CT54" s="6">
        <v>113</v>
      </c>
      <c r="CU54" s="6">
        <v>105</v>
      </c>
      <c r="CW54" s="6">
        <v>72</v>
      </c>
      <c r="CX54" s="6">
        <v>112</v>
      </c>
      <c r="CY54" s="6">
        <v>70</v>
      </c>
      <c r="DB54" s="6">
        <v>70</v>
      </c>
      <c r="DD54" s="6">
        <v>113</v>
      </c>
      <c r="DF54" s="6">
        <v>114</v>
      </c>
      <c r="DJ54" s="6">
        <v>114</v>
      </c>
      <c r="DK54" s="6">
        <v>115</v>
      </c>
      <c r="DM54" s="6">
        <v>107</v>
      </c>
      <c r="DN54" s="6">
        <v>104</v>
      </c>
      <c r="DS54" s="12">
        <v>50</v>
      </c>
      <c r="DT54" s="6">
        <v>108</v>
      </c>
      <c r="DU54" s="6">
        <v>113</v>
      </c>
      <c r="DW54" s="6">
        <v>62</v>
      </c>
      <c r="DX54" s="6">
        <v>66</v>
      </c>
      <c r="DY54" s="6">
        <v>69</v>
      </c>
      <c r="DZ54" s="6">
        <v>88</v>
      </c>
      <c r="EB54" s="6">
        <v>54</v>
      </c>
      <c r="EC54" s="6">
        <v>98</v>
      </c>
      <c r="ED54" s="6">
        <v>111</v>
      </c>
      <c r="EG54" s="6">
        <v>110</v>
      </c>
      <c r="EI54" s="6">
        <v>115</v>
      </c>
      <c r="EK54" s="6">
        <v>97</v>
      </c>
      <c r="EO54" s="6">
        <v>115</v>
      </c>
      <c r="EP54" s="6">
        <v>115</v>
      </c>
      <c r="ER54" s="6">
        <v>115</v>
      </c>
      <c r="ES54" s="6">
        <v>115</v>
      </c>
      <c r="EX54" s="7">
        <v>50</v>
      </c>
      <c r="EY54" s="6">
        <v>109</v>
      </c>
      <c r="EZ54" s="6">
        <v>92</v>
      </c>
      <c r="FB54" s="6">
        <v>68</v>
      </c>
      <c r="FC54" s="6">
        <v>73</v>
      </c>
      <c r="FD54" s="6">
        <v>74</v>
      </c>
      <c r="FE54" s="6">
        <v>83</v>
      </c>
      <c r="FG54" s="6">
        <v>58</v>
      </c>
      <c r="FH54" s="6">
        <v>96</v>
      </c>
      <c r="FI54" s="6">
        <v>90</v>
      </c>
      <c r="FK54" s="6">
        <v>115</v>
      </c>
      <c r="FL54" s="6">
        <v>99</v>
      </c>
      <c r="FN54" s="6">
        <v>115</v>
      </c>
      <c r="FP54" s="6">
        <v>101</v>
      </c>
      <c r="FT54" s="6">
        <v>115</v>
      </c>
      <c r="FU54" s="6">
        <v>111</v>
      </c>
      <c r="FW54" s="6">
        <v>115</v>
      </c>
      <c r="FX54" s="6">
        <v>115</v>
      </c>
      <c r="GC54" s="7">
        <v>50</v>
      </c>
      <c r="GD54" s="6">
        <v>115</v>
      </c>
      <c r="GE54" s="6">
        <v>91</v>
      </c>
      <c r="GG54" s="6">
        <v>53</v>
      </c>
      <c r="GH54" s="6">
        <v>76</v>
      </c>
      <c r="GI54" s="6">
        <v>1</v>
      </c>
      <c r="GJ54" s="6">
        <v>85</v>
      </c>
      <c r="GL54" s="6">
        <v>58</v>
      </c>
      <c r="GM54" s="6">
        <v>107</v>
      </c>
      <c r="GN54" s="6">
        <v>82</v>
      </c>
      <c r="GQ54" s="6">
        <v>82</v>
      </c>
      <c r="GS54" s="6">
        <v>100</v>
      </c>
      <c r="GU54" s="6">
        <v>97</v>
      </c>
      <c r="GY54" s="6">
        <v>115</v>
      </c>
      <c r="GZ54" s="6">
        <v>115</v>
      </c>
      <c r="HB54" s="6">
        <v>100</v>
      </c>
      <c r="HC54" s="6">
        <v>115</v>
      </c>
      <c r="HH54" s="7">
        <v>50</v>
      </c>
      <c r="HI54" s="6">
        <v>109</v>
      </c>
      <c r="HJ54" s="6">
        <v>106</v>
      </c>
      <c r="HL54" s="6">
        <v>61</v>
      </c>
      <c r="HM54" s="6">
        <v>75</v>
      </c>
      <c r="HN54" s="6">
        <v>82</v>
      </c>
      <c r="HO54" s="6">
        <v>86</v>
      </c>
      <c r="HQ54" s="6">
        <v>60</v>
      </c>
      <c r="HR54" s="6">
        <v>99</v>
      </c>
      <c r="HS54" s="6">
        <v>89</v>
      </c>
      <c r="HV54" s="6">
        <v>88</v>
      </c>
      <c r="HX54" s="6">
        <v>85</v>
      </c>
      <c r="HZ54" s="6">
        <v>115</v>
      </c>
      <c r="ID54" s="6">
        <v>110</v>
      </c>
      <c r="IE54" s="6">
        <v>115</v>
      </c>
      <c r="IG54" s="6">
        <v>109</v>
      </c>
      <c r="IH54" s="6">
        <v>115</v>
      </c>
    </row>
    <row r="55" spans="2:242" x14ac:dyDescent="0.25">
      <c r="B55" s="13">
        <v>51</v>
      </c>
      <c r="C55" s="6">
        <v>109</v>
      </c>
      <c r="D55" s="6">
        <v>102</v>
      </c>
      <c r="F55" s="6">
        <v>63</v>
      </c>
      <c r="G55" s="6">
        <v>93</v>
      </c>
      <c r="H55" s="6">
        <v>113</v>
      </c>
      <c r="I55" s="6">
        <v>102</v>
      </c>
      <c r="K55" s="6">
        <v>66</v>
      </c>
      <c r="L55" s="6">
        <v>111</v>
      </c>
      <c r="M55" s="6">
        <v>89</v>
      </c>
      <c r="P55" s="6">
        <v>101</v>
      </c>
      <c r="R55" s="6">
        <v>115</v>
      </c>
      <c r="T55" s="6">
        <v>114</v>
      </c>
      <c r="X55" s="6">
        <v>114</v>
      </c>
      <c r="Y55" s="6">
        <v>115</v>
      </c>
      <c r="AA55" s="6">
        <v>113</v>
      </c>
      <c r="AB55" s="6">
        <v>112</v>
      </c>
      <c r="AG55" s="6">
        <v>104</v>
      </c>
      <c r="AH55" s="6">
        <v>101</v>
      </c>
      <c r="AJ55" s="6">
        <v>63</v>
      </c>
      <c r="AK55" s="6">
        <v>96</v>
      </c>
      <c r="AL55" s="6">
        <v>113</v>
      </c>
      <c r="AM55" s="6">
        <v>100</v>
      </c>
      <c r="AO55" s="6">
        <v>72</v>
      </c>
      <c r="AP55" s="6">
        <v>115</v>
      </c>
      <c r="AQ55" s="6">
        <v>86</v>
      </c>
      <c r="AT55" s="6">
        <v>94</v>
      </c>
      <c r="AV55" s="6">
        <v>113</v>
      </c>
      <c r="AX55" s="6">
        <v>113</v>
      </c>
      <c r="BB55" s="6">
        <v>115</v>
      </c>
      <c r="BC55" s="6">
        <v>115</v>
      </c>
      <c r="BE55" s="6">
        <v>115</v>
      </c>
      <c r="BF55" s="6">
        <v>113</v>
      </c>
      <c r="BK55" s="6">
        <v>107</v>
      </c>
      <c r="BL55" s="6">
        <v>90</v>
      </c>
      <c r="BN55" s="6">
        <v>47</v>
      </c>
      <c r="BO55" s="6">
        <v>107</v>
      </c>
      <c r="BP55" s="6">
        <v>114</v>
      </c>
      <c r="BQ55" s="6">
        <v>104</v>
      </c>
      <c r="BS55" s="6">
        <v>68</v>
      </c>
      <c r="BT55" s="6">
        <v>109</v>
      </c>
      <c r="BU55" s="6">
        <v>75</v>
      </c>
      <c r="BX55" s="6">
        <v>75</v>
      </c>
      <c r="BZ55" s="6">
        <v>112</v>
      </c>
      <c r="CB55" s="6">
        <v>114</v>
      </c>
      <c r="CF55" s="6">
        <v>112</v>
      </c>
      <c r="CG55" s="6">
        <v>115</v>
      </c>
      <c r="CI55" s="6">
        <v>107</v>
      </c>
      <c r="CJ55" s="6">
        <v>111</v>
      </c>
      <c r="CO55" s="6">
        <v>92</v>
      </c>
      <c r="CP55" s="6">
        <v>82</v>
      </c>
      <c r="CR55" s="6">
        <v>47</v>
      </c>
      <c r="CS55" s="6">
        <v>109</v>
      </c>
      <c r="CT55" s="6">
        <v>113</v>
      </c>
      <c r="CU55" s="6">
        <v>108</v>
      </c>
      <c r="CW55" s="6">
        <v>74</v>
      </c>
      <c r="CX55" s="6">
        <v>112</v>
      </c>
      <c r="CY55" s="6">
        <v>72</v>
      </c>
      <c r="DB55" s="6">
        <v>72</v>
      </c>
      <c r="DD55" s="6">
        <v>115</v>
      </c>
      <c r="DF55" s="6">
        <v>114</v>
      </c>
      <c r="DJ55" s="6">
        <v>114</v>
      </c>
      <c r="DK55" s="6">
        <v>115</v>
      </c>
      <c r="DM55" s="6">
        <v>111</v>
      </c>
      <c r="DN55" s="6">
        <v>106</v>
      </c>
      <c r="DS55" s="12">
        <v>51</v>
      </c>
      <c r="DT55" s="6">
        <v>113</v>
      </c>
      <c r="DU55" s="6">
        <v>114</v>
      </c>
      <c r="DW55" s="6">
        <v>64</v>
      </c>
      <c r="DX55" s="6">
        <v>72</v>
      </c>
      <c r="DY55" s="6">
        <v>72</v>
      </c>
      <c r="DZ55" s="6">
        <v>90</v>
      </c>
      <c r="EB55" s="6">
        <v>54</v>
      </c>
      <c r="EC55" s="6">
        <v>99</v>
      </c>
      <c r="ED55" s="6">
        <v>111</v>
      </c>
      <c r="EG55" s="6">
        <v>112</v>
      </c>
      <c r="EI55" s="6">
        <v>115</v>
      </c>
      <c r="EK55" s="6">
        <v>99</v>
      </c>
      <c r="EO55" s="6">
        <v>115</v>
      </c>
      <c r="EP55" s="6">
        <v>115</v>
      </c>
      <c r="ER55" s="6">
        <v>115</v>
      </c>
      <c r="ES55" s="6">
        <v>115</v>
      </c>
      <c r="EX55" s="7">
        <v>51</v>
      </c>
      <c r="EY55" s="6">
        <v>109</v>
      </c>
      <c r="EZ55" s="6">
        <v>93</v>
      </c>
      <c r="FB55" s="6">
        <v>70</v>
      </c>
      <c r="FC55" s="6">
        <v>73</v>
      </c>
      <c r="FD55" s="6">
        <v>74</v>
      </c>
      <c r="FE55" s="6">
        <v>85</v>
      </c>
      <c r="FG55" s="6">
        <v>58</v>
      </c>
      <c r="FH55" s="6">
        <v>98</v>
      </c>
      <c r="FI55" s="6">
        <v>91</v>
      </c>
      <c r="FL55" s="6">
        <v>101</v>
      </c>
      <c r="FN55" s="6">
        <v>115</v>
      </c>
      <c r="FP55" s="6">
        <v>103</v>
      </c>
      <c r="FT55" s="6">
        <v>115</v>
      </c>
      <c r="FU55" s="6">
        <v>113</v>
      </c>
      <c r="FW55" s="6">
        <v>115</v>
      </c>
      <c r="FX55" s="6">
        <v>115</v>
      </c>
      <c r="GC55" s="7">
        <v>51</v>
      </c>
      <c r="GD55" s="6">
        <v>115</v>
      </c>
      <c r="GE55" s="6">
        <v>110</v>
      </c>
      <c r="GG55" s="6">
        <v>63</v>
      </c>
      <c r="GH55" s="6">
        <v>77</v>
      </c>
      <c r="GI55" s="6">
        <v>83</v>
      </c>
      <c r="GJ55" s="6">
        <v>94</v>
      </c>
      <c r="GL55" s="6">
        <v>59</v>
      </c>
      <c r="GM55" s="6">
        <v>108</v>
      </c>
      <c r="GN55" s="6">
        <v>82</v>
      </c>
      <c r="GQ55" s="6">
        <v>83</v>
      </c>
      <c r="GS55" s="6">
        <v>105</v>
      </c>
      <c r="GU55" s="6">
        <v>102</v>
      </c>
      <c r="GY55" s="6">
        <v>115</v>
      </c>
      <c r="GZ55" s="6">
        <v>115</v>
      </c>
      <c r="HB55" s="6">
        <v>103</v>
      </c>
      <c r="HC55" s="6">
        <v>115</v>
      </c>
      <c r="HH55" s="7">
        <v>51</v>
      </c>
      <c r="HI55" s="6">
        <v>109</v>
      </c>
      <c r="HJ55" s="6">
        <v>107</v>
      </c>
      <c r="HL55" s="6">
        <v>61</v>
      </c>
      <c r="HM55" s="6">
        <v>79</v>
      </c>
      <c r="HN55" s="6">
        <v>85</v>
      </c>
      <c r="HO55" s="6">
        <v>86</v>
      </c>
      <c r="HQ55" s="6">
        <v>60</v>
      </c>
      <c r="HR55" s="6">
        <v>100</v>
      </c>
      <c r="HS55" s="6">
        <v>94</v>
      </c>
      <c r="HV55" s="6">
        <v>90</v>
      </c>
      <c r="HX55" s="6">
        <v>100</v>
      </c>
      <c r="HZ55" s="6">
        <v>115</v>
      </c>
      <c r="ID55" s="6">
        <v>113</v>
      </c>
      <c r="IE55" s="6">
        <v>115</v>
      </c>
      <c r="IG55" s="6">
        <v>112</v>
      </c>
      <c r="IH55" s="6">
        <v>115</v>
      </c>
    </row>
    <row r="56" spans="2:242" x14ac:dyDescent="0.25">
      <c r="B56" s="13">
        <v>52</v>
      </c>
      <c r="C56" s="6">
        <v>111</v>
      </c>
      <c r="D56" s="6">
        <v>106</v>
      </c>
      <c r="F56" s="6">
        <v>65</v>
      </c>
      <c r="G56" s="6">
        <v>102</v>
      </c>
      <c r="H56" s="6">
        <v>114</v>
      </c>
      <c r="I56" s="6">
        <v>102</v>
      </c>
      <c r="K56" s="6">
        <v>69</v>
      </c>
      <c r="L56" s="6">
        <v>111</v>
      </c>
      <c r="M56" s="6">
        <v>91</v>
      </c>
      <c r="P56" s="6">
        <v>105</v>
      </c>
      <c r="R56" s="6">
        <v>115</v>
      </c>
      <c r="T56" s="6">
        <v>114</v>
      </c>
      <c r="X56" s="6">
        <v>114</v>
      </c>
      <c r="Y56" s="6">
        <v>115</v>
      </c>
      <c r="AA56" s="6">
        <v>114</v>
      </c>
      <c r="AB56" s="6">
        <v>113</v>
      </c>
      <c r="AG56" s="6">
        <v>104</v>
      </c>
      <c r="AH56" s="6">
        <v>101</v>
      </c>
      <c r="AJ56" s="6">
        <v>68</v>
      </c>
      <c r="AK56" s="6">
        <v>101</v>
      </c>
      <c r="AL56" s="6">
        <v>113</v>
      </c>
      <c r="AM56" s="6">
        <v>102</v>
      </c>
      <c r="AO56" s="6">
        <v>75</v>
      </c>
      <c r="AP56" s="6">
        <v>115</v>
      </c>
      <c r="AQ56" s="6">
        <v>87</v>
      </c>
      <c r="AT56" s="6">
        <v>94</v>
      </c>
      <c r="AV56" s="6">
        <v>115</v>
      </c>
      <c r="AX56" s="6">
        <v>113</v>
      </c>
      <c r="BB56" s="6">
        <v>115</v>
      </c>
      <c r="BC56" s="6">
        <v>115</v>
      </c>
      <c r="BE56" s="6">
        <v>115</v>
      </c>
      <c r="BF56" s="6">
        <v>115</v>
      </c>
      <c r="BK56" s="6">
        <v>108</v>
      </c>
      <c r="BL56" s="6">
        <v>94</v>
      </c>
      <c r="BN56" s="6">
        <v>50</v>
      </c>
      <c r="BO56" s="6">
        <v>108</v>
      </c>
      <c r="BP56" s="6">
        <v>114</v>
      </c>
      <c r="BQ56" s="6">
        <v>105</v>
      </c>
      <c r="BS56" s="6">
        <v>70</v>
      </c>
      <c r="BT56" s="6">
        <v>110</v>
      </c>
      <c r="BU56" s="6">
        <v>78</v>
      </c>
      <c r="BX56" s="6">
        <v>77</v>
      </c>
      <c r="BZ56" s="6">
        <v>114</v>
      </c>
      <c r="CB56" s="6">
        <v>114</v>
      </c>
      <c r="CF56" s="6">
        <v>112</v>
      </c>
      <c r="CG56" s="6">
        <v>115</v>
      </c>
      <c r="CI56" s="6">
        <v>111</v>
      </c>
      <c r="CJ56" s="6">
        <v>113</v>
      </c>
      <c r="CO56" s="6">
        <v>95</v>
      </c>
      <c r="CP56" s="6">
        <v>85</v>
      </c>
      <c r="CR56" s="6">
        <v>50</v>
      </c>
      <c r="CS56" s="6">
        <v>110</v>
      </c>
      <c r="CT56" s="6">
        <v>113</v>
      </c>
      <c r="CU56" s="6">
        <v>111</v>
      </c>
      <c r="CW56" s="6">
        <v>75</v>
      </c>
      <c r="CX56" s="6">
        <v>112</v>
      </c>
      <c r="CY56" s="6">
        <v>73</v>
      </c>
      <c r="DB56" s="6">
        <v>74</v>
      </c>
      <c r="DD56" s="6">
        <v>115</v>
      </c>
      <c r="DF56" s="6">
        <v>114</v>
      </c>
      <c r="DJ56" s="6">
        <v>114</v>
      </c>
      <c r="DK56" s="6">
        <v>115</v>
      </c>
      <c r="DM56" s="6">
        <v>113</v>
      </c>
      <c r="DN56" s="6">
        <v>112</v>
      </c>
      <c r="DS56" s="12">
        <v>52</v>
      </c>
      <c r="DT56" s="6">
        <v>114</v>
      </c>
      <c r="DU56" s="6">
        <v>114</v>
      </c>
      <c r="DW56" s="6">
        <v>64</v>
      </c>
      <c r="DX56" s="6">
        <v>72</v>
      </c>
      <c r="DY56" s="6">
        <v>72</v>
      </c>
      <c r="DZ56" s="6">
        <v>92</v>
      </c>
      <c r="EB56" s="6">
        <v>55</v>
      </c>
      <c r="EC56" s="6">
        <v>100</v>
      </c>
      <c r="ED56" s="6">
        <v>115</v>
      </c>
      <c r="EG56" s="6">
        <v>115</v>
      </c>
      <c r="EI56" s="6">
        <v>115</v>
      </c>
      <c r="EK56" s="6">
        <v>100</v>
      </c>
      <c r="EO56" s="6">
        <v>115</v>
      </c>
      <c r="EP56" s="6">
        <v>115</v>
      </c>
      <c r="ER56" s="6">
        <v>115</v>
      </c>
      <c r="ES56" s="6">
        <v>115</v>
      </c>
      <c r="EX56" s="7">
        <v>52</v>
      </c>
      <c r="EY56" s="6">
        <v>113</v>
      </c>
      <c r="EZ56" s="6">
        <v>93</v>
      </c>
      <c r="FB56" s="6">
        <v>70</v>
      </c>
      <c r="FC56" s="6">
        <v>75</v>
      </c>
      <c r="FD56" s="6">
        <v>75</v>
      </c>
      <c r="FE56" s="6">
        <v>86</v>
      </c>
      <c r="FG56" s="6">
        <v>58</v>
      </c>
      <c r="FH56" s="6">
        <v>98</v>
      </c>
      <c r="FI56" s="6">
        <v>91</v>
      </c>
      <c r="FL56" s="6">
        <v>103</v>
      </c>
      <c r="FN56" s="6">
        <v>115</v>
      </c>
      <c r="FP56" s="6">
        <v>105</v>
      </c>
      <c r="FT56" s="6">
        <v>115</v>
      </c>
      <c r="FU56" s="6">
        <v>115</v>
      </c>
      <c r="FW56" s="6">
        <v>115</v>
      </c>
      <c r="FX56" s="6">
        <v>115</v>
      </c>
      <c r="GC56" s="7">
        <v>52</v>
      </c>
      <c r="GD56" s="6">
        <v>115</v>
      </c>
      <c r="GE56" s="6">
        <v>110</v>
      </c>
      <c r="GG56" s="6">
        <v>70</v>
      </c>
      <c r="GH56" s="6">
        <v>7</v>
      </c>
      <c r="GI56" s="6">
        <v>85</v>
      </c>
      <c r="GJ56" s="6">
        <v>94</v>
      </c>
      <c r="GL56" s="6">
        <v>59</v>
      </c>
      <c r="GM56" s="6">
        <v>108</v>
      </c>
      <c r="GN56" s="6">
        <v>83</v>
      </c>
      <c r="GQ56" s="6">
        <v>84</v>
      </c>
      <c r="GS56" s="6">
        <v>110</v>
      </c>
      <c r="GU56" s="6">
        <v>107</v>
      </c>
      <c r="GY56" s="6">
        <v>115</v>
      </c>
      <c r="GZ56" s="6">
        <v>115</v>
      </c>
      <c r="HB56" s="6">
        <v>106</v>
      </c>
      <c r="HC56" s="6">
        <v>115</v>
      </c>
      <c r="HH56" s="7">
        <v>52</v>
      </c>
      <c r="HI56" s="6">
        <v>110</v>
      </c>
      <c r="HJ56" s="6">
        <v>107</v>
      </c>
      <c r="HL56" s="6">
        <v>63</v>
      </c>
      <c r="HM56" s="6">
        <v>82</v>
      </c>
      <c r="HN56" s="6">
        <v>88</v>
      </c>
      <c r="HO56" s="6">
        <v>90</v>
      </c>
      <c r="HQ56" s="6">
        <v>61</v>
      </c>
      <c r="HR56" s="6">
        <v>100</v>
      </c>
      <c r="HS56" s="6">
        <v>94</v>
      </c>
      <c r="HV56" s="6">
        <v>92</v>
      </c>
      <c r="HX56" s="6">
        <v>115</v>
      </c>
      <c r="HZ56" s="6">
        <v>115</v>
      </c>
      <c r="ID56" s="6">
        <v>115</v>
      </c>
      <c r="IE56" s="6">
        <v>115</v>
      </c>
      <c r="IG56" s="6">
        <v>115</v>
      </c>
      <c r="IH56" s="6">
        <v>115</v>
      </c>
    </row>
    <row r="57" spans="2:242" x14ac:dyDescent="0.25">
      <c r="B57" s="13">
        <v>53</v>
      </c>
      <c r="C57" s="6">
        <v>113</v>
      </c>
      <c r="D57" s="6">
        <v>107</v>
      </c>
      <c r="F57" s="6">
        <v>68</v>
      </c>
      <c r="G57" s="6">
        <v>105</v>
      </c>
      <c r="H57" s="6">
        <v>114</v>
      </c>
      <c r="I57" s="6">
        <v>102</v>
      </c>
      <c r="K57" s="6">
        <v>72</v>
      </c>
      <c r="L57" s="6">
        <v>112</v>
      </c>
      <c r="M57" s="6">
        <v>93</v>
      </c>
      <c r="P57" s="6">
        <v>107</v>
      </c>
      <c r="R57" s="6">
        <v>115</v>
      </c>
      <c r="T57" s="6">
        <v>114</v>
      </c>
      <c r="X57" s="6">
        <v>114</v>
      </c>
      <c r="AA57" s="6">
        <v>114</v>
      </c>
      <c r="AB57" s="6">
        <v>115</v>
      </c>
      <c r="AG57" s="6">
        <v>108</v>
      </c>
      <c r="AH57" s="6">
        <v>105</v>
      </c>
      <c r="AJ57" s="6">
        <v>69</v>
      </c>
      <c r="AK57" s="6">
        <v>104</v>
      </c>
      <c r="AL57" s="6">
        <v>113</v>
      </c>
      <c r="AM57" s="6">
        <v>113</v>
      </c>
      <c r="AO57" s="6">
        <v>85</v>
      </c>
      <c r="AP57" s="6">
        <v>115</v>
      </c>
      <c r="AQ57" s="6">
        <v>90</v>
      </c>
      <c r="AT57" s="6">
        <v>94</v>
      </c>
      <c r="AV57" s="6">
        <v>115</v>
      </c>
      <c r="AX57" s="6">
        <v>113</v>
      </c>
      <c r="BB57" s="6">
        <v>115</v>
      </c>
      <c r="BE57" s="6">
        <v>115</v>
      </c>
      <c r="BF57" s="6">
        <v>115</v>
      </c>
      <c r="BK57" s="6">
        <v>109</v>
      </c>
      <c r="BL57" s="6">
        <v>97</v>
      </c>
      <c r="BN57" s="6">
        <v>53</v>
      </c>
      <c r="BO57" s="6">
        <v>109</v>
      </c>
      <c r="BP57" s="6">
        <v>114</v>
      </c>
      <c r="BQ57" s="6">
        <v>107</v>
      </c>
      <c r="BS57" s="6">
        <v>72</v>
      </c>
      <c r="BT57" s="6">
        <v>110</v>
      </c>
      <c r="BU57" s="6">
        <v>81</v>
      </c>
      <c r="BX57" s="6">
        <v>79</v>
      </c>
      <c r="BZ57" s="6">
        <v>115</v>
      </c>
      <c r="CB57" s="6">
        <v>114</v>
      </c>
      <c r="CF57" s="6">
        <v>112</v>
      </c>
      <c r="CI57" s="6">
        <v>114</v>
      </c>
      <c r="CJ57" s="6">
        <v>113</v>
      </c>
      <c r="CO57" s="6">
        <v>100</v>
      </c>
      <c r="CP57" s="6">
        <v>89</v>
      </c>
      <c r="CR57" s="6">
        <v>52</v>
      </c>
      <c r="CS57" s="6">
        <v>111</v>
      </c>
      <c r="CT57" s="6">
        <v>115</v>
      </c>
      <c r="CU57" s="6">
        <v>111</v>
      </c>
      <c r="CW57" s="6">
        <v>78</v>
      </c>
      <c r="CX57" s="6">
        <v>112</v>
      </c>
      <c r="CY57" s="6">
        <v>74</v>
      </c>
      <c r="DB57" s="6">
        <v>75</v>
      </c>
      <c r="DD57" s="6">
        <v>115</v>
      </c>
      <c r="DF57" s="6">
        <v>114</v>
      </c>
      <c r="DJ57" s="6">
        <v>114</v>
      </c>
      <c r="DM57" s="6">
        <v>114</v>
      </c>
      <c r="DN57" s="6">
        <v>113</v>
      </c>
      <c r="DS57" s="12">
        <v>53</v>
      </c>
      <c r="DT57" s="6">
        <v>115</v>
      </c>
      <c r="DU57" s="6">
        <v>115</v>
      </c>
      <c r="DW57" s="6">
        <v>66</v>
      </c>
      <c r="DX57" s="6">
        <v>74</v>
      </c>
      <c r="DY57" s="6">
        <v>72</v>
      </c>
      <c r="DZ57" s="6">
        <v>92</v>
      </c>
      <c r="EB57" s="6">
        <v>55</v>
      </c>
      <c r="EC57" s="6">
        <v>100</v>
      </c>
      <c r="ED57" s="6">
        <v>115</v>
      </c>
      <c r="EG57" s="6">
        <v>115</v>
      </c>
      <c r="EI57" s="6">
        <v>115</v>
      </c>
      <c r="EK57" s="6">
        <v>102</v>
      </c>
      <c r="EO57" s="6">
        <v>115</v>
      </c>
      <c r="ER57" s="6">
        <v>115</v>
      </c>
      <c r="ES57" s="6">
        <v>115</v>
      </c>
      <c r="EX57" s="7">
        <v>53</v>
      </c>
      <c r="EY57" s="6">
        <v>113</v>
      </c>
      <c r="EZ57" s="6">
        <v>93</v>
      </c>
      <c r="FB57" s="6">
        <v>70</v>
      </c>
      <c r="FC57" s="6">
        <v>78</v>
      </c>
      <c r="FD57" s="6">
        <v>76</v>
      </c>
      <c r="FE57" s="6">
        <v>88</v>
      </c>
      <c r="FG57" s="6">
        <v>63</v>
      </c>
      <c r="FH57" s="6">
        <v>100</v>
      </c>
      <c r="FI57" s="6">
        <v>91</v>
      </c>
      <c r="FL57" s="6">
        <v>105</v>
      </c>
      <c r="FN57" s="6">
        <v>115</v>
      </c>
      <c r="FP57" s="6">
        <v>106</v>
      </c>
      <c r="FT57" s="6">
        <v>115</v>
      </c>
      <c r="FW57" s="6">
        <v>115</v>
      </c>
      <c r="FX57" s="6">
        <v>115</v>
      </c>
      <c r="GC57" s="7">
        <v>53</v>
      </c>
      <c r="GD57" s="6">
        <v>115</v>
      </c>
      <c r="GE57" s="6">
        <v>112</v>
      </c>
      <c r="GG57" s="6">
        <v>70</v>
      </c>
      <c r="GH57" s="6">
        <v>79</v>
      </c>
      <c r="GI57" s="6">
        <v>86</v>
      </c>
      <c r="GJ57" s="6">
        <v>94</v>
      </c>
      <c r="GL57" s="6">
        <v>59</v>
      </c>
      <c r="GM57" s="6">
        <v>108</v>
      </c>
      <c r="GN57" s="6">
        <v>83</v>
      </c>
      <c r="GQ57" s="6">
        <v>85</v>
      </c>
      <c r="GS57" s="6">
        <v>115</v>
      </c>
      <c r="GU57" s="6">
        <v>111</v>
      </c>
      <c r="GY57" s="6">
        <v>115</v>
      </c>
      <c r="HB57" s="6">
        <v>109</v>
      </c>
      <c r="HC57" s="6">
        <v>115</v>
      </c>
      <c r="HH57" s="7">
        <v>53</v>
      </c>
      <c r="HI57" s="6">
        <v>110</v>
      </c>
      <c r="HJ57" s="6">
        <v>107</v>
      </c>
      <c r="HL57" s="6">
        <v>64</v>
      </c>
      <c r="HM57" s="6">
        <v>85</v>
      </c>
      <c r="HN57" s="6">
        <v>88</v>
      </c>
      <c r="HO57" s="6">
        <v>90</v>
      </c>
      <c r="HQ57" s="6">
        <v>61</v>
      </c>
      <c r="HR57" s="6">
        <v>100</v>
      </c>
      <c r="HS57" s="6">
        <v>94</v>
      </c>
      <c r="HV57" s="6">
        <v>94</v>
      </c>
      <c r="HX57" s="6">
        <v>115</v>
      </c>
      <c r="HZ57" s="6">
        <v>115</v>
      </c>
      <c r="ID57" s="6">
        <v>115</v>
      </c>
      <c r="IG57" s="6">
        <v>115</v>
      </c>
      <c r="IH57" s="6">
        <v>115</v>
      </c>
    </row>
    <row r="58" spans="2:242" x14ac:dyDescent="0.25">
      <c r="B58" s="13">
        <v>54</v>
      </c>
      <c r="C58" s="6">
        <v>113</v>
      </c>
      <c r="D58" s="6">
        <v>108</v>
      </c>
      <c r="F58" s="6">
        <v>70</v>
      </c>
      <c r="G58" s="6">
        <v>107</v>
      </c>
      <c r="H58" s="6">
        <v>115</v>
      </c>
      <c r="I58" s="6">
        <v>102</v>
      </c>
      <c r="K58" s="6">
        <v>73</v>
      </c>
      <c r="L58" s="6">
        <v>114</v>
      </c>
      <c r="M58" s="6">
        <v>100</v>
      </c>
      <c r="P58" s="6">
        <v>109</v>
      </c>
      <c r="R58" s="6">
        <v>115</v>
      </c>
      <c r="T58" s="6">
        <v>114</v>
      </c>
      <c r="X58" s="6">
        <v>115</v>
      </c>
      <c r="AA58" s="6">
        <v>115</v>
      </c>
      <c r="AB58" s="6">
        <v>115</v>
      </c>
      <c r="AG58" s="6">
        <v>112</v>
      </c>
      <c r="AH58" s="6">
        <v>108</v>
      </c>
      <c r="AJ58" s="6">
        <v>70</v>
      </c>
      <c r="AK58" s="6">
        <v>104</v>
      </c>
      <c r="AL58" s="6">
        <v>115</v>
      </c>
      <c r="AM58" s="6">
        <v>113</v>
      </c>
      <c r="AO58" s="6">
        <v>92</v>
      </c>
      <c r="AP58" s="6">
        <v>115</v>
      </c>
      <c r="AQ58" s="6">
        <v>93</v>
      </c>
      <c r="AT58" s="6">
        <v>99</v>
      </c>
      <c r="AV58" s="6">
        <v>115</v>
      </c>
      <c r="AX58" s="6">
        <v>113</v>
      </c>
      <c r="BB58" s="6">
        <v>115</v>
      </c>
      <c r="BE58" s="6">
        <v>115</v>
      </c>
      <c r="BF58" s="6">
        <v>115</v>
      </c>
      <c r="BK58" s="6">
        <v>111</v>
      </c>
      <c r="BL58" s="6">
        <v>102</v>
      </c>
      <c r="BN58" s="6">
        <v>57</v>
      </c>
      <c r="BO58" s="6">
        <v>111</v>
      </c>
      <c r="BP58" s="6">
        <v>114</v>
      </c>
      <c r="BQ58" s="6">
        <v>107</v>
      </c>
      <c r="BS58" s="6">
        <v>75</v>
      </c>
      <c r="BT58" s="6">
        <v>111</v>
      </c>
      <c r="BU58" s="6">
        <v>85</v>
      </c>
      <c r="BX58" s="6">
        <v>82</v>
      </c>
      <c r="BZ58" s="6">
        <v>115</v>
      </c>
      <c r="CB58" s="6">
        <v>114</v>
      </c>
      <c r="CF58" s="6">
        <v>114</v>
      </c>
      <c r="CI58" s="6">
        <v>115</v>
      </c>
      <c r="CJ58" s="6">
        <v>114</v>
      </c>
      <c r="CO58" s="6">
        <v>103</v>
      </c>
      <c r="CP58" s="6">
        <v>92</v>
      </c>
      <c r="CR58" s="6">
        <v>54</v>
      </c>
      <c r="CS58" s="6">
        <v>111</v>
      </c>
      <c r="CT58" s="6">
        <v>115</v>
      </c>
      <c r="CU58" s="6">
        <v>112</v>
      </c>
      <c r="CW58" s="6">
        <v>82</v>
      </c>
      <c r="CX58" s="6">
        <v>112</v>
      </c>
      <c r="CY58" s="6">
        <v>75</v>
      </c>
      <c r="DB58" s="6">
        <v>80</v>
      </c>
      <c r="DD58" s="6">
        <v>115</v>
      </c>
      <c r="DF58" s="6">
        <v>114</v>
      </c>
      <c r="DJ58" s="6">
        <v>115</v>
      </c>
      <c r="DM58" s="6">
        <v>115</v>
      </c>
      <c r="DN58" s="6">
        <v>114</v>
      </c>
      <c r="DS58" s="12">
        <v>54</v>
      </c>
      <c r="DT58" s="6">
        <v>115</v>
      </c>
      <c r="DU58" s="6">
        <v>115</v>
      </c>
      <c r="DW58" s="6">
        <v>66</v>
      </c>
      <c r="DX58" s="6">
        <v>75</v>
      </c>
      <c r="DY58" s="6">
        <v>73</v>
      </c>
      <c r="DZ58" s="6">
        <v>98</v>
      </c>
      <c r="EB58" s="6">
        <v>55</v>
      </c>
      <c r="EC58" s="6">
        <v>100</v>
      </c>
      <c r="ED58" s="6">
        <v>115</v>
      </c>
      <c r="EG58" s="6">
        <v>115</v>
      </c>
      <c r="EI58" s="6">
        <v>115</v>
      </c>
      <c r="EK58" s="6">
        <v>104</v>
      </c>
      <c r="EO58" s="6">
        <v>115</v>
      </c>
      <c r="ER58" s="6">
        <v>115</v>
      </c>
      <c r="ES58" s="6">
        <v>115</v>
      </c>
      <c r="EX58" s="7">
        <v>54</v>
      </c>
      <c r="EY58" s="6">
        <v>113</v>
      </c>
      <c r="EZ58" s="6">
        <v>95</v>
      </c>
      <c r="FB58" s="6">
        <v>71</v>
      </c>
      <c r="FC58" s="6">
        <v>81</v>
      </c>
      <c r="FD58" s="6">
        <v>77</v>
      </c>
      <c r="FE58" s="6">
        <v>88</v>
      </c>
      <c r="FG58" s="6">
        <v>65</v>
      </c>
      <c r="FH58" s="6">
        <v>104</v>
      </c>
      <c r="FI58" s="6">
        <v>92</v>
      </c>
      <c r="FL58" s="6">
        <v>107</v>
      </c>
      <c r="FN58" s="6">
        <v>115</v>
      </c>
      <c r="FP58" s="6">
        <v>108</v>
      </c>
      <c r="FT58" s="6">
        <v>115</v>
      </c>
      <c r="FW58" s="6">
        <v>115</v>
      </c>
      <c r="FX58" s="6">
        <v>115</v>
      </c>
      <c r="GC58" s="7">
        <v>54</v>
      </c>
      <c r="GD58" s="6">
        <v>115</v>
      </c>
      <c r="GE58" s="6">
        <v>114</v>
      </c>
      <c r="GG58" s="6">
        <v>70</v>
      </c>
      <c r="GH58" s="6">
        <v>80</v>
      </c>
      <c r="GI58" s="6">
        <v>86</v>
      </c>
      <c r="GJ58" s="6">
        <v>97</v>
      </c>
      <c r="GL58" s="6">
        <v>62</v>
      </c>
      <c r="GM58" s="6">
        <v>109</v>
      </c>
      <c r="GN58" s="6">
        <v>84</v>
      </c>
      <c r="GQ58" s="6">
        <v>88</v>
      </c>
      <c r="GS58" s="6">
        <v>115</v>
      </c>
      <c r="GU58" s="6">
        <v>115</v>
      </c>
      <c r="GY58" s="6">
        <v>115</v>
      </c>
      <c r="HB58" s="6">
        <v>112</v>
      </c>
      <c r="HC58" s="6">
        <v>115</v>
      </c>
      <c r="HH58" s="7">
        <v>54</v>
      </c>
      <c r="HI58" s="6">
        <v>113</v>
      </c>
      <c r="HJ58" s="6">
        <v>108</v>
      </c>
      <c r="HL58" s="6">
        <v>64</v>
      </c>
      <c r="HM58" s="6">
        <v>86</v>
      </c>
      <c r="HN58" s="6">
        <v>95</v>
      </c>
      <c r="HO58" s="6">
        <v>94</v>
      </c>
      <c r="HQ58" s="6">
        <v>63</v>
      </c>
      <c r="HR58" s="6">
        <v>101</v>
      </c>
      <c r="HS58" s="6">
        <v>97</v>
      </c>
      <c r="HV58" s="6">
        <v>96</v>
      </c>
      <c r="HX58" s="6">
        <v>115</v>
      </c>
      <c r="HZ58" s="6">
        <v>115</v>
      </c>
      <c r="ID58" s="6">
        <v>115</v>
      </c>
      <c r="IG58" s="6">
        <v>115</v>
      </c>
      <c r="IH58" s="6">
        <v>115</v>
      </c>
    </row>
    <row r="59" spans="2:242" x14ac:dyDescent="0.25">
      <c r="B59" s="13">
        <v>55</v>
      </c>
      <c r="C59" s="6">
        <v>114</v>
      </c>
      <c r="D59" s="6">
        <v>108</v>
      </c>
      <c r="F59" s="6">
        <v>73</v>
      </c>
      <c r="G59" s="6">
        <v>108</v>
      </c>
      <c r="H59" s="6">
        <v>115</v>
      </c>
      <c r="I59" s="6">
        <v>103</v>
      </c>
      <c r="K59" s="6">
        <v>75</v>
      </c>
      <c r="L59" s="6">
        <v>114</v>
      </c>
      <c r="M59" s="6">
        <v>100</v>
      </c>
      <c r="P59" s="6">
        <v>109</v>
      </c>
      <c r="R59" s="6">
        <v>115</v>
      </c>
      <c r="T59" s="6">
        <v>114</v>
      </c>
      <c r="X59" s="6">
        <v>115</v>
      </c>
      <c r="AA59" s="6">
        <v>115</v>
      </c>
      <c r="AB59" s="6">
        <v>115</v>
      </c>
      <c r="AG59" s="6">
        <v>115</v>
      </c>
      <c r="AH59" s="6">
        <v>108</v>
      </c>
      <c r="AJ59" s="6">
        <v>73</v>
      </c>
      <c r="AK59" s="6">
        <v>107</v>
      </c>
      <c r="AL59" s="6">
        <v>115</v>
      </c>
      <c r="AM59" s="6">
        <v>113</v>
      </c>
      <c r="AO59" s="6">
        <v>99</v>
      </c>
      <c r="AP59" s="6">
        <v>115</v>
      </c>
      <c r="AQ59" s="6">
        <v>98</v>
      </c>
      <c r="AT59" s="6">
        <v>99</v>
      </c>
      <c r="AV59" s="6">
        <v>115</v>
      </c>
      <c r="AX59" s="6">
        <v>113</v>
      </c>
      <c r="BB59" s="6">
        <v>115</v>
      </c>
      <c r="BE59" s="6">
        <v>115</v>
      </c>
      <c r="BF59" s="6">
        <v>115</v>
      </c>
      <c r="BK59" s="6">
        <v>111</v>
      </c>
      <c r="BL59" s="6">
        <v>105</v>
      </c>
      <c r="BN59" s="6">
        <v>59</v>
      </c>
      <c r="BO59" s="6">
        <v>113</v>
      </c>
      <c r="BP59" s="6">
        <v>114</v>
      </c>
      <c r="BQ59" s="6">
        <v>108</v>
      </c>
      <c r="BS59" s="6">
        <v>82</v>
      </c>
      <c r="BT59" s="6">
        <v>112</v>
      </c>
      <c r="BU59" s="6">
        <v>87</v>
      </c>
      <c r="BX59" s="6">
        <v>85</v>
      </c>
      <c r="BZ59" s="6">
        <v>115</v>
      </c>
      <c r="CB59" s="6">
        <v>114</v>
      </c>
      <c r="CF59" s="6">
        <v>114</v>
      </c>
      <c r="CI59" s="6">
        <v>115</v>
      </c>
      <c r="CJ59" s="6">
        <v>115</v>
      </c>
      <c r="CO59" s="6">
        <v>105</v>
      </c>
      <c r="CP59" s="6">
        <v>96</v>
      </c>
      <c r="CR59" s="6">
        <v>56</v>
      </c>
      <c r="CS59" s="6">
        <v>112</v>
      </c>
      <c r="CT59" s="6">
        <v>115</v>
      </c>
      <c r="CU59" s="6">
        <v>112</v>
      </c>
      <c r="CW59" s="6">
        <v>85</v>
      </c>
      <c r="CX59" s="6">
        <v>112</v>
      </c>
      <c r="CY59" s="6">
        <v>78</v>
      </c>
      <c r="DB59" s="6">
        <v>84</v>
      </c>
      <c r="DD59" s="6">
        <v>115</v>
      </c>
      <c r="DF59" s="6">
        <v>114</v>
      </c>
      <c r="DJ59" s="6">
        <v>115</v>
      </c>
      <c r="DM59" s="6">
        <v>115</v>
      </c>
      <c r="DN59" s="6">
        <v>114</v>
      </c>
      <c r="DS59" s="12">
        <v>55</v>
      </c>
      <c r="DT59" s="6">
        <v>115</v>
      </c>
      <c r="DU59" s="6">
        <v>115</v>
      </c>
      <c r="DW59" s="6">
        <v>66</v>
      </c>
      <c r="DX59" s="6">
        <v>78</v>
      </c>
      <c r="DY59" s="6">
        <v>73</v>
      </c>
      <c r="DZ59" s="6">
        <v>99</v>
      </c>
      <c r="EB59" s="6">
        <v>56</v>
      </c>
      <c r="EC59" s="6">
        <v>101</v>
      </c>
      <c r="ED59" s="6">
        <v>115</v>
      </c>
      <c r="EG59" s="6">
        <v>115</v>
      </c>
      <c r="EI59" s="6">
        <v>115</v>
      </c>
      <c r="EK59" s="6">
        <v>106</v>
      </c>
      <c r="EO59" s="6">
        <v>115</v>
      </c>
      <c r="ER59" s="6">
        <v>115</v>
      </c>
      <c r="ES59" s="6">
        <v>115</v>
      </c>
      <c r="EX59" s="7">
        <v>55</v>
      </c>
      <c r="EY59" s="6">
        <v>114</v>
      </c>
      <c r="EZ59" s="6">
        <v>95</v>
      </c>
      <c r="FB59" s="6">
        <v>73</v>
      </c>
      <c r="FC59" s="6">
        <v>85</v>
      </c>
      <c r="FD59" s="6">
        <v>79</v>
      </c>
      <c r="FE59" s="6">
        <v>89</v>
      </c>
      <c r="FG59" s="6">
        <v>65</v>
      </c>
      <c r="FH59" s="6">
        <v>104</v>
      </c>
      <c r="FI59" s="6">
        <v>92</v>
      </c>
      <c r="FL59" s="6">
        <v>109</v>
      </c>
      <c r="FN59" s="6">
        <v>115</v>
      </c>
      <c r="FP59" s="6">
        <v>110</v>
      </c>
      <c r="FT59" s="6">
        <v>115</v>
      </c>
      <c r="FW59" s="6">
        <v>115</v>
      </c>
      <c r="FX59" s="6">
        <v>115</v>
      </c>
      <c r="GC59" s="7">
        <v>55</v>
      </c>
      <c r="GD59" s="6">
        <v>115</v>
      </c>
      <c r="GE59" s="6">
        <v>115</v>
      </c>
      <c r="GG59" s="6">
        <v>71</v>
      </c>
      <c r="GH59" s="6">
        <v>81</v>
      </c>
      <c r="GI59" s="6">
        <v>86</v>
      </c>
      <c r="GJ59" s="6">
        <v>106</v>
      </c>
      <c r="GL59" s="6">
        <v>62</v>
      </c>
      <c r="GM59" s="6">
        <v>109</v>
      </c>
      <c r="GN59" s="6">
        <v>84</v>
      </c>
      <c r="GQ59" s="6">
        <v>91</v>
      </c>
      <c r="GS59" s="6">
        <v>115</v>
      </c>
      <c r="GU59" s="6">
        <v>115</v>
      </c>
      <c r="GY59" s="6">
        <v>115</v>
      </c>
      <c r="HB59" s="6">
        <v>115</v>
      </c>
      <c r="HC59" s="6">
        <v>115</v>
      </c>
      <c r="HH59" s="7">
        <v>55</v>
      </c>
      <c r="HI59" s="6">
        <v>115</v>
      </c>
      <c r="HJ59" s="6">
        <v>108</v>
      </c>
      <c r="HL59" s="6">
        <v>64</v>
      </c>
      <c r="HM59" s="6">
        <v>86</v>
      </c>
      <c r="HN59" s="6">
        <v>99</v>
      </c>
      <c r="HO59" s="6">
        <v>103</v>
      </c>
      <c r="HQ59" s="6">
        <v>63</v>
      </c>
      <c r="HR59" s="6">
        <v>101</v>
      </c>
      <c r="HS59" s="6">
        <v>98</v>
      </c>
      <c r="HV59" s="6">
        <v>98</v>
      </c>
      <c r="HX59" s="6">
        <v>115</v>
      </c>
      <c r="HZ59" s="6">
        <v>115</v>
      </c>
      <c r="ID59" s="6">
        <v>115</v>
      </c>
      <c r="IG59" s="6">
        <v>115</v>
      </c>
      <c r="IH59" s="6">
        <v>115</v>
      </c>
    </row>
    <row r="60" spans="2:242" x14ac:dyDescent="0.25">
      <c r="B60" s="13">
        <v>56</v>
      </c>
      <c r="C60" s="6">
        <v>114</v>
      </c>
      <c r="D60" s="6">
        <v>110</v>
      </c>
      <c r="F60" s="6">
        <v>75</v>
      </c>
      <c r="G60" s="6">
        <v>110</v>
      </c>
      <c r="H60" s="6">
        <v>115</v>
      </c>
      <c r="I60" s="6">
        <v>105</v>
      </c>
      <c r="K60" s="6">
        <v>81</v>
      </c>
      <c r="L60" s="6">
        <v>114</v>
      </c>
      <c r="M60" s="6">
        <v>102</v>
      </c>
      <c r="P60" s="6">
        <v>110</v>
      </c>
      <c r="R60" s="6">
        <v>115</v>
      </c>
      <c r="T60" s="6">
        <v>115</v>
      </c>
      <c r="X60" s="6">
        <v>115</v>
      </c>
      <c r="AA60" s="6">
        <v>115</v>
      </c>
      <c r="AB60" s="6">
        <v>115</v>
      </c>
      <c r="AG60" s="6">
        <v>115</v>
      </c>
      <c r="AH60" s="6">
        <v>112</v>
      </c>
      <c r="AJ60" s="6">
        <v>75</v>
      </c>
      <c r="AK60" s="6">
        <v>113</v>
      </c>
      <c r="AL60" s="6">
        <v>115</v>
      </c>
      <c r="AM60" s="6">
        <v>113</v>
      </c>
      <c r="AO60" s="6">
        <v>99</v>
      </c>
      <c r="AP60" s="6">
        <v>115</v>
      </c>
      <c r="AQ60" s="6">
        <v>104</v>
      </c>
      <c r="AT60" s="6">
        <v>105</v>
      </c>
      <c r="AV60" s="6">
        <v>115</v>
      </c>
      <c r="AX60" s="6">
        <v>113</v>
      </c>
      <c r="BB60" s="6">
        <v>115</v>
      </c>
      <c r="BE60" s="6">
        <v>115</v>
      </c>
      <c r="BF60" s="6">
        <v>115</v>
      </c>
      <c r="BK60" s="6">
        <v>113</v>
      </c>
      <c r="BL60" s="6">
        <v>109</v>
      </c>
      <c r="BN60" s="6">
        <v>62</v>
      </c>
      <c r="BO60" s="6">
        <v>113</v>
      </c>
      <c r="BP60" s="6">
        <v>115</v>
      </c>
      <c r="BQ60" s="6">
        <v>111</v>
      </c>
      <c r="BS60" s="6">
        <v>83</v>
      </c>
      <c r="BT60" s="6">
        <v>112</v>
      </c>
      <c r="BU60" s="6">
        <v>92</v>
      </c>
      <c r="BX60" s="6">
        <v>93</v>
      </c>
      <c r="BZ60" s="6">
        <v>115</v>
      </c>
      <c r="CB60" s="6">
        <v>115</v>
      </c>
      <c r="CF60" s="6">
        <v>115</v>
      </c>
      <c r="CI60" s="6">
        <v>115</v>
      </c>
      <c r="CJ60" s="6">
        <v>115</v>
      </c>
      <c r="CO60" s="6">
        <v>107</v>
      </c>
      <c r="CP60" s="6">
        <v>100</v>
      </c>
      <c r="CR60" s="6">
        <v>58</v>
      </c>
      <c r="CS60" s="6">
        <v>114</v>
      </c>
      <c r="CT60" s="6">
        <v>115</v>
      </c>
      <c r="CU60" s="6">
        <v>114</v>
      </c>
      <c r="CW60" s="6">
        <v>92</v>
      </c>
      <c r="CX60" s="6">
        <v>114</v>
      </c>
      <c r="CY60" s="6">
        <v>81</v>
      </c>
      <c r="DB60" s="6">
        <v>85</v>
      </c>
      <c r="DD60" s="6">
        <v>115</v>
      </c>
      <c r="DF60" s="6">
        <v>115</v>
      </c>
      <c r="DJ60" s="6">
        <v>115</v>
      </c>
      <c r="DM60" s="6">
        <v>115</v>
      </c>
      <c r="DN60" s="6">
        <v>115</v>
      </c>
      <c r="DS60" s="12">
        <v>56</v>
      </c>
      <c r="DT60" s="6">
        <v>115</v>
      </c>
      <c r="DU60" s="6">
        <v>115</v>
      </c>
      <c r="DW60" s="6">
        <v>71</v>
      </c>
      <c r="DX60" s="6">
        <v>81</v>
      </c>
      <c r="DY60" s="6">
        <v>73</v>
      </c>
      <c r="DZ60" s="6">
        <v>99</v>
      </c>
      <c r="EB60" s="6">
        <v>58</v>
      </c>
      <c r="EC60" s="6">
        <v>101</v>
      </c>
      <c r="ED60" s="6">
        <v>115</v>
      </c>
      <c r="EG60" s="6">
        <v>115</v>
      </c>
      <c r="EI60" s="6">
        <v>115</v>
      </c>
      <c r="EK60" s="6">
        <v>108</v>
      </c>
      <c r="EO60" s="6">
        <v>115</v>
      </c>
      <c r="ER60" s="6">
        <v>115</v>
      </c>
      <c r="ES60" s="6">
        <v>115</v>
      </c>
      <c r="EX60" s="7">
        <v>56</v>
      </c>
      <c r="EY60" s="6">
        <v>115</v>
      </c>
      <c r="EZ60" s="6">
        <v>95</v>
      </c>
      <c r="FB60" s="6">
        <v>73</v>
      </c>
      <c r="FC60" s="6">
        <v>95</v>
      </c>
      <c r="FD60" s="6">
        <v>80</v>
      </c>
      <c r="FE60" s="6">
        <v>89</v>
      </c>
      <c r="FG60" s="6">
        <v>70</v>
      </c>
      <c r="FH60" s="6">
        <v>104</v>
      </c>
      <c r="FI60" s="6">
        <v>92</v>
      </c>
      <c r="FL60" s="6">
        <v>111</v>
      </c>
      <c r="FN60" s="6">
        <v>115</v>
      </c>
      <c r="FP60" s="6">
        <v>111</v>
      </c>
      <c r="FT60" s="6">
        <v>115</v>
      </c>
      <c r="FW60" s="6">
        <v>115</v>
      </c>
      <c r="FX60" s="6">
        <v>115</v>
      </c>
      <c r="GC60" s="7">
        <v>56</v>
      </c>
      <c r="GD60" s="6">
        <v>115</v>
      </c>
      <c r="GE60" s="6">
        <v>115</v>
      </c>
      <c r="GG60" s="6">
        <v>71</v>
      </c>
      <c r="GH60" s="6">
        <v>82</v>
      </c>
      <c r="GI60" s="6">
        <v>95</v>
      </c>
      <c r="GJ60" s="6">
        <v>108</v>
      </c>
      <c r="GL60" s="6">
        <v>63</v>
      </c>
      <c r="GM60" s="6">
        <v>110</v>
      </c>
      <c r="GN60" s="6">
        <v>85</v>
      </c>
      <c r="GQ60" s="6">
        <v>94</v>
      </c>
      <c r="GS60" s="6">
        <v>115</v>
      </c>
      <c r="GU60" s="6">
        <v>115</v>
      </c>
      <c r="GY60" s="6">
        <v>115</v>
      </c>
      <c r="HB60" s="6">
        <v>115</v>
      </c>
      <c r="HC60" s="6">
        <v>115</v>
      </c>
      <c r="HH60" s="7">
        <v>56</v>
      </c>
      <c r="HI60" s="6">
        <v>115</v>
      </c>
      <c r="HJ60" s="6">
        <v>108</v>
      </c>
      <c r="HL60" s="6">
        <v>65</v>
      </c>
      <c r="HM60" s="6">
        <v>92</v>
      </c>
      <c r="HN60" s="6">
        <v>101</v>
      </c>
      <c r="HO60" s="6">
        <v>103</v>
      </c>
      <c r="HQ60" s="6">
        <v>64</v>
      </c>
      <c r="HR60" s="6">
        <v>101</v>
      </c>
      <c r="HS60" s="6">
        <v>98</v>
      </c>
      <c r="HV60" s="6">
        <v>100</v>
      </c>
      <c r="HX60" s="6">
        <v>115</v>
      </c>
      <c r="HZ60" s="6">
        <v>115</v>
      </c>
      <c r="ID60" s="6">
        <v>115</v>
      </c>
      <c r="IG60" s="6">
        <v>115</v>
      </c>
      <c r="IH60" s="6">
        <v>115</v>
      </c>
    </row>
    <row r="61" spans="2:242" x14ac:dyDescent="0.25">
      <c r="B61" s="13">
        <v>57</v>
      </c>
      <c r="C61" s="6">
        <v>114</v>
      </c>
      <c r="D61" s="6">
        <v>113</v>
      </c>
      <c r="F61" s="6">
        <v>81</v>
      </c>
      <c r="G61" s="6">
        <v>113</v>
      </c>
      <c r="H61" s="6">
        <v>115</v>
      </c>
      <c r="I61" s="6">
        <v>107</v>
      </c>
      <c r="K61" s="6">
        <v>85</v>
      </c>
      <c r="L61" s="6">
        <v>114</v>
      </c>
      <c r="M61" s="6">
        <v>104</v>
      </c>
      <c r="P61" s="6">
        <v>110</v>
      </c>
      <c r="R61" s="6">
        <v>115</v>
      </c>
      <c r="T61" s="6">
        <v>115</v>
      </c>
      <c r="X61" s="6">
        <v>115</v>
      </c>
      <c r="AA61" s="6">
        <v>115</v>
      </c>
      <c r="AG61" s="6">
        <v>115</v>
      </c>
      <c r="AH61" s="6">
        <v>112</v>
      </c>
      <c r="AJ61" s="6">
        <v>77</v>
      </c>
      <c r="AK61" s="6">
        <v>113</v>
      </c>
      <c r="AL61" s="6">
        <v>115</v>
      </c>
      <c r="AM61" s="6">
        <v>113</v>
      </c>
      <c r="AO61" s="6">
        <v>101</v>
      </c>
      <c r="AP61" s="6">
        <v>115</v>
      </c>
      <c r="AQ61" s="6">
        <v>106</v>
      </c>
      <c r="AT61" s="6">
        <v>105</v>
      </c>
      <c r="AV61" s="6">
        <v>115</v>
      </c>
      <c r="AX61" s="6">
        <v>115</v>
      </c>
      <c r="BB61" s="6">
        <v>115</v>
      </c>
      <c r="BE61" s="6">
        <v>115</v>
      </c>
      <c r="BK61" s="6">
        <v>114</v>
      </c>
      <c r="BL61" s="6">
        <v>110</v>
      </c>
      <c r="BN61" s="6">
        <v>65</v>
      </c>
      <c r="BO61" s="6">
        <v>114</v>
      </c>
      <c r="BP61" s="6">
        <v>115</v>
      </c>
      <c r="BQ61" s="6">
        <v>112</v>
      </c>
      <c r="BS61" s="6">
        <v>85</v>
      </c>
      <c r="BT61" s="6">
        <v>112</v>
      </c>
      <c r="BU61" s="6">
        <v>97</v>
      </c>
      <c r="BX61" s="6">
        <v>99</v>
      </c>
      <c r="BZ61" s="6">
        <v>115</v>
      </c>
      <c r="CB61" s="6">
        <v>115</v>
      </c>
      <c r="CF61" s="6">
        <v>115</v>
      </c>
      <c r="CI61" s="6">
        <v>115</v>
      </c>
      <c r="CO61" s="6">
        <v>108</v>
      </c>
      <c r="CP61" s="6">
        <v>103</v>
      </c>
      <c r="CR61" s="6">
        <v>63</v>
      </c>
      <c r="CS61" s="6">
        <v>115</v>
      </c>
      <c r="CT61" s="6">
        <v>115</v>
      </c>
      <c r="CU61" s="6">
        <v>114</v>
      </c>
      <c r="CW61" s="6">
        <v>99</v>
      </c>
      <c r="CX61" s="6">
        <v>114</v>
      </c>
      <c r="CY61" s="6">
        <v>84</v>
      </c>
      <c r="DB61" s="6">
        <v>92</v>
      </c>
      <c r="DD61" s="6">
        <v>115</v>
      </c>
      <c r="DF61" s="6">
        <v>115</v>
      </c>
      <c r="DJ61" s="6">
        <v>115</v>
      </c>
      <c r="DM61" s="6">
        <v>115</v>
      </c>
      <c r="DS61" s="12">
        <v>57</v>
      </c>
      <c r="DT61" s="6">
        <v>115</v>
      </c>
      <c r="DU61" s="6">
        <v>115</v>
      </c>
      <c r="DW61" s="6">
        <v>71</v>
      </c>
      <c r="DX61" s="6">
        <v>85</v>
      </c>
      <c r="DY61" s="6">
        <v>75</v>
      </c>
      <c r="DZ61" s="6">
        <v>100</v>
      </c>
      <c r="EB61" s="6">
        <v>58</v>
      </c>
      <c r="EC61" s="6">
        <v>103</v>
      </c>
      <c r="ED61" s="6">
        <v>115</v>
      </c>
      <c r="EG61" s="6">
        <v>115</v>
      </c>
      <c r="EI61" s="6">
        <v>115</v>
      </c>
      <c r="EK61" s="6">
        <v>110</v>
      </c>
      <c r="EO61" s="6">
        <v>115</v>
      </c>
      <c r="ER61" s="6">
        <v>115</v>
      </c>
      <c r="EX61" s="7">
        <v>57</v>
      </c>
      <c r="EY61" s="6">
        <v>115</v>
      </c>
      <c r="EZ61" s="6">
        <v>96</v>
      </c>
      <c r="FB61" s="6">
        <v>74</v>
      </c>
      <c r="FC61" s="6">
        <v>95</v>
      </c>
      <c r="FD61" s="6">
        <v>82</v>
      </c>
      <c r="FE61" s="6">
        <v>89</v>
      </c>
      <c r="FG61" s="6">
        <v>71</v>
      </c>
      <c r="FH61" s="6">
        <v>105</v>
      </c>
      <c r="FI61" s="6">
        <v>93</v>
      </c>
      <c r="FL61" s="6">
        <v>113</v>
      </c>
      <c r="FN61" s="6">
        <v>115</v>
      </c>
      <c r="FP61" s="6">
        <v>113</v>
      </c>
      <c r="FT61" s="6">
        <v>115</v>
      </c>
      <c r="FW61" s="6">
        <v>115</v>
      </c>
      <c r="GC61" s="7">
        <v>57</v>
      </c>
      <c r="GD61" s="6">
        <v>115</v>
      </c>
      <c r="GE61" s="6">
        <v>115</v>
      </c>
      <c r="GG61" s="6">
        <v>71</v>
      </c>
      <c r="GH61" s="6">
        <v>83</v>
      </c>
      <c r="GI61" s="6">
        <v>96</v>
      </c>
      <c r="GJ61" s="6">
        <v>108</v>
      </c>
      <c r="GL61" s="6">
        <v>64</v>
      </c>
      <c r="GM61" s="6">
        <v>110</v>
      </c>
      <c r="GN61" s="6">
        <v>88</v>
      </c>
      <c r="GQ61" s="6">
        <v>98</v>
      </c>
      <c r="GS61" s="6">
        <v>115</v>
      </c>
      <c r="GU61" s="6">
        <v>115</v>
      </c>
      <c r="GY61" s="6">
        <v>115</v>
      </c>
      <c r="HB61" s="6">
        <v>115</v>
      </c>
      <c r="HH61" s="7">
        <v>57</v>
      </c>
      <c r="HI61" s="6">
        <v>115</v>
      </c>
      <c r="HJ61" s="6">
        <v>109</v>
      </c>
      <c r="HL61" s="6">
        <v>68</v>
      </c>
      <c r="HM61" s="6">
        <v>92</v>
      </c>
      <c r="HN61" s="6">
        <v>102</v>
      </c>
      <c r="HO61" s="6">
        <v>106</v>
      </c>
      <c r="HQ61" s="6">
        <v>66</v>
      </c>
      <c r="HR61" s="6">
        <v>103</v>
      </c>
      <c r="HS61" s="6">
        <v>98</v>
      </c>
      <c r="HV61" s="6">
        <v>102</v>
      </c>
      <c r="HX61" s="6">
        <v>115</v>
      </c>
      <c r="HZ61" s="6">
        <v>115</v>
      </c>
      <c r="ID61" s="6">
        <v>115</v>
      </c>
      <c r="IG61" s="6">
        <v>115</v>
      </c>
    </row>
    <row r="62" spans="2:242" x14ac:dyDescent="0.25">
      <c r="B62" s="13">
        <v>58</v>
      </c>
      <c r="C62" s="6">
        <v>114</v>
      </c>
      <c r="D62" s="6">
        <v>113</v>
      </c>
      <c r="F62" s="6">
        <v>84</v>
      </c>
      <c r="G62" s="6">
        <v>114</v>
      </c>
      <c r="H62" s="6">
        <v>115</v>
      </c>
      <c r="I62" s="6">
        <v>107</v>
      </c>
      <c r="K62" s="6">
        <v>92</v>
      </c>
      <c r="L62" s="6">
        <v>114</v>
      </c>
      <c r="M62" s="6">
        <v>109</v>
      </c>
      <c r="P62" s="6">
        <v>111</v>
      </c>
      <c r="T62" s="6">
        <v>115</v>
      </c>
      <c r="X62" s="6">
        <v>115</v>
      </c>
      <c r="AG62" s="6">
        <v>115</v>
      </c>
      <c r="AH62" s="6">
        <v>112</v>
      </c>
      <c r="AJ62" s="6">
        <v>80</v>
      </c>
      <c r="AK62" s="6">
        <v>115</v>
      </c>
      <c r="AL62" s="6">
        <v>115</v>
      </c>
      <c r="AM62" s="6">
        <v>113</v>
      </c>
      <c r="AO62" s="6">
        <v>106</v>
      </c>
      <c r="AP62" s="6">
        <v>115</v>
      </c>
      <c r="AQ62" s="6">
        <v>106</v>
      </c>
      <c r="AT62" s="6">
        <v>108</v>
      </c>
      <c r="AX62" s="6">
        <v>115</v>
      </c>
      <c r="BB62" s="6">
        <v>115</v>
      </c>
      <c r="BK62" s="6">
        <v>115</v>
      </c>
      <c r="BL62" s="6">
        <v>112</v>
      </c>
      <c r="BN62" s="6">
        <v>68</v>
      </c>
      <c r="BO62" s="6">
        <v>115</v>
      </c>
      <c r="BP62" s="6">
        <v>115</v>
      </c>
      <c r="BQ62" s="6">
        <v>112</v>
      </c>
      <c r="BS62" s="6">
        <v>94</v>
      </c>
      <c r="BT62" s="6">
        <v>113</v>
      </c>
      <c r="BU62" s="6">
        <v>101</v>
      </c>
      <c r="BX62" s="6">
        <v>104</v>
      </c>
      <c r="CB62" s="6">
        <v>115</v>
      </c>
      <c r="CF62" s="6">
        <v>115</v>
      </c>
      <c r="CO62" s="6">
        <v>108</v>
      </c>
      <c r="CP62" s="6">
        <v>106</v>
      </c>
      <c r="CR62" s="6">
        <v>66</v>
      </c>
      <c r="CS62" s="6">
        <v>115</v>
      </c>
      <c r="CT62" s="6">
        <v>115</v>
      </c>
      <c r="CU62" s="6">
        <v>114</v>
      </c>
      <c r="CW62" s="6">
        <v>103</v>
      </c>
      <c r="CX62" s="6">
        <v>114</v>
      </c>
      <c r="CY62" s="6">
        <v>85</v>
      </c>
      <c r="DB62" s="6">
        <v>101</v>
      </c>
      <c r="DF62" s="6">
        <v>115</v>
      </c>
      <c r="DJ62" s="6">
        <v>115</v>
      </c>
      <c r="DS62" s="12">
        <v>58</v>
      </c>
      <c r="DT62" s="6">
        <v>115</v>
      </c>
      <c r="DU62" s="6">
        <v>115</v>
      </c>
      <c r="DW62" s="6">
        <v>71</v>
      </c>
      <c r="DX62" s="6">
        <v>86</v>
      </c>
      <c r="DY62" s="6">
        <v>75</v>
      </c>
      <c r="DZ62" s="6">
        <v>101</v>
      </c>
      <c r="EB62" s="6">
        <v>59</v>
      </c>
      <c r="EC62" s="6">
        <v>104</v>
      </c>
      <c r="ED62" s="6">
        <v>115</v>
      </c>
      <c r="EG62" s="6">
        <v>115</v>
      </c>
      <c r="EK62" s="6">
        <v>112</v>
      </c>
      <c r="EO62" s="6">
        <v>115</v>
      </c>
      <c r="EX62" s="7">
        <v>58</v>
      </c>
      <c r="EY62" s="6">
        <v>115</v>
      </c>
      <c r="EZ62" s="6">
        <v>96</v>
      </c>
      <c r="FB62" s="6">
        <v>75</v>
      </c>
      <c r="FC62" s="6">
        <v>95</v>
      </c>
      <c r="FD62" s="6">
        <v>83</v>
      </c>
      <c r="FE62" s="6">
        <v>93</v>
      </c>
      <c r="FG62" s="6">
        <v>75</v>
      </c>
      <c r="FH62" s="6">
        <v>108</v>
      </c>
      <c r="FI62" s="6">
        <v>93</v>
      </c>
      <c r="FL62" s="6">
        <v>115</v>
      </c>
      <c r="FP62" s="6">
        <v>115</v>
      </c>
      <c r="FT62" s="6">
        <v>115</v>
      </c>
      <c r="GC62" s="7">
        <v>58</v>
      </c>
      <c r="GD62" s="6">
        <v>115</v>
      </c>
      <c r="GE62" s="6">
        <v>115</v>
      </c>
      <c r="GG62" s="6">
        <v>72</v>
      </c>
      <c r="GH62" s="6">
        <v>84</v>
      </c>
      <c r="GI62" s="6">
        <v>96</v>
      </c>
      <c r="GJ62" s="6">
        <v>110</v>
      </c>
      <c r="GL62" s="6">
        <v>64</v>
      </c>
      <c r="GM62" s="6">
        <v>110</v>
      </c>
      <c r="GN62" s="6">
        <v>88</v>
      </c>
      <c r="GQ62" s="6">
        <v>101</v>
      </c>
      <c r="GU62" s="6">
        <v>115</v>
      </c>
      <c r="GY62" s="6">
        <v>115</v>
      </c>
      <c r="HH62" s="7">
        <v>58</v>
      </c>
      <c r="HI62" s="6">
        <v>115</v>
      </c>
      <c r="HJ62" s="6">
        <v>109</v>
      </c>
      <c r="HL62" s="6">
        <v>68</v>
      </c>
      <c r="HM62" s="6">
        <v>98</v>
      </c>
      <c r="HN62" s="6">
        <v>102</v>
      </c>
      <c r="HO62" s="6">
        <v>106</v>
      </c>
      <c r="HQ62" s="6">
        <v>69</v>
      </c>
      <c r="HR62" s="6">
        <v>104</v>
      </c>
      <c r="HS62" s="6">
        <v>99</v>
      </c>
      <c r="HV62" s="6">
        <v>104</v>
      </c>
      <c r="HZ62" s="6">
        <v>115</v>
      </c>
      <c r="ID62" s="6">
        <v>115</v>
      </c>
    </row>
    <row r="63" spans="2:242" x14ac:dyDescent="0.25">
      <c r="B63" s="13">
        <v>59</v>
      </c>
      <c r="C63" s="6">
        <v>114</v>
      </c>
      <c r="D63" s="6">
        <v>113</v>
      </c>
      <c r="F63" s="6">
        <v>85</v>
      </c>
      <c r="G63" s="6">
        <v>115</v>
      </c>
      <c r="H63" s="6">
        <v>115</v>
      </c>
      <c r="I63" s="6">
        <v>107</v>
      </c>
      <c r="K63" s="6">
        <v>98</v>
      </c>
      <c r="L63" s="6">
        <v>114</v>
      </c>
      <c r="M63" s="6">
        <v>109</v>
      </c>
      <c r="P63" s="6">
        <v>112</v>
      </c>
      <c r="T63" s="6">
        <v>115</v>
      </c>
      <c r="X63" s="6">
        <v>115</v>
      </c>
      <c r="AG63" s="6">
        <v>115</v>
      </c>
      <c r="AH63" s="6">
        <v>115</v>
      </c>
      <c r="AJ63" s="6">
        <v>85</v>
      </c>
      <c r="AK63" s="6">
        <v>115</v>
      </c>
      <c r="AL63" s="6">
        <v>115</v>
      </c>
      <c r="AM63" s="6">
        <v>113</v>
      </c>
      <c r="AO63" s="6">
        <v>110</v>
      </c>
      <c r="AP63" s="6">
        <v>115</v>
      </c>
      <c r="AQ63" s="6">
        <v>109</v>
      </c>
      <c r="AT63" s="6">
        <v>108</v>
      </c>
      <c r="AX63" s="6">
        <v>115</v>
      </c>
      <c r="BB63" s="6">
        <v>115</v>
      </c>
      <c r="BK63" s="6">
        <v>115</v>
      </c>
      <c r="BL63" s="6">
        <v>114</v>
      </c>
      <c r="BN63" s="6">
        <v>71</v>
      </c>
      <c r="BO63" s="6">
        <v>115</v>
      </c>
      <c r="BP63" s="6">
        <v>115</v>
      </c>
      <c r="BQ63" s="6">
        <v>112</v>
      </c>
      <c r="BS63" s="6">
        <v>99</v>
      </c>
      <c r="BT63" s="6">
        <v>114</v>
      </c>
      <c r="BU63" s="6">
        <v>102</v>
      </c>
      <c r="BX63" s="6">
        <v>108</v>
      </c>
      <c r="CB63" s="6">
        <v>115</v>
      </c>
      <c r="CF63" s="6">
        <v>115</v>
      </c>
      <c r="CO63" s="6">
        <v>108</v>
      </c>
      <c r="CP63" s="6">
        <v>107</v>
      </c>
      <c r="CR63" s="6">
        <v>68</v>
      </c>
      <c r="CS63" s="6">
        <v>115</v>
      </c>
      <c r="CT63" s="6">
        <v>115</v>
      </c>
      <c r="CU63" s="6">
        <v>114</v>
      </c>
      <c r="CW63" s="6">
        <v>108</v>
      </c>
      <c r="CX63" s="6">
        <v>114</v>
      </c>
      <c r="CY63" s="6">
        <v>87</v>
      </c>
      <c r="DB63" s="6">
        <v>102</v>
      </c>
      <c r="DF63" s="6">
        <v>115</v>
      </c>
      <c r="DJ63" s="6">
        <v>115</v>
      </c>
      <c r="DS63" s="12">
        <v>59</v>
      </c>
      <c r="DT63" s="6">
        <v>115</v>
      </c>
      <c r="DU63" s="6">
        <v>115</v>
      </c>
      <c r="DW63" s="6">
        <v>74</v>
      </c>
      <c r="DX63" s="6">
        <v>86</v>
      </c>
      <c r="DY63" s="6">
        <v>75</v>
      </c>
      <c r="DZ63" s="6">
        <v>106</v>
      </c>
      <c r="EB63" s="6">
        <v>59</v>
      </c>
      <c r="EC63" s="6">
        <v>106</v>
      </c>
      <c r="ED63" s="6">
        <v>115</v>
      </c>
      <c r="EG63" s="6">
        <v>115</v>
      </c>
      <c r="EK63" s="6">
        <v>114</v>
      </c>
      <c r="EO63" s="6">
        <v>115</v>
      </c>
      <c r="EX63" s="7">
        <v>59</v>
      </c>
      <c r="EY63" s="6">
        <v>115</v>
      </c>
      <c r="EZ63" s="6">
        <v>96</v>
      </c>
      <c r="FB63" s="6">
        <v>77</v>
      </c>
      <c r="FC63" s="6">
        <v>96</v>
      </c>
      <c r="FD63" s="6">
        <v>85</v>
      </c>
      <c r="FE63" s="6">
        <v>93</v>
      </c>
      <c r="FG63" s="6">
        <v>76</v>
      </c>
      <c r="FH63" s="6">
        <v>109</v>
      </c>
      <c r="FI63" s="6">
        <v>94</v>
      </c>
      <c r="FL63" s="6">
        <v>115</v>
      </c>
      <c r="FP63" s="6">
        <v>115</v>
      </c>
      <c r="FT63" s="6">
        <v>115</v>
      </c>
      <c r="GC63" s="7">
        <v>59</v>
      </c>
      <c r="GD63" s="6">
        <v>115</v>
      </c>
      <c r="GE63" s="6">
        <v>115</v>
      </c>
      <c r="GG63" s="6">
        <v>72</v>
      </c>
      <c r="GH63" s="6">
        <v>85</v>
      </c>
      <c r="GI63" s="6">
        <v>96</v>
      </c>
      <c r="GJ63" s="6">
        <v>111</v>
      </c>
      <c r="GL63" s="6">
        <v>67</v>
      </c>
      <c r="GM63" s="6">
        <v>111</v>
      </c>
      <c r="GN63" s="6">
        <v>89</v>
      </c>
      <c r="GQ63" s="6">
        <v>104</v>
      </c>
      <c r="GU63" s="6">
        <v>115</v>
      </c>
      <c r="GY63" s="6">
        <v>115</v>
      </c>
      <c r="HH63" s="7">
        <v>59</v>
      </c>
      <c r="HI63" s="6">
        <v>115</v>
      </c>
      <c r="HJ63" s="6">
        <v>113</v>
      </c>
      <c r="HL63" s="6">
        <v>73</v>
      </c>
      <c r="HM63" s="6">
        <v>100</v>
      </c>
      <c r="HN63" s="6">
        <v>102</v>
      </c>
      <c r="HO63" s="6">
        <v>106</v>
      </c>
      <c r="HQ63" s="6">
        <v>72</v>
      </c>
      <c r="HR63" s="6">
        <v>105</v>
      </c>
      <c r="HS63" s="6">
        <v>99</v>
      </c>
      <c r="HV63" s="6">
        <v>106</v>
      </c>
      <c r="HZ63" s="6">
        <v>115</v>
      </c>
      <c r="ID63" s="6">
        <v>115</v>
      </c>
    </row>
    <row r="64" spans="2:242" x14ac:dyDescent="0.25">
      <c r="B64" s="13">
        <v>60</v>
      </c>
      <c r="C64" s="6">
        <v>114</v>
      </c>
      <c r="D64" s="6">
        <v>114</v>
      </c>
      <c r="F64" s="6">
        <v>89</v>
      </c>
      <c r="G64" s="6">
        <v>115</v>
      </c>
      <c r="H64" s="6">
        <v>115</v>
      </c>
      <c r="I64" s="6">
        <v>110</v>
      </c>
      <c r="K64" s="6">
        <v>106</v>
      </c>
      <c r="L64" s="6">
        <v>114</v>
      </c>
      <c r="M64" s="6">
        <v>111</v>
      </c>
      <c r="P64" s="6">
        <v>114</v>
      </c>
      <c r="T64" s="6">
        <v>115</v>
      </c>
      <c r="X64" s="6">
        <v>115</v>
      </c>
      <c r="AG64" s="6">
        <v>115</v>
      </c>
      <c r="AH64" s="6">
        <v>115</v>
      </c>
      <c r="AJ64" s="6">
        <v>88</v>
      </c>
      <c r="AK64" s="6">
        <v>115</v>
      </c>
      <c r="AL64" s="6">
        <v>115</v>
      </c>
      <c r="AM64" s="6">
        <v>113</v>
      </c>
      <c r="AO64" s="6">
        <v>113</v>
      </c>
      <c r="AP64" s="6">
        <v>115</v>
      </c>
      <c r="AQ64" s="6">
        <v>109</v>
      </c>
      <c r="AT64" s="6">
        <v>110</v>
      </c>
      <c r="AX64" s="6">
        <v>115</v>
      </c>
      <c r="BB64" s="6">
        <v>115</v>
      </c>
      <c r="BK64" s="6">
        <v>115</v>
      </c>
      <c r="BL64" s="6">
        <v>114</v>
      </c>
      <c r="BN64" s="6">
        <v>74</v>
      </c>
      <c r="BO64" s="6">
        <v>115</v>
      </c>
      <c r="BP64" s="6">
        <v>115</v>
      </c>
      <c r="BQ64" s="6">
        <v>112</v>
      </c>
      <c r="BS64" s="6">
        <v>107</v>
      </c>
      <c r="BT64" s="6">
        <v>114</v>
      </c>
      <c r="BU64" s="6">
        <v>104</v>
      </c>
      <c r="BX64" s="6">
        <v>110</v>
      </c>
      <c r="CB64" s="6">
        <v>115</v>
      </c>
      <c r="CF64" s="6">
        <v>115</v>
      </c>
      <c r="CO64" s="6">
        <v>108</v>
      </c>
      <c r="CP64" s="6">
        <v>110</v>
      </c>
      <c r="CR64" s="6">
        <v>69</v>
      </c>
      <c r="CS64" s="6">
        <v>115</v>
      </c>
      <c r="CT64" s="6">
        <v>115</v>
      </c>
      <c r="CU64" s="6">
        <v>114</v>
      </c>
      <c r="CW64" s="6">
        <v>112</v>
      </c>
      <c r="CX64" s="6">
        <v>114</v>
      </c>
      <c r="CY64" s="6">
        <v>96</v>
      </c>
      <c r="DB64" s="6">
        <v>103</v>
      </c>
      <c r="DF64" s="6">
        <v>115</v>
      </c>
      <c r="DJ64" s="6">
        <v>115</v>
      </c>
      <c r="DS64" s="12">
        <v>60</v>
      </c>
      <c r="DT64" s="6">
        <v>115</v>
      </c>
      <c r="DU64" s="6">
        <v>115</v>
      </c>
      <c r="DW64" s="6">
        <v>75</v>
      </c>
      <c r="DX64" s="6">
        <v>87</v>
      </c>
      <c r="DY64" s="6">
        <v>76</v>
      </c>
      <c r="DZ64" s="6">
        <v>106</v>
      </c>
      <c r="EB64" s="6">
        <v>60</v>
      </c>
      <c r="EC64" s="6">
        <v>106</v>
      </c>
      <c r="ED64" s="6">
        <v>115</v>
      </c>
      <c r="EG64" s="6">
        <v>115</v>
      </c>
      <c r="EK64" s="6">
        <v>115</v>
      </c>
      <c r="EO64" s="6">
        <v>115</v>
      </c>
      <c r="EX64" s="7">
        <v>60</v>
      </c>
      <c r="EY64" s="6">
        <v>115</v>
      </c>
      <c r="EZ64" s="6">
        <v>97</v>
      </c>
      <c r="FB64" s="6">
        <v>80</v>
      </c>
      <c r="FC64" s="6">
        <v>108</v>
      </c>
      <c r="FD64" s="6">
        <v>86</v>
      </c>
      <c r="FE64" s="6">
        <v>95</v>
      </c>
      <c r="FG64" s="6">
        <v>78</v>
      </c>
      <c r="FH64" s="6">
        <v>114</v>
      </c>
      <c r="FI64" s="6">
        <v>95</v>
      </c>
      <c r="FL64" s="6">
        <v>115</v>
      </c>
      <c r="FP64" s="6">
        <v>115</v>
      </c>
      <c r="FT64" s="6">
        <v>115</v>
      </c>
      <c r="GC64" s="7">
        <v>60</v>
      </c>
      <c r="GD64" s="6">
        <v>115</v>
      </c>
      <c r="GE64" s="6">
        <v>115</v>
      </c>
      <c r="GG64" s="6">
        <v>73</v>
      </c>
      <c r="GH64" s="6">
        <v>90</v>
      </c>
      <c r="GI64" s="6">
        <v>97</v>
      </c>
      <c r="GJ64" s="6">
        <v>111</v>
      </c>
      <c r="GL64" s="6">
        <v>67</v>
      </c>
      <c r="GM64" s="6">
        <v>111</v>
      </c>
      <c r="GN64" s="6">
        <v>112</v>
      </c>
      <c r="GQ64" s="6">
        <v>107</v>
      </c>
      <c r="GU64" s="6">
        <v>115</v>
      </c>
      <c r="GY64" s="6">
        <v>115</v>
      </c>
      <c r="HH64" s="7">
        <v>60</v>
      </c>
      <c r="HI64" s="6">
        <v>115</v>
      </c>
      <c r="HJ64" s="6">
        <v>115</v>
      </c>
      <c r="HL64" s="6">
        <v>73</v>
      </c>
      <c r="HM64" s="6">
        <v>103</v>
      </c>
      <c r="HN64" s="6">
        <v>103</v>
      </c>
      <c r="HO64" s="6">
        <v>109</v>
      </c>
      <c r="HQ64" s="6">
        <v>73</v>
      </c>
      <c r="HR64" s="6">
        <v>105</v>
      </c>
      <c r="HS64" s="6">
        <v>104</v>
      </c>
      <c r="HV64" s="6">
        <v>108</v>
      </c>
      <c r="HZ64" s="6">
        <v>115</v>
      </c>
      <c r="ID64" s="6">
        <v>115</v>
      </c>
    </row>
    <row r="65" spans="2:238" x14ac:dyDescent="0.25">
      <c r="B65" s="13">
        <v>61</v>
      </c>
      <c r="C65" s="6">
        <v>114</v>
      </c>
      <c r="D65" s="6">
        <v>114</v>
      </c>
      <c r="F65" s="6">
        <v>94</v>
      </c>
      <c r="G65" s="6">
        <v>115</v>
      </c>
      <c r="H65" s="6">
        <v>115</v>
      </c>
      <c r="I65" s="6">
        <v>112</v>
      </c>
      <c r="K65" s="6">
        <v>112</v>
      </c>
      <c r="L65" s="6">
        <v>115</v>
      </c>
      <c r="M65" s="6">
        <v>111</v>
      </c>
      <c r="P65" s="6">
        <v>115</v>
      </c>
      <c r="T65" s="6">
        <v>115</v>
      </c>
      <c r="X65" s="6">
        <v>115</v>
      </c>
      <c r="AG65" s="6">
        <v>115</v>
      </c>
      <c r="AH65" s="6">
        <v>115</v>
      </c>
      <c r="AJ65" s="6">
        <v>94</v>
      </c>
      <c r="AK65" s="6">
        <v>115</v>
      </c>
      <c r="AL65" s="6">
        <v>115</v>
      </c>
      <c r="AM65" s="6">
        <v>113</v>
      </c>
      <c r="AO65" s="6">
        <v>113</v>
      </c>
      <c r="AP65" s="6">
        <v>115</v>
      </c>
      <c r="AQ65" s="6">
        <v>109</v>
      </c>
      <c r="AT65" s="6">
        <v>113</v>
      </c>
      <c r="AX65" s="6">
        <v>115</v>
      </c>
      <c r="BB65" s="6">
        <v>115</v>
      </c>
      <c r="BK65" s="6">
        <v>115</v>
      </c>
      <c r="BL65" s="6">
        <v>115</v>
      </c>
      <c r="BN65" s="6">
        <v>75</v>
      </c>
      <c r="BO65" s="6">
        <v>115</v>
      </c>
      <c r="BP65" s="6">
        <v>115</v>
      </c>
      <c r="BQ65" s="6">
        <v>113</v>
      </c>
      <c r="BS65" s="6">
        <v>109</v>
      </c>
      <c r="BT65" s="6">
        <v>114</v>
      </c>
      <c r="BU65" s="6">
        <v>104</v>
      </c>
      <c r="BX65" s="6">
        <v>111</v>
      </c>
      <c r="CB65" s="6">
        <v>115</v>
      </c>
      <c r="CF65" s="6">
        <v>115</v>
      </c>
      <c r="CO65" s="6">
        <v>111</v>
      </c>
      <c r="CP65" s="6">
        <v>111</v>
      </c>
      <c r="CR65" s="6">
        <v>72</v>
      </c>
      <c r="CS65" s="6">
        <v>115</v>
      </c>
      <c r="CT65" s="6">
        <v>115</v>
      </c>
      <c r="CU65" s="6">
        <v>114</v>
      </c>
      <c r="CW65" s="6">
        <v>113</v>
      </c>
      <c r="CX65" s="6">
        <v>115</v>
      </c>
      <c r="CY65" s="6">
        <v>99</v>
      </c>
      <c r="DB65" s="6">
        <v>107</v>
      </c>
      <c r="DF65" s="6">
        <v>115</v>
      </c>
      <c r="DJ65" s="6">
        <v>115</v>
      </c>
      <c r="DS65" s="12">
        <v>61</v>
      </c>
      <c r="DT65" s="6">
        <v>115</v>
      </c>
      <c r="DU65" s="6">
        <v>115</v>
      </c>
      <c r="DW65" s="6">
        <v>77</v>
      </c>
      <c r="DX65" s="6">
        <v>87</v>
      </c>
      <c r="DY65" s="6">
        <v>76</v>
      </c>
      <c r="DZ65" s="6">
        <v>106</v>
      </c>
      <c r="EB65" s="6">
        <v>60</v>
      </c>
      <c r="EC65" s="6">
        <v>106</v>
      </c>
      <c r="ED65" s="6">
        <v>115</v>
      </c>
      <c r="EG65" s="6">
        <v>115</v>
      </c>
      <c r="EK65" s="6">
        <v>115</v>
      </c>
      <c r="EO65" s="6">
        <v>115</v>
      </c>
      <c r="EX65" s="7">
        <v>61</v>
      </c>
      <c r="EY65" s="6">
        <v>115</v>
      </c>
      <c r="EZ65" s="6">
        <v>97</v>
      </c>
      <c r="FB65" s="6">
        <v>82</v>
      </c>
      <c r="FC65" s="6">
        <v>111</v>
      </c>
      <c r="FD65" s="6">
        <v>95</v>
      </c>
      <c r="FE65" s="6">
        <v>97</v>
      </c>
      <c r="FG65" s="6">
        <v>80</v>
      </c>
      <c r="FH65" s="6">
        <v>115</v>
      </c>
      <c r="FI65" s="6">
        <v>97</v>
      </c>
      <c r="FL65" s="6">
        <v>115</v>
      </c>
      <c r="FP65" s="6">
        <v>115</v>
      </c>
      <c r="FT65" s="6">
        <v>115</v>
      </c>
      <c r="GC65" s="7">
        <v>61</v>
      </c>
      <c r="GD65" s="6">
        <v>115</v>
      </c>
      <c r="GE65" s="6">
        <v>115</v>
      </c>
      <c r="GG65" s="6">
        <v>73</v>
      </c>
      <c r="GH65" s="6">
        <v>90</v>
      </c>
      <c r="GI65" s="6">
        <v>98</v>
      </c>
      <c r="GJ65" s="6">
        <v>113</v>
      </c>
      <c r="GL65" s="6">
        <v>72</v>
      </c>
      <c r="GM65" s="6">
        <v>115</v>
      </c>
      <c r="GN65" s="6">
        <v>113</v>
      </c>
      <c r="GQ65" s="6">
        <v>111</v>
      </c>
      <c r="GU65" s="6">
        <v>115</v>
      </c>
      <c r="GY65" s="6">
        <v>115</v>
      </c>
      <c r="HH65" s="7">
        <v>61</v>
      </c>
      <c r="HI65" s="6">
        <v>115</v>
      </c>
      <c r="HJ65" s="6">
        <v>115</v>
      </c>
      <c r="HL65" s="6">
        <v>73</v>
      </c>
      <c r="HM65" s="6">
        <v>103</v>
      </c>
      <c r="HN65" s="6">
        <v>103</v>
      </c>
      <c r="HO65" s="6">
        <v>109</v>
      </c>
      <c r="HQ65" s="6">
        <v>73</v>
      </c>
      <c r="HR65" s="6">
        <v>105</v>
      </c>
      <c r="HS65" s="6">
        <v>106</v>
      </c>
      <c r="HV65" s="6">
        <v>110</v>
      </c>
      <c r="HZ65" s="6">
        <v>115</v>
      </c>
      <c r="ID65" s="6">
        <v>115</v>
      </c>
    </row>
    <row r="66" spans="2:238" x14ac:dyDescent="0.25">
      <c r="B66" s="13">
        <v>62</v>
      </c>
      <c r="C66" s="6">
        <v>115</v>
      </c>
      <c r="D66" s="6">
        <v>115</v>
      </c>
      <c r="F66" s="6">
        <v>99</v>
      </c>
      <c r="G66" s="6">
        <v>115</v>
      </c>
      <c r="H66" s="6">
        <v>115</v>
      </c>
      <c r="I66" s="6">
        <v>112</v>
      </c>
      <c r="K66" s="6">
        <v>114</v>
      </c>
      <c r="L66" s="6">
        <v>115</v>
      </c>
      <c r="M66" s="6">
        <v>111</v>
      </c>
      <c r="P66" s="6">
        <v>115</v>
      </c>
      <c r="T66" s="6">
        <v>115</v>
      </c>
      <c r="X66" s="6">
        <v>115</v>
      </c>
      <c r="AG66" s="6">
        <v>115</v>
      </c>
      <c r="AH66" s="6">
        <v>115</v>
      </c>
      <c r="AJ66" s="6">
        <v>97</v>
      </c>
      <c r="AK66" s="6">
        <v>115</v>
      </c>
      <c r="AL66" s="6">
        <v>115</v>
      </c>
      <c r="AM66" s="6">
        <v>115</v>
      </c>
      <c r="AO66" s="6">
        <v>113</v>
      </c>
      <c r="AP66" s="6">
        <v>115</v>
      </c>
      <c r="AQ66" s="6">
        <v>112</v>
      </c>
      <c r="AT66" s="6">
        <v>113</v>
      </c>
      <c r="AX66" s="6">
        <v>115</v>
      </c>
      <c r="BB66" s="6">
        <v>115</v>
      </c>
      <c r="BK66" s="6">
        <v>115</v>
      </c>
      <c r="BL66" s="6">
        <v>115</v>
      </c>
      <c r="BN66" s="6">
        <v>82</v>
      </c>
      <c r="BO66" s="6">
        <v>115</v>
      </c>
      <c r="BP66" s="6">
        <v>115</v>
      </c>
      <c r="BQ66" s="6">
        <v>113</v>
      </c>
      <c r="BS66" s="6">
        <v>112</v>
      </c>
      <c r="BT66" s="6">
        <v>115</v>
      </c>
      <c r="BU66" s="6">
        <v>105</v>
      </c>
      <c r="BX66" s="6">
        <v>112</v>
      </c>
      <c r="CB66" s="6">
        <v>115</v>
      </c>
      <c r="CF66" s="6">
        <v>115</v>
      </c>
      <c r="CO66" s="6">
        <v>113</v>
      </c>
      <c r="CP66" s="6">
        <v>113</v>
      </c>
      <c r="CR66" s="6">
        <v>73</v>
      </c>
      <c r="CS66" s="6">
        <v>115</v>
      </c>
      <c r="CT66" s="6">
        <v>115</v>
      </c>
      <c r="CU66" s="6">
        <v>114</v>
      </c>
      <c r="CW66" s="6">
        <v>114</v>
      </c>
      <c r="CX66" s="6">
        <v>115</v>
      </c>
      <c r="CY66" s="6">
        <v>99</v>
      </c>
      <c r="DB66" s="6">
        <v>111</v>
      </c>
      <c r="DF66" s="6">
        <v>115</v>
      </c>
      <c r="DJ66" s="6">
        <v>115</v>
      </c>
      <c r="DS66" s="12">
        <v>62</v>
      </c>
      <c r="DT66" s="6">
        <v>115</v>
      </c>
      <c r="DU66" s="6">
        <v>115</v>
      </c>
      <c r="DW66" s="6">
        <v>80</v>
      </c>
      <c r="DX66" s="6">
        <v>87</v>
      </c>
      <c r="DY66" s="6">
        <v>77</v>
      </c>
      <c r="DZ66" s="6">
        <v>107</v>
      </c>
      <c r="EB66" s="6">
        <v>68</v>
      </c>
      <c r="EC66" s="6">
        <v>107</v>
      </c>
      <c r="ED66" s="6">
        <v>115</v>
      </c>
      <c r="EG66" s="6">
        <v>115</v>
      </c>
      <c r="EK66" s="6">
        <v>115</v>
      </c>
      <c r="EO66" s="6">
        <v>115</v>
      </c>
      <c r="EX66" s="7">
        <v>62</v>
      </c>
      <c r="EY66" s="6">
        <v>115</v>
      </c>
      <c r="EZ66" s="6">
        <v>97</v>
      </c>
      <c r="FB66" s="6">
        <v>85</v>
      </c>
      <c r="FC66" s="6">
        <v>115</v>
      </c>
      <c r="FD66" s="6">
        <v>95</v>
      </c>
      <c r="FE66" s="6">
        <v>98</v>
      </c>
      <c r="FG66" s="6">
        <v>81</v>
      </c>
      <c r="FH66" s="6">
        <v>115</v>
      </c>
      <c r="FI66" s="6">
        <v>98</v>
      </c>
      <c r="FL66" s="6">
        <v>115</v>
      </c>
      <c r="FP66" s="6">
        <v>115</v>
      </c>
      <c r="FT66" s="6">
        <v>115</v>
      </c>
      <c r="GC66" s="7">
        <v>62</v>
      </c>
      <c r="GD66" s="6">
        <v>115</v>
      </c>
      <c r="GE66" s="6">
        <v>115</v>
      </c>
      <c r="GG66" s="6">
        <v>75</v>
      </c>
      <c r="GH66" s="6">
        <v>90</v>
      </c>
      <c r="GI66" s="6">
        <v>101</v>
      </c>
      <c r="GJ66" s="6">
        <v>113</v>
      </c>
      <c r="GL66" s="6">
        <v>72</v>
      </c>
      <c r="GM66" s="6">
        <v>115</v>
      </c>
      <c r="GN66" s="6">
        <v>113</v>
      </c>
      <c r="GQ66" s="6">
        <v>115</v>
      </c>
      <c r="GU66" s="6">
        <v>115</v>
      </c>
      <c r="GY66" s="6">
        <v>115</v>
      </c>
      <c r="HH66" s="7">
        <v>62</v>
      </c>
      <c r="HI66" s="6">
        <v>115</v>
      </c>
      <c r="HJ66" s="6">
        <v>115</v>
      </c>
      <c r="HL66" s="6">
        <v>75</v>
      </c>
      <c r="HM66" s="6">
        <v>109</v>
      </c>
      <c r="HN66" s="6">
        <v>103</v>
      </c>
      <c r="HO66" s="6">
        <v>110</v>
      </c>
      <c r="HQ66" s="6">
        <v>74</v>
      </c>
      <c r="HR66" s="6">
        <v>107</v>
      </c>
      <c r="HS66" s="6">
        <v>108</v>
      </c>
      <c r="HV66" s="6">
        <v>113</v>
      </c>
      <c r="HZ66" s="6">
        <v>115</v>
      </c>
      <c r="ID66" s="6">
        <v>115</v>
      </c>
    </row>
    <row r="67" spans="2:238" x14ac:dyDescent="0.25">
      <c r="B67" s="13">
        <v>63</v>
      </c>
      <c r="C67" s="6">
        <v>115</v>
      </c>
      <c r="D67" s="6">
        <v>115</v>
      </c>
      <c r="F67" s="6">
        <v>100</v>
      </c>
      <c r="G67" s="6">
        <v>115</v>
      </c>
      <c r="H67" s="6">
        <v>115</v>
      </c>
      <c r="I67" s="6">
        <v>113</v>
      </c>
      <c r="K67" s="6">
        <v>115</v>
      </c>
      <c r="L67" s="6">
        <v>115</v>
      </c>
      <c r="M67" s="6">
        <v>111</v>
      </c>
      <c r="P67" s="6">
        <v>115</v>
      </c>
      <c r="T67" s="6">
        <v>115</v>
      </c>
      <c r="X67" s="6">
        <v>115</v>
      </c>
      <c r="AG67" s="6">
        <v>115</v>
      </c>
      <c r="AH67" s="6">
        <v>115</v>
      </c>
      <c r="AJ67" s="6">
        <v>100</v>
      </c>
      <c r="AK67" s="6">
        <v>115</v>
      </c>
      <c r="AL67" s="6">
        <v>115</v>
      </c>
      <c r="AM67" s="6">
        <v>115</v>
      </c>
      <c r="AO67" s="6">
        <v>115</v>
      </c>
      <c r="AP67" s="6">
        <v>115</v>
      </c>
      <c r="AQ67" s="6">
        <v>112</v>
      </c>
      <c r="AT67" s="6">
        <v>113</v>
      </c>
      <c r="AX67" s="6">
        <v>115</v>
      </c>
      <c r="BB67" s="6">
        <v>115</v>
      </c>
      <c r="BK67" s="6">
        <v>115</v>
      </c>
      <c r="BL67" s="6">
        <v>115</v>
      </c>
      <c r="BN67" s="6">
        <v>85</v>
      </c>
      <c r="BO67" s="6">
        <v>115</v>
      </c>
      <c r="BP67" s="6">
        <v>115</v>
      </c>
      <c r="BQ67" s="6">
        <v>113</v>
      </c>
      <c r="BS67" s="6">
        <v>114</v>
      </c>
      <c r="BT67" s="6">
        <v>115</v>
      </c>
      <c r="BU67" s="6">
        <v>108</v>
      </c>
      <c r="BX67" s="6">
        <v>112</v>
      </c>
      <c r="CB67" s="6">
        <v>115</v>
      </c>
      <c r="CF67" s="6">
        <v>115</v>
      </c>
      <c r="CO67" s="6">
        <v>113</v>
      </c>
      <c r="CP67" s="6">
        <v>113</v>
      </c>
      <c r="CR67" s="6">
        <v>74</v>
      </c>
      <c r="CS67" s="6">
        <v>115</v>
      </c>
      <c r="CT67" s="6">
        <v>115</v>
      </c>
      <c r="CU67" s="6">
        <v>114</v>
      </c>
      <c r="CW67" s="6">
        <v>114</v>
      </c>
      <c r="CX67" s="6">
        <v>115</v>
      </c>
      <c r="CY67" s="6">
        <v>101</v>
      </c>
      <c r="DB67" s="6">
        <v>113</v>
      </c>
      <c r="DF67" s="6">
        <v>115</v>
      </c>
      <c r="DJ67" s="6">
        <v>115</v>
      </c>
      <c r="DS67" s="12">
        <v>63</v>
      </c>
      <c r="DT67" s="6">
        <v>115</v>
      </c>
      <c r="DU67" s="6">
        <v>115</v>
      </c>
      <c r="DW67" s="6">
        <v>82</v>
      </c>
      <c r="DX67" s="6">
        <v>88</v>
      </c>
      <c r="DY67" s="6">
        <v>77</v>
      </c>
      <c r="DZ67" s="6">
        <v>112</v>
      </c>
      <c r="EB67" s="6">
        <v>68</v>
      </c>
      <c r="EC67" s="6">
        <v>109</v>
      </c>
      <c r="ED67" s="6">
        <v>115</v>
      </c>
      <c r="EG67" s="6">
        <v>115</v>
      </c>
      <c r="EK67" s="6">
        <v>115</v>
      </c>
      <c r="EO67" s="6">
        <v>115</v>
      </c>
      <c r="EX67" s="7">
        <v>63</v>
      </c>
      <c r="EY67" s="6">
        <v>115</v>
      </c>
      <c r="EZ67" s="6">
        <v>98</v>
      </c>
      <c r="FB67" s="6">
        <v>89</v>
      </c>
      <c r="FC67" s="6">
        <v>115</v>
      </c>
      <c r="FD67" s="6">
        <v>102</v>
      </c>
      <c r="FE67" s="6">
        <v>101</v>
      </c>
      <c r="FG67" s="6">
        <v>83</v>
      </c>
      <c r="FH67" s="6">
        <v>115</v>
      </c>
      <c r="FI67" s="6">
        <v>98</v>
      </c>
      <c r="FL67" s="6">
        <v>115</v>
      </c>
      <c r="FP67" s="6">
        <v>115</v>
      </c>
      <c r="FT67" s="6">
        <v>115</v>
      </c>
      <c r="GC67" s="7">
        <v>63</v>
      </c>
      <c r="GD67" s="6">
        <v>115</v>
      </c>
      <c r="GE67" s="6">
        <v>115</v>
      </c>
      <c r="GG67" s="6">
        <v>78</v>
      </c>
      <c r="GH67" s="6">
        <v>91</v>
      </c>
      <c r="GI67" s="6">
        <v>107</v>
      </c>
      <c r="GJ67" s="6">
        <v>115</v>
      </c>
      <c r="GL67" s="6">
        <v>72</v>
      </c>
      <c r="GM67" s="6">
        <v>115</v>
      </c>
      <c r="GN67" s="6">
        <v>115</v>
      </c>
      <c r="GQ67" s="6">
        <v>115</v>
      </c>
      <c r="GU67" s="6">
        <v>115</v>
      </c>
      <c r="GY67" s="6">
        <v>115</v>
      </c>
      <c r="HH67" s="7">
        <v>63</v>
      </c>
      <c r="HI67" s="6">
        <v>115</v>
      </c>
      <c r="HJ67" s="6">
        <v>115</v>
      </c>
      <c r="HL67" s="6">
        <v>79</v>
      </c>
      <c r="HM67" s="6">
        <v>112</v>
      </c>
      <c r="HN67" s="6">
        <v>104</v>
      </c>
      <c r="HO67" s="6">
        <v>115</v>
      </c>
      <c r="HQ67" s="6">
        <v>75</v>
      </c>
      <c r="HR67" s="6">
        <v>107</v>
      </c>
      <c r="HS67" s="6">
        <v>108</v>
      </c>
      <c r="HV67" s="6">
        <v>115</v>
      </c>
      <c r="HZ67" s="6">
        <v>115</v>
      </c>
      <c r="ID67" s="6">
        <v>115</v>
      </c>
    </row>
    <row r="68" spans="2:238" x14ac:dyDescent="0.25">
      <c r="B68" s="13">
        <v>64</v>
      </c>
      <c r="C68" s="6">
        <v>115</v>
      </c>
      <c r="D68" s="6">
        <v>115</v>
      </c>
      <c r="F68" s="6">
        <v>106</v>
      </c>
      <c r="G68" s="6">
        <v>115</v>
      </c>
      <c r="H68" s="6">
        <v>115</v>
      </c>
      <c r="I68" s="6">
        <v>113</v>
      </c>
      <c r="K68" s="6">
        <v>115</v>
      </c>
      <c r="L68" s="6">
        <v>115</v>
      </c>
      <c r="M68" s="6">
        <v>113</v>
      </c>
      <c r="P68" s="6">
        <v>115</v>
      </c>
      <c r="T68" s="6">
        <v>115</v>
      </c>
      <c r="X68" s="6">
        <v>115</v>
      </c>
      <c r="AG68" s="6">
        <v>115</v>
      </c>
      <c r="AH68" s="6">
        <v>115</v>
      </c>
      <c r="AJ68" s="6">
        <v>103</v>
      </c>
      <c r="AK68" s="6">
        <v>115</v>
      </c>
      <c r="AL68" s="6">
        <v>115</v>
      </c>
      <c r="AM68" s="6">
        <v>115</v>
      </c>
      <c r="AO68" s="6">
        <v>115</v>
      </c>
      <c r="AP68" s="6">
        <v>115</v>
      </c>
      <c r="AQ68" s="6">
        <v>115</v>
      </c>
      <c r="AT68" s="6">
        <v>115</v>
      </c>
      <c r="AX68" s="6">
        <v>115</v>
      </c>
      <c r="BB68" s="6">
        <v>115</v>
      </c>
      <c r="BK68" s="6">
        <v>115</v>
      </c>
      <c r="BL68" s="6">
        <v>115</v>
      </c>
      <c r="BN68" s="6">
        <v>94</v>
      </c>
      <c r="BO68" s="6">
        <v>115</v>
      </c>
      <c r="BP68" s="6">
        <v>115</v>
      </c>
      <c r="BQ68" s="6">
        <v>113</v>
      </c>
      <c r="BS68" s="6">
        <v>115</v>
      </c>
      <c r="BT68" s="6">
        <v>115</v>
      </c>
      <c r="BU68" s="6">
        <v>108</v>
      </c>
      <c r="BX68" s="6">
        <v>113</v>
      </c>
      <c r="CB68" s="6">
        <v>115</v>
      </c>
      <c r="CF68" s="6">
        <v>115</v>
      </c>
      <c r="CO68" s="6">
        <v>113</v>
      </c>
      <c r="CP68" s="6">
        <v>114</v>
      </c>
      <c r="CR68" s="6">
        <v>75</v>
      </c>
      <c r="CS68" s="6">
        <v>115</v>
      </c>
      <c r="CT68" s="6">
        <v>115</v>
      </c>
      <c r="CU68" s="6">
        <v>114</v>
      </c>
      <c r="CW68" s="6">
        <v>115</v>
      </c>
      <c r="CX68" s="6">
        <v>115</v>
      </c>
      <c r="CY68" s="6">
        <v>103</v>
      </c>
      <c r="DB68" s="6">
        <v>113</v>
      </c>
      <c r="DF68" s="6">
        <v>115</v>
      </c>
      <c r="DJ68" s="6">
        <v>115</v>
      </c>
      <c r="DS68" s="12">
        <v>64</v>
      </c>
      <c r="DT68" s="6">
        <v>115</v>
      </c>
      <c r="DU68" s="6">
        <v>115</v>
      </c>
      <c r="DW68" s="6">
        <v>85</v>
      </c>
      <c r="DX68" s="6">
        <v>94</v>
      </c>
      <c r="DY68" s="6">
        <v>77</v>
      </c>
      <c r="DZ68" s="6">
        <v>112</v>
      </c>
      <c r="EB68" s="6">
        <v>72</v>
      </c>
      <c r="EC68" s="6">
        <v>114</v>
      </c>
      <c r="ED68" s="6">
        <v>115</v>
      </c>
      <c r="EG68" s="6">
        <v>115</v>
      </c>
      <c r="EK68" s="6">
        <v>115</v>
      </c>
      <c r="EO68" s="6">
        <v>115</v>
      </c>
      <c r="EX68" s="7">
        <v>64</v>
      </c>
      <c r="EY68" s="6">
        <v>115</v>
      </c>
      <c r="EZ68" s="6">
        <v>98</v>
      </c>
      <c r="FB68" s="6">
        <v>89</v>
      </c>
      <c r="FC68" s="6">
        <v>115</v>
      </c>
      <c r="FD68" s="6">
        <v>103</v>
      </c>
      <c r="FE68" s="6">
        <v>104</v>
      </c>
      <c r="FG68" s="6">
        <v>85</v>
      </c>
      <c r="FH68" s="6">
        <v>115</v>
      </c>
      <c r="FI68" s="6">
        <v>98</v>
      </c>
      <c r="FL68" s="6">
        <v>115</v>
      </c>
      <c r="FP68" s="6">
        <v>115</v>
      </c>
      <c r="FT68" s="6">
        <v>115</v>
      </c>
      <c r="GC68" s="7">
        <v>64</v>
      </c>
      <c r="GD68" s="6">
        <v>115</v>
      </c>
      <c r="GE68" s="6">
        <v>115</v>
      </c>
      <c r="GG68" s="6">
        <v>81</v>
      </c>
      <c r="GH68" s="6">
        <v>99</v>
      </c>
      <c r="GI68" s="6">
        <v>107</v>
      </c>
      <c r="GJ68" s="6">
        <v>115</v>
      </c>
      <c r="GL68" s="6">
        <v>74</v>
      </c>
      <c r="GM68" s="6">
        <v>115</v>
      </c>
      <c r="GN68" s="6">
        <v>115</v>
      </c>
      <c r="GQ68" s="6">
        <v>115</v>
      </c>
      <c r="GU68" s="6">
        <v>115</v>
      </c>
      <c r="GY68" s="6">
        <v>115</v>
      </c>
      <c r="HH68" s="7">
        <v>64</v>
      </c>
      <c r="HI68" s="6">
        <v>115</v>
      </c>
      <c r="HJ68" s="6">
        <v>115</v>
      </c>
      <c r="HL68" s="6">
        <v>82</v>
      </c>
      <c r="HM68" s="6">
        <v>112</v>
      </c>
      <c r="HN68" s="6">
        <v>104</v>
      </c>
      <c r="HO68" s="6">
        <v>115</v>
      </c>
      <c r="HQ68" s="6">
        <v>79</v>
      </c>
      <c r="HR68" s="6">
        <v>107</v>
      </c>
      <c r="HS68" s="6">
        <v>109</v>
      </c>
      <c r="HV68" s="6">
        <v>115</v>
      </c>
      <c r="HZ68" s="6">
        <v>115</v>
      </c>
      <c r="ID68" s="6">
        <v>115</v>
      </c>
    </row>
    <row r="69" spans="2:238" x14ac:dyDescent="0.25">
      <c r="B69" s="13">
        <v>65</v>
      </c>
      <c r="C69" s="6">
        <v>115</v>
      </c>
      <c r="D69" s="6">
        <v>115</v>
      </c>
      <c r="F69" s="6">
        <v>109</v>
      </c>
      <c r="I69" s="6">
        <v>113</v>
      </c>
      <c r="K69" s="6">
        <v>115</v>
      </c>
      <c r="L69" s="6">
        <v>115</v>
      </c>
      <c r="M69" s="6">
        <v>115</v>
      </c>
      <c r="P69" s="6">
        <v>115</v>
      </c>
      <c r="T69" s="6">
        <v>115</v>
      </c>
      <c r="AG69" s="6">
        <v>115</v>
      </c>
      <c r="AH69" s="6">
        <v>115</v>
      </c>
      <c r="AJ69" s="6">
        <v>106</v>
      </c>
      <c r="AM69" s="6">
        <v>115</v>
      </c>
      <c r="AO69" s="6">
        <v>115</v>
      </c>
      <c r="AP69" s="6">
        <v>115</v>
      </c>
      <c r="AQ69" s="6">
        <v>115</v>
      </c>
      <c r="AT69" s="6">
        <v>115</v>
      </c>
      <c r="AX69" s="6">
        <v>115</v>
      </c>
      <c r="BK69" s="6">
        <v>115</v>
      </c>
      <c r="BL69" s="6">
        <v>115</v>
      </c>
      <c r="BN69" s="6">
        <v>98</v>
      </c>
      <c r="BQ69" s="6">
        <v>114</v>
      </c>
      <c r="BS69" s="6">
        <v>115</v>
      </c>
      <c r="BT69" s="6">
        <v>115</v>
      </c>
      <c r="BU69" s="6">
        <v>108</v>
      </c>
      <c r="BX69" s="6">
        <v>114</v>
      </c>
      <c r="CB69" s="6">
        <v>115</v>
      </c>
      <c r="CO69" s="6">
        <v>114</v>
      </c>
      <c r="CP69" s="6">
        <v>115</v>
      </c>
      <c r="CR69" s="6">
        <v>81</v>
      </c>
      <c r="CU69" s="6">
        <v>115</v>
      </c>
      <c r="CW69" s="6">
        <v>115</v>
      </c>
      <c r="CX69" s="6">
        <v>115</v>
      </c>
      <c r="CY69" s="6">
        <v>106</v>
      </c>
      <c r="DB69" s="6">
        <v>115</v>
      </c>
      <c r="DF69" s="6">
        <v>115</v>
      </c>
      <c r="DS69" s="12">
        <v>65</v>
      </c>
      <c r="DT69" s="6">
        <v>115</v>
      </c>
      <c r="DU69" s="6">
        <v>115</v>
      </c>
      <c r="DW69" s="6">
        <v>86</v>
      </c>
      <c r="DZ69" s="6">
        <v>112</v>
      </c>
      <c r="EB69" s="6">
        <v>74</v>
      </c>
      <c r="EC69" s="6">
        <v>114</v>
      </c>
      <c r="ED69" s="6">
        <v>115</v>
      </c>
      <c r="EG69" s="6">
        <v>115</v>
      </c>
      <c r="EK69" s="6">
        <v>115</v>
      </c>
      <c r="EX69" s="7">
        <v>65</v>
      </c>
      <c r="EY69" s="6">
        <v>115</v>
      </c>
      <c r="EZ69" s="6">
        <v>98</v>
      </c>
      <c r="FB69" s="6">
        <v>89</v>
      </c>
      <c r="FE69" s="6">
        <v>104</v>
      </c>
      <c r="FG69" s="6">
        <v>86</v>
      </c>
      <c r="FH69" s="6">
        <v>115</v>
      </c>
      <c r="FI69" s="6">
        <v>99</v>
      </c>
      <c r="FL69" s="6">
        <v>115</v>
      </c>
      <c r="FP69" s="6">
        <v>115</v>
      </c>
      <c r="GC69" s="7">
        <v>65</v>
      </c>
      <c r="GD69" s="6">
        <v>115</v>
      </c>
      <c r="GE69" s="6">
        <v>115</v>
      </c>
      <c r="GG69" s="6">
        <v>85</v>
      </c>
      <c r="GJ69" s="6">
        <v>115</v>
      </c>
      <c r="GL69" s="6">
        <v>74</v>
      </c>
      <c r="GM69" s="6">
        <v>115</v>
      </c>
      <c r="GN69" s="6">
        <v>115</v>
      </c>
      <c r="GQ69" s="6">
        <v>115</v>
      </c>
      <c r="GU69" s="6">
        <v>115</v>
      </c>
      <c r="HH69" s="7">
        <v>65</v>
      </c>
      <c r="HI69" s="6">
        <v>115</v>
      </c>
      <c r="HJ69" s="6">
        <v>115</v>
      </c>
      <c r="HL69" s="6">
        <v>85</v>
      </c>
      <c r="HO69" s="6">
        <v>115</v>
      </c>
      <c r="HQ69" s="6">
        <v>82</v>
      </c>
      <c r="HR69" s="6">
        <v>108</v>
      </c>
      <c r="HS69" s="6">
        <v>115</v>
      </c>
      <c r="HV69" s="6">
        <v>115</v>
      </c>
      <c r="HZ69" s="6">
        <v>115</v>
      </c>
    </row>
    <row r="70" spans="2:238" x14ac:dyDescent="0.25">
      <c r="B70" s="13">
        <v>66</v>
      </c>
      <c r="C70" s="6">
        <v>115</v>
      </c>
      <c r="D70" s="6">
        <v>115</v>
      </c>
      <c r="F70" s="6">
        <v>112</v>
      </c>
      <c r="I70" s="6">
        <v>115</v>
      </c>
      <c r="L70" s="6">
        <v>115</v>
      </c>
      <c r="M70" s="6">
        <v>115</v>
      </c>
      <c r="P70" s="6">
        <v>115</v>
      </c>
      <c r="AG70" s="6">
        <v>115</v>
      </c>
      <c r="AH70" s="6">
        <v>115</v>
      </c>
      <c r="AJ70" s="6">
        <v>106</v>
      </c>
      <c r="AM70" s="6">
        <v>115</v>
      </c>
      <c r="AP70" s="6">
        <v>115</v>
      </c>
      <c r="AQ70" s="6">
        <v>115</v>
      </c>
      <c r="AT70" s="6">
        <v>115</v>
      </c>
      <c r="BK70" s="6">
        <v>115</v>
      </c>
      <c r="BL70" s="6">
        <v>115</v>
      </c>
      <c r="BN70" s="6">
        <v>102</v>
      </c>
      <c r="BQ70" s="6">
        <v>115</v>
      </c>
      <c r="BT70" s="6">
        <v>115</v>
      </c>
      <c r="BU70" s="6">
        <v>110</v>
      </c>
      <c r="BX70" s="6">
        <v>115</v>
      </c>
      <c r="CO70" s="6">
        <v>114</v>
      </c>
      <c r="CP70" s="6">
        <v>115</v>
      </c>
      <c r="CR70" s="6">
        <v>85</v>
      </c>
      <c r="CU70" s="6">
        <v>115</v>
      </c>
      <c r="CX70" s="6">
        <v>115</v>
      </c>
      <c r="CY70" s="6">
        <v>108</v>
      </c>
      <c r="DB70" s="6">
        <v>115</v>
      </c>
      <c r="DS70" s="12">
        <v>66</v>
      </c>
      <c r="DT70" s="6">
        <v>115</v>
      </c>
      <c r="DU70" s="6">
        <v>115</v>
      </c>
      <c r="DW70" s="6">
        <v>88</v>
      </c>
      <c r="DZ70" s="6">
        <v>115</v>
      </c>
      <c r="EC70" s="6">
        <v>114</v>
      </c>
      <c r="ED70" s="6">
        <v>115</v>
      </c>
      <c r="EG70" s="6">
        <v>115</v>
      </c>
      <c r="EX70" s="7">
        <v>66</v>
      </c>
      <c r="EY70" s="6">
        <v>115</v>
      </c>
      <c r="EZ70" s="6">
        <v>100</v>
      </c>
      <c r="FB70" s="6">
        <v>90</v>
      </c>
      <c r="FE70" s="6">
        <v>110</v>
      </c>
      <c r="FH70" s="6">
        <v>115</v>
      </c>
      <c r="FI70" s="6">
        <v>101</v>
      </c>
      <c r="FL70" s="6">
        <v>115</v>
      </c>
      <c r="GC70" s="7">
        <v>66</v>
      </c>
      <c r="GD70" s="6">
        <v>115</v>
      </c>
      <c r="GE70" s="6">
        <v>115</v>
      </c>
      <c r="GG70" s="6">
        <v>86</v>
      </c>
      <c r="GJ70" s="6">
        <v>115</v>
      </c>
      <c r="GM70" s="6">
        <v>115</v>
      </c>
      <c r="GN70" s="6">
        <v>115</v>
      </c>
      <c r="GQ70" s="6">
        <v>115</v>
      </c>
      <c r="HH70" s="7">
        <v>66</v>
      </c>
      <c r="HI70" s="6">
        <v>115</v>
      </c>
      <c r="HJ70" s="6">
        <v>115</v>
      </c>
      <c r="HL70" s="6">
        <v>86</v>
      </c>
      <c r="HO70" s="6">
        <v>115</v>
      </c>
      <c r="HR70" s="6">
        <v>108</v>
      </c>
      <c r="HS70" s="6">
        <v>115</v>
      </c>
      <c r="HV70" s="6">
        <v>115</v>
      </c>
    </row>
    <row r="71" spans="2:238" x14ac:dyDescent="0.25">
      <c r="B71" s="13">
        <v>67</v>
      </c>
      <c r="C71" s="6">
        <v>115</v>
      </c>
      <c r="D71" s="6">
        <v>115</v>
      </c>
      <c r="F71" s="6">
        <v>113</v>
      </c>
      <c r="I71" s="6">
        <v>115</v>
      </c>
      <c r="L71" s="6">
        <v>115</v>
      </c>
      <c r="M71" s="6">
        <v>115</v>
      </c>
      <c r="P71" s="6">
        <v>115</v>
      </c>
      <c r="AG71" s="6">
        <v>115</v>
      </c>
      <c r="AH71" s="6">
        <v>115</v>
      </c>
      <c r="AJ71" s="6">
        <v>109</v>
      </c>
      <c r="AM71" s="6">
        <v>115</v>
      </c>
      <c r="AP71" s="6">
        <v>115</v>
      </c>
      <c r="AQ71" s="6">
        <v>115</v>
      </c>
      <c r="AT71" s="6">
        <v>115</v>
      </c>
      <c r="BK71" s="6">
        <v>115</v>
      </c>
      <c r="BL71" s="6">
        <v>115</v>
      </c>
      <c r="BN71" s="6">
        <v>104</v>
      </c>
      <c r="BQ71" s="6">
        <v>115</v>
      </c>
      <c r="BT71" s="6">
        <v>115</v>
      </c>
      <c r="BU71" s="6">
        <v>112</v>
      </c>
      <c r="BX71" s="6">
        <v>115</v>
      </c>
      <c r="CO71" s="6">
        <v>115</v>
      </c>
      <c r="CP71" s="6">
        <v>115</v>
      </c>
      <c r="CR71" s="6">
        <v>95</v>
      </c>
      <c r="CU71" s="6">
        <v>115</v>
      </c>
      <c r="CX71" s="6">
        <v>115</v>
      </c>
      <c r="CY71" s="6">
        <v>110</v>
      </c>
      <c r="DB71" s="6">
        <v>115</v>
      </c>
      <c r="DS71" s="12">
        <v>67</v>
      </c>
      <c r="DT71" s="6">
        <v>115</v>
      </c>
      <c r="DU71" s="6">
        <v>115</v>
      </c>
      <c r="DW71" s="6">
        <v>88</v>
      </c>
      <c r="DZ71" s="6">
        <v>115</v>
      </c>
      <c r="EC71" s="6">
        <v>115</v>
      </c>
      <c r="ED71" s="6">
        <v>115</v>
      </c>
      <c r="EG71" s="6">
        <v>115</v>
      </c>
      <c r="EX71" s="7">
        <v>67</v>
      </c>
      <c r="EY71" s="6">
        <v>115</v>
      </c>
      <c r="EZ71" s="6">
        <v>100</v>
      </c>
      <c r="FB71" s="6">
        <v>95</v>
      </c>
      <c r="FE71" s="6">
        <v>112</v>
      </c>
      <c r="FH71" s="6">
        <v>115</v>
      </c>
      <c r="FI71" s="6">
        <v>101</v>
      </c>
      <c r="FL71" s="6">
        <v>115</v>
      </c>
      <c r="GC71" s="7">
        <v>67</v>
      </c>
      <c r="GD71" s="6">
        <v>115</v>
      </c>
      <c r="GE71" s="6">
        <v>115</v>
      </c>
      <c r="GG71" s="6">
        <v>86</v>
      </c>
      <c r="GJ71" s="6">
        <v>115</v>
      </c>
      <c r="GM71" s="6">
        <v>115</v>
      </c>
      <c r="GN71" s="6">
        <v>115</v>
      </c>
      <c r="GQ71" s="6">
        <v>115</v>
      </c>
      <c r="HH71" s="7">
        <v>67</v>
      </c>
      <c r="HI71" s="6">
        <v>115</v>
      </c>
      <c r="HJ71" s="6">
        <v>115</v>
      </c>
      <c r="HL71" s="6">
        <v>86</v>
      </c>
      <c r="HO71" s="6">
        <v>115</v>
      </c>
      <c r="HR71" s="6">
        <v>108</v>
      </c>
      <c r="HS71" s="6">
        <v>115</v>
      </c>
      <c r="HV71" s="6">
        <v>115</v>
      </c>
    </row>
    <row r="72" spans="2:238" x14ac:dyDescent="0.25">
      <c r="B72" s="13">
        <v>68</v>
      </c>
      <c r="C72" s="6">
        <v>115</v>
      </c>
      <c r="F72" s="6">
        <v>113</v>
      </c>
      <c r="I72" s="6">
        <v>115</v>
      </c>
      <c r="L72" s="6">
        <v>115</v>
      </c>
      <c r="M72" s="6">
        <v>115</v>
      </c>
      <c r="AG72" s="6">
        <v>115</v>
      </c>
      <c r="AJ72" s="6">
        <v>109</v>
      </c>
      <c r="AM72" s="6">
        <v>115</v>
      </c>
      <c r="AP72" s="6">
        <v>115</v>
      </c>
      <c r="AQ72" s="6">
        <v>115</v>
      </c>
      <c r="BK72" s="6">
        <v>115</v>
      </c>
      <c r="BN72" s="6">
        <v>107</v>
      </c>
      <c r="BQ72" s="6">
        <v>115</v>
      </c>
      <c r="BT72" s="6">
        <v>115</v>
      </c>
      <c r="BU72" s="6">
        <v>113</v>
      </c>
      <c r="CO72" s="6">
        <v>115</v>
      </c>
      <c r="CR72" s="6">
        <v>96</v>
      </c>
      <c r="CU72" s="6">
        <v>115</v>
      </c>
      <c r="CX72" s="6">
        <v>115</v>
      </c>
      <c r="CY72" s="6">
        <v>110</v>
      </c>
      <c r="DS72" s="12">
        <v>68</v>
      </c>
      <c r="DT72" s="6">
        <v>115</v>
      </c>
      <c r="DW72" s="6">
        <v>92</v>
      </c>
      <c r="DZ72" s="6">
        <v>115</v>
      </c>
      <c r="EC72" s="6">
        <v>115</v>
      </c>
      <c r="ED72" s="6">
        <v>115</v>
      </c>
      <c r="EX72" s="7">
        <v>68</v>
      </c>
      <c r="EY72" s="6">
        <v>115</v>
      </c>
      <c r="FB72" s="6">
        <v>96</v>
      </c>
      <c r="FE72" s="6">
        <v>113</v>
      </c>
      <c r="FH72" s="6">
        <v>115</v>
      </c>
      <c r="FI72" s="6">
        <v>104</v>
      </c>
      <c r="GC72" s="7">
        <v>68</v>
      </c>
      <c r="GD72" s="6">
        <v>115</v>
      </c>
      <c r="GG72" s="6">
        <v>86</v>
      </c>
      <c r="GJ72" s="6">
        <v>115</v>
      </c>
      <c r="GM72" s="6">
        <v>115</v>
      </c>
      <c r="GN72" s="6">
        <v>115</v>
      </c>
      <c r="HH72" s="7">
        <v>68</v>
      </c>
      <c r="HI72" s="6">
        <v>115</v>
      </c>
      <c r="HL72" s="6">
        <v>86</v>
      </c>
      <c r="HO72" s="6">
        <v>115</v>
      </c>
      <c r="HR72" s="6">
        <v>109</v>
      </c>
      <c r="HS72" s="6">
        <v>115</v>
      </c>
    </row>
    <row r="73" spans="2:238" x14ac:dyDescent="0.25">
      <c r="B73" s="13">
        <v>69</v>
      </c>
      <c r="C73" s="6">
        <v>115</v>
      </c>
      <c r="F73" s="6">
        <v>113</v>
      </c>
      <c r="I73" s="6">
        <v>115</v>
      </c>
      <c r="L73" s="6">
        <v>115</v>
      </c>
      <c r="M73" s="6">
        <v>115</v>
      </c>
      <c r="AG73" s="6">
        <v>115</v>
      </c>
      <c r="AJ73" s="6">
        <v>112</v>
      </c>
      <c r="AM73" s="6">
        <v>115</v>
      </c>
      <c r="AP73" s="6">
        <v>115</v>
      </c>
      <c r="AQ73" s="6">
        <v>115</v>
      </c>
      <c r="BK73" s="6">
        <v>115</v>
      </c>
      <c r="BN73" s="6">
        <v>110</v>
      </c>
      <c r="BQ73" s="6">
        <v>115</v>
      </c>
      <c r="BT73" s="6">
        <v>115</v>
      </c>
      <c r="BU73" s="6">
        <v>113</v>
      </c>
      <c r="CO73" s="6">
        <v>115</v>
      </c>
      <c r="CR73" s="6">
        <v>101</v>
      </c>
      <c r="CU73" s="6">
        <v>115</v>
      </c>
      <c r="CX73" s="6">
        <v>115</v>
      </c>
      <c r="CY73" s="6">
        <v>110</v>
      </c>
      <c r="DS73" s="12">
        <v>69</v>
      </c>
      <c r="DT73" s="6">
        <v>115</v>
      </c>
      <c r="DW73" s="6">
        <v>92</v>
      </c>
      <c r="DZ73" s="6">
        <v>115</v>
      </c>
      <c r="EC73" s="6">
        <v>115</v>
      </c>
      <c r="ED73" s="6">
        <v>115</v>
      </c>
      <c r="EX73" s="7">
        <v>69</v>
      </c>
      <c r="EY73" s="6">
        <v>115</v>
      </c>
      <c r="FB73" s="6">
        <v>103</v>
      </c>
      <c r="FE73" s="6">
        <v>113</v>
      </c>
      <c r="FH73" s="6">
        <v>115</v>
      </c>
      <c r="FI73" s="6">
        <v>106</v>
      </c>
      <c r="GC73" s="7">
        <v>69</v>
      </c>
      <c r="GD73" s="6">
        <v>115</v>
      </c>
      <c r="GG73" s="6">
        <v>87</v>
      </c>
      <c r="GJ73" s="6">
        <v>115</v>
      </c>
      <c r="GM73" s="6">
        <v>115</v>
      </c>
      <c r="GN73" s="6">
        <v>115</v>
      </c>
      <c r="HH73" s="7">
        <v>69</v>
      </c>
      <c r="HI73" s="6">
        <v>115</v>
      </c>
      <c r="HL73" s="6">
        <v>89</v>
      </c>
      <c r="HO73" s="6">
        <v>115</v>
      </c>
      <c r="HR73" s="6">
        <v>109</v>
      </c>
      <c r="HS73" s="6">
        <v>115</v>
      </c>
    </row>
    <row r="74" spans="2:238" x14ac:dyDescent="0.25">
      <c r="B74" s="13">
        <v>70</v>
      </c>
      <c r="C74" s="6">
        <v>115</v>
      </c>
      <c r="F74" s="6">
        <v>114</v>
      </c>
      <c r="I74" s="6">
        <v>115</v>
      </c>
      <c r="L74" s="6">
        <v>115</v>
      </c>
      <c r="M74" s="6">
        <v>115</v>
      </c>
      <c r="AG74" s="6">
        <v>115</v>
      </c>
      <c r="AJ74" s="6">
        <v>115</v>
      </c>
      <c r="AM74" s="6">
        <v>115</v>
      </c>
      <c r="AP74" s="6">
        <v>115</v>
      </c>
      <c r="AQ74" s="6">
        <v>115</v>
      </c>
      <c r="BK74" s="6">
        <v>115</v>
      </c>
      <c r="BN74" s="6">
        <v>111</v>
      </c>
      <c r="BQ74" s="6">
        <v>115</v>
      </c>
      <c r="BT74" s="6">
        <v>115</v>
      </c>
      <c r="BU74" s="6">
        <v>113</v>
      </c>
      <c r="CO74" s="6">
        <v>115</v>
      </c>
      <c r="CR74" s="6">
        <v>106</v>
      </c>
      <c r="CU74" s="6">
        <v>115</v>
      </c>
      <c r="CX74" s="6">
        <v>115</v>
      </c>
      <c r="CY74" s="6">
        <v>115</v>
      </c>
      <c r="DS74" s="12">
        <v>70</v>
      </c>
      <c r="DT74" s="6">
        <v>115</v>
      </c>
      <c r="DW74" s="6">
        <v>92</v>
      </c>
      <c r="DZ74" s="6">
        <v>115</v>
      </c>
      <c r="EC74" s="6">
        <v>115</v>
      </c>
      <c r="ED74" s="6">
        <v>115</v>
      </c>
      <c r="EX74" s="7">
        <v>70</v>
      </c>
      <c r="EY74" s="6">
        <v>115</v>
      </c>
      <c r="FB74" s="6">
        <v>104</v>
      </c>
      <c r="FE74" s="6">
        <v>115</v>
      </c>
      <c r="FH74" s="6">
        <v>115</v>
      </c>
      <c r="FI74" s="6">
        <v>112</v>
      </c>
      <c r="GC74" s="7">
        <v>70</v>
      </c>
      <c r="GD74" s="6">
        <v>115</v>
      </c>
      <c r="GG74" s="6">
        <v>88</v>
      </c>
      <c r="GJ74" s="6">
        <v>115</v>
      </c>
      <c r="GM74" s="6">
        <v>115</v>
      </c>
      <c r="GN74" s="6">
        <v>115</v>
      </c>
      <c r="HH74" s="7">
        <v>70</v>
      </c>
      <c r="HI74" s="6">
        <v>115</v>
      </c>
      <c r="HL74" s="6">
        <v>89</v>
      </c>
      <c r="HO74" s="6">
        <v>115</v>
      </c>
      <c r="HR74" s="6">
        <v>112</v>
      </c>
      <c r="HS74" s="6">
        <v>115</v>
      </c>
    </row>
    <row r="75" spans="2:238" x14ac:dyDescent="0.25">
      <c r="B75" s="13">
        <v>71</v>
      </c>
      <c r="C75" s="6">
        <v>115</v>
      </c>
      <c r="F75" s="6">
        <v>114</v>
      </c>
      <c r="I75" s="6">
        <v>115</v>
      </c>
      <c r="L75" s="6">
        <v>115</v>
      </c>
      <c r="M75" s="6">
        <v>115</v>
      </c>
      <c r="AG75" s="6">
        <v>115</v>
      </c>
      <c r="AJ75" s="6">
        <v>115</v>
      </c>
      <c r="AM75" s="6">
        <v>115</v>
      </c>
      <c r="AP75" s="6">
        <v>115</v>
      </c>
      <c r="AQ75" s="6">
        <v>115</v>
      </c>
      <c r="BK75" s="6">
        <v>115</v>
      </c>
      <c r="BN75" s="6">
        <v>113</v>
      </c>
      <c r="BQ75" s="6">
        <v>115</v>
      </c>
      <c r="BT75" s="6">
        <v>115</v>
      </c>
      <c r="BU75" s="6">
        <v>114</v>
      </c>
      <c r="CO75" s="6">
        <v>115</v>
      </c>
      <c r="CR75" s="6">
        <v>112</v>
      </c>
      <c r="CU75" s="6">
        <v>115</v>
      </c>
      <c r="CX75" s="6">
        <v>115</v>
      </c>
      <c r="CY75" s="6">
        <v>115</v>
      </c>
      <c r="DS75" s="12">
        <v>71</v>
      </c>
      <c r="DT75" s="6">
        <v>115</v>
      </c>
      <c r="DW75" s="6">
        <v>93</v>
      </c>
      <c r="DZ75" s="6">
        <v>115</v>
      </c>
      <c r="EC75" s="6">
        <v>115</v>
      </c>
      <c r="ED75" s="6">
        <v>115</v>
      </c>
      <c r="EX75" s="7">
        <v>71</v>
      </c>
      <c r="EY75" s="6">
        <v>115</v>
      </c>
      <c r="FB75" s="6">
        <v>112</v>
      </c>
      <c r="FE75" s="6">
        <v>115</v>
      </c>
      <c r="FH75" s="6">
        <v>115</v>
      </c>
      <c r="FI75" s="6">
        <v>112</v>
      </c>
      <c r="GC75" s="7">
        <v>71</v>
      </c>
      <c r="GD75" s="6">
        <v>115</v>
      </c>
      <c r="GG75" s="6">
        <v>90</v>
      </c>
      <c r="GJ75" s="6">
        <v>115</v>
      </c>
      <c r="GM75" s="6">
        <v>115</v>
      </c>
      <c r="GN75" s="6">
        <v>115</v>
      </c>
      <c r="HH75" s="7">
        <v>71</v>
      </c>
      <c r="HI75" s="6">
        <v>115</v>
      </c>
      <c r="HL75" s="6">
        <v>93</v>
      </c>
      <c r="HO75" s="6">
        <v>115</v>
      </c>
      <c r="HR75" s="6">
        <v>112</v>
      </c>
      <c r="HS75" s="6">
        <v>115</v>
      </c>
    </row>
    <row r="76" spans="2:238" x14ac:dyDescent="0.25">
      <c r="B76" s="13">
        <v>72</v>
      </c>
      <c r="C76" s="6">
        <v>115</v>
      </c>
      <c r="F76" s="6">
        <v>114</v>
      </c>
      <c r="I76" s="6">
        <v>115</v>
      </c>
      <c r="L76" s="6">
        <v>115</v>
      </c>
      <c r="M76" s="6">
        <v>115</v>
      </c>
      <c r="AG76" s="6">
        <v>115</v>
      </c>
      <c r="AJ76" s="6">
        <v>115</v>
      </c>
      <c r="AM76" s="6">
        <v>115</v>
      </c>
      <c r="AP76" s="6">
        <v>115</v>
      </c>
      <c r="AQ76" s="6">
        <v>115</v>
      </c>
      <c r="BK76" s="6">
        <v>115</v>
      </c>
      <c r="BN76" s="6">
        <v>113</v>
      </c>
      <c r="BQ76" s="6">
        <v>115</v>
      </c>
      <c r="BT76" s="6">
        <v>115</v>
      </c>
      <c r="BU76" s="6">
        <v>115</v>
      </c>
      <c r="CO76" s="6">
        <v>115</v>
      </c>
      <c r="CR76" s="6">
        <v>113</v>
      </c>
      <c r="CU76" s="6">
        <v>115</v>
      </c>
      <c r="CX76" s="6">
        <v>115</v>
      </c>
      <c r="CY76" s="6">
        <v>115</v>
      </c>
      <c r="DS76" s="12">
        <v>72</v>
      </c>
      <c r="DT76" s="6">
        <v>115</v>
      </c>
      <c r="DW76" s="6">
        <v>96</v>
      </c>
      <c r="DZ76" s="6">
        <v>115</v>
      </c>
      <c r="EC76" s="6">
        <v>115</v>
      </c>
      <c r="ED76" s="6">
        <v>115</v>
      </c>
      <c r="EX76" s="7">
        <v>72</v>
      </c>
      <c r="EY76" s="6">
        <v>115</v>
      </c>
      <c r="FB76" s="6">
        <v>115</v>
      </c>
      <c r="FE76" s="6">
        <v>115</v>
      </c>
      <c r="FH76" s="6">
        <v>115</v>
      </c>
      <c r="FI76" s="6">
        <v>115</v>
      </c>
      <c r="GC76" s="7">
        <v>72</v>
      </c>
      <c r="GD76" s="6">
        <v>115</v>
      </c>
      <c r="GG76" s="6">
        <v>92</v>
      </c>
      <c r="GJ76" s="6">
        <v>115</v>
      </c>
      <c r="GM76" s="6">
        <v>115</v>
      </c>
      <c r="GN76" s="6">
        <v>115</v>
      </c>
      <c r="HH76" s="7">
        <v>72</v>
      </c>
      <c r="HI76" s="6">
        <v>115</v>
      </c>
      <c r="HL76" s="6">
        <v>94</v>
      </c>
      <c r="HO76" s="6">
        <v>115</v>
      </c>
      <c r="HR76" s="6">
        <v>115</v>
      </c>
      <c r="HS76" s="6">
        <v>115</v>
      </c>
    </row>
    <row r="77" spans="2:238" x14ac:dyDescent="0.25">
      <c r="B77" s="13">
        <v>73</v>
      </c>
      <c r="F77" s="6">
        <v>115</v>
      </c>
      <c r="I77" s="6">
        <v>115</v>
      </c>
      <c r="L77" s="6">
        <v>115</v>
      </c>
      <c r="M77" s="6">
        <v>115</v>
      </c>
      <c r="AJ77" s="6">
        <v>115</v>
      </c>
      <c r="AM77" s="6">
        <v>115</v>
      </c>
      <c r="AP77" s="6">
        <v>115</v>
      </c>
      <c r="AQ77" s="6">
        <v>115</v>
      </c>
      <c r="BN77" s="6">
        <v>114</v>
      </c>
      <c r="BQ77" s="6">
        <v>115</v>
      </c>
      <c r="BT77" s="6">
        <v>115</v>
      </c>
      <c r="BU77" s="6">
        <v>115</v>
      </c>
      <c r="CR77" s="6">
        <v>115</v>
      </c>
      <c r="CU77" s="6">
        <v>115</v>
      </c>
      <c r="CX77" s="6">
        <v>115</v>
      </c>
      <c r="CY77" s="6">
        <v>115</v>
      </c>
      <c r="DS77" s="12">
        <v>73</v>
      </c>
      <c r="DW77" s="6">
        <v>96</v>
      </c>
      <c r="DZ77" s="6">
        <v>115</v>
      </c>
      <c r="EC77" s="6">
        <v>115</v>
      </c>
      <c r="ED77" s="6">
        <v>115</v>
      </c>
      <c r="EX77" s="7">
        <v>73</v>
      </c>
      <c r="FB77" s="6">
        <v>115</v>
      </c>
      <c r="FE77" s="6">
        <v>115</v>
      </c>
      <c r="FH77" s="6">
        <v>115</v>
      </c>
      <c r="FI77" s="6">
        <v>115</v>
      </c>
      <c r="GC77" s="7">
        <v>73</v>
      </c>
      <c r="GG77" s="6">
        <v>92</v>
      </c>
      <c r="GJ77" s="6">
        <v>115</v>
      </c>
      <c r="GM77" s="6">
        <v>115</v>
      </c>
      <c r="GN77" s="6">
        <v>115</v>
      </c>
      <c r="HH77" s="7">
        <v>73</v>
      </c>
      <c r="HL77" s="6">
        <v>94</v>
      </c>
      <c r="HO77" s="6">
        <v>115</v>
      </c>
      <c r="HR77" s="6">
        <v>115</v>
      </c>
      <c r="HS77" s="6">
        <v>115</v>
      </c>
    </row>
    <row r="78" spans="2:238" x14ac:dyDescent="0.25">
      <c r="B78" s="13">
        <v>74</v>
      </c>
      <c r="F78" s="6">
        <v>115</v>
      </c>
      <c r="I78" s="6">
        <v>115</v>
      </c>
      <c r="M78" s="6">
        <v>115</v>
      </c>
      <c r="AJ78" s="6">
        <v>115</v>
      </c>
      <c r="AM78" s="6">
        <v>115</v>
      </c>
      <c r="AQ78" s="6">
        <v>115</v>
      </c>
      <c r="BN78" s="6">
        <v>114</v>
      </c>
      <c r="BQ78" s="6">
        <v>115</v>
      </c>
      <c r="BU78" s="6">
        <v>115</v>
      </c>
      <c r="CR78" s="6">
        <v>115</v>
      </c>
      <c r="CU78" s="6">
        <v>115</v>
      </c>
      <c r="CY78" s="6">
        <v>115</v>
      </c>
      <c r="DS78" s="12">
        <v>74</v>
      </c>
      <c r="DW78" s="6">
        <v>96</v>
      </c>
      <c r="DZ78" s="6">
        <v>115</v>
      </c>
      <c r="ED78" s="6">
        <v>115</v>
      </c>
      <c r="EX78" s="7">
        <v>74</v>
      </c>
      <c r="FB78" s="6">
        <v>115</v>
      </c>
      <c r="FE78" s="6">
        <v>115</v>
      </c>
      <c r="FI78" s="6">
        <v>115</v>
      </c>
      <c r="GC78" s="7">
        <v>74</v>
      </c>
      <c r="GG78" s="6">
        <v>92</v>
      </c>
      <c r="GJ78" s="6">
        <v>115</v>
      </c>
      <c r="GN78" s="6">
        <v>115</v>
      </c>
      <c r="HH78" s="7">
        <v>74</v>
      </c>
      <c r="HL78" s="6">
        <v>102</v>
      </c>
      <c r="HO78" s="6">
        <v>115</v>
      </c>
      <c r="HS78" s="6">
        <v>115</v>
      </c>
    </row>
    <row r="79" spans="2:238" x14ac:dyDescent="0.25">
      <c r="B79" s="13">
        <v>75</v>
      </c>
      <c r="F79" s="6">
        <v>115</v>
      </c>
      <c r="I79" s="6">
        <v>115</v>
      </c>
      <c r="AJ79" s="6">
        <v>115</v>
      </c>
      <c r="AM79" s="6">
        <v>115</v>
      </c>
      <c r="BN79" s="6">
        <v>115</v>
      </c>
      <c r="BQ79" s="6">
        <v>115</v>
      </c>
      <c r="CR79" s="6">
        <v>115</v>
      </c>
      <c r="CU79" s="6">
        <v>115</v>
      </c>
      <c r="DS79" s="12">
        <v>75</v>
      </c>
      <c r="DW79" s="6">
        <v>97</v>
      </c>
      <c r="DZ79" s="6">
        <v>115</v>
      </c>
      <c r="EX79" s="7">
        <v>75</v>
      </c>
      <c r="FB79" s="6">
        <v>115</v>
      </c>
      <c r="FE79" s="6">
        <v>115</v>
      </c>
      <c r="GC79" s="7">
        <v>75</v>
      </c>
      <c r="GG79" s="6">
        <v>99</v>
      </c>
      <c r="GJ79" s="6">
        <v>115</v>
      </c>
      <c r="GN79" s="6">
        <v>115</v>
      </c>
      <c r="HH79" s="7">
        <v>75</v>
      </c>
      <c r="HL79" s="6">
        <v>104</v>
      </c>
      <c r="HO79" s="6">
        <v>115</v>
      </c>
    </row>
    <row r="80" spans="2:238" x14ac:dyDescent="0.25">
      <c r="B80" s="13">
        <v>76</v>
      </c>
      <c r="F80" s="6">
        <v>115</v>
      </c>
      <c r="AJ80" s="6">
        <v>115</v>
      </c>
      <c r="BN80" s="6">
        <v>115</v>
      </c>
      <c r="CR80" s="6">
        <v>115</v>
      </c>
      <c r="DS80" s="12">
        <v>76</v>
      </c>
      <c r="DW80" s="6">
        <v>98</v>
      </c>
      <c r="EX80" s="7">
        <v>76</v>
      </c>
      <c r="FB80" s="6">
        <v>115</v>
      </c>
      <c r="GC80" s="7">
        <v>76</v>
      </c>
      <c r="GG80" s="6">
        <v>105</v>
      </c>
      <c r="HH80" s="7">
        <v>76</v>
      </c>
      <c r="HL80" s="6">
        <v>104</v>
      </c>
    </row>
    <row r="81" spans="1:245" x14ac:dyDescent="0.25">
      <c r="B81" s="13">
        <v>77</v>
      </c>
      <c r="F81" s="6">
        <v>115</v>
      </c>
      <c r="AJ81" s="6">
        <v>115</v>
      </c>
      <c r="BN81" s="6">
        <v>115</v>
      </c>
      <c r="CR81" s="6">
        <v>115</v>
      </c>
      <c r="DS81" s="12">
        <v>77</v>
      </c>
      <c r="DW81" s="6">
        <v>98</v>
      </c>
      <c r="EX81" s="7">
        <v>77</v>
      </c>
      <c r="FB81" s="6">
        <v>115</v>
      </c>
      <c r="GC81" s="7">
        <v>77</v>
      </c>
      <c r="GG81" s="6">
        <v>108</v>
      </c>
      <c r="HH81" s="7">
        <v>77</v>
      </c>
      <c r="HL81" s="6">
        <v>109</v>
      </c>
    </row>
    <row r="82" spans="1:245" x14ac:dyDescent="0.25">
      <c r="B82" s="13">
        <v>78</v>
      </c>
      <c r="F82" s="6">
        <v>115</v>
      </c>
      <c r="AJ82" s="6">
        <v>115</v>
      </c>
      <c r="BN82" s="6">
        <v>115</v>
      </c>
      <c r="CR82" s="6">
        <v>115</v>
      </c>
      <c r="DS82" s="12">
        <v>78</v>
      </c>
      <c r="DW82" s="6">
        <v>99</v>
      </c>
      <c r="EX82" s="7">
        <v>78</v>
      </c>
      <c r="FB82" s="6">
        <v>115</v>
      </c>
      <c r="GC82" s="7">
        <v>78</v>
      </c>
      <c r="GG82" s="6">
        <v>108</v>
      </c>
      <c r="HH82" s="7">
        <v>78</v>
      </c>
      <c r="HL82" s="6">
        <v>112</v>
      </c>
    </row>
    <row r="83" spans="1:245" x14ac:dyDescent="0.25">
      <c r="B83" s="13">
        <v>79</v>
      </c>
      <c r="F83" s="6">
        <v>115</v>
      </c>
      <c r="AJ83" s="6">
        <v>115</v>
      </c>
      <c r="BN83" s="6">
        <v>115</v>
      </c>
      <c r="CR83" s="6">
        <v>115</v>
      </c>
      <c r="DS83" s="12">
        <v>79</v>
      </c>
      <c r="DW83" s="6">
        <v>99</v>
      </c>
      <c r="EX83" s="7">
        <v>79</v>
      </c>
      <c r="FB83" s="6">
        <v>115</v>
      </c>
      <c r="GC83" s="7">
        <v>79</v>
      </c>
      <c r="GG83" s="6">
        <v>115</v>
      </c>
      <c r="HH83" s="7">
        <v>79</v>
      </c>
      <c r="HL83" s="6">
        <v>113</v>
      </c>
    </row>
    <row r="84" spans="1:245" x14ac:dyDescent="0.25">
      <c r="B84" s="13">
        <v>80</v>
      </c>
      <c r="F84" s="6">
        <v>115</v>
      </c>
      <c r="AJ84" s="6">
        <v>115</v>
      </c>
      <c r="BN84" s="6">
        <v>115</v>
      </c>
      <c r="CR84" s="6">
        <v>115</v>
      </c>
      <c r="DS84" s="12">
        <v>80</v>
      </c>
      <c r="DW84" s="6">
        <v>99</v>
      </c>
      <c r="EX84" s="7">
        <v>80</v>
      </c>
      <c r="FB84" s="6">
        <v>115</v>
      </c>
      <c r="GC84" s="7">
        <v>80</v>
      </c>
      <c r="GG84" s="6">
        <v>115</v>
      </c>
      <c r="HH84" s="7">
        <v>80</v>
      </c>
      <c r="HL84" s="6">
        <v>113</v>
      </c>
    </row>
    <row r="85" spans="1:245" x14ac:dyDescent="0.25">
      <c r="B85" s="13">
        <v>81</v>
      </c>
      <c r="F85" s="6">
        <v>115</v>
      </c>
      <c r="AJ85" s="6">
        <v>115</v>
      </c>
      <c r="BN85" s="6">
        <v>115</v>
      </c>
      <c r="CR85" s="6">
        <v>115</v>
      </c>
      <c r="DS85" s="12">
        <v>81</v>
      </c>
      <c r="DW85" s="6">
        <v>104</v>
      </c>
      <c r="EX85" s="7">
        <v>81</v>
      </c>
      <c r="FB85" s="6">
        <v>115</v>
      </c>
      <c r="GC85" s="7">
        <v>81</v>
      </c>
      <c r="GG85" s="6">
        <v>115</v>
      </c>
      <c r="HH85" s="7">
        <v>81</v>
      </c>
      <c r="HL85" s="6">
        <v>115</v>
      </c>
    </row>
    <row r="86" spans="1:245" x14ac:dyDescent="0.25">
      <c r="B86" s="13">
        <v>82</v>
      </c>
      <c r="F86" s="6">
        <v>115</v>
      </c>
      <c r="AJ86" s="6">
        <v>115</v>
      </c>
      <c r="BN86" s="6">
        <v>115</v>
      </c>
      <c r="CR86" s="6">
        <v>115</v>
      </c>
      <c r="DS86" s="12">
        <v>82</v>
      </c>
      <c r="DW86" s="6">
        <v>108</v>
      </c>
      <c r="EX86" s="7">
        <v>82</v>
      </c>
      <c r="FB86" s="6">
        <v>115</v>
      </c>
      <c r="GC86" s="7">
        <v>82</v>
      </c>
      <c r="GG86" s="6">
        <v>115</v>
      </c>
      <c r="HH86" s="7">
        <v>82</v>
      </c>
      <c r="HL86" s="6">
        <v>115</v>
      </c>
    </row>
    <row r="87" spans="1:245" x14ac:dyDescent="0.25">
      <c r="B87" s="13">
        <v>83</v>
      </c>
      <c r="F87" s="6">
        <v>115</v>
      </c>
      <c r="AJ87" s="6">
        <v>115</v>
      </c>
      <c r="BN87" s="6">
        <v>115</v>
      </c>
      <c r="CR87" s="6">
        <v>115</v>
      </c>
      <c r="DS87" s="12">
        <v>83</v>
      </c>
      <c r="DW87" s="6">
        <v>113</v>
      </c>
      <c r="EX87" s="8">
        <v>83</v>
      </c>
      <c r="EY87" s="9"/>
      <c r="EZ87" s="9"/>
      <c r="FA87" s="9"/>
      <c r="FB87" s="6">
        <v>115</v>
      </c>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C87" s="8">
        <v>83</v>
      </c>
      <c r="GD87" s="9"/>
      <c r="GE87" s="9"/>
      <c r="GF87" s="9"/>
      <c r="GG87" s="9">
        <v>115</v>
      </c>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H87" s="8">
        <v>83</v>
      </c>
      <c r="HI87" s="9"/>
      <c r="HJ87" s="9"/>
      <c r="HK87" s="9"/>
      <c r="HL87" s="6">
        <v>115</v>
      </c>
      <c r="HM87" s="9"/>
      <c r="HN87" s="9"/>
      <c r="HO87" s="9"/>
      <c r="HP87" s="9"/>
      <c r="HQ87" s="9"/>
      <c r="HR87" s="9"/>
      <c r="HS87" s="9"/>
      <c r="HT87" s="9"/>
      <c r="HU87" s="9"/>
      <c r="HV87" s="9"/>
      <c r="HW87" s="9"/>
      <c r="HX87" s="9"/>
      <c r="HY87" s="9"/>
      <c r="HZ87" s="9"/>
      <c r="IA87" s="9"/>
      <c r="IB87" s="9"/>
      <c r="IC87" s="9"/>
      <c r="ID87" s="9"/>
      <c r="IE87" s="9"/>
      <c r="IF87" s="9"/>
      <c r="IG87" s="9"/>
      <c r="IH87" s="9"/>
      <c r="II87" s="9"/>
      <c r="IJ87" s="9"/>
      <c r="IK87" s="9"/>
    </row>
    <row r="88" spans="1:245" s="10" customFormat="1" ht="15" x14ac:dyDescent="0.25">
      <c r="B88" s="27"/>
      <c r="C88" s="10">
        <v>1</v>
      </c>
      <c r="D88" s="10" t="s">
        <v>152</v>
      </c>
      <c r="E88" s="10" t="s">
        <v>211</v>
      </c>
      <c r="F88" s="10">
        <v>3</v>
      </c>
      <c r="G88" s="10">
        <v>4</v>
      </c>
      <c r="H88" s="10">
        <v>5</v>
      </c>
      <c r="I88" s="10" t="s">
        <v>212</v>
      </c>
      <c r="J88" s="10" t="s">
        <v>213</v>
      </c>
      <c r="K88" s="10">
        <v>7</v>
      </c>
      <c r="L88" s="10" t="s">
        <v>214</v>
      </c>
      <c r="M88" s="10" t="s">
        <v>215</v>
      </c>
      <c r="N88" s="10">
        <v>9</v>
      </c>
      <c r="O88" s="10" t="s">
        <v>158</v>
      </c>
      <c r="P88" s="10" t="s">
        <v>159</v>
      </c>
      <c r="Q88" s="10" t="s">
        <v>160</v>
      </c>
      <c r="R88" s="10" t="s">
        <v>161</v>
      </c>
      <c r="S88" s="10" t="s">
        <v>162</v>
      </c>
      <c r="T88" s="10" t="s">
        <v>163</v>
      </c>
      <c r="U88" s="10" t="s">
        <v>164</v>
      </c>
      <c r="V88" s="10" t="s">
        <v>165</v>
      </c>
      <c r="W88" s="10" t="s">
        <v>166</v>
      </c>
      <c r="X88" s="10" t="s">
        <v>167</v>
      </c>
      <c r="Y88" s="10" t="s">
        <v>168</v>
      </c>
      <c r="Z88" s="10" t="s">
        <v>169</v>
      </c>
      <c r="AA88" s="10" t="s">
        <v>170</v>
      </c>
      <c r="AB88" s="10" t="s">
        <v>171</v>
      </c>
      <c r="AC88" s="10" t="s">
        <v>172</v>
      </c>
      <c r="AD88" s="10" t="s">
        <v>150</v>
      </c>
      <c r="AE88" s="10" t="s">
        <v>151</v>
      </c>
      <c r="AG88" s="10">
        <v>1</v>
      </c>
      <c r="AH88" s="10" t="s">
        <v>152</v>
      </c>
      <c r="AI88" s="10" t="s">
        <v>211</v>
      </c>
      <c r="AJ88" s="10">
        <v>3</v>
      </c>
      <c r="AK88" s="10">
        <v>4</v>
      </c>
      <c r="AL88" s="10">
        <v>5</v>
      </c>
      <c r="AM88" s="10" t="s">
        <v>212</v>
      </c>
      <c r="AN88" s="10" t="s">
        <v>213</v>
      </c>
      <c r="AO88" s="10">
        <v>7</v>
      </c>
      <c r="AP88" s="10" t="s">
        <v>214</v>
      </c>
      <c r="AQ88" s="10" t="s">
        <v>215</v>
      </c>
      <c r="AR88" s="10">
        <v>9</v>
      </c>
      <c r="AS88" s="10" t="s">
        <v>158</v>
      </c>
      <c r="AT88" s="10" t="s">
        <v>159</v>
      </c>
      <c r="AU88" s="10" t="s">
        <v>160</v>
      </c>
      <c r="AV88" s="10" t="s">
        <v>161</v>
      </c>
      <c r="AW88" s="10" t="s">
        <v>162</v>
      </c>
      <c r="AX88" s="10" t="s">
        <v>163</v>
      </c>
      <c r="AY88" s="10" t="s">
        <v>164</v>
      </c>
      <c r="AZ88" s="10" t="s">
        <v>165</v>
      </c>
      <c r="BA88" s="10" t="s">
        <v>166</v>
      </c>
      <c r="BB88" s="10" t="s">
        <v>167</v>
      </c>
      <c r="BC88" s="10" t="s">
        <v>168</v>
      </c>
      <c r="BD88" s="10" t="s">
        <v>169</v>
      </c>
      <c r="BE88" s="10" t="s">
        <v>170</v>
      </c>
      <c r="BF88" s="10" t="s">
        <v>171</v>
      </c>
      <c r="BG88" s="10" t="s">
        <v>172</v>
      </c>
      <c r="BH88" s="10" t="s">
        <v>150</v>
      </c>
      <c r="BI88" s="10" t="s">
        <v>151</v>
      </c>
      <c r="BK88" s="10">
        <v>1</v>
      </c>
      <c r="BL88" s="10" t="s">
        <v>152</v>
      </c>
      <c r="BM88" s="10" t="s">
        <v>211</v>
      </c>
      <c r="BN88" s="10">
        <v>3</v>
      </c>
      <c r="BO88" s="10">
        <v>4</v>
      </c>
      <c r="BP88" s="10">
        <v>5</v>
      </c>
      <c r="BQ88" s="10" t="s">
        <v>212</v>
      </c>
      <c r="BR88" s="10" t="s">
        <v>213</v>
      </c>
      <c r="BS88" s="10">
        <v>7</v>
      </c>
      <c r="BT88" s="10" t="s">
        <v>214</v>
      </c>
      <c r="BU88" s="10" t="s">
        <v>215</v>
      </c>
      <c r="BV88" s="10">
        <v>9</v>
      </c>
      <c r="BW88" s="10" t="s">
        <v>158</v>
      </c>
      <c r="BX88" s="10" t="s">
        <v>159</v>
      </c>
      <c r="BY88" s="10" t="s">
        <v>160</v>
      </c>
      <c r="BZ88" s="10" t="s">
        <v>161</v>
      </c>
      <c r="CA88" s="10" t="s">
        <v>162</v>
      </c>
      <c r="CB88" s="10" t="s">
        <v>163</v>
      </c>
      <c r="CC88" s="10" t="s">
        <v>164</v>
      </c>
      <c r="CD88" s="10" t="s">
        <v>165</v>
      </c>
      <c r="CE88" s="10" t="s">
        <v>166</v>
      </c>
      <c r="CF88" s="10" t="s">
        <v>167</v>
      </c>
      <c r="CG88" s="10" t="s">
        <v>168</v>
      </c>
      <c r="CH88" s="10" t="s">
        <v>169</v>
      </c>
      <c r="CI88" s="10" t="s">
        <v>170</v>
      </c>
      <c r="CJ88" s="10" t="s">
        <v>171</v>
      </c>
      <c r="CK88" s="10" t="s">
        <v>172</v>
      </c>
      <c r="CL88" s="10" t="s">
        <v>150</v>
      </c>
      <c r="CM88" s="10" t="s">
        <v>151</v>
      </c>
      <c r="CO88" s="10">
        <v>1</v>
      </c>
      <c r="CP88" s="10" t="s">
        <v>152</v>
      </c>
      <c r="CQ88" s="10" t="s">
        <v>211</v>
      </c>
      <c r="CR88" s="10">
        <v>3</v>
      </c>
      <c r="CS88" s="10">
        <v>4</v>
      </c>
      <c r="CT88" s="10">
        <v>5</v>
      </c>
      <c r="CU88" s="10" t="s">
        <v>212</v>
      </c>
      <c r="CV88" s="10" t="s">
        <v>213</v>
      </c>
      <c r="CW88" s="10">
        <v>7</v>
      </c>
      <c r="CX88" s="10" t="s">
        <v>214</v>
      </c>
      <c r="CY88" s="10" t="s">
        <v>215</v>
      </c>
      <c r="CZ88" s="10">
        <v>9</v>
      </c>
      <c r="DA88" s="10" t="s">
        <v>158</v>
      </c>
      <c r="DB88" s="10" t="s">
        <v>159</v>
      </c>
      <c r="DC88" s="10" t="s">
        <v>160</v>
      </c>
      <c r="DD88" s="10" t="s">
        <v>161</v>
      </c>
      <c r="DE88" s="10" t="s">
        <v>162</v>
      </c>
      <c r="DF88" s="10" t="s">
        <v>163</v>
      </c>
      <c r="DG88" s="10" t="s">
        <v>164</v>
      </c>
      <c r="DH88" s="10" t="s">
        <v>165</v>
      </c>
      <c r="DI88" s="10" t="s">
        <v>166</v>
      </c>
      <c r="DJ88" s="10" t="s">
        <v>167</v>
      </c>
      <c r="DK88" s="10" t="s">
        <v>168</v>
      </c>
      <c r="DL88" s="10" t="s">
        <v>169</v>
      </c>
      <c r="DM88" s="10" t="s">
        <v>170</v>
      </c>
      <c r="DN88" s="10" t="s">
        <v>171</v>
      </c>
      <c r="DO88" s="10" t="s">
        <v>172</v>
      </c>
      <c r="DP88" s="10" t="s">
        <v>150</v>
      </c>
      <c r="DQ88" s="10" t="s">
        <v>151</v>
      </c>
      <c r="DT88" s="10">
        <v>1</v>
      </c>
      <c r="DU88" s="10" t="s">
        <v>152</v>
      </c>
      <c r="DV88" s="10" t="s">
        <v>211</v>
      </c>
      <c r="DW88" s="10">
        <v>3</v>
      </c>
      <c r="DX88" s="10">
        <v>4</v>
      </c>
      <c r="DY88" s="10">
        <v>5</v>
      </c>
      <c r="DZ88" s="10" t="s">
        <v>212</v>
      </c>
      <c r="EA88" s="10" t="s">
        <v>213</v>
      </c>
      <c r="EB88" s="10">
        <v>7</v>
      </c>
      <c r="EC88" s="10" t="s">
        <v>214</v>
      </c>
      <c r="ED88" s="10" t="s">
        <v>215</v>
      </c>
      <c r="EE88" s="10">
        <v>9</v>
      </c>
      <c r="EF88" s="10" t="s">
        <v>158</v>
      </c>
      <c r="EG88" s="10" t="s">
        <v>159</v>
      </c>
      <c r="EH88" s="10" t="s">
        <v>160</v>
      </c>
      <c r="EI88" s="10" t="s">
        <v>161</v>
      </c>
      <c r="EJ88" s="10" t="s">
        <v>162</v>
      </c>
      <c r="EK88" s="10" t="s">
        <v>163</v>
      </c>
      <c r="EL88" s="10" t="s">
        <v>164</v>
      </c>
      <c r="EM88" s="10" t="s">
        <v>165</v>
      </c>
      <c r="EN88" s="10" t="s">
        <v>166</v>
      </c>
      <c r="EO88" s="10" t="s">
        <v>167</v>
      </c>
      <c r="EP88" s="10" t="s">
        <v>168</v>
      </c>
      <c r="EQ88" s="10" t="s">
        <v>169</v>
      </c>
      <c r="ER88" s="10" t="s">
        <v>170</v>
      </c>
      <c r="ES88" s="10" t="s">
        <v>171</v>
      </c>
      <c r="ET88" s="10" t="s">
        <v>172</v>
      </c>
      <c r="EU88" s="10" t="s">
        <v>150</v>
      </c>
      <c r="EV88" s="10" t="s">
        <v>151</v>
      </c>
      <c r="EY88" s="10">
        <v>1</v>
      </c>
      <c r="EZ88" s="10" t="s">
        <v>152</v>
      </c>
      <c r="FA88" s="10" t="s">
        <v>211</v>
      </c>
      <c r="FB88" s="10">
        <v>3</v>
      </c>
      <c r="FC88" s="10">
        <v>4</v>
      </c>
      <c r="FD88" s="10">
        <v>5</v>
      </c>
      <c r="FE88" s="10" t="s">
        <v>212</v>
      </c>
      <c r="FF88" s="10" t="s">
        <v>213</v>
      </c>
      <c r="FG88" s="10">
        <v>7</v>
      </c>
      <c r="FH88" s="10" t="s">
        <v>214</v>
      </c>
      <c r="FI88" s="10" t="s">
        <v>215</v>
      </c>
      <c r="FJ88" s="10">
        <v>9</v>
      </c>
      <c r="FK88" s="10" t="s">
        <v>158</v>
      </c>
      <c r="FL88" s="10" t="s">
        <v>159</v>
      </c>
      <c r="FM88" s="10" t="s">
        <v>160</v>
      </c>
      <c r="FN88" s="10" t="s">
        <v>161</v>
      </c>
      <c r="FO88" s="10" t="s">
        <v>162</v>
      </c>
      <c r="FP88" s="10" t="s">
        <v>163</v>
      </c>
      <c r="FQ88" s="10" t="s">
        <v>164</v>
      </c>
      <c r="FR88" s="10" t="s">
        <v>165</v>
      </c>
      <c r="FS88" s="10" t="s">
        <v>166</v>
      </c>
      <c r="FT88" s="10" t="s">
        <v>167</v>
      </c>
      <c r="FU88" s="10" t="s">
        <v>168</v>
      </c>
      <c r="FV88" s="10" t="s">
        <v>169</v>
      </c>
      <c r="FW88" s="10" t="s">
        <v>170</v>
      </c>
      <c r="FX88" s="10" t="s">
        <v>171</v>
      </c>
      <c r="FY88" s="10" t="s">
        <v>172</v>
      </c>
      <c r="FZ88" s="10" t="s">
        <v>150</v>
      </c>
      <c r="GA88" s="10" t="s">
        <v>151</v>
      </c>
      <c r="GD88" s="10">
        <v>1</v>
      </c>
      <c r="GE88" s="10" t="s">
        <v>152</v>
      </c>
      <c r="GF88" s="10" t="s">
        <v>211</v>
      </c>
      <c r="GG88" s="10">
        <v>3</v>
      </c>
      <c r="GH88" s="10">
        <v>4</v>
      </c>
      <c r="GI88" s="10">
        <v>5</v>
      </c>
      <c r="GJ88" s="10" t="s">
        <v>212</v>
      </c>
      <c r="GK88" s="10" t="s">
        <v>213</v>
      </c>
      <c r="GL88" s="10">
        <v>7</v>
      </c>
      <c r="GM88" s="10" t="s">
        <v>214</v>
      </c>
      <c r="GN88" s="10" t="s">
        <v>215</v>
      </c>
      <c r="GO88" s="10">
        <v>9</v>
      </c>
      <c r="GP88" s="10" t="s">
        <v>158</v>
      </c>
      <c r="GQ88" s="10" t="s">
        <v>159</v>
      </c>
      <c r="GR88" s="10" t="s">
        <v>160</v>
      </c>
      <c r="GS88" s="10" t="s">
        <v>161</v>
      </c>
      <c r="GT88" s="10" t="s">
        <v>162</v>
      </c>
      <c r="GU88" s="10" t="s">
        <v>163</v>
      </c>
      <c r="GV88" s="10" t="s">
        <v>164</v>
      </c>
      <c r="GW88" s="10" t="s">
        <v>165</v>
      </c>
      <c r="GX88" s="10" t="s">
        <v>166</v>
      </c>
      <c r="GY88" s="10" t="s">
        <v>167</v>
      </c>
      <c r="GZ88" s="10" t="s">
        <v>168</v>
      </c>
      <c r="HA88" s="10" t="s">
        <v>169</v>
      </c>
      <c r="HB88" s="10" t="s">
        <v>170</v>
      </c>
      <c r="HC88" s="10" t="s">
        <v>171</v>
      </c>
      <c r="HD88" s="10" t="s">
        <v>172</v>
      </c>
      <c r="HE88" s="10" t="s">
        <v>150</v>
      </c>
      <c r="HF88" s="10" t="s">
        <v>151</v>
      </c>
      <c r="HI88" s="10">
        <v>1</v>
      </c>
      <c r="HJ88" s="10" t="s">
        <v>152</v>
      </c>
      <c r="HK88" s="10" t="s">
        <v>211</v>
      </c>
      <c r="HL88" s="10">
        <v>3</v>
      </c>
      <c r="HM88" s="10">
        <v>4</v>
      </c>
      <c r="HN88" s="10">
        <v>5</v>
      </c>
      <c r="HO88" s="10" t="s">
        <v>212</v>
      </c>
      <c r="HP88" s="10" t="s">
        <v>213</v>
      </c>
      <c r="HQ88" s="10">
        <v>7</v>
      </c>
      <c r="HR88" s="10" t="s">
        <v>214</v>
      </c>
      <c r="HS88" s="10" t="s">
        <v>215</v>
      </c>
      <c r="HT88" s="10">
        <v>9</v>
      </c>
      <c r="HU88" s="10" t="s">
        <v>158</v>
      </c>
      <c r="HV88" s="10" t="s">
        <v>159</v>
      </c>
      <c r="HW88" s="10" t="s">
        <v>160</v>
      </c>
      <c r="HX88" s="10" t="s">
        <v>161</v>
      </c>
      <c r="HY88" s="10" t="s">
        <v>162</v>
      </c>
      <c r="HZ88" s="10" t="s">
        <v>163</v>
      </c>
      <c r="IA88" s="10" t="s">
        <v>164</v>
      </c>
      <c r="IB88" s="10" t="s">
        <v>165</v>
      </c>
      <c r="IC88" s="10" t="s">
        <v>166</v>
      </c>
      <c r="ID88" s="10" t="s">
        <v>167</v>
      </c>
      <c r="IE88" s="10" t="s">
        <v>168</v>
      </c>
      <c r="IF88" s="10" t="s">
        <v>169</v>
      </c>
      <c r="IG88" s="10" t="s">
        <v>170</v>
      </c>
      <c r="IH88" s="10" t="s">
        <v>171</v>
      </c>
      <c r="II88" s="10" t="s">
        <v>172</v>
      </c>
      <c r="IJ88" s="10" t="s">
        <v>150</v>
      </c>
      <c r="IK88" s="10" t="s">
        <v>151</v>
      </c>
    </row>
    <row r="90" spans="1:245" ht="15" x14ac:dyDescent="0.25">
      <c r="A90" s="10"/>
      <c r="B90" s="230" t="s">
        <v>255</v>
      </c>
      <c r="C90" s="230"/>
      <c r="D90" s="230"/>
      <c r="E90" s="10"/>
      <c r="F90" s="229" t="s">
        <v>243</v>
      </c>
      <c r="G90" s="229"/>
      <c r="H90" s="229"/>
    </row>
    <row r="91" spans="1:245" ht="15" x14ac:dyDescent="0.25">
      <c r="A91" s="10" t="s">
        <v>256</v>
      </c>
      <c r="B91" s="27"/>
      <c r="C91" s="10"/>
      <c r="D91" s="10"/>
      <c r="E91" s="10" t="s">
        <v>256</v>
      </c>
      <c r="F91" s="10"/>
      <c r="G91" s="10"/>
      <c r="H91" s="10"/>
    </row>
    <row r="92" spans="1:245" ht="15" x14ac:dyDescent="0.25">
      <c r="A92" s="28">
        <f>IF(Perfil!$H$14&gt;=B92,IF(Perfil!$H$14&lt;=C92,D92,0),0)</f>
        <v>0</v>
      </c>
      <c r="B92" s="6">
        <v>201</v>
      </c>
      <c r="C92" s="6">
        <v>209</v>
      </c>
      <c r="D92" s="19">
        <v>0</v>
      </c>
      <c r="E92" s="28">
        <f>IF(Perfil!$H$14&gt;=F92,IF(Perfil!$H$14&lt;=G92,H92,0),0)</f>
        <v>0</v>
      </c>
      <c r="F92" s="6">
        <v>201</v>
      </c>
      <c r="G92" s="6">
        <v>209</v>
      </c>
      <c r="H92" s="19">
        <v>2</v>
      </c>
      <c r="P92"/>
    </row>
    <row r="93" spans="1:245" ht="15" x14ac:dyDescent="0.25">
      <c r="A93" s="28">
        <f>IF(Perfil!$H$14&gt;=B93,IF(Perfil!$H$14&lt;=C93,D93,0),0)</f>
        <v>0</v>
      </c>
      <c r="B93" s="6">
        <v>210</v>
      </c>
      <c r="C93" s="6">
        <v>219</v>
      </c>
      <c r="D93" s="20">
        <v>5</v>
      </c>
      <c r="E93" s="28">
        <f>IF(Perfil!$H$14&gt;=F93,IF(Perfil!$H$14&lt;=G93,H93,0),0)</f>
        <v>0</v>
      </c>
      <c r="F93" s="6">
        <v>210</v>
      </c>
      <c r="G93" s="6">
        <v>219</v>
      </c>
      <c r="H93" s="20">
        <v>4</v>
      </c>
      <c r="P93"/>
    </row>
    <row r="94" spans="1:245" ht="15" x14ac:dyDescent="0.25">
      <c r="A94" s="28">
        <f>IF(Perfil!$H$14&gt;=B94,IF(Perfil!$H$14&lt;=C94,D94,0),0)</f>
        <v>0</v>
      </c>
      <c r="B94" s="6">
        <v>220</v>
      </c>
      <c r="C94" s="6">
        <v>229</v>
      </c>
      <c r="D94" s="20">
        <v>10</v>
      </c>
      <c r="E94" s="28">
        <f>IF(Perfil!$H$14&gt;=F94,IF(Perfil!$H$14&lt;=G94,H94,0),0)</f>
        <v>0</v>
      </c>
      <c r="F94" s="6">
        <v>220</v>
      </c>
      <c r="G94" s="6">
        <v>229</v>
      </c>
      <c r="H94" s="20">
        <v>7</v>
      </c>
      <c r="P94"/>
    </row>
    <row r="95" spans="1:245" ht="15" x14ac:dyDescent="0.25">
      <c r="A95" s="28">
        <f>IF(Perfil!$H$14&gt;=B95,IF(Perfil!$H$14&lt;=C95,D95,0),0)</f>
        <v>0</v>
      </c>
      <c r="B95" s="6">
        <v>230</v>
      </c>
      <c r="C95" s="6">
        <v>239</v>
      </c>
      <c r="D95" s="20">
        <v>15</v>
      </c>
      <c r="E95" s="28">
        <f>IF(Perfil!$H$14&gt;=F95,IF(Perfil!$H$14&lt;=G95,H95,0),0)</f>
        <v>0</v>
      </c>
      <c r="F95" s="6">
        <v>230</v>
      </c>
      <c r="G95" s="6">
        <v>239</v>
      </c>
      <c r="H95" s="20">
        <v>12</v>
      </c>
      <c r="P95"/>
    </row>
    <row r="96" spans="1:245" ht="15" x14ac:dyDescent="0.25">
      <c r="A96" s="28">
        <f>IF(Perfil!$H$14&gt;=B96,IF(Perfil!$H$14&lt;=C96,D96,0),0)</f>
        <v>0</v>
      </c>
      <c r="B96" s="6">
        <v>240</v>
      </c>
      <c r="C96" s="6">
        <v>249</v>
      </c>
      <c r="D96" s="20">
        <v>22</v>
      </c>
      <c r="E96" s="28">
        <f>IF(Perfil!$H$14&gt;=F96,IF(Perfil!$H$14&lt;=G96,H96,0),0)</f>
        <v>0</v>
      </c>
      <c r="F96" s="6">
        <v>240</v>
      </c>
      <c r="G96" s="6">
        <v>249</v>
      </c>
      <c r="H96" s="20">
        <v>17</v>
      </c>
      <c r="P96"/>
    </row>
    <row r="97" spans="1:16" ht="15" x14ac:dyDescent="0.25">
      <c r="A97" s="28">
        <f>IF(Perfil!$H$14&gt;=B97,IF(Perfil!$H$14&lt;=C97,D97,0),0)</f>
        <v>0</v>
      </c>
      <c r="B97" s="6">
        <v>250</v>
      </c>
      <c r="C97" s="6">
        <v>259</v>
      </c>
      <c r="D97" s="20">
        <v>30</v>
      </c>
      <c r="E97" s="28">
        <f>IF(Perfil!$H$14&gt;=F97,IF(Perfil!$H$14&lt;=G97,H97,0),0)</f>
        <v>0</v>
      </c>
      <c r="F97" s="6">
        <v>250</v>
      </c>
      <c r="G97" s="6">
        <v>259</v>
      </c>
      <c r="H97" s="20">
        <v>26</v>
      </c>
      <c r="P97"/>
    </row>
    <row r="98" spans="1:16" ht="15" x14ac:dyDescent="0.25">
      <c r="A98" s="28">
        <f>IF(Perfil!$H$14&gt;=B98,IF(Perfil!$H$14&lt;=C98,D98,0),0)</f>
        <v>0</v>
      </c>
      <c r="B98" s="6">
        <v>260</v>
      </c>
      <c r="C98" s="6">
        <v>269</v>
      </c>
      <c r="D98" s="20">
        <v>35</v>
      </c>
      <c r="E98" s="28">
        <f>IF(Perfil!$H$14&gt;=F98,IF(Perfil!$H$14&lt;=G98,H98,0),0)</f>
        <v>0</v>
      </c>
      <c r="F98" s="6">
        <v>260</v>
      </c>
      <c r="G98" s="6">
        <v>269</v>
      </c>
      <c r="H98" s="20">
        <v>34</v>
      </c>
      <c r="P98"/>
    </row>
    <row r="99" spans="1:16" ht="15" x14ac:dyDescent="0.25">
      <c r="A99" s="28">
        <f>IF(Perfil!$H$14&gt;=B99,IF(Perfil!$H$14&lt;=C99,D99,0),0)</f>
        <v>0</v>
      </c>
      <c r="B99" s="6">
        <v>270</v>
      </c>
      <c r="C99" s="6">
        <v>279</v>
      </c>
      <c r="D99" s="20">
        <v>37</v>
      </c>
      <c r="E99" s="28">
        <f>IF(Perfil!$H$14&gt;=F99,IF(Perfil!$H$14&lt;=G99,H99,0),0)</f>
        <v>0</v>
      </c>
      <c r="F99" s="6">
        <v>270</v>
      </c>
      <c r="G99" s="6">
        <v>279</v>
      </c>
      <c r="H99" s="20">
        <v>37</v>
      </c>
      <c r="P99"/>
    </row>
    <row r="100" spans="1:16" ht="15" x14ac:dyDescent="0.25">
      <c r="A100" s="28">
        <f>IF(Perfil!$H$14&gt;=B100,IF(Perfil!$H$14&lt;=C100,D100,0),0)</f>
        <v>0</v>
      </c>
      <c r="B100" s="6">
        <v>280</v>
      </c>
      <c r="C100" s="6">
        <v>289</v>
      </c>
      <c r="D100" s="20">
        <v>39</v>
      </c>
      <c r="E100" s="28">
        <f>IF(Perfil!$H$14&gt;=F100,IF(Perfil!$H$14&lt;=G100,H100,0),0)</f>
        <v>0</v>
      </c>
      <c r="F100" s="6">
        <v>280</v>
      </c>
      <c r="G100" s="6">
        <v>289</v>
      </c>
      <c r="H100" s="20">
        <v>41</v>
      </c>
      <c r="P100"/>
    </row>
    <row r="101" spans="1:16" ht="15" x14ac:dyDescent="0.25">
      <c r="A101" s="28">
        <f>IF(Perfil!$H$14&gt;=B101,IF(Perfil!$H$14&lt;=C101,D101,0),0)</f>
        <v>0</v>
      </c>
      <c r="B101" s="6">
        <v>290</v>
      </c>
      <c r="C101" s="6">
        <v>299</v>
      </c>
      <c r="D101" s="20">
        <v>41</v>
      </c>
      <c r="E101" s="28">
        <f>IF(Perfil!$H$14&gt;=F101,IF(Perfil!$H$14&lt;=G101,H101,0),0)</f>
        <v>0</v>
      </c>
      <c r="F101" s="6">
        <v>290</v>
      </c>
      <c r="G101" s="6">
        <v>299</v>
      </c>
      <c r="H101" s="20">
        <v>44</v>
      </c>
      <c r="P101"/>
    </row>
    <row r="102" spans="1:16" ht="15" x14ac:dyDescent="0.25">
      <c r="A102" s="28">
        <f>IF(Perfil!$H$14&gt;=B102,IF(Perfil!$H$14&lt;=C102,D102,0),0)</f>
        <v>0</v>
      </c>
      <c r="B102" s="6">
        <v>300</v>
      </c>
      <c r="C102" s="6">
        <v>309</v>
      </c>
      <c r="D102" s="20">
        <v>44</v>
      </c>
      <c r="E102" s="28">
        <f>IF(Perfil!$H$14&gt;=F102,IF(Perfil!$H$14&lt;=G102,H102,0),0)</f>
        <v>0</v>
      </c>
      <c r="F102" s="6">
        <v>300</v>
      </c>
      <c r="G102" s="6">
        <v>309</v>
      </c>
      <c r="H102" s="20">
        <v>47</v>
      </c>
      <c r="P102"/>
    </row>
    <row r="103" spans="1:16" ht="15" x14ac:dyDescent="0.25">
      <c r="A103" s="28">
        <f>IF(Perfil!$H$14&gt;=B103,IF(Perfil!$H$14&lt;=C103,D103,0),0)</f>
        <v>0</v>
      </c>
      <c r="B103" s="6">
        <v>310</v>
      </c>
      <c r="C103" s="6">
        <v>319</v>
      </c>
      <c r="D103" s="20">
        <v>47</v>
      </c>
      <c r="E103" s="28">
        <f>IF(Perfil!$H$14&gt;=F103,IF(Perfil!$H$14&lt;=G103,H103,0),0)</f>
        <v>0</v>
      </c>
      <c r="F103" s="6">
        <v>310</v>
      </c>
      <c r="G103" s="6">
        <v>319</v>
      </c>
      <c r="H103" s="20">
        <v>50</v>
      </c>
      <c r="P103"/>
    </row>
    <row r="104" spans="1:16" ht="15" x14ac:dyDescent="0.25">
      <c r="A104" s="28">
        <f>IF(Perfil!$H$14&gt;=B104,IF(Perfil!$H$14&lt;=C104,D104,0),0)</f>
        <v>0</v>
      </c>
      <c r="B104" s="6">
        <v>320</v>
      </c>
      <c r="C104" s="6">
        <v>329</v>
      </c>
      <c r="D104" s="20">
        <v>50</v>
      </c>
      <c r="E104" s="28">
        <f>IF(Perfil!$H$14&gt;=F104,IF(Perfil!$H$14&lt;=G104,H104,0),0)</f>
        <v>0</v>
      </c>
      <c r="F104" s="6">
        <v>320</v>
      </c>
      <c r="G104" s="6">
        <v>329</v>
      </c>
      <c r="H104" s="20">
        <v>53</v>
      </c>
      <c r="P104"/>
    </row>
    <row r="105" spans="1:16" ht="15" x14ac:dyDescent="0.25">
      <c r="A105" s="28">
        <f>IF(Perfil!$H$14&gt;=B105,IF(Perfil!$H$14&lt;=C105,D105,0),0)</f>
        <v>0</v>
      </c>
      <c r="B105" s="6">
        <v>330</v>
      </c>
      <c r="C105" s="6">
        <v>339</v>
      </c>
      <c r="D105" s="20">
        <v>52</v>
      </c>
      <c r="E105" s="28">
        <f>IF(Perfil!$H$14&gt;=F105,IF(Perfil!$H$14&lt;=G105,H105,0),0)</f>
        <v>0</v>
      </c>
      <c r="F105" s="6">
        <v>330</v>
      </c>
      <c r="G105" s="6">
        <v>339</v>
      </c>
      <c r="H105" s="20">
        <v>56</v>
      </c>
      <c r="P105"/>
    </row>
    <row r="106" spans="1:16" ht="15" x14ac:dyDescent="0.25">
      <c r="A106" s="28">
        <f>IF(Perfil!$H$14&gt;=B106,IF(Perfil!$H$14&lt;=C106,D106,0),0)</f>
        <v>0</v>
      </c>
      <c r="B106" s="6">
        <v>340</v>
      </c>
      <c r="C106" s="6">
        <v>349</v>
      </c>
      <c r="D106" s="20">
        <v>55</v>
      </c>
      <c r="E106" s="28">
        <f>IF(Perfil!$H$14&gt;=F106,IF(Perfil!$H$14&lt;=G106,H106,0),0)</f>
        <v>0</v>
      </c>
      <c r="F106" s="6">
        <v>340</v>
      </c>
      <c r="G106" s="6">
        <v>349</v>
      </c>
      <c r="H106" s="20">
        <v>59</v>
      </c>
      <c r="P106"/>
    </row>
    <row r="107" spans="1:16" ht="15" x14ac:dyDescent="0.25">
      <c r="A107" s="28">
        <f>IF(Perfil!$H$14&gt;=B107,IF(Perfil!$H$14&lt;=C107,D107,0),0)</f>
        <v>0</v>
      </c>
      <c r="B107" s="6">
        <v>350</v>
      </c>
      <c r="C107" s="6">
        <v>359</v>
      </c>
      <c r="D107" s="20">
        <v>58</v>
      </c>
      <c r="E107" s="28">
        <f>IF(Perfil!$H$14&gt;=F107,IF(Perfil!$H$14&lt;=G107,H107,0),0)</f>
        <v>0</v>
      </c>
      <c r="F107" s="6">
        <v>350</v>
      </c>
      <c r="G107" s="6">
        <v>359</v>
      </c>
      <c r="H107" s="20">
        <v>62</v>
      </c>
      <c r="P107"/>
    </row>
    <row r="108" spans="1:16" ht="15" x14ac:dyDescent="0.25">
      <c r="A108" s="28">
        <f>IF(Perfil!$H$14&gt;=B108,IF(Perfil!$H$14&lt;=C108,D108,0),0)</f>
        <v>0</v>
      </c>
      <c r="B108" s="6">
        <v>360</v>
      </c>
      <c r="C108" s="6">
        <v>369</v>
      </c>
      <c r="D108" s="20">
        <v>60</v>
      </c>
      <c r="E108" s="28">
        <f>IF(Perfil!$H$14&gt;=F108,IF(Perfil!$H$14&lt;=G108,H108,0),0)</f>
        <v>0</v>
      </c>
      <c r="F108" s="6">
        <v>360</v>
      </c>
      <c r="G108" s="6">
        <v>369</v>
      </c>
      <c r="H108" s="20">
        <v>64</v>
      </c>
      <c r="P108"/>
    </row>
    <row r="109" spans="1:16" ht="15" x14ac:dyDescent="0.25">
      <c r="A109" s="28">
        <f>IF(Perfil!$H$14&gt;=B109,IF(Perfil!$H$14&lt;=C109,D109,0),0)</f>
        <v>0</v>
      </c>
      <c r="B109" s="6">
        <v>370</v>
      </c>
      <c r="C109" s="6">
        <v>379</v>
      </c>
      <c r="D109" s="20">
        <v>62</v>
      </c>
      <c r="E109" s="28">
        <f>IF(Perfil!$H$14&gt;=F109,IF(Perfil!$H$14&lt;=G109,H109,0),0)</f>
        <v>0</v>
      </c>
      <c r="F109" s="6">
        <v>370</v>
      </c>
      <c r="G109" s="6">
        <v>379</v>
      </c>
      <c r="H109" s="20">
        <v>66</v>
      </c>
      <c r="P109"/>
    </row>
    <row r="110" spans="1:16" ht="15" x14ac:dyDescent="0.25">
      <c r="A110" s="28">
        <f>IF(Perfil!$H$14&gt;=B110,IF(Perfil!$H$14&lt;=C110,D110,0),0)</f>
        <v>0</v>
      </c>
      <c r="B110" s="6">
        <v>380</v>
      </c>
      <c r="C110" s="6">
        <v>389</v>
      </c>
      <c r="D110" s="20">
        <v>64</v>
      </c>
      <c r="E110" s="28">
        <f>IF(Perfil!$H$14&gt;=F110,IF(Perfil!$H$14&lt;=G110,H110,0),0)</f>
        <v>0</v>
      </c>
      <c r="F110" s="6">
        <v>380</v>
      </c>
      <c r="G110" s="6">
        <v>389</v>
      </c>
      <c r="H110" s="20">
        <v>69</v>
      </c>
      <c r="P110"/>
    </row>
    <row r="111" spans="1:16" ht="15" x14ac:dyDescent="0.25">
      <c r="A111" s="28">
        <f>IF(Perfil!$H$14&gt;=B111,IF(Perfil!$H$14&lt;=C111,D111,0),0)</f>
        <v>0</v>
      </c>
      <c r="B111" s="6">
        <v>390</v>
      </c>
      <c r="C111" s="6">
        <v>399</v>
      </c>
      <c r="D111" s="20">
        <v>67</v>
      </c>
      <c r="E111" s="28">
        <f>IF(Perfil!$H$14&gt;=F111,IF(Perfil!$H$14&lt;=G111,H111,0),0)</f>
        <v>0</v>
      </c>
      <c r="F111" s="6">
        <v>390</v>
      </c>
      <c r="G111" s="6">
        <v>399</v>
      </c>
      <c r="H111" s="20">
        <v>71</v>
      </c>
      <c r="P111"/>
    </row>
    <row r="112" spans="1:16" ht="15" x14ac:dyDescent="0.25">
      <c r="A112" s="28">
        <f>IF(Perfil!$H$14&gt;=B112,IF(Perfil!$H$14&lt;=C112,D112,0),0)</f>
        <v>0</v>
      </c>
      <c r="B112" s="6">
        <v>400</v>
      </c>
      <c r="C112" s="6">
        <v>409</v>
      </c>
      <c r="D112" s="20">
        <v>70</v>
      </c>
      <c r="E112" s="28">
        <f>IF(Perfil!$H$14&gt;=F112,IF(Perfil!$H$14&lt;=G112,H112,0),0)</f>
        <v>0</v>
      </c>
      <c r="F112" s="6">
        <v>400</v>
      </c>
      <c r="G112" s="6">
        <v>409</v>
      </c>
      <c r="H112" s="20">
        <v>73</v>
      </c>
      <c r="P112"/>
    </row>
    <row r="113" spans="1:16" ht="15" x14ac:dyDescent="0.25">
      <c r="A113" s="28">
        <f>IF(Perfil!$H$14&gt;=B113,IF(Perfil!$H$14&lt;=C113,D113,0),0)</f>
        <v>0</v>
      </c>
      <c r="B113" s="6">
        <v>410</v>
      </c>
      <c r="C113" s="6">
        <v>419</v>
      </c>
      <c r="D113" s="20">
        <v>72</v>
      </c>
      <c r="E113" s="28">
        <f>IF(Perfil!$H$14&gt;=F113,IF(Perfil!$H$14&lt;=G113,H113,0),0)</f>
        <v>0</v>
      </c>
      <c r="F113" s="6">
        <v>410</v>
      </c>
      <c r="G113" s="6">
        <v>419</v>
      </c>
      <c r="H113" s="20">
        <v>75</v>
      </c>
      <c r="J113" s="26"/>
      <c r="P113"/>
    </row>
    <row r="114" spans="1:16" ht="15" x14ac:dyDescent="0.25">
      <c r="A114" s="28">
        <f>IF(Perfil!$H$14&gt;=B114,IF(Perfil!$H$14&lt;=C114,D114,0),0)</f>
        <v>0</v>
      </c>
      <c r="B114" s="6">
        <v>420</v>
      </c>
      <c r="C114" s="6">
        <v>429</v>
      </c>
      <c r="D114" s="20">
        <v>75</v>
      </c>
      <c r="E114" s="28">
        <f>IF(Perfil!$H$14&gt;=F114,IF(Perfil!$H$14&lt;=G114,H114,0),0)</f>
        <v>0</v>
      </c>
      <c r="F114" s="6">
        <v>420</v>
      </c>
      <c r="G114" s="6">
        <v>429</v>
      </c>
      <c r="H114" s="20">
        <v>77</v>
      </c>
      <c r="P114"/>
    </row>
    <row r="115" spans="1:16" ht="15" x14ac:dyDescent="0.25">
      <c r="A115" s="28">
        <f>IF(Perfil!$H$14&gt;=B115,IF(Perfil!$H$14&lt;=C115,D115,0),0)</f>
        <v>0</v>
      </c>
      <c r="B115" s="6">
        <v>430</v>
      </c>
      <c r="C115" s="6">
        <v>439</v>
      </c>
      <c r="D115" s="20">
        <v>77</v>
      </c>
      <c r="E115" s="28">
        <f>IF(Perfil!$H$14&gt;=F115,IF(Perfil!$H$14&lt;=G115,H115,0),0)</f>
        <v>0</v>
      </c>
      <c r="F115" s="6">
        <v>430</v>
      </c>
      <c r="G115" s="6">
        <v>439</v>
      </c>
      <c r="H115" s="20">
        <v>79</v>
      </c>
      <c r="P115"/>
    </row>
    <row r="116" spans="1:16" ht="15" x14ac:dyDescent="0.25">
      <c r="A116" s="28">
        <f>IF(Perfil!$H$14&gt;=B116,IF(Perfil!$H$14&lt;=C116,D116,0),0)</f>
        <v>0</v>
      </c>
      <c r="B116" s="6">
        <v>440</v>
      </c>
      <c r="C116" s="6">
        <v>449</v>
      </c>
      <c r="D116" s="20">
        <v>79</v>
      </c>
      <c r="E116" s="28">
        <f>IF(Perfil!$H$14&gt;=F116,IF(Perfil!$H$14&lt;=G116,H116,0),0)</f>
        <v>0</v>
      </c>
      <c r="F116" s="6">
        <v>440</v>
      </c>
      <c r="G116" s="6">
        <v>449</v>
      </c>
      <c r="H116" s="20">
        <v>81</v>
      </c>
      <c r="P116"/>
    </row>
    <row r="117" spans="1:16" ht="15" x14ac:dyDescent="0.25">
      <c r="A117" s="28">
        <f>IF(Perfil!$H$14&gt;=B117,IF(Perfil!$H$14&lt;=C117,D117,0),0)</f>
        <v>0</v>
      </c>
      <c r="B117" s="6">
        <v>450</v>
      </c>
      <c r="C117" s="6">
        <v>459</v>
      </c>
      <c r="D117" s="20">
        <v>81</v>
      </c>
      <c r="E117" s="28">
        <f>IF(Perfil!$H$14&gt;=F117,IF(Perfil!$H$14&lt;=G117,H117,0),0)</f>
        <v>0</v>
      </c>
      <c r="F117" s="6">
        <v>450</v>
      </c>
      <c r="G117" s="6">
        <v>459</v>
      </c>
      <c r="H117" s="20">
        <v>82</v>
      </c>
      <c r="P117"/>
    </row>
    <row r="118" spans="1:16" ht="15" x14ac:dyDescent="0.25">
      <c r="A118" s="28">
        <f>IF(Perfil!$H$14&gt;=B118,IF(Perfil!$H$14&lt;=C118,D118,0),0)</f>
        <v>0</v>
      </c>
      <c r="B118" s="6">
        <v>460</v>
      </c>
      <c r="C118" s="6">
        <v>469</v>
      </c>
      <c r="D118" s="20">
        <v>83</v>
      </c>
      <c r="E118" s="28">
        <f>IF(Perfil!$H$14&gt;=F118,IF(Perfil!$H$14&lt;=G118,H118,0),0)</f>
        <v>0</v>
      </c>
      <c r="F118" s="6">
        <v>460</v>
      </c>
      <c r="G118" s="6">
        <v>469</v>
      </c>
      <c r="H118" s="20">
        <v>86</v>
      </c>
      <c r="P118"/>
    </row>
    <row r="119" spans="1:16" ht="15" x14ac:dyDescent="0.25">
      <c r="A119" s="28">
        <f>IF(Perfil!$H$14&gt;=B119,IF(Perfil!$H$14&lt;=C119,D119,0),0)</f>
        <v>0</v>
      </c>
      <c r="B119" s="6">
        <v>470</v>
      </c>
      <c r="C119" s="6">
        <v>479</v>
      </c>
      <c r="D119" s="20">
        <v>85</v>
      </c>
      <c r="E119" s="28">
        <f>IF(Perfil!$H$14&gt;=F119,IF(Perfil!$H$14&lt;=G119,H119,0),0)</f>
        <v>0</v>
      </c>
      <c r="F119" s="6">
        <v>470</v>
      </c>
      <c r="G119" s="6">
        <v>479</v>
      </c>
      <c r="H119" s="20">
        <v>89</v>
      </c>
      <c r="P119"/>
    </row>
    <row r="120" spans="1:16" ht="15" x14ac:dyDescent="0.25">
      <c r="A120" s="28">
        <f>IF(Perfil!$H$14&gt;=B120,IF(Perfil!$H$14&lt;=C120,D120,0),0)</f>
        <v>86</v>
      </c>
      <c r="B120" s="6">
        <v>480</v>
      </c>
      <c r="C120" s="6">
        <v>489</v>
      </c>
      <c r="D120" s="20">
        <v>86</v>
      </c>
      <c r="E120" s="28">
        <f>IF(Perfil!$H$14&gt;=F120,IF(Perfil!$H$14&lt;=G120,H120,0),0)</f>
        <v>90</v>
      </c>
      <c r="F120" s="6">
        <v>480</v>
      </c>
      <c r="G120" s="6">
        <v>489</v>
      </c>
      <c r="H120" s="20">
        <v>90</v>
      </c>
      <c r="P120"/>
    </row>
    <row r="121" spans="1:16" ht="15" x14ac:dyDescent="0.25">
      <c r="A121" s="28">
        <f>IF(Perfil!$H$14&gt;=B121,IF(Perfil!$H$14&lt;=C121,D121,0),0)</f>
        <v>0</v>
      </c>
      <c r="B121" s="6">
        <v>490</v>
      </c>
      <c r="C121" s="6">
        <v>499</v>
      </c>
      <c r="D121" s="20">
        <v>87</v>
      </c>
      <c r="E121" s="28">
        <f>IF(Perfil!$H$14&gt;=F121,IF(Perfil!$H$14&lt;=G121,H121,0),0)</f>
        <v>0</v>
      </c>
      <c r="F121" s="6">
        <v>490</v>
      </c>
      <c r="G121" s="6">
        <v>499</v>
      </c>
      <c r="H121" s="20">
        <v>92</v>
      </c>
      <c r="P121"/>
    </row>
    <row r="122" spans="1:16" ht="15" x14ac:dyDescent="0.25">
      <c r="A122" s="28">
        <f>IF(Perfil!$H$14&gt;=B122,IF(Perfil!$H$14&lt;=C122,D122,0),0)</f>
        <v>0</v>
      </c>
      <c r="B122" s="6">
        <v>500</v>
      </c>
      <c r="C122" s="6">
        <v>509</v>
      </c>
      <c r="D122" s="20">
        <v>88</v>
      </c>
      <c r="E122" s="28">
        <f>IF(Perfil!$H$14&gt;=F122,IF(Perfil!$H$14&lt;=G122,H122,0),0)</f>
        <v>0</v>
      </c>
      <c r="F122" s="6">
        <v>500</v>
      </c>
      <c r="G122" s="6">
        <v>509</v>
      </c>
      <c r="H122" s="20">
        <v>93</v>
      </c>
      <c r="P122"/>
    </row>
    <row r="123" spans="1:16" ht="15" x14ac:dyDescent="0.25">
      <c r="A123" s="28">
        <f>IF(Perfil!$H$14&gt;=B123,IF(Perfil!$H$14&lt;=C123,D123,0),0)</f>
        <v>0</v>
      </c>
      <c r="B123" s="6">
        <v>510</v>
      </c>
      <c r="C123" s="6">
        <v>519</v>
      </c>
      <c r="D123" s="20">
        <v>90</v>
      </c>
      <c r="E123" s="28">
        <f>IF(Perfil!$H$14&gt;=F123,IF(Perfil!$H$14&lt;=G123,H123,0),0)</f>
        <v>0</v>
      </c>
      <c r="F123" s="6">
        <v>510</v>
      </c>
      <c r="G123" s="6">
        <v>519</v>
      </c>
      <c r="H123" s="20">
        <v>94</v>
      </c>
      <c r="P123"/>
    </row>
    <row r="124" spans="1:16" ht="15" x14ac:dyDescent="0.25">
      <c r="A124" s="28">
        <f>IF(Perfil!$H$14&gt;=B124,IF(Perfil!$H$14&lt;=C124,D124,0),0)</f>
        <v>0</v>
      </c>
      <c r="B124" s="6">
        <v>520</v>
      </c>
      <c r="C124" s="6">
        <v>529</v>
      </c>
      <c r="D124" s="20">
        <v>91</v>
      </c>
      <c r="E124" s="28">
        <f>IF(Perfil!$H$14&gt;=F124,IF(Perfil!$H$14&lt;=G124,H124,0),0)</f>
        <v>0</v>
      </c>
      <c r="F124" s="6">
        <v>520</v>
      </c>
      <c r="G124" s="6">
        <v>529</v>
      </c>
      <c r="H124" s="20">
        <v>95</v>
      </c>
      <c r="P124"/>
    </row>
    <row r="125" spans="1:16" ht="15" x14ac:dyDescent="0.25">
      <c r="A125" s="28">
        <f>IF(Perfil!$H$14&gt;=B125,IF(Perfil!$H$14&lt;=C125,D125,0),0)</f>
        <v>0</v>
      </c>
      <c r="B125" s="6">
        <v>530</v>
      </c>
      <c r="C125" s="6">
        <v>539</v>
      </c>
      <c r="D125" s="20">
        <v>93</v>
      </c>
      <c r="E125" s="28">
        <f>IF(Perfil!$H$14&gt;=F125,IF(Perfil!$H$14&lt;=G125,H125,0),0)</f>
        <v>0</v>
      </c>
      <c r="F125" s="6">
        <v>530</v>
      </c>
      <c r="G125" s="6">
        <v>539</v>
      </c>
      <c r="H125" s="20">
        <v>96</v>
      </c>
      <c r="P125"/>
    </row>
    <row r="126" spans="1:16" ht="15" x14ac:dyDescent="0.25">
      <c r="A126" s="28">
        <f>IF(Perfil!$H$14&gt;=B126,IF(Perfil!$H$14&lt;=C126,D126,0),0)</f>
        <v>0</v>
      </c>
      <c r="B126" s="6">
        <v>540</v>
      </c>
      <c r="C126" s="6">
        <v>549</v>
      </c>
      <c r="D126" s="20">
        <v>94</v>
      </c>
      <c r="E126" s="28">
        <f>IF(Perfil!$H$14&gt;=F126,IF(Perfil!$H$14&lt;=G126,H126,0),0)</f>
        <v>0</v>
      </c>
      <c r="F126" s="6">
        <v>540</v>
      </c>
      <c r="G126" s="6">
        <v>549</v>
      </c>
      <c r="H126" s="20">
        <v>97</v>
      </c>
      <c r="P126"/>
    </row>
    <row r="127" spans="1:16" ht="15" x14ac:dyDescent="0.25">
      <c r="A127" s="28">
        <f>IF(Perfil!$H$14&gt;=B127,IF(Perfil!$H$14&lt;=C127,D127,0),0)</f>
        <v>0</v>
      </c>
      <c r="B127" s="6">
        <v>550</v>
      </c>
      <c r="C127" s="6">
        <v>559</v>
      </c>
      <c r="D127" s="20">
        <v>95</v>
      </c>
      <c r="E127" s="28">
        <f>IF(Perfil!$H$14&gt;=F127,IF(Perfil!$H$14&lt;=G127,H127,0),0)</f>
        <v>0</v>
      </c>
      <c r="F127" s="6">
        <v>550</v>
      </c>
      <c r="G127" s="6">
        <v>559</v>
      </c>
      <c r="H127" s="20">
        <v>98</v>
      </c>
      <c r="P127"/>
    </row>
    <row r="128" spans="1:16" ht="15" x14ac:dyDescent="0.25">
      <c r="A128" s="28">
        <f>IF(Perfil!$H$14&gt;=B128,IF(Perfil!$H$14&lt;=C128,D128,0),0)</f>
        <v>0</v>
      </c>
      <c r="B128" s="6">
        <v>560</v>
      </c>
      <c r="C128" s="6">
        <v>569</v>
      </c>
      <c r="D128" s="20">
        <v>97</v>
      </c>
      <c r="E128" s="28">
        <f>IF(Perfil!$H$14&gt;=F128,IF(Perfil!$H$14&lt;=G128,H128,0),0)</f>
        <v>0</v>
      </c>
      <c r="F128" s="6">
        <v>560</v>
      </c>
      <c r="G128" s="6">
        <v>569</v>
      </c>
      <c r="H128" s="20">
        <v>98</v>
      </c>
      <c r="P128"/>
    </row>
    <row r="129" spans="1:16" ht="15" x14ac:dyDescent="0.25">
      <c r="A129" s="28">
        <f>IF(Perfil!$H$14&gt;=B129,IF(Perfil!$H$14&lt;=C129,D129,0),0)</f>
        <v>0</v>
      </c>
      <c r="B129" s="6">
        <v>570</v>
      </c>
      <c r="C129" s="6">
        <v>579</v>
      </c>
      <c r="D129" s="20">
        <v>98</v>
      </c>
      <c r="E129" s="28">
        <f>IF(Perfil!$H$14&gt;=F129,IF(Perfil!$H$14&lt;=G129,H129,0),0)</f>
        <v>0</v>
      </c>
      <c r="F129" s="6">
        <v>570</v>
      </c>
      <c r="G129" s="6">
        <v>579</v>
      </c>
      <c r="H129" s="20">
        <v>99</v>
      </c>
      <c r="P129"/>
    </row>
    <row r="130" spans="1:16" ht="15" x14ac:dyDescent="0.25">
      <c r="A130" s="28">
        <f>IF(Perfil!$H$14&gt;=B130,IF(Perfil!$H$14&lt;=C130,D130,0),0)</f>
        <v>0</v>
      </c>
      <c r="B130" s="6">
        <v>580</v>
      </c>
      <c r="C130" s="6">
        <v>589</v>
      </c>
      <c r="D130" s="20">
        <v>99</v>
      </c>
      <c r="E130" s="28">
        <f>IF(Perfil!$H$14&gt;=F130,IF(Perfil!$H$14&lt;=G130,H130,0),0)</f>
        <v>0</v>
      </c>
      <c r="F130" s="6">
        <v>580</v>
      </c>
      <c r="G130" s="6">
        <v>589</v>
      </c>
      <c r="H130" s="20">
        <v>100</v>
      </c>
      <c r="P130"/>
    </row>
    <row r="131" spans="1:16" x14ac:dyDescent="0.25">
      <c r="A131" s="28">
        <f>+SUM(A92:A128)</f>
        <v>86</v>
      </c>
      <c r="E131" s="28">
        <f>+SUM(E92:E130)</f>
        <v>90</v>
      </c>
    </row>
  </sheetData>
  <mergeCells count="10">
    <mergeCell ref="F90:H90"/>
    <mergeCell ref="B90:D90"/>
    <mergeCell ref="EX2:GA2"/>
    <mergeCell ref="GC2:HF2"/>
    <mergeCell ref="HH2:IK2"/>
    <mergeCell ref="B2:AE2"/>
    <mergeCell ref="AG2:BI2"/>
    <mergeCell ref="BK2:CM2"/>
    <mergeCell ref="CO2:DQ2"/>
    <mergeCell ref="DS2:EV2"/>
  </mergeCells>
  <pageMargins left="0.7" right="0.7" top="0.75" bottom="0.75" header="0.3" footer="0.3"/>
  <pageSetup paperSize="9" orientation="portrait" horizontalDpi="4294967292"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8D89A-0D5C-47D2-9DA2-0DE37952618D}">
  <dimension ref="A1"/>
  <sheetViews>
    <sheetView workbookViewId="0"/>
  </sheetViews>
  <sheetFormatPr baseColWidth="10"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F2E9E8-1C53-4E6F-AAC8-5AB5490832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243</vt:i4>
      </vt:variant>
    </vt:vector>
  </HeadingPairs>
  <TitlesOfParts>
    <vt:vector size="252" baseType="lpstr">
      <vt:lpstr>Inicio </vt:lpstr>
      <vt:lpstr>Ingreso de Datos</vt:lpstr>
      <vt:lpstr>Perfil</vt:lpstr>
      <vt:lpstr>Informe</vt:lpstr>
      <vt:lpstr>Ajustes</vt:lpstr>
      <vt:lpstr>Base de Datos</vt:lpstr>
      <vt:lpstr>Base de Datos TB</vt:lpstr>
      <vt:lpstr>Baremos</vt:lpstr>
      <vt:lpstr>Hoja1</vt:lpstr>
      <vt:lpstr>AA_B</vt:lpstr>
      <vt:lpstr>AA_C</vt:lpstr>
      <vt:lpstr>AA_D</vt:lpstr>
      <vt:lpstr>AA_E</vt:lpstr>
      <vt:lpstr>AA_F</vt:lpstr>
      <vt:lpstr>AA_G</vt:lpstr>
      <vt:lpstr>AA_H</vt:lpstr>
      <vt:lpstr>AA_J</vt:lpstr>
      <vt:lpstr>AAA_B</vt:lpstr>
      <vt:lpstr>AAA_C</vt:lpstr>
      <vt:lpstr>AAA_D</vt:lpstr>
      <vt:lpstr>AAA_E</vt:lpstr>
      <vt:lpstr>AAA_F</vt:lpstr>
      <vt:lpstr>AAA_G</vt:lpstr>
      <vt:lpstr>AAA_H</vt:lpstr>
      <vt:lpstr>AAA_J</vt:lpstr>
      <vt:lpstr>BA_B</vt:lpstr>
      <vt:lpstr>BA_C</vt:lpstr>
      <vt:lpstr>BA_D</vt:lpstr>
      <vt:lpstr>BA_E</vt:lpstr>
      <vt:lpstr>BA_F</vt:lpstr>
      <vt:lpstr>BA_G</vt:lpstr>
      <vt:lpstr>BA_H</vt:lpstr>
      <vt:lpstr>BA_J</vt:lpstr>
      <vt:lpstr>BBA_B</vt:lpstr>
      <vt:lpstr>BBA_C</vt:lpstr>
      <vt:lpstr>BBA_D</vt:lpstr>
      <vt:lpstr>BBA_E</vt:lpstr>
      <vt:lpstr>BBA_F</vt:lpstr>
      <vt:lpstr>BBA_G</vt:lpstr>
      <vt:lpstr>BBA_H</vt:lpstr>
      <vt:lpstr>BBA_J</vt:lpstr>
      <vt:lpstr>CA_B</vt:lpstr>
      <vt:lpstr>CA_C</vt:lpstr>
      <vt:lpstr>CA_D</vt:lpstr>
      <vt:lpstr>CA_E</vt:lpstr>
      <vt:lpstr>CA_F</vt:lpstr>
      <vt:lpstr>CA_G</vt:lpstr>
      <vt:lpstr>CA_H</vt:lpstr>
      <vt:lpstr>CA_J</vt:lpstr>
      <vt:lpstr>CCA_B</vt:lpstr>
      <vt:lpstr>CCA_C</vt:lpstr>
      <vt:lpstr>CCA_D</vt:lpstr>
      <vt:lpstr>CCA_E</vt:lpstr>
      <vt:lpstr>CCA_F</vt:lpstr>
      <vt:lpstr>CCA_G</vt:lpstr>
      <vt:lpstr>CCA_H</vt:lpstr>
      <vt:lpstr>CCA_J</vt:lpstr>
      <vt:lpstr>DA_B</vt:lpstr>
      <vt:lpstr>DA_C</vt:lpstr>
      <vt:lpstr>DA_D</vt:lpstr>
      <vt:lpstr>DA_E</vt:lpstr>
      <vt:lpstr>DA_F</vt:lpstr>
      <vt:lpstr>DA_G</vt:lpstr>
      <vt:lpstr>DA_H</vt:lpstr>
      <vt:lpstr>DA_J</vt:lpstr>
      <vt:lpstr>DDA_B</vt:lpstr>
      <vt:lpstr>DDA_C</vt:lpstr>
      <vt:lpstr>DDA_D</vt:lpstr>
      <vt:lpstr>DDA_E</vt:lpstr>
      <vt:lpstr>DDA_F</vt:lpstr>
      <vt:lpstr>DDA_G</vt:lpstr>
      <vt:lpstr>DDA_H</vt:lpstr>
      <vt:lpstr>DDA_J</vt:lpstr>
      <vt:lpstr>EA_B</vt:lpstr>
      <vt:lpstr>EA_C</vt:lpstr>
      <vt:lpstr>EA_D</vt:lpstr>
      <vt:lpstr>EA_E</vt:lpstr>
      <vt:lpstr>EA_F</vt:lpstr>
      <vt:lpstr>EA_G</vt:lpstr>
      <vt:lpstr>EA_H</vt:lpstr>
      <vt:lpstr>EA_J</vt:lpstr>
      <vt:lpstr>EEA_B</vt:lpstr>
      <vt:lpstr>EEA_C</vt:lpstr>
      <vt:lpstr>EEA_D</vt:lpstr>
      <vt:lpstr>EEA_E</vt:lpstr>
      <vt:lpstr>EEA_F</vt:lpstr>
      <vt:lpstr>EEA_G</vt:lpstr>
      <vt:lpstr>EEA_H</vt:lpstr>
      <vt:lpstr>EEA_J</vt:lpstr>
      <vt:lpstr>FA_B</vt:lpstr>
      <vt:lpstr>FA_C</vt:lpstr>
      <vt:lpstr>FA_D</vt:lpstr>
      <vt:lpstr>FA_E</vt:lpstr>
      <vt:lpstr>FA_F</vt:lpstr>
      <vt:lpstr>FA_G</vt:lpstr>
      <vt:lpstr>FA_H</vt:lpstr>
      <vt:lpstr>FA_J</vt:lpstr>
      <vt:lpstr>FFA_B</vt:lpstr>
      <vt:lpstr>FFA_C</vt:lpstr>
      <vt:lpstr>FFA_D</vt:lpstr>
      <vt:lpstr>FFA_E</vt:lpstr>
      <vt:lpstr>FFA_F</vt:lpstr>
      <vt:lpstr>FFA_G</vt:lpstr>
      <vt:lpstr>FFA_H</vt:lpstr>
      <vt:lpstr>FFA_J</vt:lpstr>
      <vt:lpstr>GGA_B</vt:lpstr>
      <vt:lpstr>GGA_C</vt:lpstr>
      <vt:lpstr>GGA_D</vt:lpstr>
      <vt:lpstr>GGA_E</vt:lpstr>
      <vt:lpstr>GGA_F</vt:lpstr>
      <vt:lpstr>GGA_G</vt:lpstr>
      <vt:lpstr>GGA_H</vt:lpstr>
      <vt:lpstr>GGA_J</vt:lpstr>
      <vt:lpstr>HA_B</vt:lpstr>
      <vt:lpstr>HA_C</vt:lpstr>
      <vt:lpstr>HA_D</vt:lpstr>
      <vt:lpstr>HA_E</vt:lpstr>
      <vt:lpstr>HA_F</vt:lpstr>
      <vt:lpstr>HA_G</vt:lpstr>
      <vt:lpstr>HA_H</vt:lpstr>
      <vt:lpstr>HA_J</vt:lpstr>
      <vt:lpstr>IA_B</vt:lpstr>
      <vt:lpstr>IA_C</vt:lpstr>
      <vt:lpstr>IA_D</vt:lpstr>
      <vt:lpstr>IA_E</vt:lpstr>
      <vt:lpstr>IA_F</vt:lpstr>
      <vt:lpstr>IA_G</vt:lpstr>
      <vt:lpstr>IA_H</vt:lpstr>
      <vt:lpstr>IA_J</vt:lpstr>
      <vt:lpstr>Perfil!Informe_Cualtitativo_MACI</vt:lpstr>
      <vt:lpstr>JA_B</vt:lpstr>
      <vt:lpstr>JA_C</vt:lpstr>
      <vt:lpstr>JA_D</vt:lpstr>
      <vt:lpstr>JA_E</vt:lpstr>
      <vt:lpstr>JA_F</vt:lpstr>
      <vt:lpstr>JA_G</vt:lpstr>
      <vt:lpstr>JA_H</vt:lpstr>
      <vt:lpstr>JA_J</vt:lpstr>
      <vt:lpstr>KA_B</vt:lpstr>
      <vt:lpstr>KA_C</vt:lpstr>
      <vt:lpstr>KA_D</vt:lpstr>
      <vt:lpstr>KA_E</vt:lpstr>
      <vt:lpstr>KA_F</vt:lpstr>
      <vt:lpstr>KA_G</vt:lpstr>
      <vt:lpstr>KA_H</vt:lpstr>
      <vt:lpstr>KA_J</vt:lpstr>
      <vt:lpstr>LA_B</vt:lpstr>
      <vt:lpstr>LA_C</vt:lpstr>
      <vt:lpstr>LA_D</vt:lpstr>
      <vt:lpstr>LA_E</vt:lpstr>
      <vt:lpstr>LA_F</vt:lpstr>
      <vt:lpstr>LA_G</vt:lpstr>
      <vt:lpstr>LA_H</vt:lpstr>
      <vt:lpstr>LA_J</vt:lpstr>
      <vt:lpstr>MA_B</vt:lpstr>
      <vt:lpstr>MA_C</vt:lpstr>
      <vt:lpstr>MA_D</vt:lpstr>
      <vt:lpstr>MA_E</vt:lpstr>
      <vt:lpstr>MA_F</vt:lpstr>
      <vt:lpstr>MA_G</vt:lpstr>
      <vt:lpstr>MA_H</vt:lpstr>
      <vt:lpstr>MA_J</vt:lpstr>
      <vt:lpstr>NA_B</vt:lpstr>
      <vt:lpstr>NA_C</vt:lpstr>
      <vt:lpstr>NA_D</vt:lpstr>
      <vt:lpstr>NA_E</vt:lpstr>
      <vt:lpstr>NA_F</vt:lpstr>
      <vt:lpstr>NA_G</vt:lpstr>
      <vt:lpstr>NA_H</vt:lpstr>
      <vt:lpstr>NA_J</vt:lpstr>
      <vt:lpstr>OA_B</vt:lpstr>
      <vt:lpstr>OA_C</vt:lpstr>
      <vt:lpstr>OA_D</vt:lpstr>
      <vt:lpstr>OA_E</vt:lpstr>
      <vt:lpstr>OA_F</vt:lpstr>
      <vt:lpstr>OA_G</vt:lpstr>
      <vt:lpstr>OA_H</vt:lpstr>
      <vt:lpstr>OA_J</vt:lpstr>
      <vt:lpstr>PA_B</vt:lpstr>
      <vt:lpstr>PA_C</vt:lpstr>
      <vt:lpstr>PA_D</vt:lpstr>
      <vt:lpstr>PA_E</vt:lpstr>
      <vt:lpstr>PA_F</vt:lpstr>
      <vt:lpstr>PA_G</vt:lpstr>
      <vt:lpstr>PA_H</vt:lpstr>
      <vt:lpstr>PA_J</vt:lpstr>
      <vt:lpstr>Perfil!PDF</vt:lpstr>
      <vt:lpstr>Perfil!Print_Area</vt:lpstr>
      <vt:lpstr>QA_B</vt:lpstr>
      <vt:lpstr>QA_C</vt:lpstr>
      <vt:lpstr>QA_D</vt:lpstr>
      <vt:lpstr>QA_E</vt:lpstr>
      <vt:lpstr>QA_F</vt:lpstr>
      <vt:lpstr>QA_G</vt:lpstr>
      <vt:lpstr>QA_H</vt:lpstr>
      <vt:lpstr>QA_J</vt:lpstr>
      <vt:lpstr>RA_B</vt:lpstr>
      <vt:lpstr>RA_C</vt:lpstr>
      <vt:lpstr>RA_D</vt:lpstr>
      <vt:lpstr>RA_E</vt:lpstr>
      <vt:lpstr>RA_F</vt:lpstr>
      <vt:lpstr>RA_G</vt:lpstr>
      <vt:lpstr>RA_H</vt:lpstr>
      <vt:lpstr>RA_J</vt:lpstr>
      <vt:lpstr>TA_B</vt:lpstr>
      <vt:lpstr>TA_C</vt:lpstr>
      <vt:lpstr>TA_D</vt:lpstr>
      <vt:lpstr>TA_E</vt:lpstr>
      <vt:lpstr>TA_F</vt:lpstr>
      <vt:lpstr>TA_G</vt:lpstr>
      <vt:lpstr>TA_H</vt:lpstr>
      <vt:lpstr>TA_J</vt:lpstr>
      <vt:lpstr>UA_B</vt:lpstr>
      <vt:lpstr>UA_C</vt:lpstr>
      <vt:lpstr>UA_D</vt:lpstr>
      <vt:lpstr>UA_E</vt:lpstr>
      <vt:lpstr>UA_F</vt:lpstr>
      <vt:lpstr>UA_G</vt:lpstr>
      <vt:lpstr>UA_H</vt:lpstr>
      <vt:lpstr>UA_J</vt:lpstr>
      <vt:lpstr>VA_B</vt:lpstr>
      <vt:lpstr>VA_C</vt:lpstr>
      <vt:lpstr>VA_D</vt:lpstr>
      <vt:lpstr>VA_E</vt:lpstr>
      <vt:lpstr>VA_F</vt:lpstr>
      <vt:lpstr>VA_G</vt:lpstr>
      <vt:lpstr>VA_H</vt:lpstr>
      <vt:lpstr>VA_J</vt:lpstr>
      <vt:lpstr>XA_B</vt:lpstr>
      <vt:lpstr>XA_C</vt:lpstr>
      <vt:lpstr>XA_D</vt:lpstr>
      <vt:lpstr>XA_E</vt:lpstr>
      <vt:lpstr>XA_F</vt:lpstr>
      <vt:lpstr>XA_G</vt:lpstr>
      <vt:lpstr>XA_H</vt:lpstr>
      <vt:lpstr>XA_J</vt:lpstr>
      <vt:lpstr>YA_B</vt:lpstr>
      <vt:lpstr>YA_C</vt:lpstr>
      <vt:lpstr>YA_D</vt:lpstr>
      <vt:lpstr>YA_E</vt:lpstr>
      <vt:lpstr>YA_F</vt:lpstr>
      <vt:lpstr>YA_G</vt:lpstr>
      <vt:lpstr>YA_H</vt:lpstr>
      <vt:lpstr>YA_J</vt:lpstr>
      <vt:lpstr>ZA_B</vt:lpstr>
      <vt:lpstr>ZA_C</vt:lpstr>
      <vt:lpstr>ZA_D</vt:lpstr>
      <vt:lpstr>ZA_E</vt:lpstr>
      <vt:lpstr>ZA_F</vt:lpstr>
      <vt:lpstr>ZA_G</vt:lpstr>
      <vt:lpstr>ZA_H</vt:lpstr>
      <vt:lpstr>ZA_J</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Eduardo Perez Juarez</cp:lastModifiedBy>
  <cp:lastPrinted>2024-11-08T16:02:50Z</cp:lastPrinted>
  <dcterms:created xsi:type="dcterms:W3CDTF">2024-02-02T18:43:47Z</dcterms:created>
  <dcterms:modified xsi:type="dcterms:W3CDTF">2026-05-25T22:56:45Z</dcterms:modified>
</cp:coreProperties>
</file>